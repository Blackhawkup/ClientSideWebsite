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 hidePivotFieldList="1"/>
  <bookViews>
    <workbookView windowWidth="23040" windowHeight="8555"/>
  </bookViews>
  <sheets>
    <sheet name="Selector Sheet " sheetId="1" r:id="rId1"/>
    <sheet name="Output Dashboard (option 1)" sheetId="5" state="hidden" r:id="rId2"/>
    <sheet name="Performance Data" sheetId="6" r:id="rId3"/>
    <sheet name="Output Dashboard " sheetId="10" r:id="rId4"/>
    <sheet name="Output Dashboard Debt" sheetId="14" state="hidden" r:id="rId5"/>
    <sheet name="Macro1" sheetId="16" state="hidden" r:id="rId6"/>
    <sheet name="PPT Attributes" sheetId="15" state="hidden" r:id="rId7"/>
    <sheet name="Drop Downs" sheetId="4" state="hidden" r:id="rId8"/>
    <sheet name="Sheet1" sheetId="17" state="hidden" r:id="rId9"/>
    <sheet name="Sheet2" sheetId="8" r:id="rId10"/>
    <sheet name="Source_Data" sheetId="2" state="hidden" r:id="rId11"/>
  </sheets>
  <externalReferences>
    <externalReference r:id="rId15"/>
  </externalReferences>
  <definedNames>
    <definedName name="_xlchart.v2.0" hidden="1">'Output Dashboard (option 1)'!$A$89:$A$108</definedName>
    <definedName name="_xlchart.v2.1" hidden="1">'Output Dashboard (option 1)'!$B$88</definedName>
    <definedName name="_xlchart.v2.2" hidden="1">'Output Dashboard (option 1)'!$B$89:$B$108</definedName>
    <definedName name="_xlchart.v2.3" hidden="1">'Output Dashboard (option 1)'!$S$5:$S$24</definedName>
    <definedName name="_xlchart.v2.4" hidden="1">'Output Dashboard (option 1)'!$T$3:$T$4</definedName>
    <definedName name="_xlchart.v2.5" hidden="1">'Output Dashboard (option 1)'!$T$5:$T$24</definedName>
    <definedName name="VisibleFunds">'PPT Attributes'!#REF!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<sst xmlns="http://schemas.openxmlformats.org/spreadsheetml/2006/main" count="14256" uniqueCount="2186">
  <si>
    <t>Risk Profile</t>
  </si>
  <si>
    <t>Enter Portfolio Size:</t>
  </si>
  <si>
    <t>Asset Class</t>
  </si>
  <si>
    <t>Conservative</t>
  </si>
  <si>
    <t>Please select the Risk Profile of the Client from drop down in Cell D5 or create a coustom portfolio by entering values in D6 to D9</t>
  </si>
  <si>
    <t>POLICY GUIDELINES:</t>
  </si>
  <si>
    <t xml:space="preserve">Equity </t>
  </si>
  <si>
    <t>1. Min allocation of fresh inflows towards MP funds = 75% of gross inflows
2. Max deviation of fresh inflows towards Whitelisted funds = 20% of gross inflows
3. Max deviation of fresh inflows towards funds other than Model Portfolio/Whitelisted funds recommended by a client = 5% of gross inflows
4. Max Exposure allowed towards a Whitelist Scheme = 5% of gross inflows 
5. Max Exposure towards a particular AMC = 25% of overall portfolio
6. Max Exposure towards a scheme =10% of overall portfolio</t>
  </si>
  <si>
    <t xml:space="preserve">Hybrid </t>
  </si>
  <si>
    <t xml:space="preserve">Alternate </t>
  </si>
  <si>
    <t>Debt</t>
  </si>
  <si>
    <t>Total</t>
  </si>
  <si>
    <t xml:space="preserve">Model Portfolio </t>
  </si>
  <si>
    <t>Equity</t>
  </si>
  <si>
    <t>Amount</t>
  </si>
  <si>
    <t>Allocation across the products can be changed manually per client requirement</t>
  </si>
  <si>
    <t>Large Cap</t>
  </si>
  <si>
    <t>Core funds</t>
  </si>
  <si>
    <t>Renaissance Opportunities Fund PMS</t>
  </si>
  <si>
    <t>Whitelist funds</t>
  </si>
  <si>
    <t>Nippon India Large Cap Fund(G)</t>
  </si>
  <si>
    <t>Watchlist - No Fresh allocations to be made</t>
  </si>
  <si>
    <t>ICICI Pru Bluechip Fund(G)</t>
  </si>
  <si>
    <t>Kotak Bluechip Fund(G)</t>
  </si>
  <si>
    <t>Canara Rob Bluechip Equity Fund-Reg(G)</t>
  </si>
  <si>
    <t xml:space="preserve">Large -Mid Cap </t>
  </si>
  <si>
    <t>SBI Large &amp; Midcap Fund-Reg(G)</t>
  </si>
  <si>
    <t>ICICI Pru Large &amp; Mid Cap Fund(G)</t>
  </si>
  <si>
    <t>Canara Rob Emerg Equities Fund-Reg(G)</t>
  </si>
  <si>
    <t>Mid/Small cap</t>
  </si>
  <si>
    <t>Abakkus Emerging Oppurtunities PMS</t>
  </si>
  <si>
    <t>AAA Budding Beast</t>
  </si>
  <si>
    <t>Multicap</t>
  </si>
  <si>
    <t>AAA IOP PMS / AIF</t>
  </si>
  <si>
    <t>Nippon India Multi Cap Fund(G)</t>
  </si>
  <si>
    <t>SBI Contra Fund-Reg(G)</t>
  </si>
  <si>
    <t>Abakkus All Cap PMS</t>
  </si>
  <si>
    <t>Renaissance India Next Portfolio</t>
  </si>
  <si>
    <t>Parag Parikh Flexi Cap Fund-Reg(G)</t>
  </si>
  <si>
    <t>Bouyant Oppurtunites PMS</t>
  </si>
  <si>
    <t>UTI Flexi Cap Fund-Reg(G)</t>
  </si>
  <si>
    <t>ASK IEP PMS / AIF</t>
  </si>
  <si>
    <t>Total Equity</t>
  </si>
  <si>
    <t>Hybrid</t>
  </si>
  <si>
    <t>ICICI Pru Balanced Advantage Fund(G)</t>
  </si>
  <si>
    <t>Tata Balanced Adv Fund-Reg(G)</t>
  </si>
  <si>
    <t>Kotak Balanced Advantage Fund-Reg(G)</t>
  </si>
  <si>
    <t>Edelweiss Balanced Advantage Fund-Reg(G)</t>
  </si>
  <si>
    <t xml:space="preserve">Total Hybrid </t>
  </si>
  <si>
    <t>Debt Alternatives</t>
  </si>
  <si>
    <t>Altacura AI Absolute Return Fund LLP</t>
  </si>
  <si>
    <t>ASK Absolute Return Fund</t>
  </si>
  <si>
    <t>White Space Alpha Fund 2</t>
  </si>
  <si>
    <t>Inquant Debt Plus AIF</t>
  </si>
  <si>
    <t>AlphaMine Absolute Return Fund</t>
  </si>
  <si>
    <t>MasterTrust Irage PMS</t>
  </si>
  <si>
    <t>Private Credit</t>
  </si>
  <si>
    <t>Monthly returns for Private Credit strategies are not avalible as they are cashflow based products</t>
  </si>
  <si>
    <t>Vivriti Short-term Debt AIF</t>
  </si>
  <si>
    <t>ICICI CCOF 3</t>
  </si>
  <si>
    <t>Vivriti Diversified Bond Fund II</t>
  </si>
  <si>
    <t>UTI SDOF 4</t>
  </si>
  <si>
    <t>Multi Asset Allocation</t>
  </si>
  <si>
    <t>Edelweiss Multi Asset Allocation Fund</t>
  </si>
  <si>
    <t>Total Debt</t>
  </si>
  <si>
    <t xml:space="preserve">Alternative </t>
  </si>
  <si>
    <t>Return data for Alternative funds will be added as they become avalible</t>
  </si>
  <si>
    <t>Private Equity/Venture Capital</t>
  </si>
  <si>
    <t>Oister X Tribe Ace Fund 2</t>
  </si>
  <si>
    <t>International</t>
  </si>
  <si>
    <t>Kristal.AI VCC- Client Associates Global FOF</t>
  </si>
  <si>
    <t>Aditya Birla SL Global Emerging Market Fund (IFSC)</t>
  </si>
  <si>
    <t>Portfolio</t>
  </si>
  <si>
    <t xml:space="preserve">Selected Funds </t>
  </si>
  <si>
    <t>Allocation</t>
  </si>
  <si>
    <t xml:space="preserve">Large </t>
  </si>
  <si>
    <t>Mid</t>
  </si>
  <si>
    <t>Small</t>
  </si>
  <si>
    <t xml:space="preserve">Stock Exposure </t>
  </si>
  <si>
    <t>Position Concentration</t>
  </si>
  <si>
    <t xml:space="preserve">Equity Sector Exposure </t>
  </si>
  <si>
    <t xml:space="preserve">Fund </t>
  </si>
  <si>
    <t>Returns</t>
  </si>
  <si>
    <t>Year</t>
  </si>
  <si>
    <t xml:space="preserve">Name </t>
  </si>
  <si>
    <t xml:space="preserve">Percentage </t>
  </si>
  <si>
    <t xml:space="preserve">Top 3 </t>
  </si>
  <si>
    <t>Expense Ratio</t>
  </si>
  <si>
    <t>1 month</t>
  </si>
  <si>
    <t>3 months</t>
  </si>
  <si>
    <t>6 months</t>
  </si>
  <si>
    <t>1 Year</t>
  </si>
  <si>
    <t>2 Year</t>
  </si>
  <si>
    <t>3 Year</t>
  </si>
  <si>
    <t>5 Year</t>
  </si>
  <si>
    <t>10 Year</t>
  </si>
  <si>
    <t>CY 2025</t>
  </si>
  <si>
    <t>Top5</t>
  </si>
  <si>
    <t>Top 10</t>
  </si>
  <si>
    <t xml:space="preserve">Top 20 </t>
  </si>
  <si>
    <t xml:space="preserve">Market Cap Exposure </t>
  </si>
  <si>
    <t xml:space="preserve">Portfolio </t>
  </si>
  <si>
    <t xml:space="preserve">Mid </t>
  </si>
  <si>
    <t xml:space="preserve">Small </t>
  </si>
  <si>
    <t>Returns Summary</t>
  </si>
  <si>
    <t xml:space="preserve">Backtested Retruns </t>
  </si>
  <si>
    <t xml:space="preserve">Portfolio Details </t>
  </si>
  <si>
    <t xml:space="preserve">Market Cap Allocation </t>
  </si>
  <si>
    <t>As on 31st March'2025</t>
  </si>
  <si>
    <t>Large-Cap Funds</t>
  </si>
  <si>
    <t>Corpus</t>
  </si>
  <si>
    <t>CY Year Returns</t>
  </si>
  <si>
    <t>Banking and PSU Fund</t>
  </si>
  <si>
    <t>Risk Return</t>
  </si>
  <si>
    <t>Yearly Performance</t>
  </si>
  <si>
    <t>Month End</t>
  </si>
  <si>
    <t>AUM (Cr.)</t>
  </si>
  <si>
    <t>Sharpe Ratio</t>
  </si>
  <si>
    <t>Beta</t>
  </si>
  <si>
    <t>PE</t>
  </si>
  <si>
    <t>PB</t>
  </si>
  <si>
    <t>Ratio</t>
  </si>
  <si>
    <t>1 Month</t>
  </si>
  <si>
    <t>3 Months</t>
  </si>
  <si>
    <t>6 Months</t>
  </si>
  <si>
    <t>3 Years</t>
  </si>
  <si>
    <t>5 Years</t>
  </si>
  <si>
    <t>10 Years</t>
  </si>
  <si>
    <t>Aditya Birla SL Frontline Equity Fund(G)</t>
  </si>
  <si>
    <t>NA</t>
  </si>
  <si>
    <t>Axis Bluechip Fund-Reg(G)</t>
  </si>
  <si>
    <t>Bandhan Large Cap Fund-Reg(G)</t>
  </si>
  <si>
    <t>DSP Top 100 Equity Fund-Reg(G)</t>
  </si>
  <si>
    <t>Edelweiss Large Cap Fund-Reg(G)</t>
  </si>
  <si>
    <t>Franklin India Bluechip Fund(G)</t>
  </si>
  <si>
    <t>HDFC Top 100 Fund(G)</t>
  </si>
  <si>
    <t>HSBC Large Cap Fund(G)</t>
  </si>
  <si>
    <t>Invesco India Largecap Fund(G)</t>
  </si>
  <si>
    <t>Aditya Birla SL Banking &amp; PSU Debt(G)</t>
  </si>
  <si>
    <t>Mirae Asset Large Cap Fund-Reg(G)</t>
  </si>
  <si>
    <t>Axis Banking &amp; PSU Debt Fund-Reg(G)</t>
  </si>
  <si>
    <t>Motilal Oswal Focused Fund-Reg(G)</t>
  </si>
  <si>
    <t>Bajaj Finserv Banking and PSU Fund-Reg(G)</t>
  </si>
  <si>
    <t>Bandhan Banking &amp; PSU Debt Fund-Reg(G)</t>
  </si>
  <si>
    <t>Quant Large Cap Fund-Reg(G)</t>
  </si>
  <si>
    <t>Baroda BNP Paribas Banking and PSU Bond Fund-Reg(G)</t>
  </si>
  <si>
    <t>SBI BlueChip Fund-Reg(G)</t>
  </si>
  <si>
    <t>Canara Rob Banking and PSU Debt Fund-Reg(G)</t>
  </si>
  <si>
    <t>Tata Large Cap Fund-Reg(G)</t>
  </si>
  <si>
    <t>DSP Banking &amp; PSU Debt Fund-Reg(G)</t>
  </si>
  <si>
    <t>UTI Mastershare-Reg(G)</t>
  </si>
  <si>
    <t>Edelweiss Banking and PSU Debt Fund-Reg(G)</t>
  </si>
  <si>
    <t>UTI Nifty 50 ETF</t>
  </si>
  <si>
    <t>Franklin India Banking &amp; PSU Debt Fund(G)</t>
  </si>
  <si>
    <t>S&amp;P BSE 100</t>
  </si>
  <si>
    <t>HDFC Banking and PSU Debt Fund-Reg(G)</t>
  </si>
  <si>
    <t>S&amp;P BSE SENSEX</t>
  </si>
  <si>
    <t>HSBC Banking and PSU Debt Fund-Reg(G)</t>
  </si>
  <si>
    <t>NIFTY 50</t>
  </si>
  <si>
    <t>ICICI Pru Banking &amp; PSU Debt Fund(G)</t>
  </si>
  <si>
    <t>NIFTY NEXT 50</t>
  </si>
  <si>
    <t>Invesco India Banking and PSU Fund(G)</t>
  </si>
  <si>
    <t>Category Average</t>
  </si>
  <si>
    <t>ITI Banking &amp; PSU Debt Fund-Reg(G)</t>
  </si>
  <si>
    <t>Kotak Banking and PSU Debt Fund(G)</t>
  </si>
  <si>
    <t>LIC MF Banking &amp; PSU Fund-Reg(G)</t>
  </si>
  <si>
    <t xml:space="preserve">Large-Mid </t>
  </si>
  <si>
    <t>Mirae Asset Banking and PSU Fund-Reg(G)</t>
  </si>
  <si>
    <t>Nippon India Banking &amp; PSU Debt Fund(G)</t>
  </si>
  <si>
    <t>Aditya Birla SL Equity Advantage Fund(G)</t>
  </si>
  <si>
    <t>SBI Banking and PSU Fund-Reg(G)</t>
  </si>
  <si>
    <t>Axis Growth Opp Fund-Reg(G)</t>
  </si>
  <si>
    <t>Sundaram Banking &amp; PSU Fund(G)</t>
  </si>
  <si>
    <t>Bandhan Core Equity Fund-Reg(G)</t>
  </si>
  <si>
    <t>TRUSTMF Banking &amp; PSU Fund-Reg(G)</t>
  </si>
  <si>
    <t>UTI Banking &amp; PSU Fund-Reg(G)</t>
  </si>
  <si>
    <t>DSP Equity Opportunities Fund-Reg(G)</t>
  </si>
  <si>
    <t>Edelweiss Large &amp; Mid Cap Fund-Reg(G)</t>
  </si>
  <si>
    <t>Crisil Short Term Fund</t>
  </si>
  <si>
    <t>Franklin India Equity Advantage Fund(G)</t>
  </si>
  <si>
    <t>HDFC Large and Mid Cap Fund-Reg(G)</t>
  </si>
  <si>
    <t xml:space="preserve"> Corporate Bond</t>
  </si>
  <si>
    <t>HSBC Large &amp; Mid Cap Fund-Reg(G)</t>
  </si>
  <si>
    <t>Aditya Birla SL Corp Bond Fund(G)</t>
  </si>
  <si>
    <t>Invesco India Growth Opp Fund(G)</t>
  </si>
  <si>
    <t>Aditya Birla SL CRISIL IBX 60:40 SDL + AAA PSU - Apr 2025 Index Fund-Reg(G)</t>
  </si>
  <si>
    <t>Kotak Equity Opp Fund(G)</t>
  </si>
  <si>
    <t>Aditya Birla SL CRISIL IBX 60:40 SDL + AAA PSU - Apr 2027 Index Fund-Reg(G)</t>
  </si>
  <si>
    <t>Mirae Asset Emerging Bluechip-Reg(G)</t>
  </si>
  <si>
    <t>Aditya Birla SL CRISIL IBX 60:40 SDL + AAA PSU Apr 2026 Index Fund-Reg(G)</t>
  </si>
  <si>
    <t>Motilal Oswal Large &amp; Midcap Fund-Reg(G)</t>
  </si>
  <si>
    <t>Aditya Birla SL Nifty SDL Plus PSU Bond Sep 2026 60:40 Index Fund-Reg(G)</t>
  </si>
  <si>
    <t>Nippon India Vision Fund(G)</t>
  </si>
  <si>
    <t>Axis Corp Bond Fund-Reg(G)</t>
  </si>
  <si>
    <t>Quant Large &amp; Mid Cap Fund(G)</t>
  </si>
  <si>
    <t>Axis CRISIL IBX 70:30 CPSE Plus SDL April 2025 Index Fund-Reg(G)</t>
  </si>
  <si>
    <t>Bandhan Corp Bond Fund-Reg(G)</t>
  </si>
  <si>
    <t>Tata Large &amp; Mid Cap Fund(G)</t>
  </si>
  <si>
    <t>Baroda BNP Paribas Corp Bond Fund(G)</t>
  </si>
  <si>
    <t>UTI Core Equity Fund-Reg(G)</t>
  </si>
  <si>
    <t>Canara Rob Corp Bond Fund-Reg(G)</t>
  </si>
  <si>
    <t>S&amp;P BSE 200</t>
  </si>
  <si>
    <t>DSP Corp Bond Fund-Reg(G)</t>
  </si>
  <si>
    <t>Edelweiss CRISIL PSU Plus SDL 50:50 Oct 2025 Index Fund-Reg(G)</t>
  </si>
  <si>
    <t>Edelweiss Nifty PSU Bond Plus SDL Apr 2026 50:50 Index Fund-Reg(G)</t>
  </si>
  <si>
    <t>Edelweiss Nifty PSU Bond Plus SDL Apr 2027 50:50 Index Fund-Reg(G)</t>
  </si>
  <si>
    <t>Multi-Cap / Flexi Cap</t>
  </si>
  <si>
    <t>Franklin India Corp Debt Fund-A(G)</t>
  </si>
  <si>
    <t>HDFC Corp Bond Fund(G)</t>
  </si>
  <si>
    <t>Aditya Birla SL Flexi Cap Fund(G)</t>
  </si>
  <si>
    <t>HSBC Corporate Bond Fund-Reg(G)</t>
  </si>
  <si>
    <t>Axis Flexi Cap Fund-Reg(G)</t>
  </si>
  <si>
    <t>ICICI Pru Corp Bond Fund(G)</t>
  </si>
  <si>
    <t>Bandhan Flexi Cap Fund-Reg(G)</t>
  </si>
  <si>
    <t>ICICI Pru Nifty PSU Bond Plus SDL Sep 2027 40:60 Index Fund-Reg(G)</t>
  </si>
  <si>
    <t>Canara Rob Flexi Cap Fund-Reg(G)</t>
  </si>
  <si>
    <t>Invesco India Corporate Bond Fund(G)</t>
  </si>
  <si>
    <t>DSP Flexi Cap Fund-Reg(G)</t>
  </si>
  <si>
    <t>Kotak Corporate Bond Fund(G)</t>
  </si>
  <si>
    <t>Edelweiss Flexi Cap Fund-Reg(G)</t>
  </si>
  <si>
    <t>Kotak Nifty AAA Bond Jun 2025 HTM Index Fund-Reg(G)</t>
  </si>
  <si>
    <t>Franklin India Flexi Cap Fund(G)</t>
  </si>
  <si>
    <t>Kotak Nifty SDL Apr 2027 Top 12 Equal Weight Index Fund-Reg(G)</t>
  </si>
  <si>
    <t>HDFC Flexi Cap Fund(G)</t>
  </si>
  <si>
    <t>Kotak Nifty SDL Apr 2032 Top 12 Equal Weight Index Fund-Reg(G)</t>
  </si>
  <si>
    <t>HSBC Flexi Cap Fund-Reg(G)</t>
  </si>
  <si>
    <t>Kotak Nifty SDL Plus AAA PSU Bond Jul 2028 60:40 Index Fund-Reg(G)</t>
  </si>
  <si>
    <t>ICICI Pru Flexicap Fund(G)</t>
  </si>
  <si>
    <t>Mirae Asset Corp Bond Fund-Reg(G)</t>
  </si>
  <si>
    <t>Invesco India Flexi Cap Fund-Reg(G)</t>
  </si>
  <si>
    <t>Mirae Asset Nifty AAA PSU Bond Plus SDL Apr 2026 50:50 Index Fund-Reg(G)</t>
  </si>
  <si>
    <t>Kotak Flexicap Fund(G)</t>
  </si>
  <si>
    <t>Nippon India Corp Bond Fund(G)</t>
  </si>
  <si>
    <t>Motilal Oswal Flexi Cap Fund-Reg(G)</t>
  </si>
  <si>
    <t>Nippon India CRISIL-IBX AAA Financial Services - Dec 2026 Index Fund-Reg(G)</t>
  </si>
  <si>
    <t>Nippon India Flexi Cap Fund-Reg(G)</t>
  </si>
  <si>
    <t>Nippon India CRISIL-IBX AAA Financial Services - Jan 2028 Index Fund-Reg(G)</t>
  </si>
  <si>
    <t>Nippon India Nifty AAA CPSE Bond Plus SDL - Apr 2027 Maturity 60:40 Index Fund(G)</t>
  </si>
  <si>
    <t>Nippon India Nifty AAA PSU Bond Plus SDL - Sep 2026 Maturity 50:50 Index Fund-Reg(G)</t>
  </si>
  <si>
    <t>Quant Active Fund(G)</t>
  </si>
  <si>
    <t>PGIM India Corp Bond Fund(G)</t>
  </si>
  <si>
    <t>Quant Flexi Cap Fund(G)</t>
  </si>
  <si>
    <t>SBI Corp Bond Fund-Reg(G)</t>
  </si>
  <si>
    <t>SBI Flexicap Fund-Reg(G)</t>
  </si>
  <si>
    <t>SBI CPSE Bond Plus SDL Sep 2026 50:50 Index Fund-Reg(G)</t>
  </si>
  <si>
    <t>Tata Flexi Cap Fund-Reg(G)</t>
  </si>
  <si>
    <t>Sundaram Corp Bond Fund(G)</t>
  </si>
  <si>
    <t>Tata Corp Bond Fund-Reg(G)</t>
  </si>
  <si>
    <t>WOC Flexi Cap Fund-Reg(G)</t>
  </si>
  <si>
    <t>Tata Nifty SDL Plus AAA PSU Bond Dec 2027 60:40 Index Fund-Reg(G)</t>
  </si>
  <si>
    <t>S&amp;P BSE 500</t>
  </si>
  <si>
    <t>TRUSTMF Corporate Bond Fund-Reg(G)</t>
  </si>
  <si>
    <t>Union Corporate Bond Fund-Reg(G)</t>
  </si>
  <si>
    <t>UTI Corporate Bond Fund-Reg(G)</t>
  </si>
  <si>
    <t>Value</t>
  </si>
  <si>
    <t>Aditya Birla SL Pure Value Fund(G)</t>
  </si>
  <si>
    <t>HDFC Capital Builder Value Fund(G)</t>
  </si>
  <si>
    <t>Credit Risk Fund</t>
  </si>
  <si>
    <t>HSBC Value Fund-Reg(G)</t>
  </si>
  <si>
    <t>ICICI Pru Value Discovery Fund(G)</t>
  </si>
  <si>
    <t>Aditya Birla SL Credit Risk Fund-Reg(G)</t>
  </si>
  <si>
    <t>Invesco India Contra Fund(G)</t>
  </si>
  <si>
    <t>Axis Credit Risk Fund-Reg(G)</t>
  </si>
  <si>
    <t>Kotak India EQ Contra Fund(G)</t>
  </si>
  <si>
    <t>Bandhan Credit Risk Fund-Reg(G)</t>
  </si>
  <si>
    <t>Nippon India Value Fund(G)</t>
  </si>
  <si>
    <t>Bank of India Credit Risk Fund-Reg(G)</t>
  </si>
  <si>
    <t>Quant Value Fund-Reg(G)</t>
  </si>
  <si>
    <t>Baroda BNP Paribas Credit Risk Fund-Reg(G)</t>
  </si>
  <si>
    <t>DSP Credit Risk Fund-Reg(G)</t>
  </si>
  <si>
    <t>Tata Equity P/E Fund(G)</t>
  </si>
  <si>
    <t>HDFC Credit Risk Debt Fund-(G)</t>
  </si>
  <si>
    <t>Templeton India Value Fund(G)</t>
  </si>
  <si>
    <t>HSBC Credit Risk Fund-Reg(G)</t>
  </si>
  <si>
    <t>UTI Value Opp Fund-Reg(G)</t>
  </si>
  <si>
    <t>ICICI Pru Credit Risk Fund(G)</t>
  </si>
  <si>
    <t>Invesco India Credit Risk Fund(G)</t>
  </si>
  <si>
    <t>Kotak Credit Risk Fund(G)</t>
  </si>
  <si>
    <t>SBI Credit Risk Fund-Reg(G)</t>
  </si>
  <si>
    <t>Mid-Cap</t>
  </si>
  <si>
    <t>UTI Credit Risk Fund-Reg(G)</t>
  </si>
  <si>
    <t>Aditya Birla SL Midcap Fund(G)</t>
  </si>
  <si>
    <t>Axis Midcap Fund-Reg(G)</t>
  </si>
  <si>
    <t>DSP Midcap Fund-Reg(G)</t>
  </si>
  <si>
    <t xml:space="preserve"> Dynamic Bond</t>
  </si>
  <si>
    <t>Edelweiss Mid Cap Fund-Reg(G)</t>
  </si>
  <si>
    <t>Franklin India Prima Fund(G)</t>
  </si>
  <si>
    <t>360 ONE Dynamic Bond Fund-Reg(G)</t>
  </si>
  <si>
    <t>HDFC Mid-Cap Opportunities Fund(G)</t>
  </si>
  <si>
    <t>Aditya Birla SL Dynamic Bond Fund-Reg(G)</t>
  </si>
  <si>
    <t>HSBC Midcap Fund-Reg(G)</t>
  </si>
  <si>
    <t>Axis Dynamic Bond Fund-Reg(G)</t>
  </si>
  <si>
    <t>ICICI Pru Midcap Fund(G)</t>
  </si>
  <si>
    <t>Bandhan Dynamic Bond Fund-Reg(G)</t>
  </si>
  <si>
    <t>Invesco India Midcap Fund(G)</t>
  </si>
  <si>
    <t>Baroda BNP Paribas Dynamic Bond Fund(G)</t>
  </si>
  <si>
    <t>Kotak Emerging Equity Fund(G)</t>
  </si>
  <si>
    <t>Canara Rob Dynamic Bond Fund-Reg(G)</t>
  </si>
  <si>
    <t>Motilal Oswal Midcap Fund-Reg(G)</t>
  </si>
  <si>
    <t>DSP Strategic Bond Fund-Reg(G)</t>
  </si>
  <si>
    <t>Nippon India Growth Fund(G)</t>
  </si>
  <si>
    <t>Groww Dynamic Bond Fund-Reg(G)</t>
  </si>
  <si>
    <t>Quant Mid Cap Fund(G)</t>
  </si>
  <si>
    <t>HDFC Dynamic Debt Fund(G)</t>
  </si>
  <si>
    <t>SBI Magnum Midcap Fund-Reg(G)</t>
  </si>
  <si>
    <t>HSBC Dynamic Bond Fund-Reg(G)</t>
  </si>
  <si>
    <t>Sundaram Mid Cap Fund-Reg(G)</t>
  </si>
  <si>
    <t>ICICI Pru All Seasons Bond Fund(G)</t>
  </si>
  <si>
    <t>Tata Mid Cap Growth Fund-Reg(G)</t>
  </si>
  <si>
    <t>ITI Dynamic Bond Fund-Reg(G)</t>
  </si>
  <si>
    <t>UTI Mid Cap Fund-Reg(G)</t>
  </si>
  <si>
    <t>JM Dynamic Bond Fund-Reg(G)</t>
  </si>
  <si>
    <t>S&amp;P BSE Mid-Cap</t>
  </si>
  <si>
    <t>Kotak Dynamic Bond Fund-Reg(G)</t>
  </si>
  <si>
    <t>Nifty Midcap 100</t>
  </si>
  <si>
    <t>Mahindra Manulife Dynamic Bond Fund-Reg(G)</t>
  </si>
  <si>
    <t>Nifty Midcap 150</t>
  </si>
  <si>
    <t>Mirae Asset Dynamic Bond Fund-Reg(G)</t>
  </si>
  <si>
    <t>Nippon India Dynamic Bond Fund(G)</t>
  </si>
  <si>
    <t>PGIM India Dynamic Bond Fund(G)</t>
  </si>
  <si>
    <t>Quantum Dynamic Bond Fund-Reg(G)</t>
  </si>
  <si>
    <t>Small-Cap</t>
  </si>
  <si>
    <t>SBI Dynamic Bond Fund-Reg(G)</t>
  </si>
  <si>
    <t>Union Dynamic Bond Fund(G)</t>
  </si>
  <si>
    <t>Aditya Birla SL Small Cap Fund(G)</t>
  </si>
  <si>
    <t>UTI Dynamic Bond Fund-Reg(G)</t>
  </si>
  <si>
    <t>Axis Small Cap Fund-Reg(G)</t>
  </si>
  <si>
    <t>DSP Small Cap Fund-Reg(G)</t>
  </si>
  <si>
    <t>Franklin India Smaller Cos Fund(G)</t>
  </si>
  <si>
    <t>HDFC Small Cap Fund-Reg(G)</t>
  </si>
  <si>
    <t xml:space="preserve"> Floating Rate Bond</t>
  </si>
  <si>
    <t>HSBC Small Cap Fund-Reg(G)</t>
  </si>
  <si>
    <t>ICICI Pru Smallcap Fund(G)</t>
  </si>
  <si>
    <t>Aditya Birla SL Floating Rate Fund(G)</t>
  </si>
  <si>
    <t>Invesco India Smallcap Fund-Reg(G)</t>
  </si>
  <si>
    <t>Axis Floater Fund-Reg(G)</t>
  </si>
  <si>
    <t>Kotak Small Cap Fund(G)</t>
  </si>
  <si>
    <t>Bandhan Floating Rate Fund-Reg(G)</t>
  </si>
  <si>
    <t>Motilal Oswal Nifty Smallcap 250 Index Fund-Reg(G)</t>
  </si>
  <si>
    <t>DSP Floater Fund-Reg(G)</t>
  </si>
  <si>
    <t>Nippon India Small Cap Fund(G)</t>
  </si>
  <si>
    <t>Franklin India Floating Rate Fund(G)</t>
  </si>
  <si>
    <t>Quant Small Cap Fund(G)</t>
  </si>
  <si>
    <t>HDFC Floating Rate Debt Fund(G)</t>
  </si>
  <si>
    <t>SBI Small Cap Fund-Reg(G)</t>
  </si>
  <si>
    <t>ICICI Pru Floating Interest Fund(G)</t>
  </si>
  <si>
    <t>S&amp;P BSE Small-Cap</t>
  </si>
  <si>
    <t>Kotak Floating Rate Fund-Reg(G)</t>
  </si>
  <si>
    <t>Nifty Smallcap 100</t>
  </si>
  <si>
    <t>Nippon India Floating Rate Fund(G)</t>
  </si>
  <si>
    <t>Nifty Smallcap 250</t>
  </si>
  <si>
    <t>SBI Floating Rate Debt Fund-Reg(G)</t>
  </si>
  <si>
    <t>Tata Floating Rate Fund-Reg(G)</t>
  </si>
  <si>
    <t>Focussed</t>
  </si>
  <si>
    <t>Aditya Birla SL Focused Equity Fund(G)</t>
  </si>
  <si>
    <t xml:space="preserve"> G-Sec</t>
  </si>
  <si>
    <t>Axis Focused 25 Fund-Reg(G)</t>
  </si>
  <si>
    <t>Bandhan Focused Equity Fund-Reg(G)</t>
  </si>
  <si>
    <t>Bandhan G-Sec-Constant Maturity Plan-Reg(G)</t>
  </si>
  <si>
    <t>DSP Focus Fund-Reg(G)</t>
  </si>
  <si>
    <t>DSP 10Y G-Sec Fund-Reg(G)</t>
  </si>
  <si>
    <t>Franklin India Focused Equity Fund(G)</t>
  </si>
  <si>
    <t>Edelweiss CRISIL IBX 50:50 Gilt Plus SDL April 2037 Index Fund-Reg(G)</t>
  </si>
  <si>
    <t>HDFC Focused 30 Fund(G)</t>
  </si>
  <si>
    <t>ICICI Pru Constant Maturity Gilt Fund(G)</t>
  </si>
  <si>
    <t>ICICI Pru Focused Equity Fund(G)</t>
  </si>
  <si>
    <t>SBI Magnum Constant Maturity Fund-Reg(G)</t>
  </si>
  <si>
    <t>Kotak Focused Equity Fund-Reg(G)</t>
  </si>
  <si>
    <t>UTI Gilt Fund with 10 year Constant Duration-Reg(G)</t>
  </si>
  <si>
    <t>Mirae Asset Focused Fund-Reg(G)</t>
  </si>
  <si>
    <t>Nippon India Focused Equity Fund(G)</t>
  </si>
  <si>
    <t>Quant Focused Fund(G)</t>
  </si>
  <si>
    <t>SBI Focused Equity Fund-Reg(G)</t>
  </si>
  <si>
    <t xml:space="preserve"> Liquid Fund</t>
  </si>
  <si>
    <t>360 ONE Liquid Fund-Reg(G)</t>
  </si>
  <si>
    <t>Aditya Birla SL Liquid Fund(G)</t>
  </si>
  <si>
    <t>Axis Liquid Fund-Reg(G)</t>
  </si>
  <si>
    <t>Bajaj Finserv Liquid Fund-Reg(G)</t>
  </si>
  <si>
    <t>Bandhan Liquid Fund-Reg(G)</t>
  </si>
  <si>
    <t>ELSS</t>
  </si>
  <si>
    <t>Bank of India Liquid Fund-Reg(G)</t>
  </si>
  <si>
    <t>Baroda BNP Paribas Liquid Fund(G)</t>
  </si>
  <si>
    <t>Axis Long Term Equity Fund-Reg(G)</t>
  </si>
  <si>
    <t>Canara Rob Liquid Fund-Reg(G)</t>
  </si>
  <si>
    <t>Bandhan Tax Advt(ELSS) Fund-Reg(G)</t>
  </si>
  <si>
    <t>DSP Liquidity Fund-Reg(G)</t>
  </si>
  <si>
    <t>Canara Rob Equity Tax Saver Fund-Reg(G)</t>
  </si>
  <si>
    <t>Edelweiss Liquid Fund-Reg(G)</t>
  </si>
  <si>
    <t>Edelweiss Long Term Equity Fund (Tax Savings)-Reg(G)</t>
  </si>
  <si>
    <t>Franklin India Liquid Fund-Super Inst(G)</t>
  </si>
  <si>
    <t>Franklin India Taxshield(G)</t>
  </si>
  <si>
    <t>Groww Liquid Fund-Reg(G)</t>
  </si>
  <si>
    <t>HDFC TaxSaver(G)</t>
  </si>
  <si>
    <t>HDFC Liquid Fund(G)</t>
  </si>
  <si>
    <t>ICICI Pru LT Equity Fund (Tax Saving)(G)</t>
  </si>
  <si>
    <t>HSBC Liquid Fund(G)</t>
  </si>
  <si>
    <t>Kotak Tax Saver Fund(G)</t>
  </si>
  <si>
    <t>ICICI Pru Liquid Fund(G)</t>
  </si>
  <si>
    <t>Mirae Asset Tax Saver Fund-Reg(G)</t>
  </si>
  <si>
    <t>Invesco India Liquid Fund(G)</t>
  </si>
  <si>
    <t>Motilal Oswal Long Term Equity Fund-Reg(G)</t>
  </si>
  <si>
    <t>ITI Liquid Fund-Reg(G)</t>
  </si>
  <si>
    <t>Nippon India Tax Saver (ELSS) Fund(G)</t>
  </si>
  <si>
    <t>JM Liquid Fund(G)</t>
  </si>
  <si>
    <t>Parag Parikh Tax Saver Fund-Reg(G)</t>
  </si>
  <si>
    <t>Kotak Liquid Fund-Reg(G)</t>
  </si>
  <si>
    <t>Quant Tax Plan(G)</t>
  </si>
  <si>
    <t>LIC MF Liquid Fund-Reg(G)</t>
  </si>
  <si>
    <t>SBI Long Term Equity Fund-Reg(G)</t>
  </si>
  <si>
    <t>Mahindra Manulife Liquid Fund-Reg(G)</t>
  </si>
  <si>
    <t>Tata India Tax Savings Fund-Reg(G)</t>
  </si>
  <si>
    <t>Mirae Asset Liquid Fund-Reg(G)</t>
  </si>
  <si>
    <t>Taurus Tax Shield Fund-Reg(G)</t>
  </si>
  <si>
    <t>Motilal Oswal Liquid Fund-Reg(G)</t>
  </si>
  <si>
    <t>UTI LT Equity Fund (Tax Saving)-Reg(G)</t>
  </si>
  <si>
    <t>Navi Liquid Fund-Reg(G)</t>
  </si>
  <si>
    <t>Nippon India Liquid Fund(G)</t>
  </si>
  <si>
    <t>Parag Parikh Liquid Fund-Reg(G)</t>
  </si>
  <si>
    <t>PGIM India Liquid Fund(G)</t>
  </si>
  <si>
    <t>Quant Liquid Plan(G)</t>
  </si>
  <si>
    <t>Quantum Liquid Fund - Unclaimed IDCW Plan Below 3Y</t>
  </si>
  <si>
    <t>Balanced Advantage Fund</t>
  </si>
  <si>
    <t>Quantum Liquid Fund - Unclaimed Redemption Plan Below 3Y</t>
  </si>
  <si>
    <t>YTD</t>
  </si>
  <si>
    <t>Quantum Liquid Fund-Reg(G)</t>
  </si>
  <si>
    <t>Aditya Birla SL Balanced Advantage Fund(G)</t>
  </si>
  <si>
    <t>SBI Liquid Fund-Reg(G)</t>
  </si>
  <si>
    <t>Axis Balanced Advantage Fund-Reg(G)</t>
  </si>
  <si>
    <t>Shriram Liquid Fund-Reg(G)</t>
  </si>
  <si>
    <t>Bajaj Finserv Balanced Advantage Fund-Reg(G)</t>
  </si>
  <si>
    <t>Sundaram Liquid Fund(G)</t>
  </si>
  <si>
    <t>Bandhan Balanced Advantage Fund-Reg(G)</t>
  </si>
  <si>
    <t>Tata Liquid Fund-Reg(G)</t>
  </si>
  <si>
    <t>Bank of India Balanced Advantage Fund-Reg(G)</t>
  </si>
  <si>
    <t>TRUSTMF Liquid Fund-Reg(G)</t>
  </si>
  <si>
    <t>Baroda BNP Paribas Balanced Advantage Fund-Reg(G)</t>
  </si>
  <si>
    <t>Union Liquid Fund(G)</t>
  </si>
  <si>
    <t>Canara Rob Balanced Advantage Fund-Reg(G)</t>
  </si>
  <si>
    <t>UTI Liquid Fund-Reg(G)</t>
  </si>
  <si>
    <t>HDFC Balanced Advantage Fund(G)</t>
  </si>
  <si>
    <t>WOC Liquid Fund-Reg(G)</t>
  </si>
  <si>
    <t>HSBC Balanced Advantage Fund-Reg(G)</t>
  </si>
  <si>
    <t>ITI Balanced Advantage Fund-Reg(G)</t>
  </si>
  <si>
    <t xml:space="preserve"> Long Duration Fund</t>
  </si>
  <si>
    <t>LIC MF Balanced Advantage Fund-Reg(G)</t>
  </si>
  <si>
    <t>Mahindra Manulife Balanced Advantage Fund-Reg(G)</t>
  </si>
  <si>
    <t>Aditya Birla SL Long Duration Fund-Reg(G)</t>
  </si>
  <si>
    <t>Nippon India Balanced Advantage Fund(G)</t>
  </si>
  <si>
    <t>Axis Long Duration Fund-Reg(G)</t>
  </si>
  <si>
    <t>NJ Balanced Advantage Fund-Reg(G)</t>
  </si>
  <si>
    <t>Bandhan Long Duration Fund-Reg(G)</t>
  </si>
  <si>
    <t>SBI Balanced Advantage Fund-Reg(G)</t>
  </si>
  <si>
    <t>Franklin India Long Duration Fund-Reg(G)</t>
  </si>
  <si>
    <t>HDFC Long Duration Debt Fund-Reg(G)</t>
  </si>
  <si>
    <t>Union Balanced Advantage Fund-Reg(G)</t>
  </si>
  <si>
    <t>ICICI Pru Long Term Bond Fund(G)</t>
  </si>
  <si>
    <t>WOC Balanced Advantage Fund-Reg(G)</t>
  </si>
  <si>
    <t>Kotak Long Duration Fund-Reg(G)</t>
  </si>
  <si>
    <t>DSP Dynamic Asset Allocation Fund-Reg(G)</t>
  </si>
  <si>
    <t>Mirae Asset Long Duration Fund-Reg(G)</t>
  </si>
  <si>
    <t>Nippon India Nivesh Lakshya Fund(G)</t>
  </si>
  <si>
    <t>Franklin India Balanced Advantage Fund-Reg(G)</t>
  </si>
  <si>
    <t>SBI Long Duration Fund-Reg(G)</t>
  </si>
  <si>
    <t>Helios Balanced Advantage Fund-Reg(G)</t>
  </si>
  <si>
    <t>UTI Long Duration Fund-Reg(G)</t>
  </si>
  <si>
    <t>Invesco India Balanced Advantage Fund(G)</t>
  </si>
  <si>
    <t>Mirae Asset Balanced Advantage Fund-Reg(G)</t>
  </si>
  <si>
    <t>Motilal Oswal Balanced Advantage Fund-Reg(G)</t>
  </si>
  <si>
    <t>Parag Parikh Dynamic Asset Allocation Fund-Reg(G)</t>
  </si>
  <si>
    <t>Low Duration</t>
  </si>
  <si>
    <t>PGIM India Balanced Advantage Fund-Reg(G)</t>
  </si>
  <si>
    <t>Quant Dynamic Asset Allocation Fund-Reg(G)</t>
  </si>
  <si>
    <t>Aditya Birla SL Low Duration Fund(G)</t>
  </si>
  <si>
    <t>Samco Dynamic Asset Allocation Fund-Reg(G)</t>
  </si>
  <si>
    <t>Axis Treasury Advantage Fund-Reg(G)</t>
  </si>
  <si>
    <t>Shriram Balanced Advantage Fund-Reg(G)</t>
  </si>
  <si>
    <t>Bandhan Low Duration Fund-Reg(G)</t>
  </si>
  <si>
    <t>Sundaram Balanced Advantage Fund(G)</t>
  </si>
  <si>
    <t>Baroda BNP Paribas Low Duration Fund(G)</t>
  </si>
  <si>
    <t>Unifi Dynamic Asset Allocation Fund-Reg(G)</t>
  </si>
  <si>
    <t>Canara Rob Savings Fund-Reg(G)</t>
  </si>
  <si>
    <t>UTI Balanced Advantage Fund-Reg(G)</t>
  </si>
  <si>
    <t>DSP Low Duration Fund-Reg(G)</t>
  </si>
  <si>
    <t>UTI ULIP(G)</t>
  </si>
  <si>
    <t>HDFC Low Duration Fund(G)</t>
  </si>
  <si>
    <t>HSBC Low Duration Fund-Reg(G)</t>
  </si>
  <si>
    <t>CA Blended Index</t>
  </si>
  <si>
    <t>ICICI Pru Savings Fund(G)</t>
  </si>
  <si>
    <t>Invesco India Low Duration Fund(G)</t>
  </si>
  <si>
    <t>1M</t>
  </si>
  <si>
    <t>3M</t>
  </si>
  <si>
    <t>6M</t>
  </si>
  <si>
    <t>1 Yr</t>
  </si>
  <si>
    <t>3 Yr</t>
  </si>
  <si>
    <t>5 Yr</t>
  </si>
  <si>
    <t>10 Yr</t>
  </si>
  <si>
    <t>2025 YTD</t>
  </si>
  <si>
    <t>JM Low Duration Fund(G)</t>
  </si>
  <si>
    <t>CA MFM Large Cap</t>
  </si>
  <si>
    <t>Kotak Low Duration Fund(G)</t>
  </si>
  <si>
    <t>AccuraCap Alpha 10</t>
  </si>
  <si>
    <t>LIC MF Low Duration Fund(G)</t>
  </si>
  <si>
    <t>Mahindra Manulife Low Duration Fund-Reg(G)</t>
  </si>
  <si>
    <t>3P Fund 1</t>
  </si>
  <si>
    <t>Mirae Asset Low Duration Fund-Reg Savings Plan(G)</t>
  </si>
  <si>
    <t xml:space="preserve">Marcellus Consistent Compounders </t>
  </si>
  <si>
    <t>Nippon India Low Duration Fund(G)</t>
  </si>
  <si>
    <t>Sage One Large Cap</t>
  </si>
  <si>
    <t>SBI Magnum Low Duration Fund-Reg(G)</t>
  </si>
  <si>
    <t>ICICI Large Cap</t>
  </si>
  <si>
    <t>Sundaram Low Duration Fund(G)</t>
  </si>
  <si>
    <t>Ambit Coffee Can</t>
  </si>
  <si>
    <t>Tata Treasury Advantage Fund-Reg(G)</t>
  </si>
  <si>
    <t>Sensex</t>
  </si>
  <si>
    <t>UTI Low Duration Fund-Reg(G)</t>
  </si>
  <si>
    <t>Nifty 50</t>
  </si>
  <si>
    <t>BSE 100</t>
  </si>
  <si>
    <t>Returns greater than 1 year are annulised in nature</t>
  </si>
  <si>
    <t>Medium Duration</t>
  </si>
  <si>
    <t>Absolute &amp; CAGR Returns</t>
  </si>
  <si>
    <t>Calendar Year Returns</t>
  </si>
  <si>
    <t>Aditya Birla SL Medium Term Plan-Reg(G)</t>
  </si>
  <si>
    <t>Multi-Cap Funds</t>
  </si>
  <si>
    <t>Axis Strategic Bond Fund-Reg(G)</t>
  </si>
  <si>
    <t>CA MFM Multi-Cap</t>
  </si>
  <si>
    <t>Bandhan Bond Fund - Medium Term Plan-Reg(G)</t>
  </si>
  <si>
    <t>DSP Bond Fund-Reg(G)</t>
  </si>
  <si>
    <t>White Oak Pioneers PMS</t>
  </si>
  <si>
    <t>HDFC Medium Term Debt Fund(G)</t>
  </si>
  <si>
    <t>AccuraCap Alpha Gen AIF</t>
  </si>
  <si>
    <t>HSBC Medium Duration Fund-Reg(G)</t>
  </si>
  <si>
    <t>Renaissance India Next Fund II (AIF)</t>
  </si>
  <si>
    <t>ICICI Pru Medium Term Bond Fund(G)</t>
  </si>
  <si>
    <t>ENAM IDEA</t>
  </si>
  <si>
    <t>Invesco India Medium Duration Fund-Reg(G)</t>
  </si>
  <si>
    <t>Kotak Medium Term Fund(G)</t>
  </si>
  <si>
    <t>AAA India Equity AIF</t>
  </si>
  <si>
    <t>Nippon India Strategic Debt Fund(G)</t>
  </si>
  <si>
    <t>Alpha Gen PMS</t>
  </si>
  <si>
    <t>SBI Magnum Medium Duration Fund-Reg(G)</t>
  </si>
  <si>
    <t>Sundaram Medium Duration Fund(G)</t>
  </si>
  <si>
    <t>UTI Medium Duration Fund-Reg(G)</t>
  </si>
  <si>
    <t>CA Equity Multi-Manager Portfolio</t>
  </si>
  <si>
    <t>Alchemy
 High Growth</t>
  </si>
  <si>
    <t>Alchemy High Growth Select</t>
  </si>
  <si>
    <t>Motilal Oswal NTDOP</t>
  </si>
  <si>
    <t>Medium to Long Duration</t>
  </si>
  <si>
    <t>ASK India Select</t>
  </si>
  <si>
    <t>ASK Strategic</t>
  </si>
  <si>
    <t>Aditya Birla SL Income Fund(G)</t>
  </si>
  <si>
    <t>Karma Capital Wealth Builder</t>
  </si>
  <si>
    <t>Bandhan Bond Fund - Income Plan-Reg(G)</t>
  </si>
  <si>
    <t>Kotak SSV</t>
  </si>
  <si>
    <t>Canara Rob Income Fund-Reg(G)</t>
  </si>
  <si>
    <t>Franklin India Medium to Long Duration Fund-Reg(G)</t>
  </si>
  <si>
    <t>Invesco Dawn</t>
  </si>
  <si>
    <t>HDFC Income Fund(G)</t>
  </si>
  <si>
    <t>Invesco RISE</t>
  </si>
  <si>
    <t>HSBC Medium to Long Duration Fund Fund(G)</t>
  </si>
  <si>
    <t>ASK Life</t>
  </si>
  <si>
    <t>ICICI Pru Bond Fund(G)</t>
  </si>
  <si>
    <t>Motilal Value</t>
  </si>
  <si>
    <t>JM Medium to Long Duration Fund-Reg(G)</t>
  </si>
  <si>
    <t>Girik Multi Cap Fund</t>
  </si>
  <si>
    <t>Kotak Bond Fund-Reg(G)</t>
  </si>
  <si>
    <t>Valentis Multi Cap Fund</t>
  </si>
  <si>
    <t>LIC MF Medium to Long Duration Fund-Reg(G)</t>
  </si>
  <si>
    <t>BSE (500)</t>
  </si>
  <si>
    <t>Nippon India Income Fund(G)</t>
  </si>
  <si>
    <t>SBI Magnum Income Fund-Reg(G)</t>
  </si>
  <si>
    <t>UTI Medium to Long Duration Fund-Reg(G)</t>
  </si>
  <si>
    <t>Mid &amp; Small Cap Funds</t>
  </si>
  <si>
    <t>Accuracap Pico Power</t>
  </si>
  <si>
    <t>Money Market</t>
  </si>
  <si>
    <t>AccuraCap Dynamo</t>
  </si>
  <si>
    <t>Aditya Birla SL Money Manager Fund(G)</t>
  </si>
  <si>
    <t>Renaissance Mid Cap</t>
  </si>
  <si>
    <t>Axis Money Market Fund-Reg(G)</t>
  </si>
  <si>
    <t>Marcellus Little Champs</t>
  </si>
  <si>
    <t>Bajaj Finserv Money Market Fund-Reg(G)</t>
  </si>
  <si>
    <t>Bandhan Money Manager Fund-Reg(G)</t>
  </si>
  <si>
    <t>Kotak Mid &amp; Small Cap</t>
  </si>
  <si>
    <t>Bank of India Money Market Fund-Reg(G)</t>
  </si>
  <si>
    <t>Valentis Rising Stars</t>
  </si>
  <si>
    <t>Baroda BNP Paribas Money Market Fund-Reg(G)</t>
  </si>
  <si>
    <t>Sage One Core (Mid &amp; Small) PMS</t>
  </si>
  <si>
    <t>DSP Savings Fund-Reg(G)</t>
  </si>
  <si>
    <t>Vallum India Discovery Fund</t>
  </si>
  <si>
    <t>Edelweiss Money Market Fund-Reg(G)</t>
  </si>
  <si>
    <t>2point2 Long Term Value Fund</t>
  </si>
  <si>
    <t>Franklin India Money Market Fund(G)</t>
  </si>
  <si>
    <t>Ambit Good &amp; Clean Fund</t>
  </si>
  <si>
    <t>HDFC Money Market Fund-Reg(G)</t>
  </si>
  <si>
    <t>Sage One Small Cap</t>
  </si>
  <si>
    <t>HSBC Money Market Fund-Reg(G)</t>
  </si>
  <si>
    <t>Unifi BCAD</t>
  </si>
  <si>
    <t>ICICI Pru Money Market Fund(G)</t>
  </si>
  <si>
    <t>Unifi Rangoli Blend</t>
  </si>
  <si>
    <t>Invesco India Money Market Fund(G)</t>
  </si>
  <si>
    <t>BSE Mid Cap</t>
  </si>
  <si>
    <t>Kotak Money Market Fund(G)</t>
  </si>
  <si>
    <t>NSE Mid Cap 150</t>
  </si>
  <si>
    <t>LIC MF Money Market Fund-Reg(G)</t>
  </si>
  <si>
    <t>BSE Small Cap</t>
  </si>
  <si>
    <t>Mirae Asset Money Market Fund-Reg(G)</t>
  </si>
  <si>
    <t>NSE Small Cap 100</t>
  </si>
  <si>
    <t>Nippon India Money Market Fund(G)</t>
  </si>
  <si>
    <t>PGIM India Money Market Fund-Reg(G)</t>
  </si>
  <si>
    <t>SBI Savings Fund-Reg(G)</t>
  </si>
  <si>
    <t>Sundaram Money Market Fund-Reg(G)</t>
  </si>
  <si>
    <t>Tata Money Market Fund-Reg(G)</t>
  </si>
  <si>
    <t>TRUSTMF Money Market Fund-Reg(G)</t>
  </si>
  <si>
    <t>Union Money Market Fund-Reg(G)</t>
  </si>
  <si>
    <t>UTI Money Market Fund-Reg(G)</t>
  </si>
  <si>
    <t>Overnight Fund</t>
  </si>
  <si>
    <t>Aditya Birla SL Overnight Fund-Reg(G)</t>
  </si>
  <si>
    <t>Axis Overnight Fund-Reg(G)</t>
  </si>
  <si>
    <t>Bajaj Finserv Overnight Fund-Reg(G)</t>
  </si>
  <si>
    <t>Bandhan Overnight Fund-Reg(G)</t>
  </si>
  <si>
    <t>Bank of India Overnight Fund-Reg(G)</t>
  </si>
  <si>
    <t>Baroda BNP Paribas Overnight Fund-Reg(G)</t>
  </si>
  <si>
    <t>Canara Rob Overnight Fund-Reg(G)</t>
  </si>
  <si>
    <t>DSP Overnight Fund-Reg(G)</t>
  </si>
  <si>
    <t>Edelweiss Overnight Fund-Reg(G)</t>
  </si>
  <si>
    <t>Franklin India Overnight Fund(G)</t>
  </si>
  <si>
    <t>Groww Overnight Fund-Reg(G)</t>
  </si>
  <si>
    <t>HDFC Overnight Fund(G)</t>
  </si>
  <si>
    <t>Helios Overnight Fund-Reg(G)</t>
  </si>
  <si>
    <t>HSBC Overnight Fund-Reg(G)</t>
  </si>
  <si>
    <t>ICICI Pru Overnight Fund(G)</t>
  </si>
  <si>
    <t>Invesco India Overnight Fund-Reg(G)</t>
  </si>
  <si>
    <t>ITI Overnight Fund-Reg(G)</t>
  </si>
  <si>
    <t>JM Overnight Fund-Reg(G)</t>
  </si>
  <si>
    <t>Kotak Overnight Fund-Reg(G)</t>
  </si>
  <si>
    <t>LIC MF Overnight Fund-Reg(G)</t>
  </si>
  <si>
    <t>Mahindra Manulife Overnight Fund-Reg(G)</t>
  </si>
  <si>
    <t>Mirae Asset Overnight Fund-Reg(G)</t>
  </si>
  <si>
    <t>Nippon India Overnight Fund-Reg(G)</t>
  </si>
  <si>
    <t>NJ Overnight Fund-Reg(G)</t>
  </si>
  <si>
    <t>PGIM India Overnight Fund-Reg(G)</t>
  </si>
  <si>
    <t>Quant Overnight Fund-Reg(G)</t>
  </si>
  <si>
    <t>Samco Overnight Fund-Reg(G)</t>
  </si>
  <si>
    <t>SBI Overnight Fund-Reg(G)</t>
  </si>
  <si>
    <t>Shriram Overnight Fund-Reg(G)</t>
  </si>
  <si>
    <t>Sundaram Overnight Fund-Reg(G)</t>
  </si>
  <si>
    <t>Tata Overnight Fund-Reg(G)</t>
  </si>
  <si>
    <t>TRUSTMF Overnight Fund-Reg(G)</t>
  </si>
  <si>
    <t>Union Overnight Fund-Reg(G)</t>
  </si>
  <si>
    <t>UTI Overnight Fund-Reg(G)</t>
  </si>
  <si>
    <t>Short and Mid Term</t>
  </si>
  <si>
    <t>Aditya Birla SL CRISIL IBX 50:50 Gilt Plus SDL Apr 2028 Index Fund-Reg(G)</t>
  </si>
  <si>
    <t>Aditya Birla SL CRISIL IBX Gilt - April 2026 Index Fund-Reg(G)</t>
  </si>
  <si>
    <t>Aditya Birla SL CRISIL IBX Gilt Apr 2028 Index Fund-Reg(G)</t>
  </si>
  <si>
    <t>Aditya Birla SL CRISIL IBX Gilt Apr 2029 Index Fund-Reg(G)</t>
  </si>
  <si>
    <t>Aditya Birla SL CRISIL IBX Gilt April 2033 Index Fund-Reg(G)</t>
  </si>
  <si>
    <t>Aditya Birla SL CRISIL IBX Gilt June 2027 Index Fund-Reg(G)</t>
  </si>
  <si>
    <t>Aditya Birla SL CRISIL IBX SDL Jun 2032 Index Fund-Reg(G)</t>
  </si>
  <si>
    <t>Aditya Birla SL G-Sec Fund(G)</t>
  </si>
  <si>
    <t>Aditya Birla SL Nifty SDL Apr 2027 Index Fund-Reg(G)</t>
  </si>
  <si>
    <t>Aditya Birla SL Nifty SDL Sep 2025 Index Fund-Reg(G)</t>
  </si>
  <si>
    <t>Aditya Birla SL Nifty SDL Sep 2027 Index Fund-Reg(G)</t>
  </si>
  <si>
    <t>Axis CRISIL IBX 50:50 Gilt Plus SDL June 2028 Index Fund-Reg(G)</t>
  </si>
  <si>
    <t>Axis CRISIL IBX 50:50 Gilt Plus SDL Sep 2027 Index Fund-Reg(G)</t>
  </si>
  <si>
    <t>Axis CRISIL IBX SDL June 2034 Debt Index Fund-Reg(G)</t>
  </si>
  <si>
    <t>Axis CRISIL IBX SDL May 2027 Index Fund-Reg(G)</t>
  </si>
  <si>
    <t>Axis Gilt Fund-Reg(G)</t>
  </si>
  <si>
    <t>Axis Nifty SDL Sep 2026 Debt Index Fund-Reg(G)</t>
  </si>
  <si>
    <t>Bajaj Finserv Gilt Fund-Reg(G)</t>
  </si>
  <si>
    <t>Bandhan CRISIL IBX 90:10 SDL Plus Gilt - April 2032 Index Fund-Reg(G)</t>
  </si>
  <si>
    <t>Bandhan CRISIL IBX 90:10 SDL Plus Gilt - Nov 2026 Index Fund-Reg(G)</t>
  </si>
  <si>
    <t>Bandhan CRISIL IBX 90:10 SDL Plus Gilt - Sep 2027 Index Fund-Reg(G)</t>
  </si>
  <si>
    <t>Bandhan CRISIL IBX Gilt April 2026 Index Fund-Reg(G)</t>
  </si>
  <si>
    <t>Bandhan CRISIL IBX Gilt April 2028 Index Fund-Reg(G)</t>
  </si>
  <si>
    <t>Bandhan CRISIL IBX Gilt April 2032 Index Fund-Reg(G)</t>
  </si>
  <si>
    <t>Bandhan CRISIL IBX Gilt June 2027 Index Fund-Reg(G)</t>
  </si>
  <si>
    <t>Bandhan G-Sec-Invest-Reg(G)</t>
  </si>
  <si>
    <t>Baroda BNP Paribas Gilt Fund-Reg(G)</t>
  </si>
  <si>
    <t>Baroda BNP Paribas NIFTY SDL Dec 2026 Index Fund-Reg(G)</t>
  </si>
  <si>
    <t>Baroda BNP Paribas NIFTY SDL Dec 2028 Index Fund-Reg(G)</t>
  </si>
  <si>
    <t>Canara Rob Gilt Fund-Reg(G)</t>
  </si>
  <si>
    <t>DSP CRISIL SDL Plus G-Sec Apr 2033 50:50 Index Fund-Reg(G)</t>
  </si>
  <si>
    <t>DSP Gilt Fund-Reg(G)</t>
  </si>
  <si>
    <t>DSP Nifty SDL Plus G-Sec Jun 2028 30:70 Index Fund-Reg(G)</t>
  </si>
  <si>
    <t>DSP Nifty SDL Plus G-Sec Sep 2027 50:50 Index Fund-Reg(G)</t>
  </si>
  <si>
    <t>Edelweiss CRISIL IBX 50:50 Gilt Plus SDL June 2027 Index Fund-Reg(G)</t>
  </si>
  <si>
    <t>Edelweiss CRISIL IBX 50:50 Gilt Plus SDL Sep 2028 Index Fund-Reg(G)</t>
  </si>
  <si>
    <t>Edelweiss CRISIL IBX 50:50 Gilt Plus SDL Short Duration Index Fund-Reg(G)</t>
  </si>
  <si>
    <t>Edelweiss Government Securities Fund-Reg(G)</t>
  </si>
  <si>
    <t>Franklin India G-Sec Fund(G)</t>
  </si>
  <si>
    <t>HDFC Gilt Fund(G)</t>
  </si>
  <si>
    <t>HDFC NIFTY G-Sec Apr 2029 Index Fund-Reg(G)</t>
  </si>
  <si>
    <t>HDFC Nifty G-Sec Dec 2026 Index Fund-Reg(G)</t>
  </si>
  <si>
    <t>HDFC Nifty G-Sec Jul 2031 Index Fund-Reg(G)</t>
  </si>
  <si>
    <t>HDFC Nifty G-Sec Jun 2027 Index Fund-Reg(G)</t>
  </si>
  <si>
    <t>HDFC NIFTY G-Sec Jun 2036 Index Fund-Reg(G)</t>
  </si>
  <si>
    <t>HDFC Nifty G-Sec Sep 2032 Index Fund-Reg(G)</t>
  </si>
  <si>
    <t>HDFC Nifty SDL Oct 2026 Index Fund-Reg(G)</t>
  </si>
  <si>
    <t>HDFC NIFTY SDL Plus G-Sec Jun 2027 40:60 Index Fund-Reg(G)</t>
  </si>
  <si>
    <t>HSBC CRISIL IBX 50:50 Gilt Plus SDL Apr 2028 Index Fund-Reg(G)</t>
  </si>
  <si>
    <t>HSBC CRISIL IBX Gilt June 2027 Index Fund-Reg(G)</t>
  </si>
  <si>
    <t>HSBC Gilt Fund-Reg(G)</t>
  </si>
  <si>
    <t>ICICI Pru Gilt Fund(G)</t>
  </si>
  <si>
    <t>ICICI Pru Nifty G-Sec Dec 2030 Index Fund-Reg(G)</t>
  </si>
  <si>
    <t>ICICI Pru Nifty SDL Dec 2028 Index Fund-Reg(G)</t>
  </si>
  <si>
    <t>ICICI Pru Nifty SDL Sep 2026 Index Fund-Reg(G)</t>
  </si>
  <si>
    <t>ICICI Pru Nifty SDL Sep 2027 Index Fund-Reg(G)</t>
  </si>
  <si>
    <t>Invesco India Gilt Fund(G)</t>
  </si>
  <si>
    <t>Invesco India Nifty G-sec Jul 2027 Index Fund-Reg(G)</t>
  </si>
  <si>
    <t>Invesco India Nifty G-sec Sep 2032 Index Fund-Reg(G)</t>
  </si>
  <si>
    <t>Kotak Gilt Fund-Reg(G)</t>
  </si>
  <si>
    <t>Kotak Nifty G-Sec July 2033 Index Fund-Reg(G)</t>
  </si>
  <si>
    <t>Kotak Nifty SDL Jul 2026 Index Fund-Reg(G)</t>
  </si>
  <si>
    <t>Kotak Nifty SDL Jul 2033 Index Fund-Reg(G)</t>
  </si>
  <si>
    <t>LIC MF Gilt Fund-Reg(G)</t>
  </si>
  <si>
    <t>Mirae Asset CRISIL IBX Gilt Index - April 2033 Index Fund-Reg(G)</t>
  </si>
  <si>
    <t>Mirae Asset Nifty SDL Jun 2027 Index Fund-Reg(G)</t>
  </si>
  <si>
    <t>Mirae Asset Nifty SDL June 2028 Index Fund-Reg(G)</t>
  </si>
  <si>
    <t>Nippon India Gilt Securities Fund(G)</t>
  </si>
  <si>
    <t>Nippon India Nifty G-Sec Jun 2036 Maturity Index Fund-Reg(G)</t>
  </si>
  <si>
    <t>Nippon India Nifty G-Sec Oct 2028 Maturity Index Fund-Reg(G)</t>
  </si>
  <si>
    <t>Nippon India Nifty G-Sec Sep 2027 Maturity Index Fund-Reg(G)</t>
  </si>
  <si>
    <t>Nippon India Nifty SDL Plus G-Sec - Jun 2029 Maturity 70:30 Index Fund-Reg(G)</t>
  </si>
  <si>
    <t>Nippon India Nifty SDL Plus G-Sec-Jun 2028 Maturity 70:30 Index Fund-Reg(G)</t>
  </si>
  <si>
    <t>PGIM India CRISIL IBX Gilt Index - Apr 2028 Fund-Reg(G)</t>
  </si>
  <si>
    <t>PGIM India Gilt Fund(G)</t>
  </si>
  <si>
    <t>Quant Gilt Fund-Reg(G)</t>
  </si>
  <si>
    <t>SBI CRISIL IBX Gilt Index - Apr 2029 Fund-Reg(G)</t>
  </si>
  <si>
    <t>SBI CRISIL IBX Gilt Index - June 2036 Fund-Reg(G)</t>
  </si>
  <si>
    <t>SBI CRISIL IBX SDL Index - Sep 2027 Fund-Reg(G)</t>
  </si>
  <si>
    <t>SBI Magnum Gilt Fund-Reg(G)</t>
  </si>
  <si>
    <t>Tata CRISIL IBX Gilt Index - April 2026 Index Fund-Reg(G)</t>
  </si>
  <si>
    <t>Tata Gilt Securities Fund-Reg(G)</t>
  </si>
  <si>
    <t>Tata Nifty G-Sec Dec 2026 Index Fund-Reg(G)</t>
  </si>
  <si>
    <t>Tata Nifty G-Sec Dec 2029 Index Fund-Reg(G)</t>
  </si>
  <si>
    <t>Union Gilt Fund-Reg(G)</t>
  </si>
  <si>
    <t>UTI CRISIL SDL Maturity April 2033 Index Fund-Reg(G)</t>
  </si>
  <si>
    <t>UTI CRISIL SDL Maturity June 2027 Index Fund-Reg(G)</t>
  </si>
  <si>
    <t>UTI Gilt Fund-Reg(G)</t>
  </si>
  <si>
    <t>UTI Nifty SDL Plus AAA PSU Bond Apr 2026 75:25 Index Fund-Reg(G)</t>
  </si>
  <si>
    <t>UTI Nifty SDL Plus AAA PSU Bond Apr 2028 75:25 Index Fund-Reg(G)</t>
  </si>
  <si>
    <t>Short Duration</t>
  </si>
  <si>
    <t>Aditya Birla SL Short Term Fund(G)</t>
  </si>
  <si>
    <t>Axis Short Duration Fund-Reg(G)</t>
  </si>
  <si>
    <t>Bandhan Bond Fund - Short Term Plan-Reg(G)</t>
  </si>
  <si>
    <t>Bank of India Short Term Income Fund-Reg(G)</t>
  </si>
  <si>
    <t>Baroda BNP Paribas Short Duration Fund-Reg(G)</t>
  </si>
  <si>
    <t>Canara Rob Short Duration Fund-Reg(G)</t>
  </si>
  <si>
    <t>DSP Short Term Fund-Reg(G)</t>
  </si>
  <si>
    <t>Franklin India ST Income Plan(G)</t>
  </si>
  <si>
    <t>Groww Short Duration Fund-Reg(G)</t>
  </si>
  <si>
    <t>HDFC Short Term Debt Fund(G)</t>
  </si>
  <si>
    <t>HSBC Short Duration Fund-Reg(G)</t>
  </si>
  <si>
    <t>ICICI Pru Short Term Fund(G)</t>
  </si>
  <si>
    <t>Invesco India Short Duration Fund(G)</t>
  </si>
  <si>
    <t>JM Short Duration Fund-Reg(G)</t>
  </si>
  <si>
    <t>Kotak Bond Short Term Fund(G)</t>
  </si>
  <si>
    <t>LIC MF Short Duration Fund-Reg(G)</t>
  </si>
  <si>
    <t>Mahindra Manulife Short Duration Fund-Reg(G)</t>
  </si>
  <si>
    <t>Mirae Asset Short Duration Fund-Reg(G)</t>
  </si>
  <si>
    <t>Nippon India Short Term Fund(G)</t>
  </si>
  <si>
    <t>SBI Short Term Debt Fund-Reg(G)</t>
  </si>
  <si>
    <t>Sundaram Short Duration Fund(G)</t>
  </si>
  <si>
    <t>Tata ST Bond Fund-Reg(G)</t>
  </si>
  <si>
    <t>TRUSTMF Short Duration Fund-Reg(G)</t>
  </si>
  <si>
    <t>Union Short Duration Fund-Reg(G)</t>
  </si>
  <si>
    <t>UTI Short Duration Fund-Reg(G)</t>
  </si>
  <si>
    <t>Ultra Short Fund</t>
  </si>
  <si>
    <t>Aditya Birla SL Savings Fund-Reg(G)</t>
  </si>
  <si>
    <t>Axis Ultra Short Duration Fund-Reg(G)</t>
  </si>
  <si>
    <t>Bandhan Ultra Short Term Fund-Reg(G)</t>
  </si>
  <si>
    <t>Bank of India Ultra Short Duration Fund-Reg(G)</t>
  </si>
  <si>
    <t>Baroda BNP Paribas Ultra Short Duration Fund-Reg(G)</t>
  </si>
  <si>
    <t>Canara Rob Ultra Short Term Fund-Reg(G)</t>
  </si>
  <si>
    <t>DSP Ultra Short Fund-Reg(G)</t>
  </si>
  <si>
    <t>Franklin India Ultra Short Duration Fund-Reg(G)</t>
  </si>
  <si>
    <t>HDFC Ultra Short Term Fund-Reg(G)</t>
  </si>
  <si>
    <t>HSBC Ultra Short Duration Fund-Reg(G)</t>
  </si>
  <si>
    <t>ICICI Pru Ultra Short Term Fund Fund(G)</t>
  </si>
  <si>
    <t>Invesco India Ultra Short Duration Fund(G)</t>
  </si>
  <si>
    <t>ITI Ultra Short Duration Fund-Reg(G)</t>
  </si>
  <si>
    <t>Kotak Savings Fund(G)</t>
  </si>
  <si>
    <t>LIC MF Ultra Short Duration Fund-Reg(G)</t>
  </si>
  <si>
    <t>Mahindra Manulife Ultra Short Duration Fund-Reg(G)</t>
  </si>
  <si>
    <t>Mirae Asset Ultra Short Duration Fund-Reg(G)</t>
  </si>
  <si>
    <t>Motilal Oswal Ultra Short Term Fund-Reg(G)</t>
  </si>
  <si>
    <t>Nippon India Ultra Short Duration Fund(G)</t>
  </si>
  <si>
    <t>PGIM India Ultra Short Duration Fund(G)</t>
  </si>
  <si>
    <t>SBI Magnum Ultra Short Duration Fund-Reg(G)</t>
  </si>
  <si>
    <t>Sundaram Ultra Short Duration Fund(G)</t>
  </si>
  <si>
    <t>Tata Ultra Short Term Fund-Reg(G)</t>
  </si>
  <si>
    <t>UTI Ultra Short Duration Fund-Reg(G)</t>
  </si>
  <si>
    <t>WOC Ultra Short Duration Fund-Reg(G)</t>
  </si>
  <si>
    <t xml:space="preserve">Equity Funds </t>
  </si>
  <si>
    <t>Others/Cash*</t>
  </si>
  <si>
    <t>P/E</t>
  </si>
  <si>
    <t>P/B</t>
  </si>
  <si>
    <t xml:space="preserve">*Others/Cash includes Cash, Debt and International exposure where applicable </t>
  </si>
  <si>
    <t>To calculate the backtested returns and portfolio weights the allocation of selected schemes is rebased to 100%</t>
  </si>
  <si>
    <t>Portfolio Attribution</t>
  </si>
  <si>
    <t xml:space="preserve">Equity Stock Exposure </t>
  </si>
  <si>
    <t xml:space="preserve">Sector Exposure </t>
  </si>
  <si>
    <t>Percentage</t>
  </si>
  <si>
    <t>Top 5</t>
  </si>
  <si>
    <t>Sector Concentration</t>
  </si>
  <si>
    <t>Top 11</t>
  </si>
  <si>
    <t>1 M</t>
  </si>
  <si>
    <t>3 M</t>
  </si>
  <si>
    <t>6 M</t>
  </si>
  <si>
    <t>1 Y</t>
  </si>
  <si>
    <t>3 Y</t>
  </si>
  <si>
    <t>5 Y</t>
  </si>
  <si>
    <t>10 Y</t>
  </si>
  <si>
    <t>Portfolio Return</t>
  </si>
  <si>
    <t xml:space="preserve">Debt </t>
  </si>
  <si>
    <t>C:\Users\mriganksahi\Desktop\Dynamic Client PPT.pptx</t>
  </si>
  <si>
    <t>MP</t>
  </si>
  <si>
    <t>Large Mid Cap</t>
  </si>
  <si>
    <t>Moderately Conservative</t>
  </si>
  <si>
    <t>Moderate</t>
  </si>
  <si>
    <t>Moderately Aggressive</t>
  </si>
  <si>
    <t>Aggressive</t>
  </si>
  <si>
    <t xml:space="preserve">Hybrid Stock Exposure </t>
  </si>
  <si>
    <t>Hybrid Sector Exposure</t>
  </si>
  <si>
    <t>Model Portfolios</t>
  </si>
  <si>
    <t>Alternative</t>
  </si>
  <si>
    <t xml:space="preserve">Fund Selector </t>
  </si>
  <si>
    <t>Name</t>
  </si>
  <si>
    <t>Table</t>
  </si>
  <si>
    <t>Save</t>
  </si>
  <si>
    <t>Mcap</t>
  </si>
  <si>
    <t>ISIN</t>
  </si>
  <si>
    <t>Scheme Name</t>
  </si>
  <si>
    <t>Company Name</t>
  </si>
  <si>
    <t>Holding (%)</t>
  </si>
  <si>
    <t>Portfolio Weight Stock</t>
  </si>
  <si>
    <t>Sector</t>
  </si>
  <si>
    <t>Portfolio Weight Sector</t>
  </si>
  <si>
    <t>Unique ISIN</t>
  </si>
  <si>
    <t>ISIN Unique</t>
  </si>
  <si>
    <t>Unique Stock</t>
  </si>
  <si>
    <t>Unique Sector</t>
  </si>
  <si>
    <t>ROE</t>
  </si>
  <si>
    <t>Net Income</t>
  </si>
  <si>
    <t>Reported EPS</t>
  </si>
  <si>
    <t>MCAP</t>
  </si>
  <si>
    <t>Rebaced Allocation</t>
  </si>
  <si>
    <t>INE470A01017</t>
  </si>
  <si>
    <t>INE466L01038</t>
  </si>
  <si>
    <t>3M India Ltd</t>
  </si>
  <si>
    <t>Industrials</t>
  </si>
  <si>
    <t>INE117A01022</t>
  </si>
  <si>
    <t>INE769A01020</t>
  </si>
  <si>
    <t>ABB India Ltd</t>
  </si>
  <si>
    <t>INE358A01014</t>
  </si>
  <si>
    <t>Abbott India Ltd</t>
  </si>
  <si>
    <t>Health Care</t>
  </si>
  <si>
    <t>INE055A01016</t>
  </si>
  <si>
    <t>INE674K01013</t>
  </si>
  <si>
    <t>Aditya Birla Real Estate Ltd</t>
  </si>
  <si>
    <t>Materials</t>
  </si>
  <si>
    <t>#N/A N/A</t>
  </si>
  <si>
    <t>INE031B01049</t>
  </si>
  <si>
    <t>INE0CZ201020</t>
  </si>
  <si>
    <t>Ajanta Pharma Ltd</t>
  </si>
  <si>
    <t>INE732I01013</t>
  </si>
  <si>
    <t>INE437A01024</t>
  </si>
  <si>
    <t>Angel One Ltd</t>
  </si>
  <si>
    <t>Financials</t>
  </si>
  <si>
    <t>INE702C01027</t>
  </si>
  <si>
    <t>INE852O01025</t>
  </si>
  <si>
    <t>APL Apollo Tubes Ltd</t>
  </si>
  <si>
    <t>INE955V01021</t>
  </si>
  <si>
    <t>INE949L01017</t>
  </si>
  <si>
    <t>Arvind Fashions Ltd</t>
  </si>
  <si>
    <t>Consumer Discretionary</t>
  </si>
  <si>
    <t>INE917I01010</t>
  </si>
  <si>
    <t>INE192R01011</t>
  </si>
  <si>
    <t>Bajaj Auto Ltd</t>
  </si>
  <si>
    <t>INE296A01032</t>
  </si>
  <si>
    <t>INE238A01034</t>
  </si>
  <si>
    <t>Bajaj Finance Ltd</t>
  </si>
  <si>
    <t>INE176A01028</t>
  </si>
  <si>
    <t>Bata India Ltd</t>
  </si>
  <si>
    <t>INE463A01038</t>
  </si>
  <si>
    <t>INE918I01026</t>
  </si>
  <si>
    <t>Berger Paints India Ltd</t>
  </si>
  <si>
    <t>INE263A01024</t>
  </si>
  <si>
    <t>Bharat Electronics Ltd</t>
  </si>
  <si>
    <t>INE465A01025</t>
  </si>
  <si>
    <t>INE029A01011</t>
  </si>
  <si>
    <t>Bharat Forge Ltd</t>
  </si>
  <si>
    <t>INE397D01024</t>
  </si>
  <si>
    <t>Bharti Airtel Ltd</t>
  </si>
  <si>
    <t>Communication Services</t>
  </si>
  <si>
    <t>INE343G01021</t>
  </si>
  <si>
    <t>INE376G01013</t>
  </si>
  <si>
    <t>Bharti Hexacom Ltd</t>
  </si>
  <si>
    <t>INE791I01019</t>
  </si>
  <si>
    <t>Biocon Ltd</t>
  </si>
  <si>
    <t>INE233B01017</t>
  </si>
  <si>
    <t>INE216A01030</t>
  </si>
  <si>
    <t>Blue Dart Express Ltd</t>
  </si>
  <si>
    <t>INE118H01025</t>
  </si>
  <si>
    <t>INE0V7W01012</t>
  </si>
  <si>
    <t>BSE Ltd</t>
  </si>
  <si>
    <t>INE120A01034</t>
  </si>
  <si>
    <t>INE067A01029</t>
  </si>
  <si>
    <t>Carborundum Universal Ltd</t>
  </si>
  <si>
    <t>INE0LMW01024</t>
  </si>
  <si>
    <t>INE149A01033</t>
  </si>
  <si>
    <t>Cello World Ltd</t>
  </si>
  <si>
    <t>INE736A01011</t>
  </si>
  <si>
    <t>INE121A01024</t>
  </si>
  <si>
    <t>Central Depository Services In</t>
  </si>
  <si>
    <t>INE059A01026</t>
  </si>
  <si>
    <t>CG Power &amp; Industrial Solution</t>
  </si>
  <si>
    <t>INE522F01014</t>
  </si>
  <si>
    <t>Cholamandalam Investment and F</t>
  </si>
  <si>
    <t>INE591G01025</t>
  </si>
  <si>
    <t>Coforge Ltd</t>
  </si>
  <si>
    <t>Information Technology</t>
  </si>
  <si>
    <t>INE596I01012</t>
  </si>
  <si>
    <t>INE169A01031</t>
  </si>
  <si>
    <t>Computer Age Management Servic</t>
  </si>
  <si>
    <t>INE111A01025</t>
  </si>
  <si>
    <t>INE00LO01017</t>
  </si>
  <si>
    <t>Container Corp Of India Ltd</t>
  </si>
  <si>
    <t>INE741K01010</t>
  </si>
  <si>
    <t>INE935N01020</t>
  </si>
  <si>
    <t>CreditAccess Grameen Ltd</t>
  </si>
  <si>
    <t>INE299U01018</t>
  </si>
  <si>
    <t>INE089A01031</t>
  </si>
  <si>
    <t>Crompton Greaves Consumer Elec</t>
  </si>
  <si>
    <t>INE298A01020</t>
  </si>
  <si>
    <t>INE236E01022</t>
  </si>
  <si>
    <t>Cummins India Ltd</t>
  </si>
  <si>
    <t>INE288B01029</t>
  </si>
  <si>
    <t>INE758T01015</t>
  </si>
  <si>
    <t>Deepak Nitrite Ltd</t>
  </si>
  <si>
    <t>INE872J01023</t>
  </si>
  <si>
    <t>INE061F01013</t>
  </si>
  <si>
    <t>Devyani International Ltd</t>
  </si>
  <si>
    <t>INE129A01019</t>
  </si>
  <si>
    <t>Dixon Technologies India Ltd</t>
  </si>
  <si>
    <t>INE321T01012</t>
  </si>
  <si>
    <t>INE200A01026</t>
  </si>
  <si>
    <t>Doms Industries Ltd</t>
  </si>
  <si>
    <t>INE600L01024</t>
  </si>
  <si>
    <t>INE159A01016</t>
  </si>
  <si>
    <t>Dr Lal PathLabs Ltd</t>
  </si>
  <si>
    <t>INE230A01023</t>
  </si>
  <si>
    <t>INE935A01035</t>
  </si>
  <si>
    <t>EIH Ltd</t>
  </si>
  <si>
    <t>INE101D01020</t>
  </si>
  <si>
    <t>Eternal Ltd</t>
  </si>
  <si>
    <t>INE860A01027</t>
  </si>
  <si>
    <t>GE Vernova T&amp;D India Ltd</t>
  </si>
  <si>
    <t>INE474Q01031</t>
  </si>
  <si>
    <t>INE756I01012</t>
  </si>
  <si>
    <t>Global Health Ltd/India</t>
  </si>
  <si>
    <t>INE040A01034</t>
  </si>
  <si>
    <t>HDB Financial Services Ltd</t>
  </si>
  <si>
    <t>INE127D01025</t>
  </si>
  <si>
    <t>INE795G01014</t>
  </si>
  <si>
    <t>HDFC Asset Management Co Ltd</t>
  </si>
  <si>
    <t>INE158A01026</t>
  </si>
  <si>
    <t>HDFC Bank Ltd</t>
  </si>
  <si>
    <t>INE038A01020</t>
  </si>
  <si>
    <t>Hero MotoCorp Ltd</t>
  </si>
  <si>
    <t>INE267A01025</t>
  </si>
  <si>
    <t>INE030A01027</t>
  </si>
  <si>
    <t>Hindustan Zinc Ltd</t>
  </si>
  <si>
    <t>INE090A01021</t>
  </si>
  <si>
    <t>ICICI Bank Ltd</t>
  </si>
  <si>
    <t>INE562A01011</t>
  </si>
  <si>
    <t>INE031A01017</t>
  </si>
  <si>
    <t>Indian Bank</t>
  </si>
  <si>
    <t>INE379A01028</t>
  </si>
  <si>
    <t>ITC Hotels Ltd</t>
  </si>
  <si>
    <t>INE823G01014</t>
  </si>
  <si>
    <t>JK Cement Ltd</t>
  </si>
  <si>
    <t>INE930H01031</t>
  </si>
  <si>
    <t>INE022Q01020</t>
  </si>
  <si>
    <t>KPR Mill Ltd</t>
  </si>
  <si>
    <t>INE217B01036</t>
  </si>
  <si>
    <t>INE06ST01018</t>
  </si>
  <si>
    <t>Kajaria Ceramics Ltd</t>
  </si>
  <si>
    <t>INE918Z01012</t>
  </si>
  <si>
    <t>INE121J01017</t>
  </si>
  <si>
    <t>Kaynes Technology India Ltd</t>
  </si>
  <si>
    <t>INE634I01029</t>
  </si>
  <si>
    <t>INE009A01021</t>
  </si>
  <si>
    <t>KNR Constructions Ltd</t>
  </si>
  <si>
    <t>INE04I401011</t>
  </si>
  <si>
    <t>INE646L01027</t>
  </si>
  <si>
    <t>KPIT Technologies Ltd</t>
  </si>
  <si>
    <t>INE473A01011</t>
  </si>
  <si>
    <t>INE154A01025</t>
  </si>
  <si>
    <t>Linde India Ltd</t>
  </si>
  <si>
    <t>INE214T01019</t>
  </si>
  <si>
    <t>INE121E01018</t>
  </si>
  <si>
    <t>LTIMindtree Ltd</t>
  </si>
  <si>
    <t>INE101A01026</t>
  </si>
  <si>
    <t>INE980O01024</t>
  </si>
  <si>
    <t>Mahindra &amp; Mahindra Ltd</t>
  </si>
  <si>
    <t>INE634S01028</t>
  </si>
  <si>
    <t>Mankind Pharma Ltd</t>
  </si>
  <si>
    <t>INE027H01010</t>
  </si>
  <si>
    <t>INE237A01028</t>
  </si>
  <si>
    <t>Max Healthcare Institute Ltd</t>
  </si>
  <si>
    <t>INE356A01018</t>
  </si>
  <si>
    <t>INE018A01030</t>
  </si>
  <si>
    <t>Mphasis Ltd</t>
  </si>
  <si>
    <t>INE495P01012</t>
  </si>
  <si>
    <t>INE326A01037</t>
  </si>
  <si>
    <t>Mrs Bectors Food Specialities</t>
  </si>
  <si>
    <t>Consumer Staples</t>
  </si>
  <si>
    <t>INE745G01035</t>
  </si>
  <si>
    <t>INE774D01024</t>
  </si>
  <si>
    <t>Multi Commodity Exchange of In</t>
  </si>
  <si>
    <t>INE139A01034</t>
  </si>
  <si>
    <t>National Aluminium Co Ltd</t>
  </si>
  <si>
    <t>INE048G01026</t>
  </si>
  <si>
    <t>INE196A01026</t>
  </si>
  <si>
    <t>Navin Fluorine International L</t>
  </si>
  <si>
    <t>INE239A01024</t>
  </si>
  <si>
    <t>INE585B01010</t>
  </si>
  <si>
    <t>Nestle India Ltd</t>
  </si>
  <si>
    <t>INE733E01010</t>
  </si>
  <si>
    <t>NTPC Ltd</t>
  </si>
  <si>
    <t>Utilities</t>
  </si>
  <si>
    <t>INE093I01010</t>
  </si>
  <si>
    <t>INE842C01021</t>
  </si>
  <si>
    <t>Oberoi Realty Ltd</t>
  </si>
  <si>
    <t>Real Estate</t>
  </si>
  <si>
    <t>INE274J01014</t>
  </si>
  <si>
    <t>Oil India Ltd</t>
  </si>
  <si>
    <t>Energy</t>
  </si>
  <si>
    <t>INE417T01026</t>
  </si>
  <si>
    <t>INE414G01012</t>
  </si>
  <si>
    <t>PB Fintech Ltd</t>
  </si>
  <si>
    <t>INE262H01021</t>
  </si>
  <si>
    <t>Persistent Systems Ltd</t>
  </si>
  <si>
    <t>INE603J01030</t>
  </si>
  <si>
    <t>INE761H01022</t>
  </si>
  <si>
    <t>PI Industries Ltd</t>
  </si>
  <si>
    <t>INE318A01026</t>
  </si>
  <si>
    <t>Pidilite Industries Ltd</t>
  </si>
  <si>
    <t>INE074A01025</t>
  </si>
  <si>
    <t>Praj Industries Ltd</t>
  </si>
  <si>
    <t>INE0BS701011</t>
  </si>
  <si>
    <t>INE457L01029</t>
  </si>
  <si>
    <t>Premier Energies Ltd</t>
  </si>
  <si>
    <t>INE944F01028</t>
  </si>
  <si>
    <t>Radico Khaitan Ltd</t>
  </si>
  <si>
    <t>INE775A01035</t>
  </si>
  <si>
    <t>INE134E01011</t>
  </si>
  <si>
    <t>Samvardhana Motherson Internat</t>
  </si>
  <si>
    <t>INE513A01022</t>
  </si>
  <si>
    <t>INE752E01010</t>
  </si>
  <si>
    <t>Schaeffler India Ltd</t>
  </si>
  <si>
    <t>INE070A01015</t>
  </si>
  <si>
    <t>Shree Cement Ltd</t>
  </si>
  <si>
    <t>INE1NPP01017</t>
  </si>
  <si>
    <t>INE160A01022</t>
  </si>
  <si>
    <t>Siemens Energy India Ltd</t>
  </si>
  <si>
    <t>INE003A01024</t>
  </si>
  <si>
    <t>INE020B01018</t>
  </si>
  <si>
    <t>Siemens Ltd</t>
  </si>
  <si>
    <t>INE343H01029</t>
  </si>
  <si>
    <t>INE002A01018</t>
  </si>
  <si>
    <t>Solar Industries India Ltd</t>
  </si>
  <si>
    <t>INE073K01018</t>
  </si>
  <si>
    <t>INE0W2G01015</t>
  </si>
  <si>
    <t>Sona Blw Precision Forgings Lt</t>
  </si>
  <si>
    <t>INE647A01010</t>
  </si>
  <si>
    <t>SRF Ltd</t>
  </si>
  <si>
    <t>INE062A01020</t>
  </si>
  <si>
    <t>INE002L01015</t>
  </si>
  <si>
    <t>State Bank of India</t>
  </si>
  <si>
    <t>INE044A01036</t>
  </si>
  <si>
    <t>Sun Pharmaceutical Industries</t>
  </si>
  <si>
    <t>INE040H01021</t>
  </si>
  <si>
    <t>Suzlon Energy Ltd</t>
  </si>
  <si>
    <t>INE00H001014</t>
  </si>
  <si>
    <t>Swiggy Ltd</t>
  </si>
  <si>
    <t>INE398R01022</t>
  </si>
  <si>
    <t>INE467B01029</t>
  </si>
  <si>
    <t>Syngene International Ltd</t>
  </si>
  <si>
    <t>INE092A01019</t>
  </si>
  <si>
    <t>INE155A01022</t>
  </si>
  <si>
    <t>Tata Chemicals Ltd</t>
  </si>
  <si>
    <t>INE081A01020</t>
  </si>
  <si>
    <t>Tata Consultancy Services Ltd</t>
  </si>
  <si>
    <t>INE192A01025</t>
  </si>
  <si>
    <t>INE669C01036</t>
  </si>
  <si>
    <t>Tata Consumer Products Ltd</t>
  </si>
  <si>
    <t>INE171A01029</t>
  </si>
  <si>
    <t>Tata Motors Ltd</t>
  </si>
  <si>
    <t>INE245A01021</t>
  </si>
  <si>
    <t>INE053A01029</t>
  </si>
  <si>
    <t>Tata Power Co Ltd/The</t>
  </si>
  <si>
    <t>INE586V01016</t>
  </si>
  <si>
    <t>INE849A01020</t>
  </si>
  <si>
    <t>TCI Express Ltd</t>
  </si>
  <si>
    <t>INE494B01023</t>
  </si>
  <si>
    <t>Tech Mahindra Ltd</t>
  </si>
  <si>
    <t>INE481G01011</t>
  </si>
  <si>
    <t>Federal Bank Ltd</t>
  </si>
  <si>
    <t>INE692A01016</t>
  </si>
  <si>
    <t>Indian Hotels Co Ltd/The</t>
  </si>
  <si>
    <t>INE152A01029</t>
  </si>
  <si>
    <t>INE854D01024</t>
  </si>
  <si>
    <t>Thermax Ltd</t>
  </si>
  <si>
    <t>INE716B01029</t>
  </si>
  <si>
    <t>INE405E01023</t>
  </si>
  <si>
    <t>Tips Music Ltd</t>
  </si>
  <si>
    <t>INE280A01028</t>
  </si>
  <si>
    <t>INE200M01039</t>
  </si>
  <si>
    <t>Titan Co Ltd</t>
  </si>
  <si>
    <t>INE813H01021</t>
  </si>
  <si>
    <t>INE01EA01019</t>
  </si>
  <si>
    <t>Torrent Power Ltd</t>
  </si>
  <si>
    <t>INE010B01027</t>
  </si>
  <si>
    <t>Trent Ltd</t>
  </si>
  <si>
    <t>TVS Motor Co Ltd</t>
  </si>
  <si>
    <t>INE686F01025</t>
  </si>
  <si>
    <t>United Breweries Ltd</t>
  </si>
  <si>
    <t>INE012A01025</t>
  </si>
  <si>
    <t>UNO Minda Ltd</t>
  </si>
  <si>
    <t>INE742F01042</t>
  </si>
  <si>
    <t>Varun Beverages Ltd</t>
  </si>
  <si>
    <t>INE410B01037</t>
  </si>
  <si>
    <t>INE079A01024</t>
  </si>
  <si>
    <t>Vinati Organics Ltd</t>
  </si>
  <si>
    <t>Vishal Mega Mart Ltd</t>
  </si>
  <si>
    <t>INE377N01017</t>
  </si>
  <si>
    <t>INE021A01026</t>
  </si>
  <si>
    <t>WAAREE Energies Ltd</t>
  </si>
  <si>
    <t>INE256A01028</t>
  </si>
  <si>
    <t>INE100A01010</t>
  </si>
  <si>
    <t>Zee Entertainment Enterprises</t>
  </si>
  <si>
    <t>INE342J01019</t>
  </si>
  <si>
    <t>ZF Commercial Vehicle Control</t>
  </si>
  <si>
    <t>Avenue Supermarts Ltd</t>
  </si>
  <si>
    <t>INE02IJ01035</t>
  </si>
  <si>
    <t>Axis Bank Ltd</t>
  </si>
  <si>
    <t>Cipla Ltd/India</t>
  </si>
  <si>
    <t>INE361B01024</t>
  </si>
  <si>
    <t>Divi's Laboratories Ltd</t>
  </si>
  <si>
    <t>HCL Technologies Ltd</t>
  </si>
  <si>
    <t>Hindalco Industries Ltd</t>
  </si>
  <si>
    <t>Hindustan Unilever Ltd</t>
  </si>
  <si>
    <t>INE765G01017</t>
  </si>
  <si>
    <t>ICICI Lombard General Insuranc</t>
  </si>
  <si>
    <t>INE663F01032</t>
  </si>
  <si>
    <t>Info Edge India Ltd</t>
  </si>
  <si>
    <t>INE925R01014</t>
  </si>
  <si>
    <t>Infosys Ltd</t>
  </si>
  <si>
    <t>InterGlobe Aviation Ltd</t>
  </si>
  <si>
    <t>INE259A01022</t>
  </si>
  <si>
    <t>ITC Ltd</t>
  </si>
  <si>
    <t>Kotak Mahindra Bank Ltd</t>
  </si>
  <si>
    <t>Larsen &amp; Toubro Ltd</t>
  </si>
  <si>
    <t>INE066A01021</t>
  </si>
  <si>
    <t>Maruti Suzuki India Ltd</t>
  </si>
  <si>
    <t>INE0ONG01011</t>
  </si>
  <si>
    <t>NTPC Green Energy Ltd</t>
  </si>
  <si>
    <t>INE388Y01029</t>
  </si>
  <si>
    <t>Page Industries Ltd</t>
  </si>
  <si>
    <t>INE047A01021</t>
  </si>
  <si>
    <t>Power Finance Corp Ltd</t>
  </si>
  <si>
    <t>INE176B01034</t>
  </si>
  <si>
    <t>Reliance Industries Ltd</t>
  </si>
  <si>
    <t>INE123W01016</t>
  </si>
  <si>
    <t>SBI Life Insurance Co Ltd</t>
  </si>
  <si>
    <t>Tata Steel Ltd</t>
  </si>
  <si>
    <t>INE685A01028</t>
  </si>
  <si>
    <t>Torrent Pharmaceuticals Ltd</t>
  </si>
  <si>
    <t>UltraTech Cement Ltd</t>
  </si>
  <si>
    <t>United Spirits Ltd</t>
  </si>
  <si>
    <t>INE094A01015</t>
  </si>
  <si>
    <t>ACC Ltd</t>
  </si>
  <si>
    <t>INE212H01026</t>
  </si>
  <si>
    <t>AIA Engineering Ltd</t>
  </si>
  <si>
    <t>INE540L01014</t>
  </si>
  <si>
    <t>Alkem Laboratories Ltd</t>
  </si>
  <si>
    <t>Asian Paints Ltd</t>
  </si>
  <si>
    <t>INE726G01019</t>
  </si>
  <si>
    <t>INE699H01024</t>
  </si>
  <si>
    <t>AWL Agri Business Ltd</t>
  </si>
  <si>
    <t>INE095A01012</t>
  </si>
  <si>
    <t>Bajaj Finserv Ltd</t>
  </si>
  <si>
    <t>INE787D01026</t>
  </si>
  <si>
    <t>Balkrishna Industries Ltd</t>
  </si>
  <si>
    <t>INE536H01010</t>
  </si>
  <si>
    <t>CIE Automotive India Ltd</t>
  </si>
  <si>
    <t>INE016A01026</t>
  </si>
  <si>
    <t>Dabur India Ltd</t>
  </si>
  <si>
    <t>INE821I01022</t>
  </si>
  <si>
    <t>INE753U01022</t>
  </si>
  <si>
    <t>Divgi Torqtransfer Systems Ltd</t>
  </si>
  <si>
    <t>Dr Reddy's Laboratories Ltd</t>
  </si>
  <si>
    <t>INE220B01022</t>
  </si>
  <si>
    <t>Eicher Motors Ltd</t>
  </si>
  <si>
    <t>FSN E-Commerce Ventures Ltd</t>
  </si>
  <si>
    <t>INE068V01023</t>
  </si>
  <si>
    <t>Gland Pharma Ltd</t>
  </si>
  <si>
    <t>INE115A01026</t>
  </si>
  <si>
    <t>INE844O01030</t>
  </si>
  <si>
    <t>Gujarat Gas Ltd</t>
  </si>
  <si>
    <t>INE113A01013</t>
  </si>
  <si>
    <t>Gujarat Narmada Valley Fertili</t>
  </si>
  <si>
    <t>HDFC Life Insurance Co Ltd</t>
  </si>
  <si>
    <t>Hindustan Petroleum Corp Ltd</t>
  </si>
  <si>
    <t>INE671A01010</t>
  </si>
  <si>
    <t>Honeywell Automation India Ltd</t>
  </si>
  <si>
    <t>INE180A01020</t>
  </si>
  <si>
    <t>ICICI Prudential Life Insuranc</t>
  </si>
  <si>
    <t>INE0FS801015</t>
  </si>
  <si>
    <t>INE933S01016</t>
  </si>
  <si>
    <t>IndiaMart InterMesh Ltd</t>
  </si>
  <si>
    <t>INE335Y01020</t>
  </si>
  <si>
    <t>Indian Railway Catering &amp; Tour</t>
  </si>
  <si>
    <t>IndusInd Bank Ltd</t>
  </si>
  <si>
    <t>INE0Q9301021</t>
  </si>
  <si>
    <t>International Gemmological Ins</t>
  </si>
  <si>
    <t>INE213A01029</t>
  </si>
  <si>
    <t>Kalpataru Projects Internation</t>
  </si>
  <si>
    <t>INE999A01023</t>
  </si>
  <si>
    <t>KSB Ltd</t>
  </si>
  <si>
    <t>LIC Housing Finance Ltd</t>
  </si>
  <si>
    <t>INE455K01017</t>
  </si>
  <si>
    <t>Mahindra &amp; Mahindra Financial</t>
  </si>
  <si>
    <t>Motherson Sumi Wiring India Lt</t>
  </si>
  <si>
    <t>INE883A01011</t>
  </si>
  <si>
    <t>MRF Ltd</t>
  </si>
  <si>
    <t>INE868B01028</t>
  </si>
  <si>
    <t>NCC Ltd/India</t>
  </si>
  <si>
    <t>INE584A01023</t>
  </si>
  <si>
    <t>NMDC Ltd</t>
  </si>
  <si>
    <t>INE743M01012</t>
  </si>
  <si>
    <t>INE118D01016</t>
  </si>
  <si>
    <t>Nuvoco Vistas Corp Ltd</t>
  </si>
  <si>
    <t>INE777K01022</t>
  </si>
  <si>
    <t>Oil &amp; Natural Gas Corp Ltd</t>
  </si>
  <si>
    <t>INE142Z01019</t>
  </si>
  <si>
    <t>Orient Electric Ltd</t>
  </si>
  <si>
    <t>INE726V01018</t>
  </si>
  <si>
    <t>Pricol Ltd</t>
  </si>
  <si>
    <t>INE179A01014</t>
  </si>
  <si>
    <t>Procter &amp; Gamble Hygiene &amp; Hea</t>
  </si>
  <si>
    <t>INE855B01025</t>
  </si>
  <si>
    <t>Rain Industries Ltd</t>
  </si>
  <si>
    <t>INE0CLI01024</t>
  </si>
  <si>
    <t>Rategain Travel Technologies L</t>
  </si>
  <si>
    <t>INE703B01027</t>
  </si>
  <si>
    <t>Ratnamani Metals &amp; Tubes Ltd</t>
  </si>
  <si>
    <t>INE018E01016</t>
  </si>
  <si>
    <t>SBI Cards &amp; Payment Services L</t>
  </si>
  <si>
    <t>INE597I01028</t>
  </si>
  <si>
    <t>Sharda Motor Industries Ltd</t>
  </si>
  <si>
    <t>INE640A01023</t>
  </si>
  <si>
    <t>SKF India Ltd</t>
  </si>
  <si>
    <t>INE575P01011</t>
  </si>
  <si>
    <t>Star Health &amp; Allied Insurance</t>
  </si>
  <si>
    <t>INE424H01027</t>
  </si>
  <si>
    <t>Sun TV Network Ltd</t>
  </si>
  <si>
    <t>INE211B01039</t>
  </si>
  <si>
    <t>INE399C01030</t>
  </si>
  <si>
    <t>Suprajit Engineering Ltd</t>
  </si>
  <si>
    <t>INE151A01013</t>
  </si>
  <si>
    <t>Tata Communications Ltd</t>
  </si>
  <si>
    <t>INE103V01028</t>
  </si>
  <si>
    <t>Phoenix Mills Ltd/The</t>
  </si>
  <si>
    <t>INE974X01010</t>
  </si>
  <si>
    <t>Tube Investments of India Ltd</t>
  </si>
  <si>
    <t>INE628A01036</t>
  </si>
  <si>
    <t>UPL Ltd</t>
  </si>
  <si>
    <t>INE951I01027</t>
  </si>
  <si>
    <t>V-Guard Industries Ltd</t>
  </si>
  <si>
    <t>INE205A01025</t>
  </si>
  <si>
    <t>INE825V01034</t>
  </si>
  <si>
    <t>Vedant Fashions Ltd</t>
  </si>
  <si>
    <t>INE226A01021</t>
  </si>
  <si>
    <t>Vedanta Ltd</t>
  </si>
  <si>
    <t>INE00FF01025</t>
  </si>
  <si>
    <t>Zydus Lifesciences Ltd</t>
  </si>
  <si>
    <t>INE423A01024</t>
  </si>
  <si>
    <t>INE208A01029</t>
  </si>
  <si>
    <t>Ashok Leyland Ltd</t>
  </si>
  <si>
    <t>INE406A01037</t>
  </si>
  <si>
    <t>Aurobindo Pharma Ltd</t>
  </si>
  <si>
    <t>INE028A01039</t>
  </si>
  <si>
    <t>Bank of Baroda</t>
  </si>
  <si>
    <t>Bharat Petroleum Corp Ltd</t>
  </si>
  <si>
    <t>INE438A01022</t>
  </si>
  <si>
    <t>INE340A01012</t>
  </si>
  <si>
    <t>Birla Corp Ltd</t>
  </si>
  <si>
    <t>INE006I01046</t>
  </si>
  <si>
    <t>Coal India Ltd</t>
  </si>
  <si>
    <t>INE271C01023</t>
  </si>
  <si>
    <t>DLF Ltd</t>
  </si>
  <si>
    <t>INE322A01010</t>
  </si>
  <si>
    <t>Gillette India Ltd</t>
  </si>
  <si>
    <t>INE517F01014</t>
  </si>
  <si>
    <t>Gujarat Pipavav Port Ltd</t>
  </si>
  <si>
    <t>INE066F01020</t>
  </si>
  <si>
    <t>Hindustan Aeronautics Ltd</t>
  </si>
  <si>
    <t>INE0V6F01027</t>
  </si>
  <si>
    <t>Hyundai Motor India Ltd</t>
  </si>
  <si>
    <t>INE242A01010</t>
  </si>
  <si>
    <t>Indian Oil Corp Ltd</t>
  </si>
  <si>
    <t>INE0J1Y01017</t>
  </si>
  <si>
    <t>Life Insurance Corp of India</t>
  </si>
  <si>
    <t>Lupin Ltd</t>
  </si>
  <si>
    <t>Max Financial Services Ltd</t>
  </si>
  <si>
    <t>INE848E01016</t>
  </si>
  <si>
    <t>NHPC Ltd</t>
  </si>
  <si>
    <t>INE323A01026</t>
  </si>
  <si>
    <t>Power Grid Corp of India Ltd</t>
  </si>
  <si>
    <t>INE476A01022</t>
  </si>
  <si>
    <t>Union Bank of India Ltd</t>
  </si>
  <si>
    <t>INE075A01022</t>
  </si>
  <si>
    <t>Wipro Ltd</t>
  </si>
  <si>
    <t>Adani Ports &amp; Special Economic</t>
  </si>
  <si>
    <t>Anthem Biosciences Ltd</t>
  </si>
  <si>
    <t>Apollo Hospitals Enterprise Lt</t>
  </si>
  <si>
    <t>Apollo Tyres Ltd</t>
  </si>
  <si>
    <t>INE386C01029</t>
  </si>
  <si>
    <t>Astra Microwave Products Ltd</t>
  </si>
  <si>
    <t>INE00R701025</t>
  </si>
  <si>
    <t>INE462A01022</t>
  </si>
  <si>
    <t>Bayer CropScience Ltd/India</t>
  </si>
  <si>
    <t>Bosch Ltd</t>
  </si>
  <si>
    <t>INE02RE01045</t>
  </si>
  <si>
    <t>BrainBees Solutions Ltd</t>
  </si>
  <si>
    <t>Britannia Industries Ltd</t>
  </si>
  <si>
    <t>Coromandel International Ltd</t>
  </si>
  <si>
    <t>INE102D01028</t>
  </si>
  <si>
    <t>Godrej Consumer Products Ltd</t>
  </si>
  <si>
    <t>INE246F01010</t>
  </si>
  <si>
    <t>Gujarat State Petronet Ltd</t>
  </si>
  <si>
    <t>INE813A01018</t>
  </si>
  <si>
    <t>Mahindra Lifespace Developers</t>
  </si>
  <si>
    <t>INE511C01022</t>
  </si>
  <si>
    <t>Poonawalla Fincorp Ltd</t>
  </si>
  <si>
    <t>INE721A01047</t>
  </si>
  <si>
    <t>Shriram Finance Ltd</t>
  </si>
  <si>
    <t>INE383A01012</t>
  </si>
  <si>
    <t>India Cements Ltd/The</t>
  </si>
  <si>
    <t>INE484J01027</t>
  </si>
  <si>
    <t>INE427F01016</t>
  </si>
  <si>
    <t>Chalet Hotels Ltd</t>
  </si>
  <si>
    <t>Colgate-Palmolive India Ltd</t>
  </si>
  <si>
    <t>Grasim Industries Ltd</t>
  </si>
  <si>
    <t>Havells India Ltd</t>
  </si>
  <si>
    <t>INE982J01020</t>
  </si>
  <si>
    <t>One 97 Communications Ltd</t>
  </si>
  <si>
    <t>INE191H01014</t>
  </si>
  <si>
    <t>PVR Inox Ltd</t>
  </si>
  <si>
    <t>REC Ltd</t>
  </si>
  <si>
    <t>INE216P01012</t>
  </si>
  <si>
    <t>Aavas Financiers Ltd</t>
  </si>
  <si>
    <t>INE531E01026</t>
  </si>
  <si>
    <t>INE647O01011</t>
  </si>
  <si>
    <t>Aditya Birla Fashion and Retai</t>
  </si>
  <si>
    <t>INE14LE01019</t>
  </si>
  <si>
    <t>Aditya Birla Lifestyle Brands</t>
  </si>
  <si>
    <t>#N/A Field Not Applicable</t>
  </si>
  <si>
    <t>INE404A01024</t>
  </si>
  <si>
    <t>Aditya Birla Sun Life Asset Ma</t>
  </si>
  <si>
    <t>INE101I01011</t>
  </si>
  <si>
    <t>Afcons Infrastructure Ltd</t>
  </si>
  <si>
    <t>INE885A01032</t>
  </si>
  <si>
    <t>Amara Raja Energy &amp; Mobility L</t>
  </si>
  <si>
    <t>AU Small Finance Bank Ltd</t>
  </si>
  <si>
    <t>INE108V01019</t>
  </si>
  <si>
    <t>Awfis Space Solutions Ltd</t>
  </si>
  <si>
    <t>Brigade Enterprises Ltd</t>
  </si>
  <si>
    <t>INE572A01036</t>
  </si>
  <si>
    <t>INE752H01013</t>
  </si>
  <si>
    <t>Care Ratings Ltd</t>
  </si>
  <si>
    <t>INE749A01030</t>
  </si>
  <si>
    <t>INE486A01021</t>
  </si>
  <si>
    <t>CESC Ltd</t>
  </si>
  <si>
    <t>INE797F01020</t>
  </si>
  <si>
    <t>Craftsman Automation Ltd</t>
  </si>
  <si>
    <t>INE055S01018</t>
  </si>
  <si>
    <t>Cyient DLM Ltd</t>
  </si>
  <si>
    <t>Dalmia Bharat Ltd</t>
  </si>
  <si>
    <t>INE878B01027</t>
  </si>
  <si>
    <t>INE148O01028</t>
  </si>
  <si>
    <t>Delhivery Ltd</t>
  </si>
  <si>
    <t>INE02YR01019</t>
  </si>
  <si>
    <t>Electronics Mart India Ltd</t>
  </si>
  <si>
    <t>INE967H01025</t>
  </si>
  <si>
    <t>INE548C01032</t>
  </si>
  <si>
    <t>Emami Ltd</t>
  </si>
  <si>
    <t>INE168P01015</t>
  </si>
  <si>
    <t>Emcure Pharmaceuticals Ltd</t>
  </si>
  <si>
    <t>INE302A01020</t>
  </si>
  <si>
    <t>Exide Industries Ltd</t>
  </si>
  <si>
    <t>INE235A01022</t>
  </si>
  <si>
    <t>Finolex Cables Ltd</t>
  </si>
  <si>
    <t>INE0BJS01011</t>
  </si>
  <si>
    <t>Go Fashion India Ltd</t>
  </si>
  <si>
    <t>INE07Y701011</t>
  </si>
  <si>
    <t>Hitachi Energy India Ltd</t>
  </si>
  <si>
    <t>INE09VQ01012</t>
  </si>
  <si>
    <t>Indigo Paints Ltd</t>
  </si>
  <si>
    <t>INE112L01020</t>
  </si>
  <si>
    <t>JB Chemicals &amp; Pharmaceuticals</t>
  </si>
  <si>
    <t>Jubilant Foodworks Ltd</t>
  </si>
  <si>
    <t>INE531A01024</t>
  </si>
  <si>
    <t>Kansai Nerolac Paints Ltd</t>
  </si>
  <si>
    <t>INE389H01022</t>
  </si>
  <si>
    <t>KEC International Ltd</t>
  </si>
  <si>
    <t>INE531F01015</t>
  </si>
  <si>
    <t>INE717A01029</t>
  </si>
  <si>
    <t>Kennametal India Ltd</t>
  </si>
  <si>
    <t>INE766P01016</t>
  </si>
  <si>
    <t>Mahindra Logistics Ltd</t>
  </si>
  <si>
    <t>INE804L01022</t>
  </si>
  <si>
    <t>Medplus Health Services Ltd</t>
  </si>
  <si>
    <t>INE410P01011</t>
  </si>
  <si>
    <t>Narayana Hrudayalaya Ltd</t>
  </si>
  <si>
    <t>INE995S01015</t>
  </si>
  <si>
    <t>Niva Bupa Health Insurance Co</t>
  </si>
  <si>
    <t>INE0DK501011</t>
  </si>
  <si>
    <t>INE589A01014</t>
  </si>
  <si>
    <t>NLC India Ltd</t>
  </si>
  <si>
    <t>INE0LXG01040</t>
  </si>
  <si>
    <t>Ola Electric Mobility Ltd</t>
  </si>
  <si>
    <t>INE182A01018</t>
  </si>
  <si>
    <t>Pfizer Ltd</t>
  </si>
  <si>
    <t>INE572E01012</t>
  </si>
  <si>
    <t>PNB Housing Finance Ltd</t>
  </si>
  <si>
    <t>INE961O01016</t>
  </si>
  <si>
    <t>INE570L01029</t>
  </si>
  <si>
    <t>SAI Life Sciences Ltd</t>
  </si>
  <si>
    <t>INE0UOS01011</t>
  </si>
  <si>
    <t>Sanofi Consumer Healthcare Ind</t>
  </si>
  <si>
    <t>INE058A01010</t>
  </si>
  <si>
    <t>Sanofi India Ltd</t>
  </si>
  <si>
    <t>INE953O01021</t>
  </si>
  <si>
    <t>Sansera Engineering Ltd</t>
  </si>
  <si>
    <t>INE806T01020</t>
  </si>
  <si>
    <t>Sapphire Foods India Ltd</t>
  </si>
  <si>
    <t>INE839M01018</t>
  </si>
  <si>
    <t>Schneider Electric Infrastruct</t>
  </si>
  <si>
    <t>INE916U01025</t>
  </si>
  <si>
    <t>Sheela Foam Ltd</t>
  </si>
  <si>
    <t>INE498B01024</t>
  </si>
  <si>
    <t>Shoppers Stop Ltd</t>
  </si>
  <si>
    <t>INE985S01024</t>
  </si>
  <si>
    <t>TeamLease Services Ltd</t>
  </si>
  <si>
    <t>INE325A01013</t>
  </si>
  <si>
    <t>Timken India Ltd</t>
  </si>
  <si>
    <t>INE114A01011</t>
  </si>
  <si>
    <t>INE152M01016</t>
  </si>
  <si>
    <t>Triveni Turbine Ltd</t>
  </si>
  <si>
    <t>INE094J01016</t>
  </si>
  <si>
    <t>UTI Asset Management Co Ltd</t>
  </si>
  <si>
    <t>INE764D01017</t>
  </si>
  <si>
    <t>VST Tillers Tractors Ltd</t>
  </si>
  <si>
    <t>INE386A01023</t>
  </si>
  <si>
    <t>Vesuvius India Ltd</t>
  </si>
  <si>
    <t>INE043W01024</t>
  </si>
  <si>
    <t>Vijaya Diagnostic Centre Ltd</t>
  </si>
  <si>
    <t>Voltas Ltd</t>
  </si>
  <si>
    <t>INE366I01010</t>
  </si>
  <si>
    <t>VRL Logistics Ltd</t>
  </si>
  <si>
    <t>INE285K01026</t>
  </si>
  <si>
    <t>INE716A01013</t>
  </si>
  <si>
    <t>Whirlpool of India Ltd</t>
  </si>
  <si>
    <t>INE118A01012</t>
  </si>
  <si>
    <t>Bajaj Holdings &amp; Investment Lt</t>
  </si>
  <si>
    <t>INE545U01014</t>
  </si>
  <si>
    <t>Bandhan Bank Ltd</t>
  </si>
  <si>
    <t>INE257A01026</t>
  </si>
  <si>
    <t>Bharat Heavy Electricals Ltd</t>
  </si>
  <si>
    <t>INE126A01031</t>
  </si>
  <si>
    <t>EID Parry India Ltd</t>
  </si>
  <si>
    <t>GAIL India Ltd</t>
  </si>
  <si>
    <t>INE776C01039</t>
  </si>
  <si>
    <t>GMR Airports Ltd</t>
  </si>
  <si>
    <t>Godrej Properties Ltd</t>
  </si>
  <si>
    <t>Hindustan Copper Ltd</t>
  </si>
  <si>
    <t>INE0JO301016</t>
  </si>
  <si>
    <t>INE725G01011</t>
  </si>
  <si>
    <t>ICRA Ltd</t>
  </si>
  <si>
    <t>INE251B01027</t>
  </si>
  <si>
    <t>INE530B01024</t>
  </si>
  <si>
    <t>IIFL Finance Ltd</t>
  </si>
  <si>
    <t>Indian Energy Exchange Ltd</t>
  </si>
  <si>
    <t>Indus Towers Ltd</t>
  </si>
  <si>
    <t>INE571A01038</t>
  </si>
  <si>
    <t>Ipca Laboratories Ltd</t>
  </si>
  <si>
    <t>Jindal Steel &amp; Power Ltd</t>
  </si>
  <si>
    <t>INE758E01017</t>
  </si>
  <si>
    <t>Jio Financial Services Ltd</t>
  </si>
  <si>
    <t>INE931S01010</t>
  </si>
  <si>
    <t>INE019A01038</t>
  </si>
  <si>
    <t>JSW Steel Ltd</t>
  </si>
  <si>
    <t>INE002S01010</t>
  </si>
  <si>
    <t>Mahanagar Gas Ltd</t>
  </si>
  <si>
    <t>INE288A01013</t>
  </si>
  <si>
    <t>Maharashtra Scooters Ltd</t>
  </si>
  <si>
    <t>INE338I01027</t>
  </si>
  <si>
    <t>Motilal Oswal Financial Servic</t>
  </si>
  <si>
    <t>INE317F01035</t>
  </si>
  <si>
    <t>NESCO Ltd</t>
  </si>
  <si>
    <t>Polycab India Ltd</t>
  </si>
  <si>
    <t>Punjab National Bank</t>
  </si>
  <si>
    <t>INE976G01028</t>
  </si>
  <si>
    <t>RBL Bank Ltd</t>
  </si>
  <si>
    <t>Steel Authority of India Ltd</t>
  </si>
  <si>
    <t>INE277A01016</t>
  </si>
  <si>
    <t>Swaraj Engines Ltd</t>
  </si>
  <si>
    <t>INE768C01010</t>
  </si>
  <si>
    <t>Zydus Wellness Ltd</t>
  </si>
  <si>
    <t>INE365D01021</t>
  </si>
  <si>
    <t>Ashiana Housing Ltd</t>
  </si>
  <si>
    <t>INE914M01019</t>
  </si>
  <si>
    <t>Aster DM Healthcare Ltd</t>
  </si>
  <si>
    <t>INE449A01011</t>
  </si>
  <si>
    <t>Automotive Axles Ltd</t>
  </si>
  <si>
    <t>INE084A01016</t>
  </si>
  <si>
    <t>Bank of India</t>
  </si>
  <si>
    <t>INE131C01011</t>
  </si>
  <si>
    <t>DISA India Ltd</t>
  </si>
  <si>
    <t>INE063P01018</t>
  </si>
  <si>
    <t>Equitas Small Finance Bank Ltd</t>
  </si>
  <si>
    <t>INE079J01017</t>
  </si>
  <si>
    <t>Gateway Distriparks Ltd</t>
  </si>
  <si>
    <t>INE201P01022</t>
  </si>
  <si>
    <t>G R Infraprojects Ltd</t>
  </si>
  <si>
    <t>INE461C01038</t>
  </si>
  <si>
    <t>Greenply Industries Ltd</t>
  </si>
  <si>
    <t>INE536A01023</t>
  </si>
  <si>
    <t>Grindwell Norton Ltd</t>
  </si>
  <si>
    <t>INE177A01018</t>
  </si>
  <si>
    <t>Ingersoll Rand India Ltd</t>
  </si>
  <si>
    <t>INE136S01016</t>
  </si>
  <si>
    <t>Neogen Chemicals Ltd</t>
  </si>
  <si>
    <t>INE0NNS01018</t>
  </si>
  <si>
    <t>NMDC Steel Ltd</t>
  </si>
  <si>
    <t>INE347G01014</t>
  </si>
  <si>
    <t>Petronet LNG Ltd</t>
  </si>
  <si>
    <t>INE010A01011</t>
  </si>
  <si>
    <t>Prism Johnson Ltd</t>
  </si>
  <si>
    <t>INE613A01020</t>
  </si>
  <si>
    <t>Rallis India Ltd</t>
  </si>
  <si>
    <t>INE142Q01026</t>
  </si>
  <si>
    <t>Sula Vineyards Ltd</t>
  </si>
  <si>
    <t>INE331A01037</t>
  </si>
  <si>
    <t>Ramco Cements Ltd/The</t>
  </si>
  <si>
    <t>INE274C01019</t>
  </si>
  <si>
    <t>Wendt India Ltd</t>
  </si>
  <si>
    <t>Acutaas Chemicals Ltd</t>
  </si>
  <si>
    <t>Aditya Birla Capital Ltd</t>
  </si>
  <si>
    <t>INE472A01039</t>
  </si>
  <si>
    <t>Blue Star Ltd</t>
  </si>
  <si>
    <t>INE115Q01022</t>
  </si>
  <si>
    <t>Cholamandalam Financial Holdin</t>
  </si>
  <si>
    <t>INE183A01024</t>
  </si>
  <si>
    <t>Finolex Industries Ltd</t>
  </si>
  <si>
    <t>INE845D01014</t>
  </si>
  <si>
    <t>Ganesha Ecosphere Ltd</t>
  </si>
  <si>
    <t>INE052E01015</t>
  </si>
  <si>
    <t>Gayatri BiOrganics Ltd</t>
  </si>
  <si>
    <t>INE473B01035</t>
  </si>
  <si>
    <t>Hatsun Agro Product Ltd</t>
  </si>
  <si>
    <t>#N/A Invalid Security</t>
  </si>
  <si>
    <t>INE947Q01028</t>
  </si>
  <si>
    <t>Laurus Labs Ltd</t>
  </si>
  <si>
    <t>INE970X01018</t>
  </si>
  <si>
    <t>Lemon Tree Hotels Ltd</t>
  </si>
  <si>
    <t>INE122R01018</t>
  </si>
  <si>
    <t>Manpasand Beverages Ltd</t>
  </si>
  <si>
    <t>Muthoot Finance Ltd</t>
  </si>
  <si>
    <t>INE703F01010</t>
  </si>
  <si>
    <t>INE114B01019</t>
  </si>
  <si>
    <t>Padmini Technologies Ltd</t>
  </si>
  <si>
    <t>INE131B01039</t>
  </si>
  <si>
    <t>Relaxo Footwears Ltd</t>
  </si>
  <si>
    <t>INE387A01021</t>
  </si>
  <si>
    <t>Sundram Fasteners Ltd</t>
  </si>
  <si>
    <t>INE011K01018</t>
  </si>
  <si>
    <t>Tega Industries Ltd</t>
  </si>
  <si>
    <t>INE00WC01027</t>
  </si>
  <si>
    <t>Affle 3i Ltd</t>
  </si>
  <si>
    <t>Astral Ltd</t>
  </si>
  <si>
    <t>INE382M01027</t>
  </si>
  <si>
    <t>Barbeque Nation Hospitality Lt</t>
  </si>
  <si>
    <t>INE227W01023</t>
  </si>
  <si>
    <t>Clean Science &amp; Technology Ltd</t>
  </si>
  <si>
    <t>INE03QK01018</t>
  </si>
  <si>
    <t>Cohance Lifesciences Ltd</t>
  </si>
  <si>
    <t>INE406M01024</t>
  </si>
  <si>
    <t>Eris Lifesciences Ltd</t>
  </si>
  <si>
    <t>Marico Ltd</t>
  </si>
  <si>
    <t>INE317I01021</t>
  </si>
  <si>
    <t>Metro Brands Ltd</t>
  </si>
  <si>
    <t>INE864A01011</t>
  </si>
  <si>
    <t>MTZ Polyfilms Ltd</t>
  </si>
  <si>
    <t>INE348C01011</t>
  </si>
  <si>
    <t>Mukerian Papers</t>
  </si>
  <si>
    <t>INE205C01021</t>
  </si>
  <si>
    <t>Poly Medicure Ltd</t>
  </si>
  <si>
    <t>INE02A801020</t>
  </si>
  <si>
    <t>Rossari Biotech Ltd</t>
  </si>
  <si>
    <t>INE645A01014</t>
  </si>
  <si>
    <t>Spartek Ceramics India Ltd</t>
  </si>
  <si>
    <t>INE258G01013</t>
  </si>
  <si>
    <t>Sumitomo Chemical India Ltd</t>
  </si>
  <si>
    <t>INE284S01014</t>
  </si>
  <si>
    <t>SJS Enterprises Ltd</t>
  </si>
  <si>
    <t>INE524A01029</t>
  </si>
  <si>
    <t>Gabriel India Ltd</t>
  </si>
  <si>
    <t>INE526E01018</t>
  </si>
  <si>
    <t>Shriram Pistons &amp; Rings Ltd</t>
  </si>
  <si>
    <t>INE481N01025</t>
  </si>
  <si>
    <t>Home First Finance Co India Lt</t>
  </si>
  <si>
    <t>INE883F01010</t>
  </si>
  <si>
    <t>Aadhar Housing Finance Ltd</t>
  </si>
  <si>
    <t>INE659A01023</t>
  </si>
  <si>
    <t>Sudarshan Chemical Industries</t>
  </si>
  <si>
    <t>INE0BWX01014</t>
  </si>
  <si>
    <t>Aether Industries Ltd</t>
  </si>
  <si>
    <t>INE052I01032</t>
  </si>
  <si>
    <t>Camlin Fine Sciences Ltd</t>
  </si>
  <si>
    <t>INE0BY001018</t>
  </si>
  <si>
    <t>Jubilant Ingrevia Ltd</t>
  </si>
  <si>
    <t>INE0JR601024</t>
  </si>
  <si>
    <t>INE945H01013</t>
  </si>
  <si>
    <t>V2 Retail Ltd</t>
  </si>
  <si>
    <t>INE0KCE01017</t>
  </si>
  <si>
    <t>Eureka Forbes Ltd</t>
  </si>
  <si>
    <t>INE0LCL01028</t>
  </si>
  <si>
    <t>Avalon Technologies Ltd</t>
  </si>
  <si>
    <t>PG Electroplast Ltd</t>
  </si>
  <si>
    <t>INE00E101023</t>
  </si>
  <si>
    <t>Bikaji Foods International Ltd</t>
  </si>
  <si>
    <t>INE0DYJ01015</t>
  </si>
  <si>
    <t>Syrma SGS Technology Ltd</t>
  </si>
  <si>
    <t>INE893J01029</t>
  </si>
  <si>
    <t>Mold-Tek Packaging Ltd</t>
  </si>
  <si>
    <t>INE510A01028</t>
  </si>
  <si>
    <t>Engineers India Ltd</t>
  </si>
  <si>
    <t>INE037Z01029</t>
  </si>
  <si>
    <t>Concord Enviro Systems Ltd</t>
  </si>
  <si>
    <t>INE864I01014</t>
  </si>
  <si>
    <t>MTAR Technologies Ltd</t>
  </si>
  <si>
    <t>INE099Z01011</t>
  </si>
  <si>
    <t>Mishra Dhatu Nigam Ltd</t>
  </si>
  <si>
    <t>INE497S01012</t>
  </si>
  <si>
    <t>Godavari Biorefineries Ltd</t>
  </si>
  <si>
    <t>INE704P01025</t>
  </si>
  <si>
    <t>Cochin Shipyard Ltd</t>
  </si>
  <si>
    <t>INE807F01027</t>
  </si>
  <si>
    <t>Sequent Scientific Ltd</t>
  </si>
  <si>
    <t>Krishna Institute of Medical S</t>
  </si>
  <si>
    <t>INE025R01021</t>
  </si>
  <si>
    <t>Artemis Medicare Services Ltd</t>
  </si>
  <si>
    <t>INE013P01021</t>
  </si>
  <si>
    <t>Onesource Specialty Pharma Ltd</t>
  </si>
  <si>
    <t>INE0RB801010</t>
  </si>
  <si>
    <t>Senores Pharmaceuticals Ltd</t>
  </si>
  <si>
    <t>INE993A01026</t>
  </si>
  <si>
    <t>Man Industries India Ltd</t>
  </si>
  <si>
    <t>INE03EI01018</t>
  </si>
  <si>
    <t>Max Estates Ltd</t>
  </si>
  <si>
    <t>INE759A01021</t>
  </si>
  <si>
    <t>Mastek Ltd</t>
  </si>
  <si>
    <t>INE419U01012</t>
  </si>
  <si>
    <t>Happiest Minds Technologies Lt</t>
  </si>
  <si>
    <t>INE411H01032</t>
  </si>
  <si>
    <t>R Systems International Ltd</t>
  </si>
  <si>
    <t>INE887G01027</t>
  </si>
  <si>
    <t>Gokaldas Exports Ltd</t>
  </si>
  <si>
    <t>INE573A01042</t>
  </si>
  <si>
    <t>JK Tyre &amp; Industries Ltd</t>
  </si>
  <si>
    <t>INE811A01020</t>
  </si>
  <si>
    <t>Kirloskar Pneumatic Co Ltd</t>
  </si>
  <si>
    <t>INE794A01010</t>
  </si>
  <si>
    <t>Neuland Laboratories Ltd</t>
  </si>
  <si>
    <t>INE483B01026</t>
  </si>
  <si>
    <t>Indo Count Industries Ltd</t>
  </si>
  <si>
    <t>IN9397D01014</t>
  </si>
  <si>
    <t>INE220G01021</t>
  </si>
  <si>
    <t>Jindal Stainless Ltd</t>
  </si>
  <si>
    <t>INE499A01024</t>
  </si>
  <si>
    <t>DCM Shriram Ltd</t>
  </si>
  <si>
    <t>INE0S4R01014</t>
  </si>
  <si>
    <t>Crizac Ltd</t>
  </si>
  <si>
    <t>INE133A01011</t>
  </si>
  <si>
    <t>Akzo Nobel India Ltd</t>
  </si>
  <si>
    <t>INE0LRU01027</t>
  </si>
  <si>
    <t>Aarti Pharmalabs Ltd</t>
  </si>
  <si>
    <t>INE092T01019</t>
  </si>
  <si>
    <t>IDFC First Bank Ltd</t>
  </si>
  <si>
    <t>INE385C01021</t>
  </si>
  <si>
    <t>Sarda Energy &amp; Minerals Ltd</t>
  </si>
  <si>
    <t>INE700A01033</t>
  </si>
  <si>
    <t>Jubilant Pharmova Ltd</t>
  </si>
  <si>
    <t>INE294Z01018</t>
  </si>
  <si>
    <t>Anup Engineering Limited/The</t>
  </si>
  <si>
    <t>INE545H01011</t>
  </si>
  <si>
    <t>Technocraft Industries India L</t>
  </si>
  <si>
    <t>INE482D01024</t>
  </si>
  <si>
    <t>Carysil Ltd</t>
  </si>
  <si>
    <t>INE221B01012</t>
  </si>
  <si>
    <t>Dynamatic Technologies Ltd</t>
  </si>
  <si>
    <t>INE570A01022</t>
  </si>
  <si>
    <t>ION Exchange India Ltd</t>
  </si>
  <si>
    <t>INE489L01022</t>
  </si>
  <si>
    <t>IIFL Capital Services Ltd</t>
  </si>
  <si>
    <t>Canara Bank</t>
  </si>
  <si>
    <t>INE926X01010</t>
  </si>
  <si>
    <t>HG Infra Engineering Ltd</t>
  </si>
  <si>
    <t>INE786A01032</t>
  </si>
  <si>
    <t>JK Lakshmi Cement Ltd</t>
  </si>
  <si>
    <t>INE049A01027</t>
  </si>
  <si>
    <t>Himatsingka Seide Ltd</t>
  </si>
  <si>
    <t>INE065X01017</t>
  </si>
  <si>
    <t>Indegene Ltd</t>
  </si>
  <si>
    <t>INE979A01025</t>
  </si>
  <si>
    <t>Saregama India Ltd</t>
  </si>
  <si>
    <t>INE076B01028</t>
  </si>
  <si>
    <t>Siyaram Silk Mills Ltd</t>
  </si>
  <si>
    <t>INE843D01027</t>
  </si>
  <si>
    <t>DCM Shriram Industries Ltd</t>
  </si>
  <si>
    <t>INE551W01018</t>
  </si>
  <si>
    <t>Ujjivan Small Finance Bank Ltd</t>
  </si>
  <si>
    <t>INE895B01021</t>
  </si>
  <si>
    <t>Rupa &amp; Co Ltd</t>
  </si>
  <si>
    <t>INE901L01018</t>
  </si>
  <si>
    <t>Alembic Pharmaceuticals Ltd</t>
  </si>
  <si>
    <t>INE987B01026</t>
  </si>
  <si>
    <t>Natco Pharma Ltd</t>
  </si>
  <si>
    <t>INE119A01028</t>
  </si>
  <si>
    <t>Balrampur Chini Mills Ltd</t>
  </si>
  <si>
    <t>INE665L01035</t>
  </si>
  <si>
    <t>Varroc Engineering Ltd</t>
  </si>
  <si>
    <t>INE939A01011</t>
  </si>
  <si>
    <t>Strides Pharma Science Ltd</t>
  </si>
  <si>
    <t>INE805D01034</t>
  </si>
  <si>
    <t>Sunteck Realty Ltd</t>
  </si>
  <si>
    <t>Glenmark Pharmaceuticals Ltd</t>
  </si>
  <si>
    <t>INE278Y01022</t>
  </si>
  <si>
    <t>Campus Activewear Ltd</t>
  </si>
  <si>
    <t>INE399G01023</t>
  </si>
  <si>
    <t>Ramkrishna Forgings Ltd</t>
  </si>
  <si>
    <t>INE522D01027</t>
  </si>
  <si>
    <t>Manappuram Finance Ltd</t>
  </si>
  <si>
    <t>INE501A01019</t>
  </si>
  <si>
    <t>Deepak Fertilisers &amp; Petrochem</t>
  </si>
  <si>
    <t>INE085A01013</t>
  </si>
  <si>
    <t>Chambal Fertilisers and Chemic</t>
  </si>
  <si>
    <t>INE0NAZ01010</t>
  </si>
  <si>
    <t>Smartworks Coworking Spaces Lt</t>
  </si>
  <si>
    <t>INE438K01021</t>
  </si>
  <si>
    <t>Sai Silks Kalamandir Ltd</t>
  </si>
  <si>
    <t>INE371P01015</t>
  </si>
  <si>
    <t>Amber Enterprises India Ltd</t>
  </si>
  <si>
    <t>INE024L01027</t>
  </si>
  <si>
    <t>Gravita India Ltd</t>
  </si>
  <si>
    <t>INE372A01015</t>
  </si>
  <si>
    <t>Apar Industries Ltd</t>
  </si>
  <si>
    <t>INE660A01013</t>
  </si>
  <si>
    <t>Sundaram Finance Ltd</t>
  </si>
  <si>
    <t>360 ONE WAM Ltd</t>
  </si>
  <si>
    <t>Aarti Industries Ltd</t>
  </si>
  <si>
    <t>Aptus Value Housing Finance In</t>
  </si>
  <si>
    <t>Carraro India Ltd</t>
  </si>
  <si>
    <t>Ellenbarrie Industrial Gases L</t>
  </si>
  <si>
    <t>Fortis Healthcare Ltd</t>
  </si>
  <si>
    <t>GlaxoSmithKline Pharmaceutical</t>
  </si>
  <si>
    <t>Granules India Ltd</t>
  </si>
  <si>
    <t>Housing &amp; Urban Development Co</t>
  </si>
  <si>
    <t>Indiqube Spaces Ltd</t>
  </si>
  <si>
    <t>JSW Energy Ltd</t>
  </si>
  <si>
    <t>Jyoti CNC Automation Ltd</t>
  </si>
  <si>
    <t>Minda Corp Ltd</t>
  </si>
  <si>
    <t>Sagility India Ltd</t>
  </si>
  <si>
    <t>SJVN Ltd</t>
  </si>
  <si>
    <t>Ambuja Cements Ltd</t>
  </si>
  <si>
    <t>Atul Ltd</t>
  </si>
  <si>
    <t>Azad Engineering Ltd</t>
  </si>
  <si>
    <t>CMS Info Systems Ltd</t>
  </si>
  <si>
    <t>IRB Infrastructure Developers</t>
  </si>
  <si>
    <t>Rhi Magnesita India Ltd</t>
  </si>
  <si>
    <t>RR Kabel Ltd</t>
  </si>
  <si>
    <t>Travel Food Services Ltd</t>
  </si>
  <si>
    <t>Adani Enterprises Ltd</t>
  </si>
  <si>
    <t>KEI Industries Ltd</t>
  </si>
  <si>
    <t>Metropolis Healthcare Ltd</t>
  </si>
  <si>
    <t>Nuvama Wealth Management Ltd</t>
  </si>
  <si>
    <t>Piramal Pharma Ltd</t>
  </si>
  <si>
    <t>Rainbow Children's Medicare Lt</t>
  </si>
  <si>
    <t>Techno Electric &amp; Engineering</t>
  </si>
  <si>
    <t>Yatharth Hospital &amp; Trauma Car</t>
  </si>
  <si>
    <t>Zen Technologies Ltd</t>
  </si>
  <si>
    <t>Adani Energy Solutions Ltd</t>
  </si>
  <si>
    <t>Inventurus Knowledge Solutions</t>
  </si>
  <si>
    <t>Yatra Online Ltd</t>
  </si>
  <si>
    <t xml:space="preserve">Top  Holding </t>
  </si>
  <si>
    <t xml:space="preserve">Percentage Exposure </t>
  </si>
  <si>
    <t>Portfolio Level</t>
  </si>
  <si>
    <t>Unique Stocks</t>
  </si>
  <si>
    <t>Sum of Security Holding</t>
  </si>
  <si>
    <t xml:space="preserve">Equity Level </t>
  </si>
  <si>
    <t>Fund</t>
  </si>
  <si>
    <t xml:space="preserve">Top 10 Sectors  </t>
  </si>
  <si>
    <t xml:space="preserve">Unique Sectors </t>
  </si>
  <si>
    <t>Sum at Portfolio Level</t>
  </si>
  <si>
    <t>Largecap</t>
  </si>
  <si>
    <t>Midcap</t>
  </si>
  <si>
    <t xml:space="preserve">Small Cap </t>
  </si>
  <si>
    <t>Others/Cash</t>
  </si>
  <si>
    <t>Kotak Bluechip Fund</t>
  </si>
  <si>
    <t>HDFC Bank</t>
  </si>
  <si>
    <t>Financial</t>
  </si>
  <si>
    <t>ICICI Bank</t>
  </si>
  <si>
    <t>Technology</t>
  </si>
  <si>
    <t>Reliance Ind</t>
  </si>
  <si>
    <t>Infosys</t>
  </si>
  <si>
    <t>Energy &amp; Utilities</t>
  </si>
  <si>
    <t>Larsen &amp; Toubro</t>
  </si>
  <si>
    <t>Bharti Airtel</t>
  </si>
  <si>
    <t>Mahindra &amp; Mahindra</t>
  </si>
  <si>
    <t>Axis Bank</t>
  </si>
  <si>
    <t>ITC</t>
  </si>
  <si>
    <t>Healthcare</t>
  </si>
  <si>
    <t>SBI</t>
  </si>
  <si>
    <t>Canara Robeco Emerging Equities Fund</t>
  </si>
  <si>
    <t>Maruti Suzuki</t>
  </si>
  <si>
    <t>Tata Consultancy</t>
  </si>
  <si>
    <t>NTPC</t>
  </si>
  <si>
    <t>Sun Pharmaceutical</t>
  </si>
  <si>
    <t>Ultratech Cement</t>
  </si>
  <si>
    <t>Interglobe Aviation</t>
  </si>
  <si>
    <t>Hindustan Unilever</t>
  </si>
  <si>
    <t>Bajaj Finance</t>
  </si>
  <si>
    <t>Kotak Bank</t>
  </si>
  <si>
    <t>Diversified</t>
  </si>
  <si>
    <t>Tech Mahindra</t>
  </si>
  <si>
    <t>SBI Large &amp; Midcap Fund-Reg(IDCW)</t>
  </si>
  <si>
    <t>Coromandel Intl</t>
  </si>
  <si>
    <t>United Spirits</t>
  </si>
  <si>
    <t>Eternal</t>
  </si>
  <si>
    <t>Zomato</t>
  </si>
  <si>
    <t>Tata Steel</t>
  </si>
  <si>
    <t>Solar</t>
  </si>
  <si>
    <t>Shriram Finance</t>
  </si>
  <si>
    <t>Godrej Consumer</t>
  </si>
  <si>
    <t>The Indian Hotels</t>
  </si>
  <si>
    <t>Bharat Electronics</t>
  </si>
  <si>
    <t>Dixon Technologies</t>
  </si>
  <si>
    <t>Trent</t>
  </si>
  <si>
    <t>UTI Flexi Cap Fund</t>
  </si>
  <si>
    <t>UNO Minda</t>
  </si>
  <si>
    <t>KPIT Technologies</t>
  </si>
  <si>
    <t>TVS Motor</t>
  </si>
  <si>
    <t>Cholamandalam Inv</t>
  </si>
  <si>
    <t>The Federal Bank</t>
  </si>
  <si>
    <t>Tata Consumer</t>
  </si>
  <si>
    <t>Max Healthcare</t>
  </si>
  <si>
    <t>ICICI Prudential Balanced Advantage Fund</t>
  </si>
  <si>
    <t>Praj</t>
  </si>
  <si>
    <t>Abbott India</t>
  </si>
  <si>
    <t>EIH</t>
  </si>
  <si>
    <t>Tata Power</t>
  </si>
  <si>
    <t>Century Textiles</t>
  </si>
  <si>
    <t>Bajaj Auto</t>
  </si>
  <si>
    <t>Torrent Power</t>
  </si>
  <si>
    <t>United Breweries</t>
  </si>
  <si>
    <t>HDFC AMC</t>
  </si>
  <si>
    <t>Muthoot Finance</t>
  </si>
  <si>
    <t>Edelweiss Balanced Advantage Fund</t>
  </si>
  <si>
    <t>Coforge</t>
  </si>
  <si>
    <t>Ashok Leyland</t>
  </si>
  <si>
    <t>Alkem Laboratories</t>
  </si>
  <si>
    <t>PI</t>
  </si>
  <si>
    <t>Shree Cement</t>
  </si>
  <si>
    <t>Page</t>
  </si>
  <si>
    <t>Jubilant Foodworks</t>
  </si>
  <si>
    <t>Berger Paints</t>
  </si>
  <si>
    <t>Divi's Lab</t>
  </si>
  <si>
    <t>Gland Pharma</t>
  </si>
  <si>
    <t>Tata Balanced Advantage Fund</t>
  </si>
  <si>
    <t>National Aluminium</t>
  </si>
  <si>
    <t>LTIMindtree</t>
  </si>
  <si>
    <t>Jindal Steel</t>
  </si>
  <si>
    <t>Info Edge (India)</t>
  </si>
  <si>
    <t>Avenue Supermarts</t>
  </si>
  <si>
    <t>Titan</t>
  </si>
  <si>
    <t>Persistent Systems</t>
  </si>
  <si>
    <t>Astral</t>
  </si>
  <si>
    <t>Ajanta Pharma</t>
  </si>
  <si>
    <t>Poly Medicure</t>
  </si>
  <si>
    <t>Dr. Lal Pathlabs</t>
  </si>
  <si>
    <t>Polycab India</t>
  </si>
  <si>
    <t>AU Small Fin Bank</t>
  </si>
  <si>
    <t>Eicher Motors</t>
  </si>
  <si>
    <t>Havells India</t>
  </si>
  <si>
    <t>HCL Technologies</t>
  </si>
  <si>
    <t>Global Health</t>
  </si>
  <si>
    <t>Samvardhana Motherson</t>
  </si>
  <si>
    <t>Britannia Ind</t>
  </si>
  <si>
    <t>Nestle India</t>
  </si>
  <si>
    <t>Tata Motors</t>
  </si>
  <si>
    <t>MCX</t>
  </si>
  <si>
    <t>Granules India</t>
  </si>
  <si>
    <t>Apollo Hospitals</t>
  </si>
  <si>
    <t>Colgate-Palmolive</t>
  </si>
  <si>
    <t>Premier Energies</t>
  </si>
  <si>
    <t>Cipla</t>
  </si>
  <si>
    <t>DLF</t>
  </si>
  <si>
    <t>Canara Robeco Bluechip Equity Fund</t>
  </si>
  <si>
    <t>Power Grid</t>
  </si>
  <si>
    <t>Cummins India</t>
  </si>
  <si>
    <t>Hero Motocorp</t>
  </si>
  <si>
    <t>Godrej Properties</t>
  </si>
  <si>
    <t>Hindalco Ind</t>
  </si>
  <si>
    <t>Adani Ports</t>
  </si>
  <si>
    <t>KEC International</t>
  </si>
  <si>
    <t xml:space="preserve">Info Edge </t>
  </si>
  <si>
    <t>Wipro</t>
  </si>
  <si>
    <t>ICICI Prudential Bluechip Fund</t>
  </si>
  <si>
    <t>HDFC Asset Management Company</t>
  </si>
  <si>
    <t>Natco Pharma</t>
  </si>
  <si>
    <t>Alembic Pharmaceuticals</t>
  </si>
  <si>
    <t>Federal Bank</t>
  </si>
  <si>
    <t>Abb India</t>
  </si>
  <si>
    <t>Crompton Greaves Consumer Electrical</t>
  </si>
  <si>
    <t>Icici Lombard General Insurance Company</t>
  </si>
  <si>
    <t>Godrej Consumer Products</t>
  </si>
  <si>
    <t xml:space="preserve">Interglobe Aviation </t>
  </si>
  <si>
    <t xml:space="preserve">Patanjali Foods </t>
  </si>
  <si>
    <t xml:space="preserve">Bajaj Finance </t>
  </si>
  <si>
    <t xml:space="preserve">Torrent Pharmaceuticals </t>
  </si>
  <si>
    <t xml:space="preserve">Bajaj Finserv </t>
  </si>
  <si>
    <t xml:space="preserve">Apl Apollo Tubes </t>
  </si>
  <si>
    <t xml:space="preserve">Cholamandalam Investment And Finance Company </t>
  </si>
  <si>
    <t xml:space="preserve">Bharti Airtel </t>
  </si>
  <si>
    <t xml:space="preserve">Adani Ports &amp; Special Economic Zone </t>
  </si>
  <si>
    <t>Parag Parikh Flexi Cap Fund</t>
  </si>
  <si>
    <t xml:space="preserve">Dr Reddys Laboratories </t>
  </si>
  <si>
    <t xml:space="preserve">Tvs Motor Company </t>
  </si>
  <si>
    <t xml:space="preserve">Kei Industries </t>
  </si>
  <si>
    <t xml:space="preserve">Varun Beverages </t>
  </si>
  <si>
    <t xml:space="preserve">Tata Consultancy Services </t>
  </si>
  <si>
    <t xml:space="preserve">Divis Laboratories </t>
  </si>
  <si>
    <t xml:space="preserve">Sun Pharmaceutical Industries </t>
  </si>
  <si>
    <t xml:space="preserve">Polycab India </t>
  </si>
  <si>
    <t>Kotak Balanced Advantage Fund</t>
  </si>
  <si>
    <t xml:space="preserve">Sona Blw Precision Forgings </t>
  </si>
  <si>
    <t xml:space="preserve">Affle India </t>
  </si>
  <si>
    <t xml:space="preserve">P I Industries </t>
  </si>
  <si>
    <t xml:space="preserve">Bajaj Auto </t>
  </si>
  <si>
    <t>Cholamandalam Financial</t>
  </si>
  <si>
    <t xml:space="preserve">Gravita India </t>
  </si>
  <si>
    <t>SBI Life Insurance</t>
  </si>
  <si>
    <t>Varun Beverages</t>
  </si>
  <si>
    <t>Mankind Pharma</t>
  </si>
  <si>
    <t>ICICI Prudential</t>
  </si>
  <si>
    <t>ONGC</t>
  </si>
  <si>
    <t>Coal India</t>
  </si>
  <si>
    <t>HDFC Life</t>
  </si>
  <si>
    <t>SRF</t>
  </si>
  <si>
    <t>One97 Comm</t>
  </si>
  <si>
    <t>Delhivery</t>
  </si>
  <si>
    <t>Hindustan Petro</t>
  </si>
  <si>
    <t>Gujarat State Petronet</t>
  </si>
  <si>
    <t>Tata Comm</t>
  </si>
  <si>
    <t>LIC Housing Fin.</t>
  </si>
  <si>
    <t>Cash (Unclassified)</t>
  </si>
  <si>
    <t>Lupin</t>
  </si>
  <si>
    <t>Aurobindo Pharma</t>
  </si>
  <si>
    <t>Glenmark Pharmaceuticals</t>
  </si>
  <si>
    <t>Mphasis</t>
  </si>
  <si>
    <t>Bajaj Holdings</t>
  </si>
  <si>
    <t>Meta Platforms Inc. (FB)</t>
  </si>
  <si>
    <t>Alphabet Inc (GOOGL)</t>
  </si>
  <si>
    <t>Amazon.com (AMZN)</t>
  </si>
  <si>
    <t>Microsoft (MSFT)</t>
  </si>
  <si>
    <t>Balkrishna Ind</t>
  </si>
  <si>
    <t>SBI Contra Fund-Reg(IDCW)</t>
  </si>
  <si>
    <t>Dr. Reddy's Labs</t>
  </si>
  <si>
    <t>Zydus Lifesciences</t>
  </si>
  <si>
    <t>IEX</t>
  </si>
  <si>
    <t>Motilal Oswal Fin</t>
  </si>
  <si>
    <t>Ipca Laboratories</t>
  </si>
  <si>
    <t>Vedanta</t>
  </si>
  <si>
    <t>Ambuja Cements</t>
  </si>
  <si>
    <t xml:space="preserve">Maruti Suzuki India </t>
  </si>
  <si>
    <t xml:space="preserve">Mahindra &amp; Mahindra </t>
  </si>
  <si>
    <t xml:space="preserve">UNO Minda </t>
  </si>
  <si>
    <t>Info Edge</t>
  </si>
  <si>
    <t xml:space="preserve">JK Tyre &amp; Industries </t>
  </si>
  <si>
    <t xml:space="preserve">Bharat Forge </t>
  </si>
  <si>
    <t>Cholamandalam Investment and Finance</t>
  </si>
  <si>
    <t xml:space="preserve">ICICI Bank </t>
  </si>
  <si>
    <t xml:space="preserve">Muthoot Finance </t>
  </si>
  <si>
    <t xml:space="preserve">Shriram Finance </t>
  </si>
  <si>
    <t xml:space="preserve">Aadhar Housing Finance </t>
  </si>
  <si>
    <t xml:space="preserve">PNB Housing Finance </t>
  </si>
  <si>
    <t xml:space="preserve">JK Cements </t>
  </si>
  <si>
    <t xml:space="preserve">Navin Fluorine International </t>
  </si>
  <si>
    <t xml:space="preserve">Sudarshan Chemical Industries </t>
  </si>
  <si>
    <t xml:space="preserve">Finolex Cables </t>
  </si>
  <si>
    <t xml:space="preserve">Pidilite Industries </t>
  </si>
  <si>
    <t xml:space="preserve">TRENT </t>
  </si>
  <si>
    <t>Ntpc</t>
  </si>
  <si>
    <t xml:space="preserve">Dixon Technologies India </t>
  </si>
  <si>
    <t xml:space="preserve">Bharat Heavy Electricals </t>
  </si>
  <si>
    <t xml:space="preserve">Hitachi Energy India </t>
  </si>
  <si>
    <t>Reliance Industries</t>
  </si>
  <si>
    <t xml:space="preserve">KSB </t>
  </si>
  <si>
    <t xml:space="preserve">Kirloskar Pneumatic Company </t>
  </si>
  <si>
    <t xml:space="preserve">Bharat Electronics </t>
  </si>
  <si>
    <t>PNB Housing Finance</t>
  </si>
  <si>
    <t xml:space="preserve">SIEMENS </t>
  </si>
  <si>
    <t>Kotak Mahindra Bank</t>
  </si>
  <si>
    <t xml:space="preserve">Multi Commodity Exchange of India </t>
  </si>
  <si>
    <t>State Bank Of India</t>
  </si>
  <si>
    <t>International Gemmological Institute</t>
  </si>
  <si>
    <t>Balrampur Chini Mills</t>
  </si>
  <si>
    <t xml:space="preserve">Global Health </t>
  </si>
  <si>
    <t>One 97 Communications</t>
  </si>
  <si>
    <t xml:space="preserve">Ajanta Pharma </t>
  </si>
  <si>
    <t xml:space="preserve">Mankind Pharma </t>
  </si>
  <si>
    <t xml:space="preserve">Sequent Scientific </t>
  </si>
  <si>
    <t>ICICI Prudential Life Insurance Company</t>
  </si>
  <si>
    <t xml:space="preserve">Suven Pharmaceuticals </t>
  </si>
  <si>
    <t xml:space="preserve">IPCA Laboratories </t>
  </si>
  <si>
    <t xml:space="preserve">MAN Industries India </t>
  </si>
  <si>
    <t>Motilal Oswal Financial Services</t>
  </si>
  <si>
    <t xml:space="preserve">Tata Power Co </t>
  </si>
  <si>
    <t xml:space="preserve">Coforge </t>
  </si>
  <si>
    <t>Quess Corp</t>
  </si>
  <si>
    <t xml:space="preserve">Infosys </t>
  </si>
  <si>
    <t xml:space="preserve">Tech Mahindra </t>
  </si>
  <si>
    <t>Syngene International</t>
  </si>
  <si>
    <t xml:space="preserve">PB Fintech </t>
  </si>
  <si>
    <t xml:space="preserve">Indus Towers </t>
  </si>
  <si>
    <t>ABB India</t>
  </si>
  <si>
    <t xml:space="preserve">Indo Count Industries </t>
  </si>
  <si>
    <t>Cash and Cash Equivalent</t>
  </si>
  <si>
    <t>Varroc Engineering</t>
  </si>
  <si>
    <t>Exide Industries</t>
  </si>
  <si>
    <t>Piramal Enterprises</t>
  </si>
  <si>
    <t>Onesource Specialty Pharma</t>
  </si>
  <si>
    <t>Emami</t>
  </si>
  <si>
    <t>Sunteck Realty</t>
  </si>
  <si>
    <t>Page Industries</t>
  </si>
  <si>
    <t>Strides Pharma Science</t>
  </si>
  <si>
    <t>APL Apollo Tubes</t>
  </si>
  <si>
    <t>Bharti Airtel RE</t>
  </si>
  <si>
    <t>IndusInd Bank</t>
  </si>
  <si>
    <t>Vedant Fashions</t>
  </si>
  <si>
    <t>Maruti Suzuki India</t>
  </si>
  <si>
    <t>Grasim Industries</t>
  </si>
  <si>
    <t>Elecon Engineering Company</t>
  </si>
  <si>
    <t>KEI Industries</t>
  </si>
  <si>
    <t>Cholamandalam Investment and Finance Company</t>
  </si>
  <si>
    <t>Kotak Mahindra</t>
  </si>
  <si>
    <t>Emcure Pharmaceuticals</t>
  </si>
  <si>
    <t>Pidilite Industries</t>
  </si>
  <si>
    <t>Others</t>
  </si>
  <si>
    <t>Meta Platforms Inc. Class A (FB)</t>
  </si>
  <si>
    <t>Alphabet Inc Class A (GOOGL)</t>
  </si>
  <si>
    <t>Narayana Hrud</t>
  </si>
  <si>
    <t>Tvs Motor Company</t>
  </si>
  <si>
    <t>Jk Tyre &amp; Industries</t>
  </si>
  <si>
    <t>Uno Minda</t>
  </si>
  <si>
    <t>Bharat Forge</t>
  </si>
  <si>
    <t>Pnb Housing Finance</t>
  </si>
  <si>
    <t>Aadhar Housing Finance</t>
  </si>
  <si>
    <t>Cholamandalam Investment And Finance Company</t>
  </si>
  <si>
    <t>Icici Bank</t>
  </si>
  <si>
    <t>Hdfc Bank</t>
  </si>
  <si>
    <t>Jk Cements</t>
  </si>
  <si>
    <t>Navin Fluorine International</t>
  </si>
  <si>
    <t>Dixon Technologies India</t>
  </si>
  <si>
    <t>Finolex Cables</t>
  </si>
  <si>
    <t>Kirloskar Pneumatic Company</t>
  </si>
  <si>
    <t>Bharat Heavy Electricals</t>
  </si>
  <si>
    <t>Ksb</t>
  </si>
  <si>
    <t>Hitachi Energy India</t>
  </si>
  <si>
    <t>Multi Commodity Exchange Of India</t>
  </si>
  <si>
    <t>Sequent Scientific</t>
  </si>
  <si>
    <t>Suven Pharmaceuticals</t>
  </si>
  <si>
    <t>Man Industries India</t>
  </si>
  <si>
    <t>Tata Power Co</t>
  </si>
  <si>
    <t>Tata Consultancy Services</t>
  </si>
  <si>
    <t>Pb Fintech</t>
  </si>
  <si>
    <t>Indus Towers</t>
  </si>
  <si>
    <t>Indo Count Industries</t>
  </si>
  <si>
    <t>Cash</t>
  </si>
  <si>
    <t>Ge T&amp;D India</t>
  </si>
  <si>
    <t>Dr. Reddy'S Labs</t>
  </si>
  <si>
    <t>Chalet Hotels</t>
  </si>
  <si>
    <t>Siemens</t>
  </si>
  <si>
    <t>GAIL (India)</t>
  </si>
  <si>
    <t>Cognizant Technology Solutions Corp Class A (CTSH)</t>
  </si>
  <si>
    <t>Dabur India</t>
  </si>
  <si>
    <t>Biocon</t>
  </si>
  <si>
    <t>Petronet Lng</t>
  </si>
  <si>
    <t>Sumitomo Chemical India</t>
  </si>
  <si>
    <t>Sansera Engineering</t>
  </si>
  <si>
    <t>Gna Axles</t>
  </si>
  <si>
    <t>Craftsman Automation</t>
  </si>
  <si>
    <t>Timken India</t>
  </si>
  <si>
    <t>Ceat</t>
  </si>
  <si>
    <t>Home First Finance Company India</t>
  </si>
  <si>
    <t>Karnataka Bank</t>
  </si>
  <si>
    <t>Jk Lakshmi Cement</t>
  </si>
  <si>
    <t>V2 Retail</t>
  </si>
  <si>
    <t>Eureka Forbes</t>
  </si>
  <si>
    <t>Amber Enterprises India</t>
  </si>
  <si>
    <t>Syrma Sgs Technology</t>
  </si>
  <si>
    <t>Sheela Foam</t>
  </si>
  <si>
    <t>Jyothy Laboratories</t>
  </si>
  <si>
    <t>Aditya Vision</t>
  </si>
  <si>
    <t>Avalon Technologies</t>
  </si>
  <si>
    <t>Pg Electroplast</t>
  </si>
  <si>
    <t>Cg Power And Industrial Solutions</t>
  </si>
  <si>
    <t>Carborundum Universal</t>
  </si>
  <si>
    <t>Vesuvius India</t>
  </si>
  <si>
    <t>Engineers India</t>
  </si>
  <si>
    <t>Concord Enviro Systems</t>
  </si>
  <si>
    <t>Linde India</t>
  </si>
  <si>
    <t>Godavari Biorefineries</t>
  </si>
  <si>
    <t>Cochin Shipyard</t>
  </si>
  <si>
    <t>Krishna Institute Of Medical Sciences</t>
  </si>
  <si>
    <t>Artemis Medicare Services</t>
  </si>
  <si>
    <t>Max Estates</t>
  </si>
  <si>
    <t>Latent View Analytics</t>
  </si>
  <si>
    <t>Mastek</t>
  </si>
  <si>
    <t>Happiest Minds Technologies</t>
  </si>
  <si>
    <t>Cyient</t>
  </si>
  <si>
    <t>Intellect Design Arena</t>
  </si>
  <si>
    <t>Gokaldas Exports</t>
  </si>
  <si>
    <t>Patanjali Foods</t>
  </si>
  <si>
    <t>Bajaj Finserv</t>
  </si>
  <si>
    <t>Torrent Pharmaceuticals</t>
  </si>
  <si>
    <t>Apl Apollo Tubes</t>
  </si>
  <si>
    <t>Adani Ports &amp; Special Economic Zone</t>
  </si>
  <si>
    <t>Dr Reddys Laboratories</t>
  </si>
  <si>
    <t>Divis Laboratories</t>
  </si>
  <si>
    <t>Bharti Airtel Pp</t>
  </si>
  <si>
    <t>Sona Blw Precision Forgings</t>
  </si>
  <si>
    <t>Affle India</t>
  </si>
  <si>
    <t>Kei Industries</t>
  </si>
  <si>
    <t>P I Industries</t>
  </si>
  <si>
    <t>Gravita India</t>
  </si>
  <si>
    <t>Info Edge India</t>
  </si>
  <si>
    <t>Jsw Infrastructure</t>
  </si>
  <si>
    <t>Apar Industries</t>
  </si>
  <si>
    <t>Solar Industries India</t>
  </si>
  <si>
    <t>Astral Poly Technik</t>
  </si>
  <si>
    <t>Max Financial Services</t>
  </si>
  <si>
    <t>Larsen And Toubro</t>
  </si>
  <si>
    <t>Aditya Birla Capital</t>
  </si>
  <si>
    <t>Jindal Stainless</t>
  </si>
  <si>
    <t>Jindal Steel And Power</t>
  </si>
  <si>
    <t>IIFL Finance</t>
  </si>
  <si>
    <t>DCM Shriram</t>
  </si>
  <si>
    <t>Akzo Nobel India</t>
  </si>
  <si>
    <t>Birla Corporation</t>
  </si>
  <si>
    <t>Aditya Birla Real Estate</t>
  </si>
  <si>
    <t>Aarti Pharmalabs</t>
  </si>
  <si>
    <t>IDFC First Bank</t>
  </si>
  <si>
    <t>Shriram Pistons And Rings</t>
  </si>
  <si>
    <t>Tata Communications</t>
  </si>
  <si>
    <t>Aarti Industries</t>
  </si>
  <si>
    <t>FSN E-Commerce</t>
  </si>
  <si>
    <t>SBI Cards</t>
  </si>
  <si>
    <t>UPL</t>
  </si>
  <si>
    <t>Motherson Wiring</t>
  </si>
  <si>
    <t>Sona BLW Precision</t>
  </si>
  <si>
    <t>AIA Engineering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</si>
</sst>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_-* #,##0.00_-;\-* #,##0.00_-;_-* &quot;-&quot;??_-;_-@_-"/>
    <numFmt numFmtId="181" formatCode="0.00000%"/>
    <numFmt numFmtId="182" formatCode="0.0000%"/>
    <numFmt numFmtId="183" formatCode="0.0%"/>
    <numFmt numFmtId="184" formatCode="0.0"/>
    <numFmt numFmtId="185" formatCode="0.000%"/>
    <numFmt numFmtId="186" formatCode="dd/mm/yyyy"/>
    <numFmt numFmtId="187" formatCode="dd/mmm/yy"/>
    <numFmt numFmtId="188" formatCode="mmm/yy"/>
    <numFmt numFmtId="189" formatCode="#,##0_ ;\-#,##0\ "/>
    <numFmt numFmtId="190" formatCode="&quot;₹&quot;\ #,##0"/>
  </numFmts>
  <fonts count="58">
    <font>
      <sz val="11"/>
      <color theme="1"/>
      <name val="Aptos Narrow"/>
      <charset val="134"/>
      <scheme val="minor"/>
    </font>
    <font>
      <sz val="11"/>
      <name val="Aptos Narrow"/>
      <charset val="134"/>
      <scheme val="minor"/>
    </font>
    <font>
      <b/>
      <sz val="10.5"/>
      <color rgb="FFFFFFFF"/>
      <name val="Aptos Narrow"/>
      <charset val="134"/>
      <scheme val="minor"/>
    </font>
    <font>
      <sz val="10.5"/>
      <color theme="1"/>
      <name val="Aptos Narrow"/>
      <charset val="134"/>
      <scheme val="minor"/>
    </font>
    <font>
      <sz val="10.5"/>
      <name val="Aptos Narrow"/>
      <charset val="134"/>
      <scheme val="minor"/>
    </font>
    <font>
      <b/>
      <sz val="11"/>
      <color theme="0"/>
      <name val="Aptos Narrow"/>
      <charset val="134"/>
      <scheme val="minor"/>
    </font>
    <font>
      <sz val="10"/>
      <color indexed="8"/>
      <name val="Aptos Narrow"/>
      <charset val="134"/>
      <scheme val="minor"/>
    </font>
    <font>
      <sz val="11"/>
      <color theme="1"/>
      <name val="Calibri"/>
      <charset val="134"/>
    </font>
    <font>
      <sz val="10"/>
      <color indexed="8"/>
      <name val="Calibri"/>
      <charset val="134"/>
    </font>
    <font>
      <sz val="11"/>
      <color indexed="8"/>
      <name val="Calibri"/>
      <charset val="134"/>
    </font>
    <font>
      <sz val="10.5"/>
      <color theme="0"/>
      <name val="Aptos Narrow"/>
      <charset val="134"/>
      <scheme val="minor"/>
    </font>
    <font>
      <b/>
      <sz val="10.5"/>
      <color theme="1"/>
      <name val="Aptos Narrow"/>
      <charset val="134"/>
      <scheme val="minor"/>
    </font>
    <font>
      <b/>
      <sz val="10.5"/>
      <name val="Aptos Narrow"/>
      <charset val="134"/>
      <scheme val="minor"/>
    </font>
    <font>
      <sz val="11"/>
      <color theme="0"/>
      <name val="Aptos Narrow"/>
      <charset val="134"/>
      <scheme val="minor"/>
    </font>
    <font>
      <sz val="10.8"/>
      <name val="Aptos Narrow"/>
      <charset val="134"/>
      <scheme val="minor"/>
    </font>
    <font>
      <sz val="10.5"/>
      <color rgb="FF00B050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0.8"/>
      <name val="Aptos Narrow"/>
      <charset val="134"/>
      <scheme val="minor"/>
    </font>
    <font>
      <sz val="10"/>
      <color theme="1"/>
      <name val="Arial Unicode MS"/>
      <charset val="134"/>
    </font>
    <font>
      <b/>
      <sz val="10"/>
      <color theme="1"/>
      <name val="Arial Unicode MS"/>
      <charset val="134"/>
    </font>
    <font>
      <sz val="10.8"/>
      <color theme="1"/>
      <name val="Aptos Narrow"/>
      <charset val="134"/>
      <scheme val="minor"/>
    </font>
    <font>
      <b/>
      <i/>
      <sz val="10"/>
      <color theme="1"/>
      <name val="Aptos Narrow"/>
      <charset val="134"/>
      <scheme val="minor"/>
    </font>
    <font>
      <b/>
      <sz val="10.8"/>
      <color theme="0"/>
      <name val="Aptos Narrow"/>
      <charset val="134"/>
      <scheme val="minor"/>
    </font>
    <font>
      <b/>
      <sz val="10.8"/>
      <color theme="1"/>
      <name val="Aptos Narrow"/>
      <charset val="134"/>
      <scheme val="minor"/>
    </font>
    <font>
      <b/>
      <sz val="10.5"/>
      <color theme="1"/>
      <name val="Calibri"/>
      <charset val="134"/>
    </font>
    <font>
      <sz val="10.5"/>
      <color theme="1"/>
      <name val="Calibri"/>
      <charset val="134"/>
    </font>
    <font>
      <i/>
      <sz val="10.5"/>
      <color theme="1"/>
      <name val="Calibri"/>
      <charset val="134"/>
    </font>
    <font>
      <b/>
      <i/>
      <sz val="10.5"/>
      <color theme="1"/>
      <name val="Calibri"/>
      <charset val="134"/>
    </font>
    <font>
      <b/>
      <sz val="10.5"/>
      <color rgb="FF0070C0"/>
      <name val="Aptos Narrow"/>
      <charset val="134"/>
      <scheme val="minor"/>
    </font>
    <font>
      <b/>
      <sz val="10.5"/>
      <color theme="0"/>
      <name val="Aptos Narrow"/>
      <charset val="134"/>
      <scheme val="minor"/>
    </font>
    <font>
      <sz val="10"/>
      <color theme="1"/>
      <name val="Aptos Narrow"/>
      <charset val="134"/>
      <scheme val="minor"/>
    </font>
    <font>
      <b/>
      <sz val="10.5"/>
      <color rgb="FF333333"/>
      <name val="Aptos Narrow"/>
      <charset val="134"/>
      <scheme val="minor"/>
    </font>
    <font>
      <b/>
      <sz val="10"/>
      <color theme="1"/>
      <name val="Aptos Narrow"/>
      <charset val="134"/>
      <scheme val="minor"/>
    </font>
    <font>
      <sz val="10.5"/>
      <color rgb="FFFF0000"/>
      <name val="Aptos Narrow"/>
      <charset val="134"/>
      <scheme val="minor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b/>
      <sz val="12"/>
      <color indexed="8"/>
      <name val="Arial"/>
      <charset val="134"/>
    </font>
    <font>
      <sz val="10"/>
      <name val="Arial"/>
      <charset val="134"/>
    </font>
    <font>
      <sz val="11"/>
      <color rgb="FF000000"/>
      <name val="Calibri"/>
      <charset val="1"/>
    </font>
    <font>
      <sz val="8"/>
      <color theme="1"/>
      <name val="Arial"/>
      <charset val="134"/>
    </font>
  </fonts>
  <fills count="50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rgb="FF003366"/>
        <bgColor rgb="FF000000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3" tint="0.899990844447157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9">
    <border>
      <left/>
      <right/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theme="4"/>
      </top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0.399975585192419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1">
    <xf numFmtId="0" fontId="0" fillId="0" borderId="0"/>
    <xf numFmtId="176" fontId="34" fillId="0" borderId="0" applyFont="0" applyFill="0" applyBorder="0" applyAlignment="0" applyProtection="0">
      <alignment vertical="center"/>
    </xf>
    <xf numFmtId="177" fontId="34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34" fillId="0" borderId="0" applyFont="0" applyFill="0" applyBorder="0" applyAlignment="0" applyProtection="0">
      <alignment vertical="center"/>
    </xf>
    <xf numFmtId="179" fontId="34" fillId="0" borderId="0" applyFon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4" fillId="19" borderId="61" applyNumberFormat="0" applyFont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0" borderId="0" applyNumberFormat="0" applyFill="0" applyBorder="0" applyAlignment="0" applyProtection="0">
      <alignment vertical="center"/>
    </xf>
    <xf numFmtId="0" fontId="39" fillId="0" borderId="0" applyNumberFormat="0" applyFill="0" applyBorder="0" applyAlignment="0" applyProtection="0">
      <alignment vertical="center"/>
    </xf>
    <xf numFmtId="0" fontId="40" fillId="0" borderId="62" applyNumberFormat="0" applyFill="0" applyAlignment="0" applyProtection="0">
      <alignment vertical="center"/>
    </xf>
    <xf numFmtId="0" fontId="41" fillId="0" borderId="62" applyNumberFormat="0" applyFill="0" applyAlignment="0" applyProtection="0">
      <alignment vertical="center"/>
    </xf>
    <xf numFmtId="0" fontId="42" fillId="0" borderId="63" applyNumberFormat="0" applyFill="0" applyAlignment="0" applyProtection="0">
      <alignment vertical="center"/>
    </xf>
    <xf numFmtId="0" fontId="42" fillId="0" borderId="0" applyNumberFormat="0" applyFill="0" applyBorder="0" applyAlignment="0" applyProtection="0">
      <alignment vertical="center"/>
    </xf>
    <xf numFmtId="0" fontId="43" fillId="20" borderId="64" applyNumberFormat="0" applyAlignment="0" applyProtection="0">
      <alignment vertical="center"/>
    </xf>
    <xf numFmtId="0" fontId="44" fillId="21" borderId="65" applyNumberFormat="0" applyAlignment="0" applyProtection="0">
      <alignment vertical="center"/>
    </xf>
    <xf numFmtId="0" fontId="45" fillId="21" borderId="64" applyNumberFormat="0" applyAlignment="0" applyProtection="0">
      <alignment vertical="center"/>
    </xf>
    <xf numFmtId="0" fontId="46" fillId="22" borderId="66" applyNumberFormat="0" applyAlignment="0" applyProtection="0">
      <alignment vertical="center"/>
    </xf>
    <xf numFmtId="0" fontId="47" fillId="0" borderId="67" applyNumberFormat="0" applyFill="0" applyAlignment="0" applyProtection="0">
      <alignment vertical="center"/>
    </xf>
    <xf numFmtId="0" fontId="48" fillId="0" borderId="68" applyNumberFormat="0" applyFill="0" applyAlignment="0" applyProtection="0">
      <alignment vertical="center"/>
    </xf>
    <xf numFmtId="0" fontId="49" fillId="23" borderId="0" applyNumberFormat="0" applyBorder="0" applyAlignment="0" applyProtection="0">
      <alignment vertical="center"/>
    </xf>
    <xf numFmtId="0" fontId="50" fillId="24" borderId="0" applyNumberFormat="0" applyBorder="0" applyAlignment="0" applyProtection="0">
      <alignment vertical="center"/>
    </xf>
    <xf numFmtId="0" fontId="51" fillId="25" borderId="0" applyNumberFormat="0" applyBorder="0" applyAlignment="0" applyProtection="0">
      <alignment vertical="center"/>
    </xf>
    <xf numFmtId="0" fontId="52" fillId="26" borderId="0" applyNumberFormat="0" applyBorder="0" applyAlignment="0" applyProtection="0">
      <alignment vertical="center"/>
    </xf>
    <xf numFmtId="0" fontId="53" fillId="27" borderId="0" applyNumberFormat="0" applyBorder="0" applyAlignment="0" applyProtection="0">
      <alignment vertical="center"/>
    </xf>
    <xf numFmtId="0" fontId="53" fillId="28" borderId="0" applyNumberFormat="0" applyBorder="0" applyAlignment="0" applyProtection="0">
      <alignment vertical="center"/>
    </xf>
    <xf numFmtId="0" fontId="52" fillId="29" borderId="0" applyNumberFormat="0" applyBorder="0" applyAlignment="0" applyProtection="0">
      <alignment vertical="center"/>
    </xf>
    <xf numFmtId="0" fontId="52" fillId="30" borderId="0" applyNumberFormat="0" applyBorder="0" applyAlignment="0" applyProtection="0">
      <alignment vertical="center"/>
    </xf>
    <xf numFmtId="0" fontId="53" fillId="31" borderId="0" applyNumberFormat="0" applyBorder="0" applyAlignment="0" applyProtection="0">
      <alignment vertical="center"/>
    </xf>
    <xf numFmtId="0" fontId="53" fillId="32" borderId="0" applyNumberFormat="0" applyBorder="0" applyAlignment="0" applyProtection="0">
      <alignment vertical="center"/>
    </xf>
    <xf numFmtId="0" fontId="52" fillId="33" borderId="0" applyNumberFormat="0" applyBorder="0" applyAlignment="0" applyProtection="0">
      <alignment vertical="center"/>
    </xf>
    <xf numFmtId="0" fontId="52" fillId="34" borderId="0" applyNumberFormat="0" applyBorder="0" applyAlignment="0" applyProtection="0">
      <alignment vertical="center"/>
    </xf>
    <xf numFmtId="0" fontId="53" fillId="35" borderId="0" applyNumberFormat="0" applyBorder="0" applyAlignment="0" applyProtection="0">
      <alignment vertical="center"/>
    </xf>
    <xf numFmtId="0" fontId="53" fillId="36" borderId="0" applyNumberFormat="0" applyBorder="0" applyAlignment="0" applyProtection="0">
      <alignment vertical="center"/>
    </xf>
    <xf numFmtId="0" fontId="52" fillId="37" borderId="0" applyNumberFormat="0" applyBorder="0" applyAlignment="0" applyProtection="0">
      <alignment vertical="center"/>
    </xf>
    <xf numFmtId="0" fontId="52" fillId="38" borderId="0" applyNumberFormat="0" applyBorder="0" applyAlignment="0" applyProtection="0">
      <alignment vertical="center"/>
    </xf>
    <xf numFmtId="0" fontId="53" fillId="39" borderId="0" applyNumberFormat="0" applyBorder="0" applyAlignment="0" applyProtection="0">
      <alignment vertical="center"/>
    </xf>
    <xf numFmtId="0" fontId="53" fillId="40" borderId="0" applyNumberFormat="0" applyBorder="0" applyAlignment="0" applyProtection="0">
      <alignment vertical="center"/>
    </xf>
    <xf numFmtId="0" fontId="52" fillId="41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3" fillId="43" borderId="0" applyNumberFormat="0" applyBorder="0" applyAlignment="0" applyProtection="0">
      <alignment vertical="center"/>
    </xf>
    <xf numFmtId="0" fontId="53" fillId="44" borderId="0" applyNumberFormat="0" applyBorder="0" applyAlignment="0" applyProtection="0">
      <alignment vertical="center"/>
    </xf>
    <xf numFmtId="0" fontId="52" fillId="45" borderId="0" applyNumberFormat="0" applyBorder="0" applyAlignment="0" applyProtection="0">
      <alignment vertical="center"/>
    </xf>
    <xf numFmtId="0" fontId="52" fillId="46" borderId="0" applyNumberFormat="0" applyBorder="0" applyAlignment="0" applyProtection="0">
      <alignment vertical="center"/>
    </xf>
    <xf numFmtId="0" fontId="53" fillId="47" borderId="0" applyNumberFormat="0" applyBorder="0" applyAlignment="0" applyProtection="0">
      <alignment vertical="center"/>
    </xf>
    <xf numFmtId="0" fontId="53" fillId="48" borderId="0" applyNumberFormat="0" applyBorder="0" applyAlignment="0" applyProtection="0">
      <alignment vertical="center"/>
    </xf>
    <xf numFmtId="0" fontId="52" fillId="49" borderId="0" applyNumberFormat="0" applyBorder="0" applyAlignment="0" applyProtection="0">
      <alignment vertical="center"/>
    </xf>
    <xf numFmtId="176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80" fontId="0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54" fillId="0" borderId="0" applyFont="0" applyFill="0" applyBorder="0" applyAlignment="0" applyProtection="0"/>
    <xf numFmtId="176" fontId="55" fillId="0" borderId="0" applyFont="0" applyFill="0" applyBorder="0" applyAlignment="0" applyProtection="0"/>
    <xf numFmtId="176" fontId="0" fillId="0" borderId="0" applyFont="0" applyFill="0" applyBorder="0" applyAlignment="0" applyProtection="0"/>
    <xf numFmtId="0" fontId="7" fillId="0" borderId="0"/>
    <xf numFmtId="0" fontId="0" fillId="0" borderId="0"/>
    <xf numFmtId="0" fontId="0" fillId="0" borderId="0"/>
    <xf numFmtId="0" fontId="56" fillId="0" borderId="0"/>
    <xf numFmtId="0" fontId="55" fillId="0" borderId="0"/>
    <xf numFmtId="0" fontId="56" fillId="0" borderId="0"/>
    <xf numFmtId="0" fontId="0" fillId="0" borderId="0"/>
    <xf numFmtId="0" fontId="57" fillId="0" borderId="0"/>
    <xf numFmtId="9" fontId="0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7" fillId="0" borderId="0" applyFont="0" applyFill="0" applyBorder="0" applyAlignment="0" applyProtection="0"/>
  </cellStyleXfs>
  <cellXfs count="527">
    <xf numFmtId="0" fontId="0" fillId="0" borderId="0" xfId="0"/>
    <xf numFmtId="0" fontId="0" fillId="2" borderId="0" xfId="0" applyFill="1"/>
    <xf numFmtId="10" fontId="0" fillId="0" borderId="0" xfId="3" applyNumberFormat="1" applyFont="1"/>
    <xf numFmtId="2" fontId="0" fillId="0" borderId="0" xfId="0" applyNumberFormat="1"/>
    <xf numFmtId="10" fontId="0" fillId="0" borderId="0" xfId="0" applyNumberFormat="1"/>
    <xf numFmtId="10" fontId="0" fillId="2" borderId="0" xfId="0" applyNumberFormat="1" applyFill="1"/>
    <xf numFmtId="10" fontId="0" fillId="0" borderId="0" xfId="3" applyNumberFormat="1" applyFont="1" applyAlignment="1">
      <alignment horizontal="center"/>
    </xf>
    <xf numFmtId="0" fontId="0" fillId="0" borderId="0" xfId="0" applyAlignment="1">
      <alignment vertical="center" wrapText="1"/>
    </xf>
    <xf numFmtId="10" fontId="0" fillId="0" borderId="0" xfId="0" applyNumberFormat="1" applyAlignment="1">
      <alignment vertical="center" wrapText="1"/>
    </xf>
    <xf numFmtId="0" fontId="1" fillId="2" borderId="0" xfId="0" applyFont="1" applyFill="1"/>
    <xf numFmtId="0" fontId="2" fillId="3" borderId="1" xfId="64" applyFont="1" applyFill="1" applyBorder="1" applyAlignment="1">
      <alignment horizontal="center" vertical="center"/>
    </xf>
    <xf numFmtId="0" fontId="2" fillId="3" borderId="2" xfId="64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10" fontId="3" fillId="0" borderId="4" xfId="0" applyNumberFormat="1" applyFont="1" applyBorder="1" applyAlignment="1">
      <alignment horizontal="center" vertical="center"/>
    </xf>
    <xf numFmtId="10" fontId="0" fillId="0" borderId="5" xfId="0" applyNumberFormat="1" applyBorder="1" applyAlignment="1">
      <alignment horizontal="center"/>
    </xf>
    <xf numFmtId="10" fontId="0" fillId="0" borderId="6" xfId="3" applyNumberFormat="1" applyFont="1" applyBorder="1" applyAlignment="1">
      <alignment horizontal="center"/>
    </xf>
    <xf numFmtId="10" fontId="0" fillId="0" borderId="0" xfId="0" applyNumberFormat="1" applyAlignment="1">
      <alignment horizontal="center"/>
    </xf>
    <xf numFmtId="10" fontId="0" fillId="0" borderId="7" xfId="0" applyNumberFormat="1" applyBorder="1" applyAlignment="1">
      <alignment horizontal="center"/>
    </xf>
    <xf numFmtId="0" fontId="4" fillId="4" borderId="3" xfId="62" applyFont="1" applyFill="1" applyBorder="1" applyAlignment="1">
      <alignment horizontal="center" wrapText="1"/>
    </xf>
    <xf numFmtId="10" fontId="0" fillId="0" borderId="6" xfId="0" applyNumberFormat="1" applyBorder="1" applyAlignment="1">
      <alignment horizontal="center"/>
    </xf>
    <xf numFmtId="10" fontId="1" fillId="4" borderId="3" xfId="0" applyNumberFormat="1" applyFont="1" applyFill="1" applyBorder="1" applyAlignment="1">
      <alignment horizontal="center"/>
    </xf>
    <xf numFmtId="9" fontId="3" fillId="5" borderId="8" xfId="0" applyNumberFormat="1" applyFont="1" applyFill="1" applyBorder="1" applyAlignment="1">
      <alignment horizontal="center" vertical="center"/>
    </xf>
    <xf numFmtId="9" fontId="3" fillId="5" borderId="4" xfId="0" applyNumberFormat="1" applyFont="1" applyFill="1" applyBorder="1" applyAlignment="1">
      <alignment horizontal="center" vertical="center"/>
    </xf>
    <xf numFmtId="10" fontId="0" fillId="0" borderId="0" xfId="3" applyNumberFormat="1" applyFont="1" applyBorder="1" applyAlignment="1">
      <alignment horizontal="center"/>
    </xf>
    <xf numFmtId="10" fontId="0" fillId="0" borderId="7" xfId="3" applyNumberFormat="1" applyFont="1" applyBorder="1" applyAlignment="1">
      <alignment horizontal="center"/>
    </xf>
    <xf numFmtId="10" fontId="1" fillId="5" borderId="3" xfId="0" applyNumberFormat="1" applyFont="1" applyFill="1" applyBorder="1" applyAlignment="1">
      <alignment horizontal="center"/>
    </xf>
    <xf numFmtId="9" fontId="3" fillId="0" borderId="4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/>
    </xf>
    <xf numFmtId="0" fontId="1" fillId="5" borderId="9" xfId="0" applyFont="1" applyFill="1" applyBorder="1" applyAlignment="1">
      <alignment horizontal="center"/>
    </xf>
    <xf numFmtId="10" fontId="0" fillId="0" borderId="10" xfId="3" applyNumberFormat="1" applyFont="1" applyBorder="1" applyAlignment="1">
      <alignment horizontal="center"/>
    </xf>
    <xf numFmtId="10" fontId="0" fillId="0" borderId="11" xfId="0" applyNumberFormat="1" applyBorder="1" applyAlignment="1">
      <alignment horizontal="center"/>
    </xf>
    <xf numFmtId="10" fontId="0" fillId="0" borderId="12" xfId="0" applyNumberFormat="1" applyBorder="1" applyAlignment="1">
      <alignment horizontal="center"/>
    </xf>
    <xf numFmtId="0" fontId="2" fillId="3" borderId="13" xfId="64" applyFont="1" applyFill="1" applyBorder="1" applyAlignment="1">
      <alignment horizontal="center" vertical="center"/>
    </xf>
    <xf numFmtId="0" fontId="2" fillId="3" borderId="5" xfId="64" applyFont="1" applyFill="1" applyBorder="1" applyAlignment="1">
      <alignment horizontal="center" vertical="center"/>
    </xf>
    <xf numFmtId="2" fontId="3" fillId="5" borderId="4" xfId="3" applyNumberFormat="1" applyFont="1" applyFill="1" applyBorder="1" applyAlignment="1">
      <alignment horizontal="center" vertical="center"/>
    </xf>
    <xf numFmtId="2" fontId="3" fillId="5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2" fontId="3" fillId="5" borderId="8" xfId="0" applyNumberFormat="1" applyFont="1" applyFill="1" applyBorder="1" applyAlignment="1">
      <alignment horizontal="center" vertical="center"/>
    </xf>
    <xf numFmtId="2" fontId="3" fillId="5" borderId="8" xfId="3" applyNumberFormat="1" applyFont="1" applyFill="1" applyBorder="1" applyAlignment="1">
      <alignment horizontal="center" vertical="center"/>
    </xf>
    <xf numFmtId="3" fontId="3" fillId="5" borderId="8" xfId="0" applyNumberFormat="1" applyFont="1" applyFill="1" applyBorder="1" applyAlignment="1">
      <alignment horizontal="center" vertical="center"/>
    </xf>
    <xf numFmtId="3" fontId="3" fillId="5" borderId="0" xfId="0" applyNumberFormat="1" applyFont="1" applyFill="1" applyAlignment="1">
      <alignment horizontal="center" vertical="center"/>
    </xf>
    <xf numFmtId="4" fontId="3" fillId="5" borderId="4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3" fillId="5" borderId="8" xfId="3" applyNumberFormat="1" applyFont="1" applyFill="1" applyBorder="1" applyAlignment="1">
      <alignment horizontal="center" vertical="center"/>
    </xf>
    <xf numFmtId="2" fontId="3" fillId="5" borderId="14" xfId="0" applyNumberFormat="1" applyFont="1" applyFill="1" applyBorder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3" fillId="5" borderId="15" xfId="3" applyNumberFormat="1" applyFont="1" applyFill="1" applyBorder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0" borderId="16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181" fontId="0" fillId="0" borderId="0" xfId="0" applyNumberFormat="1"/>
    <xf numFmtId="10" fontId="0" fillId="2" borderId="0" xfId="0" applyNumberFormat="1" applyFill="1" applyAlignment="1">
      <alignment horizontal="left"/>
    </xf>
    <xf numFmtId="9" fontId="0" fillId="0" borderId="0" xfId="0" applyNumberFormat="1"/>
    <xf numFmtId="182" fontId="0" fillId="0" borderId="0" xfId="0" applyNumberFormat="1"/>
    <xf numFmtId="0" fontId="5" fillId="6" borderId="17" xfId="0" applyFont="1" applyFill="1" applyBorder="1"/>
    <xf numFmtId="0" fontId="5" fillId="6" borderId="18" xfId="0" applyFont="1" applyFill="1" applyBorder="1"/>
    <xf numFmtId="0" fontId="0" fillId="7" borderId="19" xfId="0" applyFill="1" applyBorder="1"/>
    <xf numFmtId="0" fontId="4" fillId="8" borderId="3" xfId="62" applyFont="1" applyFill="1" applyBorder="1" applyAlignment="1">
      <alignment wrapText="1"/>
    </xf>
    <xf numFmtId="0" fontId="0" fillId="0" borderId="17" xfId="0" applyBorder="1"/>
    <xf numFmtId="10" fontId="0" fillId="7" borderId="20" xfId="3" applyNumberFormat="1" applyFont="1" applyFill="1" applyBorder="1"/>
    <xf numFmtId="10" fontId="0" fillId="0" borderId="17" xfId="0" applyNumberFormat="1" applyBorder="1"/>
    <xf numFmtId="0" fontId="0" fillId="0" borderId="19" xfId="0" applyBorder="1"/>
    <xf numFmtId="10" fontId="0" fillId="0" borderId="20" xfId="3" applyNumberFormat="1" applyFont="1" applyBorder="1"/>
    <xf numFmtId="0" fontId="5" fillId="6" borderId="21" xfId="0" applyFont="1" applyFill="1" applyBorder="1"/>
    <xf numFmtId="0" fontId="5" fillId="6" borderId="0" xfId="0" applyFont="1" applyFill="1"/>
    <xf numFmtId="0" fontId="0" fillId="7" borderId="22" xfId="0" applyFill="1" applyBorder="1"/>
    <xf numFmtId="10" fontId="0" fillId="7" borderId="20" xfId="0" applyNumberFormat="1" applyFill="1" applyBorder="1"/>
    <xf numFmtId="0" fontId="0" fillId="0" borderId="22" xfId="0" applyBorder="1"/>
    <xf numFmtId="10" fontId="0" fillId="0" borderId="20" xfId="0" applyNumberFormat="1" applyBorder="1"/>
    <xf numFmtId="9" fontId="0" fillId="0" borderId="0" xfId="3" applyFont="1"/>
    <xf numFmtId="9" fontId="0" fillId="0" borderId="0" xfId="3" applyFont="1" applyAlignment="1">
      <alignment horizontal="center"/>
    </xf>
    <xf numFmtId="0" fontId="4" fillId="9" borderId="3" xfId="64" applyFont="1" applyFill="1" applyBorder="1" applyAlignment="1">
      <alignment wrapText="1"/>
    </xf>
    <xf numFmtId="0" fontId="3" fillId="9" borderId="3" xfId="62" applyFont="1" applyFill="1" applyBorder="1" applyAlignment="1">
      <alignment wrapText="1"/>
    </xf>
    <xf numFmtId="10" fontId="6" fillId="0" borderId="4" xfId="0" applyNumberFormat="1" applyFont="1" applyBorder="1" applyAlignment="1">
      <alignment horizontal="left" vertical="center"/>
    </xf>
    <xf numFmtId="183" fontId="0" fillId="0" borderId="17" xfId="3" applyNumberFormat="1" applyFont="1" applyBorder="1" applyAlignment="1">
      <alignment horizontal="center"/>
    </xf>
    <xf numFmtId="0" fontId="0" fillId="0" borderId="18" xfId="0" applyBorder="1"/>
    <xf numFmtId="0" fontId="7" fillId="0" borderId="4" xfId="0" applyFont="1" applyBorder="1"/>
    <xf numFmtId="10" fontId="8" fillId="0" borderId="4" xfId="0" applyNumberFormat="1" applyFont="1" applyBorder="1" applyAlignment="1">
      <alignment horizontal="center" vertical="center"/>
    </xf>
    <xf numFmtId="10" fontId="7" fillId="0" borderId="4" xfId="3" applyNumberFormat="1" applyFont="1" applyBorder="1" applyAlignment="1">
      <alignment horizontal="center" vertical="center"/>
    </xf>
    <xf numFmtId="10" fontId="0" fillId="0" borderId="17" xfId="3" applyNumberFormat="1" applyFont="1" applyBorder="1"/>
    <xf numFmtId="0" fontId="9" fillId="0" borderId="4" xfId="59" applyFont="1" applyBorder="1"/>
    <xf numFmtId="0" fontId="10" fillId="10" borderId="3" xfId="62" applyFont="1" applyFill="1" applyBorder="1" applyAlignment="1">
      <alignment wrapText="1"/>
    </xf>
    <xf numFmtId="0" fontId="0" fillId="0" borderId="23" xfId="0" applyBorder="1"/>
    <xf numFmtId="0" fontId="0" fillId="0" borderId="24" xfId="0" applyBorder="1"/>
    <xf numFmtId="10" fontId="0" fillId="0" borderId="23" xfId="3" applyNumberFormat="1" applyFont="1" applyBorder="1"/>
    <xf numFmtId="0" fontId="0" fillId="0" borderId="13" xfId="0" applyBorder="1"/>
    <xf numFmtId="0" fontId="0" fillId="0" borderId="5" xfId="0" applyBorder="1"/>
    <xf numFmtId="0" fontId="0" fillId="0" borderId="6" xfId="0" applyBorder="1"/>
    <xf numFmtId="10" fontId="0" fillId="0" borderId="7" xfId="0" applyNumberFormat="1" applyBorder="1"/>
    <xf numFmtId="0" fontId="0" fillId="0" borderId="25" xfId="0" applyBorder="1"/>
    <xf numFmtId="0" fontId="0" fillId="0" borderId="7" xfId="0" applyBorder="1"/>
    <xf numFmtId="0" fontId="0" fillId="0" borderId="0" xfId="0" applyBorder="1"/>
    <xf numFmtId="0" fontId="0" fillId="0" borderId="10" xfId="0" applyBorder="1"/>
    <xf numFmtId="9" fontId="0" fillId="0" borderId="12" xfId="0" applyNumberFormat="1" applyBorder="1"/>
    <xf numFmtId="0" fontId="0" fillId="0" borderId="11" xfId="0" applyBorder="1"/>
    <xf numFmtId="0" fontId="0" fillId="0" borderId="12" xfId="0" applyBorder="1"/>
    <xf numFmtId="0" fontId="2" fillId="3" borderId="25" xfId="64" applyFont="1" applyFill="1" applyBorder="1" applyAlignment="1">
      <alignment horizontal="center" vertical="center"/>
    </xf>
    <xf numFmtId="0" fontId="11" fillId="0" borderId="26" xfId="0" applyFont="1" applyBorder="1" applyAlignment="1">
      <alignment horizontal="center" vertical="center" wrapText="1"/>
    </xf>
    <xf numFmtId="0" fontId="11" fillId="0" borderId="27" xfId="0" applyFont="1" applyBorder="1" applyAlignment="1">
      <alignment horizontal="center" vertical="center" wrapText="1"/>
    </xf>
    <xf numFmtId="0" fontId="11" fillId="0" borderId="28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11" borderId="4" xfId="0" applyFont="1" applyFill="1" applyBorder="1" applyAlignment="1">
      <alignment horizontal="center" vertical="center"/>
    </xf>
    <xf numFmtId="10" fontId="3" fillId="0" borderId="4" xfId="0" applyNumberFormat="1" applyFont="1" applyBorder="1"/>
    <xf numFmtId="183" fontId="3" fillId="0" borderId="4" xfId="0" applyNumberFormat="1" applyFont="1" applyBorder="1" applyAlignment="1">
      <alignment horizontal="center" vertical="center"/>
    </xf>
    <xf numFmtId="183" fontId="3" fillId="0" borderId="4" xfId="3" applyNumberFormat="1" applyFont="1" applyFill="1" applyBorder="1" applyAlignment="1">
      <alignment horizontal="center" vertical="center"/>
    </xf>
    <xf numFmtId="183" fontId="3" fillId="0" borderId="0" xfId="3" applyNumberFormat="1" applyFont="1" applyFill="1" applyBorder="1" applyAlignment="1">
      <alignment horizontal="center" vertical="center"/>
    </xf>
    <xf numFmtId="0" fontId="3" fillId="0" borderId="4" xfId="0" applyFont="1" applyBorder="1"/>
    <xf numFmtId="9" fontId="0" fillId="0" borderId="0" xfId="0" applyNumberFormat="1" applyAlignment="1">
      <alignment horizontal="center"/>
    </xf>
    <xf numFmtId="0" fontId="12" fillId="12" borderId="29" xfId="64" applyFont="1" applyFill="1" applyBorder="1"/>
    <xf numFmtId="183" fontId="0" fillId="0" borderId="0" xfId="3" applyNumberFormat="1" applyFont="1" applyAlignment="1">
      <alignment horizontal="center"/>
    </xf>
    <xf numFmtId="9" fontId="0" fillId="0" borderId="0" xfId="3" applyFont="1" applyFill="1" applyBorder="1" applyAlignment="1">
      <alignment horizontal="center"/>
    </xf>
    <xf numFmtId="0" fontId="4" fillId="9" borderId="3" xfId="62" applyFont="1" applyFill="1" applyBorder="1" applyAlignment="1">
      <alignment wrapText="1"/>
    </xf>
    <xf numFmtId="0" fontId="4" fillId="8" borderId="3" xfId="62" applyFont="1" applyFill="1" applyBorder="1" applyAlignment="1">
      <alignment horizontal="left" wrapText="1"/>
    </xf>
    <xf numFmtId="0" fontId="2" fillId="3" borderId="30" xfId="64" applyFont="1" applyFill="1" applyBorder="1" applyAlignment="1">
      <alignment horizontal="center" vertical="center"/>
    </xf>
    <xf numFmtId="0" fontId="2" fillId="3" borderId="0" xfId="64" applyFont="1" applyFill="1" applyAlignment="1">
      <alignment horizontal="center" vertical="center"/>
    </xf>
    <xf numFmtId="0" fontId="2" fillId="3" borderId="31" xfId="64" applyFont="1" applyFill="1" applyBorder="1" applyAlignment="1">
      <alignment horizontal="center" vertical="center"/>
    </xf>
    <xf numFmtId="0" fontId="2" fillId="3" borderId="8" xfId="64" applyFont="1" applyFill="1" applyBorder="1" applyAlignment="1">
      <alignment horizontal="center" vertical="center"/>
    </xf>
    <xf numFmtId="0" fontId="0" fillId="0" borderId="8" xfId="0" applyBorder="1" applyAlignment="1">
      <alignment horizontal="center"/>
    </xf>
    <xf numFmtId="10" fontId="0" fillId="0" borderId="8" xfId="3" applyNumberFormat="1" applyFont="1" applyBorder="1" applyAlignment="1">
      <alignment horizontal="center"/>
    </xf>
    <xf numFmtId="0" fontId="0" fillId="0" borderId="15" xfId="0" applyBorder="1" applyAlignment="1">
      <alignment horizontal="center"/>
    </xf>
    <xf numFmtId="10" fontId="0" fillId="0" borderId="32" xfId="3" applyNumberFormat="1" applyFont="1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3" xfId="3" applyNumberFormat="1" applyFont="1" applyBorder="1" applyAlignment="1">
      <alignment horizontal="center"/>
    </xf>
    <xf numFmtId="0" fontId="0" fillId="0" borderId="34" xfId="0" applyBorder="1" applyAlignment="1">
      <alignment horizontal="center"/>
    </xf>
    <xf numFmtId="10" fontId="0" fillId="0" borderId="35" xfId="3" applyNumberFormat="1" applyFont="1" applyBorder="1" applyAlignment="1">
      <alignment horizontal="center"/>
    </xf>
    <xf numFmtId="10" fontId="0" fillId="0" borderId="36" xfId="3" applyNumberFormat="1" applyFont="1" applyBorder="1" applyAlignment="1">
      <alignment horizontal="center"/>
    </xf>
    <xf numFmtId="0" fontId="0" fillId="0" borderId="37" xfId="0" applyBorder="1" applyAlignment="1">
      <alignment horizontal="center"/>
    </xf>
    <xf numFmtId="10" fontId="0" fillId="0" borderId="37" xfId="3" applyNumberFormat="1" applyFont="1" applyBorder="1" applyAlignment="1">
      <alignment horizontal="center"/>
    </xf>
    <xf numFmtId="0" fontId="2" fillId="3" borderId="26" xfId="64" applyFont="1" applyFill="1" applyBorder="1" applyAlignment="1">
      <alignment horizontal="center" vertical="center"/>
    </xf>
    <xf numFmtId="0" fontId="2" fillId="3" borderId="27" xfId="64" applyFont="1" applyFill="1" applyBorder="1" applyAlignment="1">
      <alignment horizontal="center" vertical="center"/>
    </xf>
    <xf numFmtId="0" fontId="2" fillId="3" borderId="28" xfId="64" applyFont="1" applyFill="1" applyBorder="1" applyAlignment="1">
      <alignment horizontal="center" vertical="center"/>
    </xf>
    <xf numFmtId="0" fontId="2" fillId="3" borderId="38" xfId="64" applyFont="1" applyFill="1" applyBorder="1" applyAlignment="1">
      <alignment horizontal="center" vertical="center"/>
    </xf>
    <xf numFmtId="0" fontId="2" fillId="3" borderId="39" xfId="64" applyFont="1" applyFill="1" applyBorder="1" applyAlignment="1">
      <alignment horizontal="center" vertical="center"/>
    </xf>
    <xf numFmtId="0" fontId="0" fillId="0" borderId="8" xfId="0" applyBorder="1" applyAlignment="1">
      <alignment horizontal="left"/>
    </xf>
    <xf numFmtId="183" fontId="0" fillId="0" borderId="30" xfId="0" applyNumberFormat="1" applyBorder="1" applyAlignment="1">
      <alignment horizontal="center"/>
    </xf>
    <xf numFmtId="183" fontId="0" fillId="0" borderId="40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0" fontId="0" fillId="0" borderId="5" xfId="3" applyNumberFormat="1" applyFont="1" applyBorder="1" applyAlignment="1">
      <alignment horizontal="center"/>
    </xf>
    <xf numFmtId="0" fontId="0" fillId="0" borderId="33" xfId="0" applyBorder="1" applyAlignment="1">
      <alignment horizontal="left"/>
    </xf>
    <xf numFmtId="183" fontId="0" fillId="0" borderId="15" xfId="0" applyNumberFormat="1" applyBorder="1" applyAlignment="1">
      <alignment horizontal="center"/>
    </xf>
    <xf numFmtId="183" fontId="0" fillId="0" borderId="32" xfId="0" applyNumberForma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7" xfId="0" applyBorder="1" applyAlignment="1">
      <alignment horizontal="left"/>
    </xf>
    <xf numFmtId="183" fontId="0" fillId="0" borderId="34" xfId="0" applyNumberFormat="1" applyBorder="1" applyAlignment="1">
      <alignment horizontal="center"/>
    </xf>
    <xf numFmtId="183" fontId="0" fillId="0" borderId="36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10" fontId="0" fillId="0" borderId="12" xfId="3" applyNumberFormat="1" applyFont="1" applyBorder="1" applyAlignment="1">
      <alignment horizontal="center"/>
    </xf>
    <xf numFmtId="0" fontId="13" fillId="0" borderId="0" xfId="0" applyFont="1"/>
    <xf numFmtId="0" fontId="2" fillId="3" borderId="34" xfId="64" applyFont="1" applyFill="1" applyBorder="1" applyAlignment="1">
      <alignment horizontal="center" vertical="center"/>
    </xf>
    <xf numFmtId="0" fontId="2" fillId="3" borderId="35" xfId="64" applyFont="1" applyFill="1" applyBorder="1" applyAlignment="1">
      <alignment horizontal="center" vertical="center"/>
    </xf>
    <xf numFmtId="0" fontId="2" fillId="3" borderId="41" xfId="64" applyFont="1" applyFill="1" applyBorder="1" applyAlignment="1">
      <alignment horizontal="center" vertical="center"/>
    </xf>
    <xf numFmtId="0" fontId="2" fillId="3" borderId="42" xfId="64" applyFont="1" applyFill="1" applyBorder="1" applyAlignment="1">
      <alignment horizontal="center" vertical="center"/>
    </xf>
    <xf numFmtId="10" fontId="0" fillId="0" borderId="30" xfId="0" applyNumberFormat="1" applyBorder="1" applyAlignment="1">
      <alignment horizontal="center"/>
    </xf>
    <xf numFmtId="10" fontId="0" fillId="0" borderId="40" xfId="0" applyNumberFormat="1" applyBorder="1" applyAlignment="1">
      <alignment horizontal="center"/>
    </xf>
    <xf numFmtId="10" fontId="0" fillId="0" borderId="15" xfId="0" applyNumberFormat="1" applyBorder="1" applyAlignment="1">
      <alignment horizontal="center"/>
    </xf>
    <xf numFmtId="10" fontId="0" fillId="0" borderId="32" xfId="0" applyNumberFormat="1" applyBorder="1" applyAlignment="1">
      <alignment horizontal="center"/>
    </xf>
    <xf numFmtId="10" fontId="0" fillId="0" borderId="34" xfId="0" applyNumberFormat="1" applyBorder="1" applyAlignment="1">
      <alignment horizontal="center"/>
    </xf>
    <xf numFmtId="10" fontId="0" fillId="0" borderId="36" xfId="0" applyNumberFormat="1" applyBorder="1" applyAlignment="1">
      <alignment horizontal="center"/>
    </xf>
    <xf numFmtId="0" fontId="2" fillId="3" borderId="43" xfId="64" applyFont="1" applyFill="1" applyBorder="1" applyAlignment="1">
      <alignment horizontal="center" vertical="center"/>
    </xf>
    <xf numFmtId="0" fontId="14" fillId="11" borderId="43" xfId="0" applyFont="1" applyFill="1" applyBorder="1" applyAlignment="1">
      <alignment horizontal="center" vertical="center"/>
    </xf>
    <xf numFmtId="183" fontId="0" fillId="0" borderId="5" xfId="3" applyNumberFormat="1" applyFont="1" applyBorder="1" applyAlignment="1">
      <alignment horizontal="center"/>
    </xf>
    <xf numFmtId="0" fontId="14" fillId="11" borderId="3" xfId="0" applyFont="1" applyFill="1" applyBorder="1" applyAlignment="1">
      <alignment horizontal="center" vertical="center"/>
    </xf>
    <xf numFmtId="183" fontId="0" fillId="0" borderId="7" xfId="3" applyNumberFormat="1" applyFont="1" applyBorder="1" applyAlignment="1">
      <alignment horizontal="center"/>
    </xf>
    <xf numFmtId="0" fontId="14" fillId="11" borderId="9" xfId="0" applyFont="1" applyFill="1" applyBorder="1" applyAlignment="1">
      <alignment horizontal="center" vertical="center"/>
    </xf>
    <xf numFmtId="183" fontId="0" fillId="0" borderId="12" xfId="3" applyNumberFormat="1" applyFont="1" applyBorder="1" applyAlignment="1">
      <alignment horizontal="center"/>
    </xf>
    <xf numFmtId="0" fontId="2" fillId="3" borderId="13" xfId="64" applyFont="1" applyFill="1" applyBorder="1" applyAlignment="1">
      <alignment vertical="center"/>
    </xf>
    <xf numFmtId="0" fontId="2" fillId="3" borderId="25" xfId="64" applyFont="1" applyFill="1" applyBorder="1" applyAlignment="1">
      <alignment vertical="center"/>
    </xf>
    <xf numFmtId="1" fontId="0" fillId="0" borderId="8" xfId="0" applyNumberFormat="1" applyBorder="1" applyAlignment="1">
      <alignment horizontal="center"/>
    </xf>
    <xf numFmtId="184" fontId="0" fillId="0" borderId="40" xfId="0" applyNumberFormat="1" applyBorder="1" applyAlignment="1">
      <alignment horizontal="center"/>
    </xf>
    <xf numFmtId="184" fontId="0" fillId="0" borderId="32" xfId="0" applyNumberFormat="1" applyBorder="1" applyAlignment="1">
      <alignment horizontal="center"/>
    </xf>
    <xf numFmtId="2" fontId="0" fillId="0" borderId="32" xfId="0" applyNumberFormat="1" applyBorder="1" applyAlignment="1">
      <alignment horizontal="center"/>
    </xf>
    <xf numFmtId="2" fontId="0" fillId="0" borderId="36" xfId="0" applyNumberFormat="1" applyBorder="1" applyAlignment="1">
      <alignment horizontal="center"/>
    </xf>
    <xf numFmtId="183" fontId="0" fillId="0" borderId="0" xfId="3" applyNumberFormat="1" applyFont="1" applyBorder="1" applyAlignment="1">
      <alignment horizontal="center"/>
    </xf>
    <xf numFmtId="0" fontId="2" fillId="3" borderId="13" xfId="64" applyFont="1" applyFill="1" applyBorder="1" applyAlignment="1">
      <alignment horizontal="left" vertical="center"/>
    </xf>
    <xf numFmtId="0" fontId="12" fillId="12" borderId="44" xfId="64" applyFont="1" applyFill="1" applyBorder="1"/>
    <xf numFmtId="183" fontId="12" fillId="12" borderId="42" xfId="64" applyNumberFormat="1" applyFont="1" applyFill="1" applyBorder="1" applyAlignment="1">
      <alignment horizontal="center"/>
    </xf>
    <xf numFmtId="0" fontId="4" fillId="0" borderId="3" xfId="64" applyFont="1" applyBorder="1" applyAlignment="1">
      <alignment wrapText="1"/>
    </xf>
    <xf numFmtId="0" fontId="0" fillId="0" borderId="3" xfId="0" applyBorder="1"/>
    <xf numFmtId="0" fontId="3" fillId="0" borderId="3" xfId="64" applyFont="1" applyBorder="1" applyAlignment="1">
      <alignment wrapText="1"/>
    </xf>
    <xf numFmtId="0" fontId="4" fillId="0" borderId="9" xfId="64" applyFont="1" applyBorder="1" applyAlignment="1">
      <alignment wrapText="1"/>
    </xf>
    <xf numFmtId="0" fontId="15" fillId="0" borderId="3" xfId="64" applyFont="1" applyBorder="1" applyAlignment="1">
      <alignment wrapText="1"/>
    </xf>
    <xf numFmtId="183" fontId="4" fillId="5" borderId="3" xfId="64" applyNumberFormat="1" applyFont="1" applyFill="1" applyBorder="1" applyAlignment="1">
      <alignment horizontal="center" vertical="center" wrapText="1"/>
    </xf>
    <xf numFmtId="0" fontId="15" fillId="5" borderId="3" xfId="64" applyFont="1" applyFill="1" applyBorder="1" applyAlignment="1">
      <alignment wrapText="1"/>
    </xf>
    <xf numFmtId="9" fontId="0" fillId="0" borderId="12" xfId="3" applyFont="1" applyBorder="1" applyAlignment="1">
      <alignment horizontal="center"/>
    </xf>
    <xf numFmtId="0" fontId="0" fillId="0" borderId="9" xfId="0" applyBorder="1"/>
    <xf numFmtId="183" fontId="12" fillId="12" borderId="44" xfId="3" applyNumberFormat="1" applyFont="1" applyFill="1" applyBorder="1" applyAlignment="1">
      <alignment horizontal="center"/>
    </xf>
    <xf numFmtId="183" fontId="12" fillId="12" borderId="2" xfId="3" applyNumberFormat="1" applyFont="1" applyFill="1" applyBorder="1" applyAlignment="1">
      <alignment horizontal="center"/>
    </xf>
    <xf numFmtId="183" fontId="12" fillId="12" borderId="42" xfId="3" applyNumberFormat="1" applyFont="1" applyFill="1" applyBorder="1" applyAlignment="1">
      <alignment horizontal="center"/>
    </xf>
    <xf numFmtId="183" fontId="0" fillId="0" borderId="6" xfId="3" applyNumberFormat="1" applyFont="1" applyBorder="1" applyAlignment="1">
      <alignment horizontal="center"/>
    </xf>
    <xf numFmtId="183" fontId="0" fillId="0" borderId="10" xfId="3" applyNumberFormat="1" applyFont="1" applyBorder="1" applyAlignment="1">
      <alignment horizontal="center"/>
    </xf>
    <xf numFmtId="183" fontId="0" fillId="0" borderId="11" xfId="3" applyNumberFormat="1" applyFont="1" applyBorder="1" applyAlignment="1">
      <alignment horizontal="center"/>
    </xf>
    <xf numFmtId="0" fontId="2" fillId="3" borderId="25" xfId="64" applyFont="1" applyFill="1" applyBorder="1" applyAlignment="1">
      <alignment horizontal="left" vertical="center"/>
    </xf>
    <xf numFmtId="0" fontId="12" fillId="12" borderId="2" xfId="64" applyFont="1" applyFill="1" applyBorder="1"/>
    <xf numFmtId="0" fontId="0" fillId="0" borderId="43" xfId="0" applyBorder="1"/>
    <xf numFmtId="183" fontId="0" fillId="0" borderId="13" xfId="3" applyNumberFormat="1" applyFont="1" applyBorder="1" applyAlignment="1">
      <alignment horizontal="center"/>
    </xf>
    <xf numFmtId="183" fontId="0" fillId="0" borderId="25" xfId="3" applyNumberFormat="1" applyFont="1" applyBorder="1" applyAlignment="1">
      <alignment horizontal="center"/>
    </xf>
    <xf numFmtId="0" fontId="2" fillId="3" borderId="5" xfId="64" applyFont="1" applyFill="1" applyBorder="1" applyAlignment="1">
      <alignment horizontal="left" vertical="center"/>
    </xf>
    <xf numFmtId="0" fontId="12" fillId="12" borderId="42" xfId="64" applyFont="1" applyFill="1" applyBorder="1"/>
    <xf numFmtId="0" fontId="2" fillId="3" borderId="6" xfId="64" applyFont="1" applyFill="1" applyBorder="1" applyAlignment="1">
      <alignment horizontal="center" vertical="center"/>
    </xf>
    <xf numFmtId="0" fontId="2" fillId="3" borderId="45" xfId="64" applyFont="1" applyFill="1" applyBorder="1" applyAlignment="1">
      <alignment horizontal="center" vertical="center"/>
    </xf>
    <xf numFmtId="183" fontId="0" fillId="0" borderId="7" xfId="3" applyNumberFormat="1" applyFont="1" applyFill="1" applyBorder="1" applyAlignment="1">
      <alignment horizontal="center"/>
    </xf>
    <xf numFmtId="183" fontId="0" fillId="0" borderId="6" xfId="3" applyNumberFormat="1" applyFont="1" applyFill="1" applyBorder="1" applyAlignment="1">
      <alignment horizontal="center"/>
    </xf>
    <xf numFmtId="183" fontId="0" fillId="0" borderId="0" xfId="3" applyNumberFormat="1" applyFont="1" applyFill="1" applyBorder="1" applyAlignment="1">
      <alignment horizontal="center"/>
    </xf>
    <xf numFmtId="2" fontId="0" fillId="0" borderId="13" xfId="3" applyNumberFormat="1" applyFont="1" applyFill="1" applyBorder="1" applyAlignment="1">
      <alignment horizontal="center"/>
    </xf>
    <xf numFmtId="2" fontId="0" fillId="0" borderId="6" xfId="3" applyNumberFormat="1" applyFont="1" applyFill="1" applyBorder="1" applyAlignment="1">
      <alignment horizontal="center"/>
    </xf>
    <xf numFmtId="2" fontId="0" fillId="0" borderId="10" xfId="3" applyNumberFormat="1" applyFont="1" applyBorder="1" applyAlignment="1">
      <alignment horizontal="center"/>
    </xf>
    <xf numFmtId="2" fontId="0" fillId="0" borderId="13" xfId="3" applyNumberFormat="1" applyFont="1" applyBorder="1" applyAlignment="1">
      <alignment horizontal="center"/>
    </xf>
    <xf numFmtId="2" fontId="0" fillId="0" borderId="6" xfId="3" applyNumberFormat="1" applyFont="1" applyBorder="1" applyAlignment="1">
      <alignment horizontal="center"/>
    </xf>
    <xf numFmtId="0" fontId="2" fillId="3" borderId="6" xfId="64" applyFont="1" applyFill="1" applyBorder="1" applyAlignment="1">
      <alignment horizontal="left" vertical="center"/>
    </xf>
    <xf numFmtId="0" fontId="2" fillId="3" borderId="7" xfId="64" applyFont="1" applyFill="1" applyBorder="1" applyAlignment="1">
      <alignment horizontal="center" vertical="center"/>
    </xf>
    <xf numFmtId="0" fontId="2" fillId="3" borderId="44" xfId="64" applyFont="1" applyFill="1" applyBorder="1" applyAlignment="1">
      <alignment horizontal="center" vertical="center"/>
    </xf>
    <xf numFmtId="9" fontId="0" fillId="0" borderId="0" xfId="3" applyFont="1" applyBorder="1" applyAlignment="1">
      <alignment horizontal="center"/>
    </xf>
    <xf numFmtId="9" fontId="0" fillId="0" borderId="7" xfId="3" applyFont="1" applyBorder="1" applyAlignment="1">
      <alignment horizontal="center"/>
    </xf>
    <xf numFmtId="2" fontId="0" fillId="0" borderId="10" xfId="0" applyNumberFormat="1" applyBorder="1"/>
    <xf numFmtId="0" fontId="16" fillId="8" borderId="13" xfId="0" applyFont="1" applyFill="1" applyBorder="1" applyAlignment="1">
      <alignment horizontal="center" vertical="center" wrapText="1"/>
    </xf>
    <xf numFmtId="0" fontId="16" fillId="8" borderId="5" xfId="0" applyFont="1" applyFill="1" applyBorder="1" applyAlignment="1">
      <alignment horizontal="center" vertical="center" wrapText="1"/>
    </xf>
    <xf numFmtId="183" fontId="0" fillId="0" borderId="0" xfId="3" applyNumberFormat="1" applyFont="1"/>
    <xf numFmtId="0" fontId="16" fillId="8" borderId="10" xfId="0" applyFont="1" applyFill="1" applyBorder="1" applyAlignment="1">
      <alignment horizontal="center" vertical="center" wrapText="1"/>
    </xf>
    <xf numFmtId="0" fontId="16" fillId="8" borderId="12" xfId="0" applyFont="1" applyFill="1" applyBorder="1" applyAlignment="1">
      <alignment horizontal="center" vertical="center" wrapText="1"/>
    </xf>
    <xf numFmtId="183" fontId="0" fillId="0" borderId="0" xfId="0" applyNumberFormat="1"/>
    <xf numFmtId="1" fontId="0" fillId="0" borderId="0" xfId="0" applyNumberFormat="1"/>
    <xf numFmtId="1" fontId="0" fillId="0" borderId="43" xfId="0" applyNumberFormat="1" applyBorder="1" applyAlignment="1">
      <alignment horizontal="center"/>
    </xf>
    <xf numFmtId="1" fontId="0" fillId="0" borderId="3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3" borderId="10" xfId="64" applyFont="1" applyFill="1" applyBorder="1" applyAlignment="1">
      <alignment horizontal="center" vertical="center"/>
    </xf>
    <xf numFmtId="0" fontId="2" fillId="3" borderId="11" xfId="64" applyFont="1" applyFill="1" applyBorder="1" applyAlignment="1">
      <alignment horizontal="center" vertical="center"/>
    </xf>
    <xf numFmtId="0" fontId="2" fillId="3" borderId="3" xfId="64" applyFont="1" applyFill="1" applyBorder="1" applyAlignment="1">
      <alignment vertical="center"/>
    </xf>
    <xf numFmtId="0" fontId="2" fillId="3" borderId="12" xfId="64" applyFont="1" applyFill="1" applyBorder="1" applyAlignment="1">
      <alignment horizontal="center" vertical="center"/>
    </xf>
    <xf numFmtId="0" fontId="2" fillId="3" borderId="3" xfId="64" applyFont="1" applyFill="1" applyBorder="1" applyAlignment="1">
      <alignment horizontal="center" vertical="center"/>
    </xf>
    <xf numFmtId="9" fontId="17" fillId="11" borderId="40" xfId="0" applyNumberFormat="1" applyFont="1" applyFill="1" applyBorder="1" applyAlignment="1">
      <alignment horizontal="center" vertical="center"/>
    </xf>
    <xf numFmtId="9" fontId="17" fillId="11" borderId="8" xfId="0" applyNumberFormat="1" applyFont="1" applyFill="1" applyBorder="1" applyAlignment="1">
      <alignment horizontal="center" vertical="center"/>
    </xf>
    <xf numFmtId="2" fontId="0" fillId="0" borderId="25" xfId="3" applyNumberFormat="1" applyFont="1" applyFill="1" applyBorder="1" applyAlignment="1">
      <alignment horizontal="center"/>
    </xf>
    <xf numFmtId="2" fontId="0" fillId="0" borderId="5" xfId="3" applyNumberFormat="1" applyFont="1" applyFill="1" applyBorder="1" applyAlignment="1">
      <alignment horizontal="center"/>
    </xf>
    <xf numFmtId="0" fontId="18" fillId="0" borderId="3" xfId="0" applyFont="1" applyBorder="1" applyAlignment="1">
      <alignment vertical="center"/>
    </xf>
    <xf numFmtId="10" fontId="0" fillId="0" borderId="0" xfId="3" applyNumberFormat="1" applyFont="1" applyFill="1" applyBorder="1" applyAlignment="1">
      <alignment horizontal="center"/>
    </xf>
    <xf numFmtId="2" fontId="0" fillId="0" borderId="0" xfId="3" applyNumberFormat="1" applyFont="1" applyFill="1" applyBorder="1" applyAlignment="1">
      <alignment horizontal="center"/>
    </xf>
    <xf numFmtId="2" fontId="0" fillId="0" borderId="7" xfId="3" applyNumberFormat="1" applyFont="1" applyFill="1" applyBorder="1" applyAlignment="1">
      <alignment horizontal="center"/>
    </xf>
    <xf numFmtId="2" fontId="0" fillId="0" borderId="11" xfId="3" applyNumberFormat="1" applyFont="1" applyBorder="1" applyAlignment="1">
      <alignment horizontal="center"/>
    </xf>
    <xf numFmtId="2" fontId="0" fillId="0" borderId="12" xfId="3" applyNumberFormat="1" applyFont="1" applyBorder="1" applyAlignment="1">
      <alignment horizontal="center"/>
    </xf>
    <xf numFmtId="0" fontId="19" fillId="13" borderId="3" xfId="0" applyFont="1" applyFill="1" applyBorder="1" applyAlignment="1">
      <alignment vertical="center"/>
    </xf>
    <xf numFmtId="0" fontId="0" fillId="13" borderId="0" xfId="0" applyFill="1" applyAlignment="1">
      <alignment horizontal="center"/>
    </xf>
    <xf numFmtId="183" fontId="0" fillId="13" borderId="0" xfId="3" applyNumberFormat="1" applyFont="1" applyFill="1" applyBorder="1" applyAlignment="1">
      <alignment horizontal="center"/>
    </xf>
    <xf numFmtId="2" fontId="0" fillId="0" borderId="25" xfId="3" applyNumberFormat="1" applyFont="1" applyBorder="1" applyAlignment="1">
      <alignment horizontal="center"/>
    </xf>
    <xf numFmtId="2" fontId="0" fillId="0" borderId="5" xfId="3" applyNumberFormat="1" applyFont="1" applyBorder="1" applyAlignment="1">
      <alignment horizontal="center"/>
    </xf>
    <xf numFmtId="2" fontId="0" fillId="0" borderId="0" xfId="3" applyNumberFormat="1" applyFont="1" applyBorder="1" applyAlignment="1">
      <alignment horizontal="center"/>
    </xf>
    <xf numFmtId="2" fontId="0" fillId="0" borderId="7" xfId="3" applyNumberFormat="1" applyFont="1" applyBorder="1" applyAlignment="1">
      <alignment horizontal="center"/>
    </xf>
    <xf numFmtId="184" fontId="0" fillId="0" borderId="0" xfId="0" applyNumberFormat="1" applyAlignment="1">
      <alignment horizontal="center"/>
    </xf>
    <xf numFmtId="2" fontId="0" fillId="0" borderId="12" xfId="0" applyNumberFormat="1" applyBorder="1"/>
    <xf numFmtId="2" fontId="0" fillId="0" borderId="11" xfId="0" applyNumberFormat="1" applyBorder="1"/>
    <xf numFmtId="0" fontId="19" fillId="13" borderId="9" xfId="0" applyFont="1" applyFill="1" applyBorder="1" applyAlignment="1">
      <alignment vertical="center"/>
    </xf>
    <xf numFmtId="0" fontId="0" fillId="13" borderId="11" xfId="0" applyFill="1" applyBorder="1" applyAlignment="1">
      <alignment horizontal="center"/>
    </xf>
    <xf numFmtId="183" fontId="0" fillId="13" borderId="11" xfId="3" applyNumberFormat="1" applyFont="1" applyFill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17" fillId="11" borderId="46" xfId="0" applyFont="1" applyFill="1" applyBorder="1" applyAlignment="1">
      <alignment horizontal="center" vertical="center"/>
    </xf>
    <xf numFmtId="183" fontId="0" fillId="13" borderId="7" xfId="3" applyNumberFormat="1" applyFont="1" applyFill="1" applyBorder="1" applyAlignment="1">
      <alignment horizontal="center"/>
    </xf>
    <xf numFmtId="183" fontId="0" fillId="13" borderId="12" xfId="3" applyNumberFormat="1" applyFont="1" applyFill="1" applyBorder="1" applyAlignment="1">
      <alignment horizontal="center"/>
    </xf>
    <xf numFmtId="10" fontId="1" fillId="0" borderId="5" xfId="3" applyNumberFormat="1" applyFont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0" fontId="13" fillId="5" borderId="0" xfId="3" applyNumberFormat="1" applyFont="1" applyFill="1" applyAlignment="1">
      <alignment horizontal="center"/>
    </xf>
    <xf numFmtId="0" fontId="13" fillId="5" borderId="0" xfId="0" applyFont="1" applyFill="1"/>
    <xf numFmtId="0" fontId="17" fillId="11" borderId="47" xfId="0" applyFont="1" applyFill="1" applyBorder="1" applyAlignment="1">
      <alignment horizontal="center" vertical="center"/>
    </xf>
    <xf numFmtId="0" fontId="17" fillId="11" borderId="1" xfId="0" applyFont="1" applyFill="1" applyBorder="1" applyAlignment="1">
      <alignment horizontal="center" vertical="center"/>
    </xf>
    <xf numFmtId="0" fontId="17" fillId="11" borderId="48" xfId="0" applyFont="1" applyFill="1" applyBorder="1" applyAlignment="1">
      <alignment horizontal="center" vertical="center"/>
    </xf>
    <xf numFmtId="0" fontId="17" fillId="11" borderId="49" xfId="0" applyFont="1" applyFill="1" applyBorder="1" applyAlignment="1">
      <alignment horizontal="center" vertical="center"/>
    </xf>
    <xf numFmtId="183" fontId="0" fillId="13" borderId="0" xfId="3" applyNumberFormat="1" applyFont="1" applyFill="1" applyAlignment="1">
      <alignment horizontal="center"/>
    </xf>
    <xf numFmtId="10" fontId="0" fillId="13" borderId="0" xfId="3" applyNumberFormat="1" applyFont="1" applyFill="1" applyBorder="1" applyAlignment="1">
      <alignment horizontal="center"/>
    </xf>
    <xf numFmtId="0" fontId="2" fillId="3" borderId="40" xfId="64" applyFont="1" applyFill="1" applyBorder="1" applyAlignment="1">
      <alignment horizontal="center" vertical="center"/>
    </xf>
    <xf numFmtId="10" fontId="0" fillId="0" borderId="8" xfId="0" applyNumberFormat="1" applyBorder="1" applyAlignment="1">
      <alignment horizontal="center"/>
    </xf>
    <xf numFmtId="10" fontId="0" fillId="0" borderId="33" xfId="0" applyNumberFormat="1" applyBorder="1" applyAlignment="1">
      <alignment horizontal="center"/>
    </xf>
    <xf numFmtId="10" fontId="0" fillId="0" borderId="37" xfId="0" applyNumberFormat="1" applyBorder="1" applyAlignment="1">
      <alignment horizontal="center"/>
    </xf>
    <xf numFmtId="183" fontId="0" fillId="0" borderId="43" xfId="3" applyNumberFormat="1" applyFont="1" applyBorder="1" applyAlignment="1">
      <alignment horizontal="center"/>
    </xf>
    <xf numFmtId="183" fontId="0" fillId="0" borderId="3" xfId="3" applyNumberFormat="1" applyFont="1" applyBorder="1" applyAlignment="1">
      <alignment horizontal="center"/>
    </xf>
    <xf numFmtId="185" fontId="0" fillId="0" borderId="3" xfId="3" applyNumberFormat="1" applyFont="1" applyBorder="1" applyAlignment="1">
      <alignment horizontal="center"/>
    </xf>
    <xf numFmtId="183" fontId="0" fillId="0" borderId="9" xfId="3" applyNumberFormat="1" applyFont="1" applyBorder="1" applyAlignment="1">
      <alignment horizontal="center"/>
    </xf>
    <xf numFmtId="0" fontId="20" fillId="5" borderId="0" xfId="0" applyFont="1" applyFill="1"/>
    <xf numFmtId="0" fontId="20" fillId="0" borderId="0" xfId="0" applyFont="1"/>
    <xf numFmtId="186" fontId="20" fillId="0" borderId="0" xfId="0" applyNumberFormat="1" applyFont="1"/>
    <xf numFmtId="2" fontId="20" fillId="0" borderId="0" xfId="0" applyNumberFormat="1" applyFont="1"/>
    <xf numFmtId="0" fontId="21" fillId="0" borderId="29" xfId="0" applyFont="1" applyBorder="1" applyAlignment="1">
      <alignment horizontal="left" vertical="center"/>
    </xf>
    <xf numFmtId="0" fontId="21" fillId="0" borderId="0" xfId="0" applyFont="1"/>
    <xf numFmtId="187" fontId="20" fillId="0" borderId="0" xfId="0" applyNumberFormat="1" applyFont="1"/>
    <xf numFmtId="0" fontId="22" fillId="14" borderId="50" xfId="0" applyFont="1" applyFill="1" applyBorder="1" applyAlignment="1">
      <alignment vertical="center" wrapText="1"/>
    </xf>
    <xf numFmtId="0" fontId="22" fillId="14" borderId="43" xfId="0" applyFont="1" applyFill="1" applyBorder="1" applyAlignment="1">
      <alignment vertical="center" wrapText="1"/>
    </xf>
    <xf numFmtId="0" fontId="22" fillId="14" borderId="44" xfId="0" applyFont="1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9" fontId="22" fillId="14" borderId="51" xfId="0" applyNumberFormat="1" applyFont="1" applyFill="1" applyBorder="1" applyAlignment="1">
      <alignment horizontal="center" vertical="center"/>
    </xf>
    <xf numFmtId="9" fontId="22" fillId="14" borderId="52" xfId="0" applyNumberFormat="1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vertical="center" wrapText="1"/>
    </xf>
    <xf numFmtId="0" fontId="22" fillId="14" borderId="32" xfId="0" applyFont="1" applyFill="1" applyBorder="1" applyAlignment="1">
      <alignment horizontal="center" vertical="center" wrapText="1"/>
    </xf>
    <xf numFmtId="0" fontId="22" fillId="14" borderId="0" xfId="0" applyFont="1" applyFill="1" applyAlignment="1">
      <alignment horizontal="center" vertical="center" wrapText="1"/>
    </xf>
    <xf numFmtId="9" fontId="17" fillId="11" borderId="39" xfId="0" applyNumberFormat="1" applyFont="1" applyFill="1" applyBorder="1" applyAlignment="1">
      <alignment horizontal="center" vertical="center"/>
    </xf>
    <xf numFmtId="9" fontId="17" fillId="11" borderId="14" xfId="0" applyNumberFormat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/>
    </xf>
    <xf numFmtId="2" fontId="20" fillId="0" borderId="43" xfId="0" applyNumberFormat="1" applyFont="1" applyBorder="1" applyAlignment="1">
      <alignment horizontal="center" vertical="center"/>
    </xf>
    <xf numFmtId="188" fontId="20" fillId="0" borderId="13" xfId="0" applyNumberFormat="1" applyFont="1" applyBorder="1" applyAlignment="1">
      <alignment horizontal="center" vertical="center"/>
    </xf>
    <xf numFmtId="2" fontId="20" fillId="0" borderId="5" xfId="0" applyNumberFormat="1" applyFont="1" applyBorder="1" applyAlignment="1">
      <alignment horizontal="center" vertical="center"/>
    </xf>
    <xf numFmtId="10" fontId="20" fillId="2" borderId="13" xfId="3" applyNumberFormat="1" applyFont="1" applyFill="1" applyBorder="1" applyAlignment="1">
      <alignment horizontal="center"/>
    </xf>
    <xf numFmtId="10" fontId="20" fillId="2" borderId="25" xfId="3" applyNumberFormat="1" applyFont="1" applyFill="1" applyBorder="1" applyAlignment="1">
      <alignment horizontal="center"/>
    </xf>
    <xf numFmtId="2" fontId="20" fillId="0" borderId="3" xfId="0" applyNumberFormat="1" applyFont="1" applyBorder="1" applyAlignment="1">
      <alignment horizontal="center" vertical="center"/>
    </xf>
    <xf numFmtId="188" fontId="20" fillId="0" borderId="6" xfId="0" applyNumberFormat="1" applyFont="1" applyBorder="1" applyAlignment="1">
      <alignment horizontal="center" vertical="center"/>
    </xf>
    <xf numFmtId="2" fontId="20" fillId="0" borderId="7" xfId="0" applyNumberFormat="1" applyFont="1" applyBorder="1" applyAlignment="1">
      <alignment horizontal="center" vertical="center"/>
    </xf>
    <xf numFmtId="10" fontId="20" fillId="2" borderId="6" xfId="3" applyNumberFormat="1" applyFont="1" applyFill="1" applyBorder="1" applyAlignment="1">
      <alignment horizontal="center"/>
    </xf>
    <xf numFmtId="10" fontId="20" fillId="2" borderId="0" xfId="3" applyNumberFormat="1" applyFont="1" applyFill="1" applyBorder="1" applyAlignment="1">
      <alignment horizontal="center"/>
    </xf>
    <xf numFmtId="2" fontId="20" fillId="0" borderId="9" xfId="0" applyNumberFormat="1" applyFont="1" applyBorder="1" applyAlignment="1">
      <alignment horizontal="center" vertical="center"/>
    </xf>
    <xf numFmtId="188" fontId="20" fillId="0" borderId="10" xfId="0" applyNumberFormat="1" applyFont="1" applyBorder="1" applyAlignment="1">
      <alignment horizontal="center" vertical="center"/>
    </xf>
    <xf numFmtId="2" fontId="20" fillId="0" borderId="12" xfId="0" applyNumberFormat="1" applyFont="1" applyBorder="1" applyAlignment="1">
      <alignment horizontal="center" vertical="center"/>
    </xf>
    <xf numFmtId="0" fontId="23" fillId="15" borderId="43" xfId="0" applyFont="1" applyFill="1" applyBorder="1" applyAlignment="1">
      <alignment horizontal="left"/>
    </xf>
    <xf numFmtId="0" fontId="23" fillId="15" borderId="3" xfId="0" applyFont="1" applyFill="1" applyBorder="1" applyAlignment="1">
      <alignment horizontal="left"/>
    </xf>
    <xf numFmtId="0" fontId="23" fillId="15" borderId="9" xfId="0" applyFont="1" applyFill="1" applyBorder="1" applyAlignment="1">
      <alignment horizontal="left"/>
    </xf>
    <xf numFmtId="0" fontId="23" fillId="15" borderId="29" xfId="0" applyFont="1" applyFill="1" applyBorder="1" applyAlignment="1">
      <alignment horizontal="left"/>
    </xf>
    <xf numFmtId="10" fontId="20" fillId="16" borderId="44" xfId="3" applyNumberFormat="1" applyFont="1" applyFill="1" applyBorder="1" applyAlignment="1">
      <alignment horizontal="center"/>
    </xf>
    <xf numFmtId="10" fontId="20" fillId="16" borderId="2" xfId="3" applyNumberFormat="1" applyFont="1" applyFill="1" applyBorder="1" applyAlignment="1">
      <alignment horizontal="center"/>
    </xf>
    <xf numFmtId="10" fontId="20" fillId="0" borderId="0" xfId="0" applyNumberFormat="1" applyFont="1"/>
    <xf numFmtId="0" fontId="22" fillId="14" borderId="50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53" xfId="0" applyFont="1" applyFill="1" applyBorder="1" applyAlignment="1">
      <alignment horizontal="center" vertical="center" wrapText="1"/>
    </xf>
    <xf numFmtId="0" fontId="22" fillId="14" borderId="9" xfId="0" applyFont="1" applyFill="1" applyBorder="1" applyAlignment="1">
      <alignment horizontal="center" vertical="center" wrapText="1"/>
    </xf>
    <xf numFmtId="10" fontId="20" fillId="2" borderId="44" xfId="3" applyNumberFormat="1" applyFont="1" applyFill="1" applyBorder="1" applyAlignment="1">
      <alignment horizontal="center"/>
    </xf>
    <xf numFmtId="10" fontId="20" fillId="2" borderId="2" xfId="3" applyNumberFormat="1" applyFont="1" applyFill="1" applyBorder="1" applyAlignment="1">
      <alignment horizontal="center"/>
    </xf>
    <xf numFmtId="9" fontId="22" fillId="14" borderId="44" xfId="0" applyNumberFormat="1" applyFont="1" applyFill="1" applyBorder="1" applyAlignment="1">
      <alignment horizontal="center" vertical="center"/>
    </xf>
    <xf numFmtId="9" fontId="22" fillId="14" borderId="2" xfId="0" applyNumberFormat="1" applyFont="1" applyFill="1" applyBorder="1" applyAlignment="1">
      <alignment horizontal="center" vertical="center"/>
    </xf>
    <xf numFmtId="0" fontId="22" fillId="14" borderId="10" xfId="0" applyFont="1" applyFill="1" applyBorder="1" applyAlignment="1">
      <alignment horizontal="center" vertical="center" wrapText="1"/>
    </xf>
    <xf numFmtId="0" fontId="22" fillId="14" borderId="54" xfId="0" applyFont="1" applyFill="1" applyBorder="1" applyAlignment="1">
      <alignment horizontal="center" vertical="center" wrapText="1"/>
    </xf>
    <xf numFmtId="9" fontId="17" fillId="11" borderId="47" xfId="0" applyNumberFormat="1" applyFont="1" applyFill="1" applyBorder="1" applyAlignment="1">
      <alignment horizontal="center" vertical="center"/>
    </xf>
    <xf numFmtId="9" fontId="17" fillId="11" borderId="48" xfId="0" applyNumberFormat="1" applyFont="1" applyFill="1" applyBorder="1" applyAlignment="1">
      <alignment horizontal="center" vertical="center"/>
    </xf>
    <xf numFmtId="9" fontId="22" fillId="14" borderId="55" xfId="0" applyNumberFormat="1" applyFont="1" applyFill="1" applyBorder="1" applyAlignment="1">
      <alignment horizontal="center" vertical="center"/>
    </xf>
    <xf numFmtId="9" fontId="22" fillId="14" borderId="13" xfId="0" applyNumberFormat="1" applyFont="1" applyFill="1" applyBorder="1" applyAlignment="1">
      <alignment horizontal="center" vertical="center"/>
    </xf>
    <xf numFmtId="9" fontId="22" fillId="14" borderId="25" xfId="0" applyNumberFormat="1" applyFont="1" applyFill="1" applyBorder="1" applyAlignment="1">
      <alignment horizontal="center" vertical="center"/>
    </xf>
    <xf numFmtId="0" fontId="17" fillId="11" borderId="56" xfId="0" applyFont="1" applyFill="1" applyBorder="1" applyAlignment="1">
      <alignment horizontal="center" vertical="center"/>
    </xf>
    <xf numFmtId="10" fontId="20" fillId="2" borderId="5" xfId="3" applyNumberFormat="1" applyFont="1" applyFill="1" applyBorder="1" applyAlignment="1">
      <alignment horizontal="center"/>
    </xf>
    <xf numFmtId="10" fontId="20" fillId="16" borderId="6" xfId="3" applyNumberFormat="1" applyFont="1" applyFill="1" applyBorder="1" applyAlignment="1">
      <alignment horizontal="center"/>
    </xf>
    <xf numFmtId="10" fontId="20" fillId="16" borderId="0" xfId="3" applyNumberFormat="1" applyFont="1" applyFill="1" applyBorder="1" applyAlignment="1">
      <alignment horizontal="center"/>
    </xf>
    <xf numFmtId="10" fontId="20" fillId="2" borderId="7" xfId="3" applyNumberFormat="1" applyFont="1" applyFill="1" applyBorder="1" applyAlignment="1">
      <alignment horizontal="center"/>
    </xf>
    <xf numFmtId="10" fontId="20" fillId="16" borderId="13" xfId="3" applyNumberFormat="1" applyFont="1" applyFill="1" applyBorder="1" applyAlignment="1">
      <alignment horizontal="center"/>
    </xf>
    <xf numFmtId="10" fontId="20" fillId="16" borderId="25" xfId="3" applyNumberFormat="1" applyFont="1" applyFill="1" applyBorder="1" applyAlignment="1">
      <alignment horizontal="center"/>
    </xf>
    <xf numFmtId="10" fontId="20" fillId="16" borderId="10" xfId="3" applyNumberFormat="1" applyFont="1" applyFill="1" applyBorder="1" applyAlignment="1">
      <alignment horizontal="center"/>
    </xf>
    <xf numFmtId="10" fontId="20" fillId="16" borderId="11" xfId="3" applyNumberFormat="1" applyFont="1" applyFill="1" applyBorder="1" applyAlignment="1">
      <alignment horizontal="center"/>
    </xf>
    <xf numFmtId="10" fontId="20" fillId="16" borderId="42" xfId="3" applyNumberFormat="1" applyFont="1" applyFill="1" applyBorder="1" applyAlignment="1">
      <alignment horizontal="center"/>
    </xf>
    <xf numFmtId="10" fontId="20" fillId="2" borderId="42" xfId="3" applyNumberFormat="1" applyFont="1" applyFill="1" applyBorder="1" applyAlignment="1">
      <alignment horizontal="center"/>
    </xf>
    <xf numFmtId="9" fontId="22" fillId="14" borderId="42" xfId="0" applyNumberFormat="1" applyFont="1" applyFill="1" applyBorder="1" applyAlignment="1">
      <alignment horizontal="center" vertical="center"/>
    </xf>
    <xf numFmtId="9" fontId="22" fillId="14" borderId="5" xfId="0" applyNumberFormat="1" applyFont="1" applyFill="1" applyBorder="1" applyAlignment="1">
      <alignment horizontal="center" vertical="center"/>
    </xf>
    <xf numFmtId="10" fontId="20" fillId="16" borderId="7" xfId="3" applyNumberFormat="1" applyFont="1" applyFill="1" applyBorder="1" applyAlignment="1">
      <alignment horizontal="center"/>
    </xf>
    <xf numFmtId="10" fontId="20" fillId="16" borderId="5" xfId="3" applyNumberFormat="1" applyFont="1" applyFill="1" applyBorder="1" applyAlignment="1">
      <alignment horizontal="center"/>
    </xf>
    <xf numFmtId="10" fontId="20" fillId="16" borderId="12" xfId="3" applyNumberFormat="1" applyFont="1" applyFill="1" applyBorder="1" applyAlignment="1">
      <alignment horizontal="center"/>
    </xf>
    <xf numFmtId="0" fontId="22" fillId="14" borderId="43" xfId="0" applyFont="1" applyFill="1" applyBorder="1" applyAlignment="1">
      <alignment vertical="center"/>
    </xf>
    <xf numFmtId="0" fontId="5" fillId="14" borderId="57" xfId="0" applyFont="1" applyFill="1" applyBorder="1" applyAlignment="1">
      <alignment horizontal="center" vertical="center"/>
    </xf>
    <xf numFmtId="0" fontId="5" fillId="14" borderId="45" xfId="0" applyFont="1" applyFill="1" applyBorder="1" applyAlignment="1">
      <alignment horizontal="center" vertical="center"/>
    </xf>
    <xf numFmtId="0" fontId="5" fillId="14" borderId="58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vertical="center"/>
    </xf>
    <xf numFmtId="2" fontId="16" fillId="11" borderId="49" xfId="0" applyNumberFormat="1" applyFont="1" applyFill="1" applyBorder="1" applyAlignment="1">
      <alignment horizontal="center" vertical="center"/>
    </xf>
    <xf numFmtId="188" fontId="16" fillId="11" borderId="47" xfId="0" applyNumberFormat="1" applyFont="1" applyFill="1" applyBorder="1" applyAlignment="1">
      <alignment horizontal="center" vertical="center"/>
    </xf>
    <xf numFmtId="2" fontId="16" fillId="11" borderId="48" xfId="0" applyNumberFormat="1" applyFont="1" applyFill="1" applyBorder="1" applyAlignment="1">
      <alignment horizontal="center" vertical="center"/>
    </xf>
    <xf numFmtId="2" fontId="16" fillId="11" borderId="15" xfId="0" applyNumberFormat="1" applyFont="1" applyFill="1" applyBorder="1" applyAlignment="1">
      <alignment horizontal="center" vertical="center"/>
    </xf>
    <xf numFmtId="188" fontId="16" fillId="11" borderId="32" xfId="0" applyNumberFormat="1" applyFont="1" applyFill="1" applyBorder="1" applyAlignment="1">
      <alignment horizontal="center" vertical="center"/>
    </xf>
    <xf numFmtId="2" fontId="16" fillId="11" borderId="33" xfId="0" applyNumberFormat="1" applyFont="1" applyFill="1" applyBorder="1" applyAlignment="1">
      <alignment horizontal="center" vertical="center"/>
    </xf>
    <xf numFmtId="0" fontId="0" fillId="0" borderId="4" xfId="0" applyBorder="1"/>
    <xf numFmtId="2" fontId="0" fillId="0" borderId="37" xfId="0" applyNumberFormat="1" applyBorder="1" applyAlignment="1">
      <alignment horizontal="center" vertical="center"/>
    </xf>
    <xf numFmtId="188" fontId="0" fillId="0" borderId="37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188" fontId="0" fillId="0" borderId="4" xfId="0" applyNumberFormat="1" applyBorder="1" applyAlignment="1">
      <alignment horizontal="center" vertical="center"/>
    </xf>
    <xf numFmtId="0" fontId="22" fillId="14" borderId="43" xfId="0" applyFont="1" applyFill="1" applyBorder="1" applyAlignment="1">
      <alignment horizontal="center" vertical="center"/>
    </xf>
    <xf numFmtId="0" fontId="22" fillId="14" borderId="9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17" fillId="11" borderId="32" xfId="0" applyFont="1" applyFill="1" applyBorder="1" applyAlignment="1">
      <alignment horizontal="center" vertical="center"/>
    </xf>
    <xf numFmtId="0" fontId="17" fillId="11" borderId="33" xfId="0" applyFont="1" applyFill="1" applyBorder="1" applyAlignment="1">
      <alignment horizontal="center" vertical="center"/>
    </xf>
    <xf numFmtId="10" fontId="17" fillId="11" borderId="33" xfId="0" applyNumberFormat="1" applyFont="1" applyFill="1" applyBorder="1" applyAlignment="1">
      <alignment horizontal="center" vertical="center"/>
    </xf>
    <xf numFmtId="0" fontId="17" fillId="11" borderId="15" xfId="0" applyFont="1" applyFill="1" applyBorder="1" applyAlignment="1">
      <alignment horizontal="center" vertical="center"/>
    </xf>
    <xf numFmtId="10" fontId="17" fillId="11" borderId="32" xfId="0" applyNumberFormat="1" applyFont="1" applyFill="1" applyBorder="1" applyAlignment="1">
      <alignment horizontal="center" vertical="center"/>
    </xf>
    <xf numFmtId="10" fontId="0" fillId="0" borderId="37" xfId="0" applyNumberFormat="1" applyBorder="1" applyAlignment="1">
      <alignment horizontal="center" vertical="center"/>
    </xf>
    <xf numFmtId="10" fontId="0" fillId="0" borderId="4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0" fontId="0" fillId="17" borderId="4" xfId="0" applyNumberFormat="1" applyFill="1" applyBorder="1" applyAlignment="1">
      <alignment horizontal="center" vertical="center"/>
    </xf>
    <xf numFmtId="10" fontId="0" fillId="17" borderId="4" xfId="3" applyNumberFormat="1" applyFont="1" applyFill="1" applyBorder="1" applyAlignment="1">
      <alignment horizontal="center" vertical="center"/>
    </xf>
    <xf numFmtId="0" fontId="5" fillId="14" borderId="13" xfId="0" applyFont="1" applyFill="1" applyBorder="1" applyAlignment="1">
      <alignment horizontal="center" vertical="center"/>
    </xf>
    <xf numFmtId="0" fontId="5" fillId="14" borderId="25" xfId="0" applyFont="1" applyFill="1" applyBorder="1" applyAlignment="1">
      <alignment horizontal="center" vertical="center"/>
    </xf>
    <xf numFmtId="10" fontId="0" fillId="0" borderId="0" xfId="3" applyNumberFormat="1" applyFont="1" applyFill="1" applyBorder="1" applyAlignment="1">
      <alignment horizontal="center" vertical="center"/>
    </xf>
    <xf numFmtId="0" fontId="5" fillId="14" borderId="5" xfId="0" applyFont="1" applyFill="1" applyBorder="1" applyAlignment="1">
      <alignment horizontal="center" vertical="center"/>
    </xf>
    <xf numFmtId="10" fontId="20" fillId="0" borderId="0" xfId="0" applyNumberFormat="1" applyFont="1" applyAlignment="1">
      <alignment horizontal="center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11" xfId="0" applyFont="1" applyFill="1" applyBorder="1" applyAlignment="1">
      <alignment horizontal="center" vertical="center" wrapText="1"/>
    </xf>
    <xf numFmtId="2" fontId="0" fillId="0" borderId="35" xfId="0" applyNumberFormat="1" applyBorder="1" applyAlignment="1">
      <alignment horizontal="center" vertical="center"/>
    </xf>
    <xf numFmtId="10" fontId="0" fillId="0" borderId="35" xfId="0" applyNumberFormat="1" applyBorder="1" applyAlignment="1">
      <alignment horizontal="center" vertical="center"/>
    </xf>
    <xf numFmtId="0" fontId="20" fillId="0" borderId="9" xfId="0" applyFont="1" applyBorder="1" applyAlignment="1">
      <alignment horizontal="left"/>
    </xf>
    <xf numFmtId="10" fontId="20" fillId="2" borderId="10" xfId="3" applyNumberFormat="1" applyFont="1" applyFill="1" applyBorder="1" applyAlignment="1">
      <alignment horizontal="center"/>
    </xf>
    <xf numFmtId="10" fontId="20" fillId="2" borderId="11" xfId="3" applyNumberFormat="1" applyFont="1" applyFill="1" applyBorder="1" applyAlignment="1">
      <alignment horizontal="center"/>
    </xf>
    <xf numFmtId="10" fontId="20" fillId="2" borderId="12" xfId="3" applyNumberFormat="1" applyFont="1" applyFill="1" applyBorder="1" applyAlignment="1">
      <alignment horizontal="center"/>
    </xf>
    <xf numFmtId="0" fontId="5" fillId="14" borderId="44" xfId="0" applyFont="1" applyFill="1" applyBorder="1" applyAlignment="1">
      <alignment horizontal="center" vertical="center"/>
    </xf>
    <xf numFmtId="0" fontId="5" fillId="14" borderId="1" xfId="0" applyFont="1" applyFill="1" applyBorder="1" applyAlignment="1">
      <alignment horizontal="center" vertical="center"/>
    </xf>
    <xf numFmtId="10" fontId="0" fillId="17" borderId="59" xfId="3" applyNumberFormat="1" applyFont="1" applyFill="1" applyBorder="1" applyAlignment="1">
      <alignment horizontal="center" vertical="center"/>
    </xf>
    <xf numFmtId="0" fontId="5" fillId="14" borderId="2" xfId="0" applyFont="1" applyFill="1" applyBorder="1" applyAlignment="1">
      <alignment horizontal="center" vertical="center"/>
    </xf>
    <xf numFmtId="10" fontId="0" fillId="17" borderId="60" xfId="3" applyNumberFormat="1" applyFont="1" applyFill="1" applyBorder="1" applyAlignment="1">
      <alignment horizontal="center" vertical="center"/>
    </xf>
    <xf numFmtId="0" fontId="5" fillId="14" borderId="42" xfId="0" applyFont="1" applyFill="1" applyBorder="1" applyAlignment="1">
      <alignment horizontal="center" vertical="center"/>
    </xf>
    <xf numFmtId="0" fontId="24" fillId="11" borderId="4" xfId="0" applyFont="1" applyFill="1" applyBorder="1" applyAlignment="1">
      <alignment vertical="center"/>
    </xf>
    <xf numFmtId="0" fontId="24" fillId="11" borderId="26" xfId="0" applyFont="1" applyFill="1" applyBorder="1" applyAlignment="1">
      <alignment vertical="center"/>
    </xf>
    <xf numFmtId="0" fontId="24" fillId="11" borderId="26" xfId="0" applyFont="1" applyFill="1" applyBorder="1" applyAlignment="1">
      <alignment horizontal="center" vertical="center"/>
    </xf>
    <xf numFmtId="0" fontId="24" fillId="11" borderId="27" xfId="0" applyFont="1" applyFill="1" applyBorder="1" applyAlignment="1">
      <alignment horizontal="center" vertical="center"/>
    </xf>
    <xf numFmtId="0" fontId="25" fillId="11" borderId="8" xfId="0" applyFont="1" applyFill="1" applyBorder="1" applyAlignment="1">
      <alignment vertical="center"/>
    </xf>
    <xf numFmtId="0" fontId="25" fillId="11" borderId="30" xfId="0" applyFont="1" applyFill="1" applyBorder="1" applyAlignment="1">
      <alignment vertical="center"/>
    </xf>
    <xf numFmtId="183" fontId="25" fillId="0" borderId="30" xfId="0" applyNumberFormat="1" applyFont="1" applyBorder="1" applyAlignment="1">
      <alignment horizontal="center" vertical="center"/>
    </xf>
    <xf numFmtId="183" fontId="25" fillId="0" borderId="31" xfId="0" applyNumberFormat="1" applyFont="1" applyBorder="1" applyAlignment="1">
      <alignment horizontal="center" vertical="center"/>
    </xf>
    <xf numFmtId="0" fontId="25" fillId="11" borderId="33" xfId="0" applyFont="1" applyFill="1" applyBorder="1" applyAlignment="1">
      <alignment vertical="center"/>
    </xf>
    <xf numFmtId="0" fontId="25" fillId="11" borderId="15" xfId="0" applyFont="1" applyFill="1" applyBorder="1" applyAlignment="1">
      <alignment vertical="center"/>
    </xf>
    <xf numFmtId="183" fontId="25" fillId="0" borderId="15" xfId="0" applyNumberFormat="1" applyFont="1" applyBorder="1" applyAlignment="1">
      <alignment horizontal="center" vertical="center"/>
    </xf>
    <xf numFmtId="183" fontId="25" fillId="0" borderId="0" xfId="0" applyNumberFormat="1" applyFont="1" applyAlignment="1">
      <alignment horizontal="center" vertical="center"/>
    </xf>
    <xf numFmtId="0" fontId="25" fillId="11" borderId="37" xfId="0" applyFont="1" applyFill="1" applyBorder="1" applyAlignment="1">
      <alignment vertical="center"/>
    </xf>
    <xf numFmtId="0" fontId="25" fillId="11" borderId="34" xfId="0" applyFont="1" applyFill="1" applyBorder="1" applyAlignment="1">
      <alignment vertical="center"/>
    </xf>
    <xf numFmtId="183" fontId="25" fillId="0" borderId="34" xfId="0" applyNumberFormat="1" applyFont="1" applyBorder="1" applyAlignment="1">
      <alignment horizontal="center" vertical="center"/>
    </xf>
    <xf numFmtId="183" fontId="25" fillId="0" borderId="35" xfId="0" applyNumberFormat="1" applyFont="1" applyBorder="1" applyAlignment="1">
      <alignment horizontal="center" vertical="center"/>
    </xf>
    <xf numFmtId="0" fontId="24" fillId="11" borderId="8" xfId="0" applyFont="1" applyFill="1" applyBorder="1" applyAlignment="1">
      <alignment vertical="center"/>
    </xf>
    <xf numFmtId="0" fontId="24" fillId="11" borderId="30" xfId="0" applyFont="1" applyFill="1" applyBorder="1" applyAlignment="1">
      <alignment vertical="center"/>
    </xf>
    <xf numFmtId="183" fontId="24" fillId="0" borderId="30" xfId="0" applyNumberFormat="1" applyFont="1" applyBorder="1" applyAlignment="1">
      <alignment horizontal="center" vertical="center"/>
    </xf>
    <xf numFmtId="183" fontId="24" fillId="0" borderId="31" xfId="0" applyNumberFormat="1" applyFont="1" applyBorder="1" applyAlignment="1">
      <alignment horizontal="center" vertical="center"/>
    </xf>
    <xf numFmtId="0" fontId="24" fillId="11" borderId="33" xfId="0" applyFont="1" applyFill="1" applyBorder="1" applyAlignment="1">
      <alignment vertical="center"/>
    </xf>
    <xf numFmtId="0" fontId="24" fillId="11" borderId="15" xfId="0" applyFont="1" applyFill="1" applyBorder="1" applyAlignment="1">
      <alignment vertical="center"/>
    </xf>
    <xf numFmtId="183" fontId="24" fillId="0" borderId="15" xfId="0" applyNumberFormat="1" applyFont="1" applyBorder="1" applyAlignment="1">
      <alignment horizontal="center" vertical="center"/>
    </xf>
    <xf numFmtId="183" fontId="24" fillId="0" borderId="0" xfId="0" applyNumberFormat="1" applyFont="1" applyAlignment="1">
      <alignment horizontal="center" vertical="center"/>
    </xf>
    <xf numFmtId="183" fontId="24" fillId="0" borderId="34" xfId="0" applyNumberFormat="1" applyFont="1" applyBorder="1" applyAlignment="1">
      <alignment horizontal="center" vertical="center"/>
    </xf>
    <xf numFmtId="183" fontId="24" fillId="0" borderId="35" xfId="0" applyNumberFormat="1" applyFont="1" applyBorder="1" applyAlignment="1">
      <alignment horizontal="center" vertical="center"/>
    </xf>
    <xf numFmtId="183" fontId="24" fillId="0" borderId="26" xfId="0" applyNumberFormat="1" applyFont="1" applyBorder="1" applyAlignment="1">
      <alignment horizontal="center" vertical="center"/>
    </xf>
    <xf numFmtId="183" fontId="24" fillId="0" borderId="27" xfId="0" applyNumberFormat="1" applyFont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25" fillId="0" borderId="8" xfId="0" applyFont="1" applyBorder="1" applyAlignment="1">
      <alignment vertical="center"/>
    </xf>
    <xf numFmtId="0" fontId="25" fillId="0" borderId="30" xfId="0" applyFont="1" applyBorder="1" applyAlignment="1">
      <alignment vertical="center"/>
    </xf>
    <xf numFmtId="0" fontId="25" fillId="0" borderId="15" xfId="0" applyFont="1" applyBorder="1" applyAlignment="1">
      <alignment vertical="center"/>
    </xf>
    <xf numFmtId="0" fontId="25" fillId="0" borderId="33" xfId="0" applyFont="1" applyBorder="1" applyAlignment="1">
      <alignment vertical="center"/>
    </xf>
    <xf numFmtId="0" fontId="25" fillId="5" borderId="33" xfId="0" applyFont="1" applyFill="1" applyBorder="1" applyAlignment="1">
      <alignment vertical="center"/>
    </xf>
    <xf numFmtId="0" fontId="25" fillId="5" borderId="15" xfId="0" applyFont="1" applyFill="1" applyBorder="1" applyAlignment="1">
      <alignment vertical="center"/>
    </xf>
    <xf numFmtId="183" fontId="0" fillId="17" borderId="4" xfId="3" applyNumberFormat="1" applyFont="1" applyFill="1" applyBorder="1" applyAlignment="1">
      <alignment horizontal="center" vertical="center"/>
    </xf>
    <xf numFmtId="0" fontId="24" fillId="11" borderId="27" xfId="0" applyFont="1" applyFill="1" applyBorder="1" applyAlignment="1">
      <alignment horizontal="center" vertical="center" wrapText="1"/>
    </xf>
    <xf numFmtId="0" fontId="24" fillId="11" borderId="28" xfId="0" applyFont="1" applyFill="1" applyBorder="1" applyAlignment="1">
      <alignment horizontal="center" vertical="center" wrapText="1"/>
    </xf>
    <xf numFmtId="0" fontId="24" fillId="11" borderId="26" xfId="0" applyFont="1" applyFill="1" applyBorder="1" applyAlignment="1">
      <alignment horizontal="center" vertical="center" wrapText="1"/>
    </xf>
    <xf numFmtId="183" fontId="25" fillId="0" borderId="40" xfId="0" applyNumberFormat="1" applyFont="1" applyBorder="1" applyAlignment="1">
      <alignment horizontal="center" vertical="center"/>
    </xf>
    <xf numFmtId="183" fontId="25" fillId="0" borderId="0" xfId="0" applyNumberFormat="1" applyFont="1" applyAlignment="1">
      <alignment vertical="center"/>
    </xf>
    <xf numFmtId="183" fontId="25" fillId="0" borderId="32" xfId="0" applyNumberFormat="1" applyFont="1" applyBorder="1" applyAlignment="1">
      <alignment horizontal="center" vertical="center"/>
    </xf>
    <xf numFmtId="183" fontId="25" fillId="0" borderId="36" xfId="0" applyNumberFormat="1" applyFont="1" applyBorder="1" applyAlignment="1">
      <alignment horizontal="center" vertical="center"/>
    </xf>
    <xf numFmtId="183" fontId="24" fillId="0" borderId="40" xfId="0" applyNumberFormat="1" applyFont="1" applyBorder="1" applyAlignment="1">
      <alignment horizontal="center" vertical="center"/>
    </xf>
    <xf numFmtId="183" fontId="24" fillId="0" borderId="0" xfId="0" applyNumberFormat="1" applyFont="1" applyAlignment="1">
      <alignment vertical="center"/>
    </xf>
    <xf numFmtId="183" fontId="24" fillId="0" borderId="32" xfId="0" applyNumberFormat="1" applyFont="1" applyBorder="1" applyAlignment="1">
      <alignment horizontal="center" vertical="center"/>
    </xf>
    <xf numFmtId="183" fontId="24" fillId="0" borderId="36" xfId="0" applyNumberFormat="1" applyFont="1" applyBorder="1" applyAlignment="1">
      <alignment horizontal="center" vertical="center"/>
    </xf>
    <xf numFmtId="183" fontId="24" fillId="0" borderId="28" xfId="0" applyNumberFormat="1" applyFont="1" applyBorder="1" applyAlignment="1">
      <alignment horizontal="center" vertical="center"/>
    </xf>
    <xf numFmtId="10" fontId="25" fillId="0" borderId="0" xfId="0" applyNumberFormat="1" applyFont="1" applyAlignment="1">
      <alignment horizontal="center" vertical="center"/>
    </xf>
    <xf numFmtId="0" fontId="24" fillId="11" borderId="28" xfId="0" applyFont="1" applyFill="1" applyBorder="1" applyAlignment="1">
      <alignment horizontal="center" vertical="center"/>
    </xf>
    <xf numFmtId="0" fontId="25" fillId="0" borderId="37" xfId="0" applyFont="1" applyBorder="1" applyAlignment="1">
      <alignment vertical="center"/>
    </xf>
    <xf numFmtId="0" fontId="25" fillId="0" borderId="34" xfId="0" applyFont="1" applyBorder="1" applyAlignment="1">
      <alignment vertical="center"/>
    </xf>
    <xf numFmtId="10" fontId="25" fillId="0" borderId="0" xfId="0" applyNumberFormat="1" applyFont="1" applyAlignment="1">
      <alignment vertical="center"/>
    </xf>
    <xf numFmtId="0" fontId="2" fillId="3" borderId="47" xfId="64" applyFont="1" applyFill="1" applyBorder="1" applyAlignment="1">
      <alignment horizontal="center" vertical="center"/>
    </xf>
    <xf numFmtId="0" fontId="2" fillId="3" borderId="29" xfId="64" applyFont="1" applyFill="1" applyBorder="1" applyAlignment="1">
      <alignment horizontal="center" vertical="center"/>
    </xf>
    <xf numFmtId="0" fontId="2" fillId="3" borderId="9" xfId="64" applyFont="1" applyFill="1" applyBorder="1" applyAlignment="1">
      <alignment horizontal="center" vertical="center"/>
    </xf>
    <xf numFmtId="0" fontId="0" fillId="0" borderId="11" xfId="0" applyBorder="1" applyAlignment="1">
      <alignment horizontal="center"/>
    </xf>
    <xf numFmtId="0" fontId="2" fillId="3" borderId="15" xfId="64" applyFont="1" applyFill="1" applyBorder="1" applyAlignment="1">
      <alignment horizontal="center" vertical="center"/>
    </xf>
    <xf numFmtId="10" fontId="0" fillId="0" borderId="11" xfId="3" applyNumberFormat="1" applyFont="1" applyBorder="1" applyAlignment="1">
      <alignment horizontal="center"/>
    </xf>
    <xf numFmtId="10" fontId="0" fillId="0" borderId="0" xfId="3" applyNumberFormat="1" applyFont="1" applyBorder="1"/>
    <xf numFmtId="0" fontId="14" fillId="11" borderId="53" xfId="0" applyFont="1" applyFill="1" applyBorder="1" applyAlignment="1">
      <alignment horizontal="center" vertical="center"/>
    </xf>
    <xf numFmtId="10" fontId="0" fillId="0" borderId="43" xfId="3" applyNumberFormat="1" applyFont="1" applyBorder="1" applyAlignment="1">
      <alignment horizontal="center"/>
    </xf>
    <xf numFmtId="10" fontId="0" fillId="0" borderId="3" xfId="3" applyNumberFormat="1" applyFont="1" applyBorder="1" applyAlignment="1">
      <alignment horizontal="center"/>
    </xf>
    <xf numFmtId="9" fontId="12" fillId="0" borderId="50" xfId="64" applyNumberFormat="1" applyFont="1" applyBorder="1" applyAlignment="1">
      <alignment horizontal="center" vertical="center"/>
    </xf>
    <xf numFmtId="0" fontId="12" fillId="12" borderId="29" xfId="64" applyFont="1" applyFill="1" applyBorder="1" applyAlignment="1">
      <alignment horizontal="center" vertical="center"/>
    </xf>
    <xf numFmtId="189" fontId="28" fillId="0" borderId="50" xfId="64" applyNumberFormat="1" applyFont="1" applyBorder="1" applyAlignment="1">
      <alignment horizontal="center" vertical="center"/>
    </xf>
    <xf numFmtId="0" fontId="2" fillId="18" borderId="29" xfId="64" applyFont="1" applyFill="1" applyBorder="1" applyAlignment="1">
      <alignment horizontal="center" vertical="center"/>
    </xf>
    <xf numFmtId="0" fontId="16" fillId="8" borderId="43" xfId="0" applyFont="1" applyFill="1" applyBorder="1" applyAlignment="1">
      <alignment horizontal="left" vertical="center" wrapText="1"/>
    </xf>
    <xf numFmtId="0" fontId="2" fillId="3" borderId="29" xfId="64" applyFont="1" applyFill="1" applyBorder="1" applyAlignment="1">
      <alignment vertical="center"/>
    </xf>
    <xf numFmtId="0" fontId="12" fillId="0" borderId="6" xfId="64" applyFont="1" applyBorder="1"/>
    <xf numFmtId="183" fontId="28" fillId="5" borderId="3" xfId="68" applyNumberFormat="1" applyFont="1" applyFill="1" applyBorder="1" applyAlignment="1">
      <alignment horizontal="center"/>
    </xf>
    <xf numFmtId="0" fontId="16" fillId="8" borderId="3" xfId="0" applyFont="1" applyFill="1" applyBorder="1" applyAlignment="1">
      <alignment horizontal="left" vertical="center" wrapText="1"/>
    </xf>
    <xf numFmtId="0" fontId="4" fillId="0" borderId="43" xfId="64" applyFont="1" applyBorder="1" applyAlignment="1">
      <alignment horizontal="left" vertical="top" wrapText="1"/>
    </xf>
    <xf numFmtId="0" fontId="4" fillId="0" borderId="3" xfId="64" applyFont="1" applyBorder="1" applyAlignment="1">
      <alignment horizontal="left" vertical="top" wrapText="1"/>
    </xf>
    <xf numFmtId="0" fontId="16" fillId="8" borderId="9" xfId="0" applyFont="1" applyFill="1" applyBorder="1" applyAlignment="1">
      <alignment horizontal="left" vertical="center" wrapText="1"/>
    </xf>
    <xf numFmtId="183" fontId="29" fillId="14" borderId="29" xfId="68" applyNumberFormat="1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5" xfId="0" applyBorder="1"/>
    <xf numFmtId="0" fontId="4" fillId="0" borderId="9" xfId="64" applyFont="1" applyBorder="1" applyAlignment="1">
      <alignment horizontal="left" vertical="top" wrapText="1"/>
    </xf>
    <xf numFmtId="0" fontId="2" fillId="3" borderId="44" xfId="64" applyFont="1" applyFill="1" applyBorder="1" applyAlignment="1">
      <alignment vertical="center"/>
    </xf>
    <xf numFmtId="0" fontId="2" fillId="3" borderId="42" xfId="64" applyFont="1" applyFill="1" applyBorder="1" applyAlignment="1">
      <alignment vertical="center"/>
    </xf>
    <xf numFmtId="183" fontId="2" fillId="18" borderId="11" xfId="64" applyNumberFormat="1" applyFont="1" applyFill="1" applyBorder="1" applyAlignment="1">
      <alignment horizontal="center" vertical="center"/>
    </xf>
    <xf numFmtId="183" fontId="2" fillId="18" borderId="29" xfId="64" applyNumberFormat="1" applyFont="1" applyFill="1" applyBorder="1" applyAlignment="1">
      <alignment horizontal="center" vertical="center"/>
    </xf>
    <xf numFmtId="183" fontId="2" fillId="18" borderId="43" xfId="64" applyNumberFormat="1" applyFont="1" applyFill="1" applyBorder="1" applyAlignment="1">
      <alignment horizontal="center" vertical="center"/>
    </xf>
    <xf numFmtId="183" fontId="12" fillId="12" borderId="29" xfId="64" applyNumberFormat="1" applyFont="1" applyFill="1" applyBorder="1" applyAlignment="1">
      <alignment horizontal="center" vertical="center" wrapText="1"/>
    </xf>
    <xf numFmtId="190" fontId="12" fillId="12" borderId="29" xfId="64" applyNumberFormat="1" applyFont="1" applyFill="1" applyBorder="1" applyAlignment="1">
      <alignment horizontal="center" vertical="center" wrapText="1"/>
    </xf>
    <xf numFmtId="0" fontId="16" fillId="9" borderId="43" xfId="0" applyFont="1" applyFill="1" applyBorder="1"/>
    <xf numFmtId="0" fontId="0" fillId="9" borderId="0" xfId="0" applyFill="1"/>
    <xf numFmtId="183" fontId="0" fillId="9" borderId="0" xfId="3" applyNumberFormat="1" applyFont="1" applyFill="1" applyAlignment="1">
      <alignment horizontal="center"/>
    </xf>
    <xf numFmtId="183" fontId="4" fillId="9" borderId="3" xfId="64" applyNumberFormat="1" applyFont="1" applyFill="1" applyBorder="1" applyAlignment="1">
      <alignment horizontal="center" vertical="center" wrapText="1"/>
    </xf>
    <xf numFmtId="190" fontId="4" fillId="9" borderId="3" xfId="64" applyNumberFormat="1" applyFont="1" applyFill="1" applyBorder="1" applyAlignment="1">
      <alignment horizontal="center" vertical="center" wrapText="1"/>
    </xf>
    <xf numFmtId="0" fontId="16" fillId="8" borderId="3" xfId="0" applyFont="1" applyFill="1" applyBorder="1"/>
    <xf numFmtId="0" fontId="5" fillId="10" borderId="9" xfId="0" applyFont="1" applyFill="1" applyBorder="1"/>
    <xf numFmtId="0" fontId="0" fillId="8" borderId="0" xfId="0" applyFill="1"/>
    <xf numFmtId="183" fontId="0" fillId="8" borderId="0" xfId="3" applyNumberFormat="1" applyFont="1" applyFill="1" applyAlignment="1">
      <alignment horizontal="center"/>
    </xf>
    <xf numFmtId="183" fontId="4" fillId="8" borderId="3" xfId="64" applyNumberFormat="1" applyFont="1" applyFill="1" applyBorder="1" applyAlignment="1">
      <alignment horizontal="center" vertical="center" wrapText="1"/>
    </xf>
    <xf numFmtId="190" fontId="4" fillId="8" borderId="3" xfId="64" applyNumberFormat="1" applyFont="1" applyFill="1" applyBorder="1" applyAlignment="1">
      <alignment horizontal="center" vertical="center" wrapText="1"/>
    </xf>
    <xf numFmtId="0" fontId="30" fillId="0" borderId="0" xfId="0" applyFont="1"/>
    <xf numFmtId="183" fontId="12" fillId="12" borderId="2" xfId="64" applyNumberFormat="1" applyFont="1" applyFill="1" applyBorder="1" applyAlignment="1">
      <alignment horizontal="center"/>
    </xf>
    <xf numFmtId="183" fontId="4" fillId="8" borderId="3" xfId="3" applyNumberFormat="1" applyFont="1" applyFill="1" applyBorder="1" applyAlignment="1">
      <alignment horizontal="center" wrapText="1"/>
    </xf>
    <xf numFmtId="0" fontId="13" fillId="10" borderId="0" xfId="0" applyFont="1" applyFill="1"/>
    <xf numFmtId="183" fontId="13" fillId="10" borderId="0" xfId="3" applyNumberFormat="1" applyFont="1" applyFill="1" applyAlignment="1">
      <alignment horizontal="center"/>
    </xf>
    <xf numFmtId="183" fontId="10" fillId="10" borderId="3" xfId="64" applyNumberFormat="1" applyFont="1" applyFill="1" applyBorder="1" applyAlignment="1">
      <alignment horizontal="center" vertical="center" wrapText="1"/>
    </xf>
    <xf numFmtId="190" fontId="10" fillId="10" borderId="3" xfId="64" applyNumberFormat="1" applyFont="1" applyFill="1" applyBorder="1" applyAlignment="1">
      <alignment horizontal="center" vertical="center" wrapText="1"/>
    </xf>
    <xf numFmtId="0" fontId="31" fillId="5" borderId="44" xfId="64" applyFont="1" applyFill="1" applyBorder="1"/>
    <xf numFmtId="183" fontId="12" fillId="5" borderId="2" xfId="64" applyNumberFormat="1" applyFont="1" applyFill="1" applyBorder="1" applyAlignment="1">
      <alignment horizontal="center"/>
    </xf>
    <xf numFmtId="183" fontId="12" fillId="5" borderId="29" xfId="64" applyNumberFormat="1" applyFont="1" applyFill="1" applyBorder="1" applyAlignment="1">
      <alignment horizontal="center"/>
    </xf>
    <xf numFmtId="190" fontId="12" fillId="5" borderId="29" xfId="64" applyNumberFormat="1" applyFont="1" applyFill="1" applyBorder="1" applyAlignment="1">
      <alignment horizontal="center"/>
    </xf>
    <xf numFmtId="183" fontId="2" fillId="3" borderId="0" xfId="3" applyNumberFormat="1" applyFont="1" applyFill="1" applyBorder="1" applyAlignment="1">
      <alignment horizontal="center" vertical="center"/>
    </xf>
    <xf numFmtId="183" fontId="2" fillId="3" borderId="29" xfId="3" applyNumberFormat="1" applyFont="1" applyFill="1" applyBorder="1" applyAlignment="1">
      <alignment horizontal="center" vertical="center"/>
    </xf>
    <xf numFmtId="190" fontId="2" fillId="3" borderId="29" xfId="3" applyNumberFormat="1" applyFont="1" applyFill="1" applyBorder="1" applyAlignment="1">
      <alignment horizontal="center" vertical="center"/>
    </xf>
    <xf numFmtId="0" fontId="31" fillId="0" borderId="44" xfId="64" applyFont="1" applyBorder="1"/>
    <xf numFmtId="0" fontId="31" fillId="0" borderId="2" xfId="64" applyFont="1" applyBorder="1"/>
    <xf numFmtId="183" fontId="12" fillId="5" borderId="42" xfId="64" applyNumberFormat="1" applyFont="1" applyFill="1" applyBorder="1" applyAlignment="1">
      <alignment horizontal="center"/>
    </xf>
    <xf numFmtId="190" fontId="12" fillId="5" borderId="42" xfId="64" applyNumberFormat="1" applyFont="1" applyFill="1" applyBorder="1" applyAlignment="1">
      <alignment horizontal="center"/>
    </xf>
    <xf numFmtId="0" fontId="32" fillId="8" borderId="43" xfId="0" applyFont="1" applyFill="1" applyBorder="1" applyAlignment="1">
      <alignment horizontal="left" vertical="center" wrapText="1"/>
    </xf>
    <xf numFmtId="0" fontId="32" fillId="8" borderId="9" xfId="0" applyFont="1" applyFill="1" applyBorder="1" applyAlignment="1">
      <alignment horizontal="left" vertical="center" wrapText="1"/>
    </xf>
    <xf numFmtId="183" fontId="2" fillId="3" borderId="13" xfId="3" applyNumberFormat="1" applyFont="1" applyFill="1" applyBorder="1" applyAlignment="1">
      <alignment horizontal="center" vertical="center"/>
    </xf>
    <xf numFmtId="183" fontId="12" fillId="12" borderId="44" xfId="64" applyNumberFormat="1" applyFont="1" applyFill="1" applyBorder="1" applyAlignment="1">
      <alignment horizontal="center"/>
    </xf>
    <xf numFmtId="183" fontId="0" fillId="9" borderId="43" xfId="3" applyNumberFormat="1" applyFont="1" applyFill="1" applyBorder="1" applyAlignment="1">
      <alignment horizontal="center"/>
    </xf>
    <xf numFmtId="183" fontId="4" fillId="9" borderId="43" xfId="64" applyNumberFormat="1" applyFont="1" applyFill="1" applyBorder="1" applyAlignment="1">
      <alignment horizontal="center" vertical="center" wrapText="1"/>
    </xf>
    <xf numFmtId="190" fontId="4" fillId="9" borderId="43" xfId="64" applyNumberFormat="1" applyFont="1" applyFill="1" applyBorder="1" applyAlignment="1">
      <alignment horizontal="center" vertical="center" wrapText="1"/>
    </xf>
    <xf numFmtId="183" fontId="0" fillId="8" borderId="9" xfId="3" applyNumberFormat="1" applyFont="1" applyFill="1" applyBorder="1" applyAlignment="1">
      <alignment horizontal="center"/>
    </xf>
    <xf numFmtId="183" fontId="4" fillId="8" borderId="9" xfId="64" applyNumberFormat="1" applyFont="1" applyFill="1" applyBorder="1" applyAlignment="1">
      <alignment horizontal="center" vertical="center" wrapText="1"/>
    </xf>
    <xf numFmtId="190" fontId="4" fillId="8" borderId="9" xfId="64" applyNumberFormat="1" applyFont="1" applyFill="1" applyBorder="1" applyAlignment="1">
      <alignment horizontal="center" vertical="center" wrapText="1"/>
    </xf>
    <xf numFmtId="0" fontId="33" fillId="0" borderId="0" xfId="64" applyFont="1"/>
  </cellXfs>
  <cellStyles count="7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  <cellStyle name="Comma 2 2" xfId="50"/>
    <cellStyle name="Comma 2 2 2" xfId="51"/>
    <cellStyle name="Comma 2 2 3" xfId="52"/>
    <cellStyle name="Comma 2 3" xfId="53"/>
    <cellStyle name="Comma 2 4" xfId="54"/>
    <cellStyle name="Comma 2 5" xfId="55"/>
    <cellStyle name="Comma 2 6" xfId="56"/>
    <cellStyle name="Comma 3" xfId="57"/>
    <cellStyle name="Comma 4" xfId="58"/>
    <cellStyle name="Normal 2" xfId="59"/>
    <cellStyle name="Normal 2 2" xfId="60"/>
    <cellStyle name="Normal 3" xfId="61"/>
    <cellStyle name="Normal 3 14" xfId="62"/>
    <cellStyle name="Normal 3 2" xfId="63"/>
    <cellStyle name="Normal 3 2 2" xfId="64"/>
    <cellStyle name="Normal 3 2 3" xfId="65"/>
    <cellStyle name="Normal 4" xfId="66"/>
    <cellStyle name="Percent 2" xfId="67"/>
    <cellStyle name="Percent 2 2 2" xfId="68"/>
    <cellStyle name="Percent 3" xfId="69"/>
    <cellStyle name="Percent 4" xfId="70"/>
  </cellStyles>
  <dxfs count="2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20" Type="http://schemas.microsoft.com/office/2017/06/relationships/rdRichValue" Target="richData/rdrichvalue.xml"/><Relationship Id="rId2" Type="http://schemas.openxmlformats.org/officeDocument/2006/relationships/worksheet" Target="worksheets/sheet2.xml"/><Relationship Id="rId19" Type="http://schemas.microsoft.com/office/2017/06/relationships/rdRichValueStructure" Target="richData/rdrichvaluestructure.xml"/><Relationship Id="rId18" Type="http://schemas.openxmlformats.org/officeDocument/2006/relationships/sheetMetadata" Target="metadata.xml"/><Relationship Id="rId17" Type="http://schemas.openxmlformats.org/officeDocument/2006/relationships/sharedStrings" Target="sharedString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1.xml"/><Relationship Id="rId14" Type="http://schemas.openxmlformats.org/officeDocument/2006/relationships/customXml" Target="../customXml/item3.xml"/><Relationship Id="rId13" Type="http://schemas.openxmlformats.org/officeDocument/2006/relationships/customXml" Target="../customXml/item2.xml"/><Relationship Id="rId12" Type="http://schemas.openxmlformats.org/officeDocument/2006/relationships/customXml" Target="../customXml/item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(option 1)'!$W$3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1)'!$W$4:$W$7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1)'!$V$4:$V$7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'Output Dashboard (option 1)'!$X$3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1)'!$X$4:$X$7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1)'!$V$4:$V$7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34665856"/>
        <c:axId val="1134666336"/>
      </c:barChart>
      <c:catAx>
        <c:axId val="11346658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666336"/>
        <c:crosses val="autoZero"/>
        <c:auto val="1"/>
        <c:lblAlgn val="ctr"/>
        <c:lblOffset val="100"/>
        <c:noMultiLvlLbl val="0"/>
      </c:catAx>
      <c:valAx>
        <c:axId val="11346663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34665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c19aee-22f9-4c4b-8359-a2337c7ce3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1)'!$W$21</c:f>
              <c:strCache>
                <c:ptCount val="1"/>
                <c:pt idx="0">
                  <c:v>Portfolio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1)'!$W$22:$W$24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1)'!$V$22:$V$24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ser>
          <c:idx val="1"/>
          <c:order val="1"/>
          <c:tx>
            <c:strRef>
              <c:f>'Output Dashboard (option 1)'!$X$21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1)'!$X$22:$X$24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1)'!$V$22:$V$24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2766304"/>
        <c:axId val="352766784"/>
      </c:barChart>
      <c:catAx>
        <c:axId val="352766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66784"/>
        <c:crosses val="autoZero"/>
        <c:auto val="1"/>
        <c:lblAlgn val="ctr"/>
        <c:lblOffset val="100"/>
        <c:noMultiLvlLbl val="0"/>
      </c:catAx>
      <c:valAx>
        <c:axId val="352766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52766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c332d4b-7de8-4618-ba65-d64939311c8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1)'!$AA$3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'Output Dashboard (option 1)'!$AA$4:$AA$14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numRef>
                    <c:extLst>
                      <c:ext uri="{02D57815-91ED-43cb-92C2-25804820EDAC}">
                        <c15:formulaRef>
                          <c15:sqref>'Output Dashboard (option 1)'!$Z$4:$Z$14</c15:sqref>
                        </c15:formulaRef>
                      </c:ext>
                    </c:extLst>
                    <c:numCache>
                      <c:ptCount val="0"/>
                    </c:numCache>
                  </c:numRef>
                </c15:cat>
              </c15:filteredCategoryTitle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15857344"/>
        <c:axId val="315856384"/>
      </c:barChart>
      <c:catAx>
        <c:axId val="315857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856384"/>
        <c:crosses val="autoZero"/>
        <c:auto val="1"/>
        <c:lblAlgn val="ctr"/>
        <c:lblOffset val="100"/>
        <c:noMultiLvlLbl val="0"/>
      </c:catAx>
      <c:valAx>
        <c:axId val="315856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15857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2c80ff6-c497-4dc3-9d88-cfe878a7061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(option 1)'!$E$87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1)'!$D$88:$D$91</c:f>
              <c:strCache>
                <c:ptCount val="4"/>
                <c:pt idx="0">
                  <c:v>Top 3 </c:v>
                </c:pt>
                <c:pt idx="1">
                  <c:v>Top5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'Output Dashboard (option 1)'!$E$88:$E$91</c:f>
              <c:numCache>
                <c:formatCode>0.00%</c:formatCode>
                <c:ptCount val="4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28382655"/>
        <c:axId val="828386975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(option 1)'!$F$87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(option 1)'!$D$88:$D$91</c15:sqref>
                        </c15:formulaRef>
                      </c:ext>
                    </c:extLst>
                    <c:strCache>
                      <c:ptCount val="4"/>
                      <c:pt idx="0">
                        <c:v>Top 3 </c:v>
                      </c:pt>
                      <c:pt idx="1">
                        <c:v>Top5</c:v>
                      </c:pt>
                      <c:pt idx="2">
                        <c:v>Top 10</c:v>
                      </c:pt>
                      <c:pt idx="3">
                        <c:v>Top 20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(option 1)'!$F$88:$F$91</c15:sqref>
                        </c15:formulaRef>
                      </c:ext>
                    </c:extLst>
                    <c:numCache>
                      <c:formatCode>0.00%</c:formatCode>
                      <c:ptCount val="4"/>
                    </c:numCache>
                  </c:numRef>
                </c:val>
              </c15:ser>
            </c15:filteredBarSeries>
          </c:ext>
        </c:extLst>
      </c:barChart>
      <c:catAx>
        <c:axId val="8283826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86975"/>
        <c:crosses val="autoZero"/>
        <c:auto val="1"/>
        <c:lblAlgn val="ctr"/>
        <c:lblOffset val="100"/>
        <c:noMultiLvlLbl val="0"/>
      </c:catAx>
      <c:valAx>
        <c:axId val="828386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826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996f0fe-9083-426b-965d-dda56ba6f5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1)'!$I$87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1)'!$H$88:$H$98</c:f>
              <c:strCache>
                <c:ptCount val="11"/>
                <c:pt idx="0">
                  <c:v>Financial</c:v>
                </c:pt>
                <c:pt idx="1">
                  <c:v>Technology</c:v>
                </c:pt>
                <c:pt idx="2">
                  <c:v>Consumer Discretionary</c:v>
                </c:pt>
                <c:pt idx="3">
                  <c:v>Energy &amp; Utilities</c:v>
                </c:pt>
                <c:pt idx="4">
                  <c:v>Consumer Staples</c:v>
                </c:pt>
                <c:pt idx="5">
                  <c:v>Industrials</c:v>
                </c:pt>
                <c:pt idx="6">
                  <c:v>Materials</c:v>
                </c:pt>
                <c:pt idx="7">
                  <c:v>Healthcare</c:v>
                </c:pt>
                <c:pt idx="8">
                  <c:v>Real Estate</c:v>
                </c:pt>
                <c:pt idx="9">
                  <c:v>Diversified</c:v>
                </c:pt>
                <c:pt idx="10">
                  <c:v>Cash (Unclassified)</c:v>
                </c:pt>
              </c:strCache>
            </c:strRef>
          </c:cat>
          <c:val>
            <c:numRef>
              <c:f>'Output Dashboard (option 1)'!$I$88:$I$98</c:f>
              <c:numCache>
                <c:formatCode>0.00%</c:formatCode>
                <c:ptCount val="11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8432095"/>
        <c:axId val="828431135"/>
      </c:barChart>
      <c:catAx>
        <c:axId val="828432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31135"/>
        <c:crosses val="autoZero"/>
        <c:auto val="1"/>
        <c:lblAlgn val="ctr"/>
        <c:lblOffset val="100"/>
        <c:noMultiLvlLbl val="0"/>
      </c:catAx>
      <c:valAx>
        <c:axId val="828431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320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858fed-adcb-417c-a034-21a6491e4a3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'Output Dashboard (option 1)'!$M$87</c:f>
              <c:strCache>
                <c:ptCount val="1"/>
                <c:pt idx="0">
                  <c:v>Portfolio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1)'!$L$88:$L$90</c:f>
              <c:strCache>
                <c:ptCount val="3"/>
                <c:pt idx="0">
                  <c:v>Large </c:v>
                </c:pt>
                <c:pt idx="1">
                  <c:v>Mid </c:v>
                </c:pt>
                <c:pt idx="2">
                  <c:v>Small </c:v>
                </c:pt>
              </c:strCache>
            </c:strRef>
          </c:cat>
          <c:val>
            <c:numRef>
              <c:f>'Output Dashboard (option 1)'!$M$88:$M$90</c:f>
              <c:numCache>
                <c:formatCode>0.00%</c:formatCode>
                <c:ptCount val="3"/>
                <c:pt idx="0">
                  <c:v>0.383774</c:v>
                </c:pt>
                <c:pt idx="1">
                  <c:v>0.062343</c:v>
                </c:pt>
                <c:pt idx="2">
                  <c:v>0.01872396</c:v>
                </c:pt>
              </c:numCache>
            </c:numRef>
          </c:val>
        </c:ser>
        <c:ser>
          <c:idx val="1"/>
          <c:order val="1"/>
          <c:tx>
            <c:strRef>
              <c:f>'Output Dashboard (option 1)'!$N$87</c:f>
              <c:strCache>
                <c:ptCount val="1"/>
                <c:pt idx="0">
                  <c:v>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'Output Dashboard (option 1)'!$L$88:$L$90</c:f>
              <c:strCache>
                <c:ptCount val="3"/>
                <c:pt idx="0">
                  <c:v>Large </c:v>
                </c:pt>
                <c:pt idx="1">
                  <c:v>Mid </c:v>
                </c:pt>
                <c:pt idx="2">
                  <c:v>Small </c:v>
                </c:pt>
              </c:strCache>
            </c:strRef>
          </c:cat>
          <c:val>
            <c:numRef>
              <c:f>'Output Dashboard (option 1)'!$N$88:$N$90</c:f>
              <c:numCache>
                <c:formatCode>0.00%</c:formatCode>
                <c:ptCount val="3"/>
                <c:pt idx="0">
                  <c:v>0.825602804021401</c:v>
                </c:pt>
                <c:pt idx="1">
                  <c:v>0.134116838584965</c:v>
                </c:pt>
                <c:pt idx="2">
                  <c:v>0.0402803573936342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62709407"/>
        <c:axId val="462691647"/>
      </c:barChart>
      <c:catAx>
        <c:axId val="462709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91647"/>
        <c:crosses val="autoZero"/>
        <c:auto val="1"/>
        <c:lblAlgn val="ctr"/>
        <c:lblOffset val="100"/>
        <c:noMultiLvlLbl val="0"/>
      </c:catAx>
      <c:valAx>
        <c:axId val="462691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7094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a591f23-019d-4bb0-af56-bd0081c935d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'Output Dashboard (option 1)'!$L$30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'Output Dashboard (option 1)'!$K$31:$K$38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(option 1)'!$L$31:$L$38</c:f>
              <c:numCache>
                <c:formatCode>0.00%</c:formatCode>
                <c:ptCount val="8"/>
                <c:pt idx="0">
                  <c:v>0.0478129</c:v>
                </c:pt>
                <c:pt idx="1">
                  <c:v>0.224498312121989</c:v>
                </c:pt>
                <c:pt idx="2">
                  <c:v>0.322654295478335</c:v>
                </c:pt>
                <c:pt idx="3">
                  <c:v>0.0663471954028307</c:v>
                </c:pt>
                <c:pt idx="4">
                  <c:v>0.360891848996891</c:v>
                </c:pt>
                <c:pt idx="5">
                  <c:v>0.180127539158089</c:v>
                </c:pt>
                <c:pt idx="6">
                  <c:v>0.130162684691707</c:v>
                </c:pt>
                <c:pt idx="7">
                  <c:v>0.00141604156901546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'Output Dashboard (option 1)'!$M$30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'Output Dashboard (option 1)'!$K$31:$K$38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(option 1)'!$M$31:$M$38</c:f>
              <c:numCache>
                <c:formatCode>0.00%</c:formatCode>
                <c:ptCount val="8"/>
                <c:pt idx="0">
                  <c:v>-0.005306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85581551"/>
        <c:axId val="385604111"/>
      </c:lineChart>
      <c:catAx>
        <c:axId val="38558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604111"/>
        <c:crosses val="autoZero"/>
        <c:auto val="1"/>
        <c:lblAlgn val="ctr"/>
        <c:lblOffset val="100"/>
        <c:noMultiLvlLbl val="0"/>
      </c:catAx>
      <c:valAx>
        <c:axId val="3856041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8558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d710120-166b-41a7-8a46-189677def5d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'Output Dashboard '!$B$44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0.0110484538373666"/>
                  <c:y val="0.0668877562133786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-0.0365774542775336"/>
                  <c:y val="-0.17747246364184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5"/>
              <c:layout>
                <c:manualLayout>
                  <c:x val="-0.0723366647094076"/>
                  <c:y val="-0.131366761782367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6"/>
              <c:layout>
                <c:manualLayout>
                  <c:x val="-0.0102193139100589"/>
                  <c:y val="0.0161714841679554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870972233151934"/>
                  <c:y val="-0.043765928249363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'!$A$45:$A$52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'!$B$45:$B$52</c:f>
              <c:numCache>
                <c:formatCode>0.0%</c:formatCode>
                <c:ptCount val="8"/>
                <c:pt idx="0">
                  <c:v>0.0398440833333333</c:v>
                </c:pt>
                <c:pt idx="1">
                  <c:v>0.187081926768325</c:v>
                </c:pt>
                <c:pt idx="2">
                  <c:v>0.268878579565279</c:v>
                </c:pt>
                <c:pt idx="3">
                  <c:v>0.0552893295023589</c:v>
                </c:pt>
                <c:pt idx="4">
                  <c:v>0.300743207497409</c:v>
                </c:pt>
                <c:pt idx="5">
                  <c:v>0.150106282631741</c:v>
                </c:pt>
                <c:pt idx="6">
                  <c:v>0.108468903909756</c:v>
                </c:pt>
                <c:pt idx="7">
                  <c:v>0.00118003464084621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'Output Dashboard '!$C$44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2"/>
              <c:layout>
                <c:manualLayout>
                  <c:x val="-0.0415855009473538"/>
                  <c:y val="0.117604028258802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677952470600037"/>
                      <c:h val="0.073700145940883"/>
                    </c:manualLayout>
                  </c15:layout>
                </c:ext>
              </c:extLst>
            </c:dLbl>
            <c:dLbl>
              <c:idx val="3"/>
              <c:delete val="1"/>
            </c:dLbl>
            <c:dLbl>
              <c:idx val="5"/>
              <c:layout>
                <c:manualLayout>
                  <c:x val="-0.00424480209343135"/>
                  <c:y val="0.085330036957168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7"/>
              <c:layout>
                <c:manualLayout>
                  <c:x val="-0.0717216414341665"/>
                  <c:y val="-0.126756191596419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'!$A$45:$A$52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'Output Dashboard '!$C$45:$C$52</c:f>
              <c:numCache>
                <c:formatCode>0.0%</c:formatCode>
                <c:ptCount val="8"/>
                <c:pt idx="0">
                  <c:v>0.047518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dLbls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828399935"/>
        <c:axId val="828403775"/>
      </c:lineChart>
      <c:catAx>
        <c:axId val="828399935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403775"/>
        <c:crossesAt val="0"/>
        <c:auto val="1"/>
        <c:lblAlgn val="ctr"/>
        <c:lblOffset val="100"/>
        <c:noMultiLvlLbl val="0"/>
      </c:catAx>
      <c:valAx>
        <c:axId val="828403775"/>
        <c:scaling>
          <c:orientation val="minMax"/>
        </c:scaling>
        <c:delete val="0"/>
        <c:axPos val="r"/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28399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60e58dd-051d-4c10-b4d7-7f52422924c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557217847769"/>
          <c:y val="0.102817535565542"/>
          <c:w val="0.793967454068241"/>
          <c:h val="0.81078117404324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'Output Dashboard '!$Q$45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dLbl>
              <c:idx val="0"/>
              <c:layout/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lang="en-GB" sz="9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44749906758506"/>
                      <c:h val="0.11770243073981"/>
                    </c:manualLayout>
                  </c15:layout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'!$P$46:$P$49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'Output Dashboard '!$Q$46:$Q$49</c:f>
              <c:numCache>
                <c:formatCode>0.00%</c:formatCode>
                <c:ptCount val="4"/>
                <c:pt idx="0">
                  <c:v>0.131368662200789</c:v>
                </c:pt>
                <c:pt idx="1">
                  <c:v>0.19737963391126</c:v>
                </c:pt>
                <c:pt idx="2">
                  <c:v>0.319914761301677</c:v>
                </c:pt>
                <c:pt idx="3">
                  <c:v>0.481515766284632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604767"/>
        <c:axId val="46259660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'!$R$45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lang="en-GB"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xmlns:c15="http://schemas.microsoft.com/office/drawing/2012/chart" uri="{CE6537A1-D6FC-4f65-9D91-7224C49458BB}">
                      <c15:layout/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'!$P$46:$P$49</c15:sqref>
                        </c15:formulaRef>
                      </c:ext>
                    </c:extLst>
                    <c:strCache>
                      <c:ptCount val="4"/>
                      <c:pt idx="0">
                        <c:v>Top 3 </c:v>
                      </c:pt>
                      <c:pt idx="1">
                        <c:v>Top 5</c:v>
                      </c:pt>
                      <c:pt idx="2">
                        <c:v>Top 10</c:v>
                      </c:pt>
                      <c:pt idx="3">
                        <c:v>Top 20 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'!$R$46:$R$49</c15:sqref>
                        </c15:formulaRef>
                      </c:ext>
                    </c:extLst>
                    <c:numCache>
                      <c:formatCode>0.00%</c:formatCode>
                      <c:ptCount val="4"/>
                    </c:numCache>
                  </c:numRef>
                </c:val>
              </c15:ser>
            </c15:filteredBarSeries>
          </c:ext>
        </c:extLst>
      </c:barChart>
      <c:catAx>
        <c:axId val="4626047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596607"/>
        <c:crosses val="autoZero"/>
        <c:auto val="1"/>
        <c:lblAlgn val="ctr"/>
        <c:lblOffset val="100"/>
        <c:noMultiLvlLbl val="0"/>
      </c:catAx>
      <c:valAx>
        <c:axId val="462596607"/>
        <c:scaling>
          <c:orientation val="minMax"/>
        </c:scaling>
        <c:delete val="1"/>
        <c:axPos val="b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0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b563cea-e773-46c5-a4bf-a855cccbdd81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Market</a:t>
            </a:r>
            <a:r>
              <a:rPr lang="en-IN" b="1" baseline="0"/>
              <a:t> Cap Allocation</a:t>
            </a:r>
            <a:endParaRPr lang="en-IN" b="1" baseline="0"/>
          </a:p>
        </c:rich>
      </c:tx>
      <c:layout>
        <c:manualLayout>
          <c:xMode val="edge"/>
          <c:yMode val="edge"/>
          <c:x val="0.41007246519031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281758843803015"/>
          <c:y val="0"/>
          <c:w val="0.996203852534517"/>
          <c:h val="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'Output Dashboard '!$X$46</c:f>
              <c:strCache>
                <c:ptCount val="1"/>
                <c:pt idx="0">
                  <c:v>Large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'!$Z$46</c:f>
              <c:numCache>
                <c:formatCode>0.00%</c:formatCode>
                <c:ptCount val="1"/>
                <c:pt idx="0">
                  <c:v>0.825602804021401</c:v>
                </c:pt>
              </c:numCache>
            </c:numRef>
          </c:val>
        </c:ser>
        <c:ser>
          <c:idx val="1"/>
          <c:order val="1"/>
          <c:tx>
            <c:strRef>
              <c:f>'Output Dashboard '!$X$47</c:f>
              <c:strCache>
                <c:ptCount val="1"/>
                <c:pt idx="0">
                  <c:v>Mid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'!$Z$47</c:f>
              <c:numCache>
                <c:formatCode>0.00%</c:formatCode>
                <c:ptCount val="1"/>
                <c:pt idx="0">
                  <c:v>0.134116838584965</c:v>
                </c:pt>
              </c:numCache>
            </c:numRef>
          </c:val>
        </c:ser>
        <c:ser>
          <c:idx val="2"/>
          <c:order val="2"/>
          <c:tx>
            <c:strRef>
              <c:f>'Output Dashboard '!$X$48</c:f>
              <c:strCache>
                <c:ptCount val="1"/>
                <c:pt idx="0">
                  <c:v>Small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'!$Z$45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'Output Dashboard '!$Z$48</c:f>
              <c:numCache>
                <c:formatCode>0.00%</c:formatCode>
                <c:ptCount val="1"/>
                <c:pt idx="0">
                  <c:v>0.0402803573936342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100"/>
        <c:axId val="1807058272"/>
        <c:axId val="1807057312"/>
      </c:barChart>
      <c:catAx>
        <c:axId val="180705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7312"/>
        <c:crosses val="autoZero"/>
        <c:auto val="1"/>
        <c:lblAlgn val="ctr"/>
        <c:lblOffset val="100"/>
        <c:noMultiLvlLbl val="0"/>
      </c:catAx>
      <c:valAx>
        <c:axId val="1807057312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ae2966c0-f24a-4149-b8ca-e2af2f232221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Sector</a:t>
            </a:r>
            <a:r>
              <a:rPr lang="en-IN" b="1" baseline="0"/>
              <a:t> Allocation</a:t>
            </a:r>
            <a:endParaRPr lang="en-IN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58992988321843"/>
          <c:y val="0.0502797417989494"/>
          <c:w val="0.959254080926748"/>
          <c:h val="0.590961883492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'Output Dashboard '!$U$46</c:f>
              <c:strCache>
                <c:ptCount val="1"/>
                <c:pt idx="0">
                  <c:v>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'!$T$47:$T$59</c:f>
              <c:strCache>
                <c:ptCount val="13"/>
                <c:pt idx="0">
                  <c:v>Financials</c:v>
                </c:pt>
                <c:pt idx="1">
                  <c:v>Consumer Discretionary</c:v>
                </c:pt>
                <c:pt idx="2">
                  <c:v>Industrials</c:v>
                </c:pt>
                <c:pt idx="3">
                  <c:v>Materials</c:v>
                </c:pt>
                <c:pt idx="4">
                  <c:v>Consumer Staples</c:v>
                </c:pt>
                <c:pt idx="5">
                  <c:v>Health Care</c:v>
                </c:pt>
                <c:pt idx="6">
                  <c:v>Information Technology</c:v>
                </c:pt>
                <c:pt idx="7">
                  <c:v>Utilities</c:v>
                </c:pt>
                <c:pt idx="8">
                  <c:v>Energy</c:v>
                </c:pt>
                <c:pt idx="9">
                  <c:v>Communication Services</c:v>
                </c:pt>
                <c:pt idx="10">
                  <c:v>Real Estate</c:v>
                </c:pt>
                <c:pt idx="11">
                  <c:v>#N/A Invalid Security</c:v>
                </c:pt>
                <c:pt idx="12">
                  <c:v>#N/A N/A</c:v>
                </c:pt>
              </c:strCache>
            </c:strRef>
          </c:cat>
          <c:val>
            <c:numRef>
              <c:f>'Output Dashboard '!$U$47:$U$59</c:f>
              <c:numCache>
                <c:formatCode>0.00%</c:formatCode>
                <c:ptCount val="13"/>
                <c:pt idx="0">
                  <c:v>0.254946135172311</c:v>
                </c:pt>
                <c:pt idx="1">
                  <c:v>0.193200435404322</c:v>
                </c:pt>
                <c:pt idx="2">
                  <c:v>0.117562952745183</c:v>
                </c:pt>
                <c:pt idx="3">
                  <c:v>0.0974976682106453</c:v>
                </c:pt>
                <c:pt idx="4">
                  <c:v>0.0785502278479587</c:v>
                </c:pt>
                <c:pt idx="5">
                  <c:v>0.0764928879886595</c:v>
                </c:pt>
                <c:pt idx="6">
                  <c:v>0.0569491138287448</c:v>
                </c:pt>
                <c:pt idx="7">
                  <c:v>0.0389985742990883</c:v>
                </c:pt>
                <c:pt idx="8">
                  <c:v>0.0334570811771772</c:v>
                </c:pt>
                <c:pt idx="9">
                  <c:v>0.0120292647473957</c:v>
                </c:pt>
                <c:pt idx="10">
                  <c:v>0.00842750547230037</c:v>
                </c:pt>
                <c:pt idx="11">
                  <c:v>0</c:v>
                </c:pt>
                <c:pt idx="12" c:formatCode="General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4799"/>
        <c:axId val="1115547199"/>
      </c:barChart>
      <c:catAx>
        <c:axId val="111554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5547199"/>
        <c:crosses val="autoZero"/>
        <c:auto val="1"/>
        <c:lblAlgn val="ctr"/>
        <c:lblOffset val="100"/>
        <c:noMultiLvlLbl val="0"/>
      </c:catAx>
      <c:valAx>
        <c:axId val="1115547199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5fd2e1b-b126-44c4-9862-88622b7ba275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 Stock Exposure 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9773586405351"/>
          <c:y val="0.0731047980697355"/>
          <c:w val="0.593396632066027"/>
          <c:h val="0.889491618954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'Output Dashboard '!$N$45:$N$46</c:f>
              <c:strCache>
                <c:ptCount val="1"/>
                <c:pt idx="0">
                  <c:v>Equity Stock Exposure  Percentage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'!$M$47:$M$66</c:f>
              <c:strCache>
                <c:ptCount val="20"/>
                <c:pt idx="0">
                  <c:v>HDFC Bank Ltd</c:v>
                </c:pt>
                <c:pt idx="1">
                  <c:v>Hindalco Industries Ltd</c:v>
                </c:pt>
                <c:pt idx="2">
                  <c:v>ICICI Lombard General Insuranc</c:v>
                </c:pt>
                <c:pt idx="3">
                  <c:v>ICICI Bank Ltd</c:v>
                </c:pt>
                <c:pt idx="4">
                  <c:v>Reliance Industries Ltd</c:v>
                </c:pt>
                <c:pt idx="5">
                  <c:v>Samvardhana Motherson Internat</c:v>
                </c:pt>
                <c:pt idx="6">
                  <c:v>Mahindra &amp; Mahindra Ltd</c:v>
                </c:pt>
                <c:pt idx="7">
                  <c:v>Larsen &amp; Toubro Ltd</c:v>
                </c:pt>
                <c:pt idx="8">
                  <c:v>InterGlobe Aviation Ltd</c:v>
                </c:pt>
                <c:pt idx="9">
                  <c:v>State Bank of India</c:v>
                </c:pt>
                <c:pt idx="10">
                  <c:v>Axis Bank Ltd</c:v>
                </c:pt>
                <c:pt idx="11">
                  <c:v>Bajaj Finance Ltd</c:v>
                </c:pt>
                <c:pt idx="12">
                  <c:v>CG Power &amp; Industrial Solution</c:v>
                </c:pt>
                <c:pt idx="13">
                  <c:v>HCL Technologies Ltd</c:v>
                </c:pt>
                <c:pt idx="14">
                  <c:v>Tata Consultancy Services Ltd</c:v>
                </c:pt>
                <c:pt idx="15">
                  <c:v>Tata Power Co Ltd/The</c:v>
                </c:pt>
                <c:pt idx="16">
                  <c:v>Hindustan Unilever Ltd</c:v>
                </c:pt>
                <c:pt idx="17">
                  <c:v>Indian Hotels Co Ltd/The</c:v>
                </c:pt>
                <c:pt idx="18">
                  <c:v>Eternal Ltd</c:v>
                </c:pt>
                <c:pt idx="19">
                  <c:v>Kotak Mahindra Bank Ltd</c:v>
                </c:pt>
              </c:strCache>
            </c:strRef>
          </c:cat>
          <c:val>
            <c:numRef>
              <c:f>'Output Dashboard '!$N$47:$N$66</c:f>
              <c:numCache>
                <c:formatCode>0.00%</c:formatCode>
                <c:ptCount val="20"/>
                <c:pt idx="0">
                  <c:v>0.0478201864703617</c:v>
                </c:pt>
                <c:pt idx="1">
                  <c:v>0.0442772570951206</c:v>
                </c:pt>
                <c:pt idx="2">
                  <c:v>0.0392712186353062</c:v>
                </c:pt>
                <c:pt idx="3">
                  <c:v>0.0348185912715011</c:v>
                </c:pt>
                <c:pt idx="4">
                  <c:v>0.0311923804389708</c:v>
                </c:pt>
                <c:pt idx="5">
                  <c:v>0.02623711681497</c:v>
                </c:pt>
                <c:pt idx="6">
                  <c:v>0.0260995136114085</c:v>
                </c:pt>
                <c:pt idx="7">
                  <c:v>0.0242487811698933</c:v>
                </c:pt>
                <c:pt idx="8">
                  <c:v>0.0240187628452967</c:v>
                </c:pt>
                <c:pt idx="9">
                  <c:v>0.0219309529488479</c:v>
                </c:pt>
                <c:pt idx="10">
                  <c:v>0.0215352161617102</c:v>
                </c:pt>
                <c:pt idx="11">
                  <c:v>0.0180614166086307</c:v>
                </c:pt>
                <c:pt idx="12">
                  <c:v>0.016394945436201</c:v>
                </c:pt>
                <c:pt idx="13">
                  <c:v>0.0163133948572898</c:v>
                </c:pt>
                <c:pt idx="14">
                  <c:v>0.0162591087594567</c:v>
                </c:pt>
                <c:pt idx="15">
                  <c:v>0.015611749096873</c:v>
                </c:pt>
                <c:pt idx="16">
                  <c:v>0.0146734979108327</c:v>
                </c:pt>
                <c:pt idx="17">
                  <c:v>0.014441400366798</c:v>
                </c:pt>
                <c:pt idx="18">
                  <c:v>0.0143239017496863</c:v>
                </c:pt>
                <c:pt idx="19">
                  <c:v>0.0139863740354772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1770400000"/>
        <c:axId val="1770400960"/>
      </c:barChart>
      <c:catAx>
        <c:axId val="1770400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75" b="0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70400960"/>
        <c:crosses val="autoZero"/>
        <c:auto val="1"/>
        <c:lblAlgn val="ctr"/>
        <c:lblOffset val="100"/>
        <c:noMultiLvlLbl val="0"/>
      </c:catAx>
      <c:valAx>
        <c:axId val="1770400960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04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57d49c1-855e-40c0-b8c3-06ad92820410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'Output Dashboard '!$U$61</c:f>
              <c:strCache>
                <c:ptCount val="1"/>
                <c:pt idx="0">
                  <c:v/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'Output Dashboard '!$T$62:$T$64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'Output Dashboard '!$U$62:$U$64</c:f>
              <c:numCache>
                <c:formatCode>0.0%</c:formatCode>
                <c:ptCount val="3"/>
                <c:pt idx="0">
                  <c:v>0.565709523321816</c:v>
                </c:pt>
                <c:pt idx="1">
                  <c:v>0.74175741938042</c:v>
                </c:pt>
                <c:pt idx="2">
                  <c:v>0.968111846893786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767834656"/>
        <c:axId val="1767835616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'Output Dashboard '!$V$61</c15:sqref>
                        </c15:formulaRef>
                      </c:ext>
                    </c:extLst>
                    <c:strCache>
                      <c:ptCount val="1"/>
                      <c:pt idx="0">
                        <c:v/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delete val="1"/>
                </c:dLbls>
                <c:cat>
                  <c:strRef>
                    <c:extLst>
                      <c:ext uri="{02D57815-91ED-43cb-92C2-25804820EDAC}">
                        <c15:fullRef>
                          <c15:sqref/>
                        </c15:fullRef>
                        <c15:formulaRef>
                          <c15:sqref>'Output Dashboard '!$T$62:$T$64</c15:sqref>
                        </c15:formulaRef>
                      </c:ext>
                    </c:extLst>
                    <c:strCache>
                      <c:ptCount val="3"/>
                      <c:pt idx="0">
                        <c:v>Top 3 </c:v>
                      </c:pt>
                      <c:pt idx="1">
                        <c:v>Top 5</c:v>
                      </c:pt>
                      <c:pt idx="2">
                        <c:v>Top 11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'Output Dashboard '!$V$62:$V$64</c15:sqref>
                        </c15:formulaRef>
                      </c:ext>
                    </c:extLst>
                    <c:numCache>
                      <c:formatCode>0.0%</c:formatCode>
                      <c:ptCount val="3"/>
                    </c:numCache>
                  </c:numRef>
                </c:val>
              </c15:ser>
            </c15:filteredBarSeries>
          </c:ext>
        </c:extLst>
      </c:barChart>
      <c:catAx>
        <c:axId val="176783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67835616"/>
        <c:crosses val="autoZero"/>
        <c:auto val="1"/>
        <c:lblAlgn val="ctr"/>
        <c:lblOffset val="100"/>
        <c:noMultiLvlLbl val="0"/>
      </c:catAx>
      <c:valAx>
        <c:axId val="176783561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78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624c05f6-6d5b-417b-a4b0-d127fc49cb5a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Market</a:t>
            </a:r>
            <a:r>
              <a:rPr lang="en-IN" b="1" baseline="0"/>
              <a:t> Cap Allocation</a:t>
            </a:r>
            <a:endParaRPr lang="en-IN" b="1" baseline="0"/>
          </a:p>
        </c:rich>
      </c:tx>
      <c:layout>
        <c:manualLayout>
          <c:xMode val="edge"/>
          <c:yMode val="edge"/>
          <c:x val="0.410072465190312"/>
          <c:y val="0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0281758843803015"/>
          <c:y val="0"/>
          <c:w val="0.996203852534517"/>
          <c:h val="1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'PPT Attributes'!$A$10</c:f>
              <c:strCache>
                <c:ptCount val="1"/>
                <c:pt idx="0">
                  <c:v>Large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Attributes'!$B$10</c:f>
              <c:numCache>
                <c:formatCode>0.00%</c:formatCode>
                <c:ptCount val="1"/>
                <c:pt idx="0">
                  <c:v>0.825602804021401</c:v>
                </c:pt>
              </c:numCache>
            </c:numRef>
          </c:val>
        </c:ser>
        <c:ser>
          <c:idx val="1"/>
          <c:order val="1"/>
          <c:tx>
            <c:strRef>
              <c:f>'PPT Attributes'!$A$11</c:f>
              <c:strCache>
                <c:ptCount val="1"/>
                <c:pt idx="0">
                  <c:v>Mid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Attributes'!$B$11</c:f>
              <c:numCache>
                <c:formatCode>0.00%</c:formatCode>
                <c:ptCount val="1"/>
                <c:pt idx="0">
                  <c:v>0.134116838584965</c:v>
                </c:pt>
              </c:numCache>
            </c:numRef>
          </c:val>
        </c:ser>
        <c:ser>
          <c:idx val="2"/>
          <c:order val="2"/>
          <c:tx>
            <c:strRef>
              <c:f>'PPT Attributes'!$A$12</c:f>
              <c:strCache>
                <c:ptCount val="1"/>
                <c:pt idx="0">
                  <c:v>Small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105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Attributes'!$B$9</c:f>
              <c:strCache>
                <c:ptCount val="1"/>
                <c:pt idx="0">
                  <c:v>Equity</c:v>
                </c:pt>
              </c:strCache>
            </c:strRef>
          </c:cat>
          <c:val>
            <c:numRef>
              <c:f>'PPT Attributes'!$B$12</c:f>
              <c:numCache>
                <c:formatCode>0.00%</c:formatCode>
                <c:ptCount val="1"/>
                <c:pt idx="0">
                  <c:v>0.0402803573936342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100"/>
        <c:axId val="1807058272"/>
        <c:axId val="1807057312"/>
      </c:barChart>
      <c:catAx>
        <c:axId val="1807058272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7312"/>
        <c:crosses val="autoZero"/>
        <c:auto val="1"/>
        <c:lblAlgn val="ctr"/>
        <c:lblOffset val="100"/>
        <c:noMultiLvlLbl val="0"/>
      </c:catAx>
      <c:valAx>
        <c:axId val="1807057312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07058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9e033fd-374b-4b39-8f1a-b173fdbcd3fb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Sector</a:t>
            </a:r>
            <a:r>
              <a:rPr lang="en-IN" b="1" baseline="0"/>
              <a:t> Allocation</a:t>
            </a:r>
            <a:endParaRPr lang="en-IN" b="1" baseline="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358992988321843"/>
          <c:y val="0.0502797417989494"/>
          <c:w val="0.959254080926748"/>
          <c:h val="0.5909618834928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'PPT Attributes'!$B$32:$B$33</c:f>
              <c:strCache>
                <c:ptCount val="1"/>
                <c:pt idx="0">
                  <c:v>Equity Sector Exposure  Percentage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Attributes'!$A$34:$A$44</c:f>
              <c:strCache>
                <c:ptCount val="11"/>
                <c:pt idx="0">
                  <c:v>Financials</c:v>
                </c:pt>
                <c:pt idx="1">
                  <c:v>Consumer Discretionary</c:v>
                </c:pt>
                <c:pt idx="2">
                  <c:v>Industrials</c:v>
                </c:pt>
                <c:pt idx="3">
                  <c:v>Materials</c:v>
                </c:pt>
                <c:pt idx="4">
                  <c:v>Consumer Staples</c:v>
                </c:pt>
                <c:pt idx="5">
                  <c:v>Health Care</c:v>
                </c:pt>
                <c:pt idx="6">
                  <c:v>Information Technology</c:v>
                </c:pt>
                <c:pt idx="7">
                  <c:v>Utilities</c:v>
                </c:pt>
                <c:pt idx="8">
                  <c:v>Energy</c:v>
                </c:pt>
                <c:pt idx="9">
                  <c:v>Communication Services</c:v>
                </c:pt>
                <c:pt idx="10">
                  <c:v>Real Estate</c:v>
                </c:pt>
              </c:strCache>
            </c:strRef>
          </c:cat>
          <c:val>
            <c:numRef>
              <c:f>'PPT Attributes'!$B$34:$B$44</c:f>
              <c:numCache>
                <c:formatCode>0.00%</c:formatCode>
                <c:ptCount val="11"/>
                <c:pt idx="0">
                  <c:v>0.236431657882783</c:v>
                </c:pt>
                <c:pt idx="1">
                  <c:v>0.18572413767173</c:v>
                </c:pt>
                <c:pt idx="2">
                  <c:v>0.113614228108057</c:v>
                </c:pt>
                <c:pt idx="3">
                  <c:v>0.089044430572797</c:v>
                </c:pt>
                <c:pt idx="4">
                  <c:v>0.0750584215823537</c:v>
                </c:pt>
                <c:pt idx="5">
                  <c:v>0.0738183434525035</c:v>
                </c:pt>
                <c:pt idx="6">
                  <c:v>0.0532168670853605</c:v>
                </c:pt>
                <c:pt idx="7">
                  <c:v>0.0376982948151891</c:v>
                </c:pt>
                <c:pt idx="8">
                  <c:v>0.0308168763561049</c:v>
                </c:pt>
                <c:pt idx="9">
                  <c:v>0.0110654437527948</c:v>
                </c:pt>
                <c:pt idx="10">
                  <c:v>0.00842750547230037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15544799"/>
        <c:axId val="1115547199"/>
      </c:barChart>
      <c:catAx>
        <c:axId val="11155447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115547199"/>
        <c:crosses val="autoZero"/>
        <c:auto val="1"/>
        <c:lblAlgn val="ctr"/>
        <c:lblOffset val="100"/>
        <c:noMultiLvlLbl val="0"/>
      </c:catAx>
      <c:valAx>
        <c:axId val="1115547199"/>
        <c:scaling>
          <c:orientation val="minMax"/>
        </c:scaling>
        <c:delete val="1"/>
        <c:axPos val="l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1155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d080854-1f90-427e-b70f-54bd4de00f1e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aseline="0"/>
              <a:t>Sector Concentration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Attributes'!$D$33:$D$35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'PPT Attributes'!$E$33:$E$35</c:f>
              <c:numCache>
                <c:formatCode>0.0%</c:formatCode>
                <c:ptCount val="3"/>
                <c:pt idx="0">
                  <c:v>0.565709523321816</c:v>
                </c:pt>
                <c:pt idx="1">
                  <c:v>0.74175741938042</c:v>
                </c:pt>
                <c:pt idx="2">
                  <c:v>0.968111846893786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Attributes'!$D$33:$D$35</c:f>
              <c:strCache>
                <c:ptCount val="3"/>
                <c:pt idx="0">
                  <c:v>Top 3 </c:v>
                </c:pt>
                <c:pt idx="1">
                  <c:v>Top 5</c:v>
                </c:pt>
                <c:pt idx="2">
                  <c:v>Top 11</c:v>
                </c:pt>
              </c:strCache>
            </c:strRef>
          </c:cat>
          <c:val>
            <c:numRef>
              <c:f>'PPT Attributes'!$F$33:$F$35</c:f>
              <c:numCache>
                <c:formatCode>0.0%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1767834656"/>
        <c:axId val="1767835616"/>
      </c:barChart>
      <c:catAx>
        <c:axId val="176783465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67835616"/>
        <c:crosses val="autoZero"/>
        <c:auto val="1"/>
        <c:lblAlgn val="ctr"/>
        <c:lblOffset val="100"/>
        <c:noMultiLvlLbl val="0"/>
      </c:catAx>
      <c:valAx>
        <c:axId val="1767835616"/>
        <c:scaling>
          <c:orientation val="minMax"/>
        </c:scaling>
        <c:delete val="1"/>
        <c:axPos val="b"/>
        <c:numFmt formatCode="0.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67834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7151944-47c9-4bfb-a355-f8ee53dd10b6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1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Equity Stock Exposure  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359773586405351"/>
          <c:y val="0.0731047980697355"/>
          <c:w val="0.593396632066027"/>
          <c:h val="0.88949161895451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'PPT Attributes'!$B$77</c:f>
              <c:strCache>
                <c:ptCount val="1"/>
                <c:pt idx="0">
                  <c:v>Percentage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Attributes'!$A$78:$A$97</c:f>
              <c:strCache>
                <c:ptCount val="20"/>
                <c:pt idx="0">
                  <c:v>HDFC Bank Ltd</c:v>
                </c:pt>
                <c:pt idx="1">
                  <c:v>Hindalco Industries Ltd</c:v>
                </c:pt>
                <c:pt idx="2">
                  <c:v>ICICI Lombard General Insuranc</c:v>
                </c:pt>
                <c:pt idx="3">
                  <c:v>ICICI Bank Ltd</c:v>
                </c:pt>
                <c:pt idx="4">
                  <c:v>Reliance Industries Ltd</c:v>
                </c:pt>
                <c:pt idx="5">
                  <c:v>Samvardhana Motherson Internat</c:v>
                </c:pt>
                <c:pt idx="6">
                  <c:v>Mahindra &amp; Mahindra Ltd</c:v>
                </c:pt>
                <c:pt idx="7">
                  <c:v>Larsen &amp; Toubro Ltd</c:v>
                </c:pt>
                <c:pt idx="8">
                  <c:v>InterGlobe Aviation Ltd</c:v>
                </c:pt>
                <c:pt idx="9">
                  <c:v>State Bank of India</c:v>
                </c:pt>
                <c:pt idx="10">
                  <c:v>Axis Bank Ltd</c:v>
                </c:pt>
                <c:pt idx="11">
                  <c:v>Bajaj Finance Ltd</c:v>
                </c:pt>
                <c:pt idx="12">
                  <c:v>CG Power &amp; Industrial Solution</c:v>
                </c:pt>
                <c:pt idx="13">
                  <c:v>HCL Technologies Ltd</c:v>
                </c:pt>
                <c:pt idx="14">
                  <c:v>Tata Consultancy Services Ltd</c:v>
                </c:pt>
                <c:pt idx="15">
                  <c:v>Tata Power Co Ltd/The</c:v>
                </c:pt>
                <c:pt idx="16">
                  <c:v>Hindustan Unilever Ltd</c:v>
                </c:pt>
                <c:pt idx="17">
                  <c:v>Indian Hotels Co Ltd/The</c:v>
                </c:pt>
                <c:pt idx="18">
                  <c:v>Eternal Ltd</c:v>
                </c:pt>
                <c:pt idx="19">
                  <c:v>Kotak Mahindra Bank Ltd</c:v>
                </c:pt>
              </c:strCache>
            </c:strRef>
          </c:cat>
          <c:val>
            <c:numRef>
              <c:f>'PPT Attributes'!$B$78:$B$97</c:f>
              <c:numCache>
                <c:formatCode>0.00%</c:formatCode>
                <c:ptCount val="20"/>
                <c:pt idx="0">
                  <c:v>0.0478201864703617</c:v>
                </c:pt>
                <c:pt idx="1">
                  <c:v>0.0442772570951206</c:v>
                </c:pt>
                <c:pt idx="2">
                  <c:v>0.0392712186353062</c:v>
                </c:pt>
                <c:pt idx="3">
                  <c:v>0.0348185912715011</c:v>
                </c:pt>
                <c:pt idx="4">
                  <c:v>0.0311923804389708</c:v>
                </c:pt>
                <c:pt idx="5">
                  <c:v>0.02623711681497</c:v>
                </c:pt>
                <c:pt idx="6">
                  <c:v>0.0260995136114085</c:v>
                </c:pt>
                <c:pt idx="7">
                  <c:v>0.0242487811698933</c:v>
                </c:pt>
                <c:pt idx="8">
                  <c:v>0.0240187628452967</c:v>
                </c:pt>
                <c:pt idx="9">
                  <c:v>0.0219309529488479</c:v>
                </c:pt>
                <c:pt idx="10">
                  <c:v>0.0215352161617102</c:v>
                </c:pt>
                <c:pt idx="11">
                  <c:v>0.0180614166086307</c:v>
                </c:pt>
                <c:pt idx="12">
                  <c:v>0.016394945436201</c:v>
                </c:pt>
                <c:pt idx="13">
                  <c:v>0.0163133948572898</c:v>
                </c:pt>
                <c:pt idx="14">
                  <c:v>0.0162591087594567</c:v>
                </c:pt>
                <c:pt idx="15">
                  <c:v>0.015611749096873</c:v>
                </c:pt>
                <c:pt idx="16">
                  <c:v>0.0146734979108327</c:v>
                </c:pt>
                <c:pt idx="17">
                  <c:v>0.014441400366798</c:v>
                </c:pt>
                <c:pt idx="18">
                  <c:v>0.0143239017496863</c:v>
                </c:pt>
                <c:pt idx="19">
                  <c:v>0.0139863740354772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6"/>
        <c:axId val="1770400000"/>
        <c:axId val="1770400960"/>
      </c:barChart>
      <c:catAx>
        <c:axId val="177040000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75" b="0" i="0" u="none" strike="noStrike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</a:p>
        </c:txPr>
        <c:crossAx val="1770400960"/>
        <c:crosses val="autoZero"/>
        <c:auto val="1"/>
        <c:lblAlgn val="ctr"/>
        <c:lblOffset val="100"/>
        <c:noMultiLvlLbl val="0"/>
      </c:catAx>
      <c:valAx>
        <c:axId val="1770400960"/>
        <c:scaling>
          <c:orientation val="minMax"/>
        </c:scaling>
        <c:delete val="1"/>
        <c:axPos val="t"/>
        <c:numFmt formatCode="0.00%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770400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fa7b1ef8-e28c-4dee-b66f-dc36c670e012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Position</a:t>
            </a:r>
            <a:r>
              <a:rPr lang="en-IN" baseline="0"/>
              <a:t> Concentration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24557217847769"/>
          <c:y val="0.102817535565542"/>
          <c:w val="0.793967454068241"/>
          <c:h val="0.810781174043246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'PPT Attributes'!$D$77:$D$80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'PPT Attributes'!$E$77:$E$80</c:f>
              <c:numCache>
                <c:formatCode>0.00%</c:formatCode>
                <c:ptCount val="4"/>
                <c:pt idx="0">
                  <c:v>0.131368662200789</c:v>
                </c:pt>
                <c:pt idx="1">
                  <c:v>0.19737963391126</c:v>
                </c:pt>
                <c:pt idx="2">
                  <c:v>0.319914761301677</c:v>
                </c:pt>
                <c:pt idx="3">
                  <c:v>0.481515766284632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Attributes'!$D$77:$D$80</c:f>
              <c:strCache>
                <c:ptCount val="4"/>
                <c:pt idx="0">
                  <c:v>Top 3 </c:v>
                </c:pt>
                <c:pt idx="1">
                  <c:v>Top 5</c:v>
                </c:pt>
                <c:pt idx="2">
                  <c:v>Top 10</c:v>
                </c:pt>
                <c:pt idx="3">
                  <c:v>Top 20 </c:v>
                </c:pt>
              </c:strCache>
            </c:strRef>
          </c:cat>
          <c:val>
            <c:numRef>
              <c:f>'PPT Attributes'!$F$77:$F$80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462604767"/>
        <c:axId val="462596607"/>
      </c:barChart>
      <c:catAx>
        <c:axId val="462604767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462596607"/>
        <c:crosses val="autoZero"/>
        <c:auto val="1"/>
        <c:lblAlgn val="ctr"/>
        <c:lblOffset val="100"/>
        <c:noMultiLvlLbl val="0"/>
      </c:catAx>
      <c:valAx>
        <c:axId val="462596607"/>
        <c:scaling>
          <c:orientation val="minMax"/>
        </c:scaling>
        <c:delete val="1"/>
        <c:axPos val="b"/>
        <c:numFmt formatCode="0.00%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62604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50ccca6-3397-44ab-bd9c-29a513f66694}"/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Back</a:t>
            </a:r>
            <a:r>
              <a:rPr lang="en-IN" baseline="0"/>
              <a:t> Tested Returns 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'PPT Attributes'!$B$100</c:f>
              <c:strCache>
                <c:ptCount val="1"/>
                <c:pt idx="0">
                  <c:v>Equity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Attributes'!$B$101:$B$108</c:f>
              <c:numCache>
                <c:formatCode>0.0%</c:formatCode>
                <c:ptCount val="8"/>
                <c:pt idx="0">
                  <c:v>0.0398440833333333</c:v>
                </c:pt>
                <c:pt idx="1">
                  <c:v>0.187081926768325</c:v>
                </c:pt>
                <c:pt idx="2">
                  <c:v>0.268878579565279</c:v>
                </c:pt>
                <c:pt idx="3">
                  <c:v>0.0552893295023589</c:v>
                </c:pt>
                <c:pt idx="4">
                  <c:v>0.300743207497409</c:v>
                </c:pt>
                <c:pt idx="5">
                  <c:v>0.150106282631741</c:v>
                </c:pt>
                <c:pt idx="6">
                  <c:v>0.108468903909756</c:v>
                </c:pt>
                <c:pt idx="7">
                  <c:v>0.00118003464084621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'PPT Attributes'!$C$100</c:f>
              <c:strCache>
                <c:ptCount val="1"/>
                <c:pt idx="0">
                  <c:v>Nifty 50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Attributes'!$C$101:$C$108</c:f>
              <c:numCache>
                <c:formatCode>0.0%</c:formatCode>
                <c:ptCount val="8"/>
                <c:pt idx="0">
                  <c:v>0.047518</c:v>
                </c:pt>
                <c:pt idx="1">
                  <c:v>0.0880476902077809</c:v>
                </c:pt>
                <c:pt idx="2">
                  <c:v>0.200278393101744</c:v>
                </c:pt>
                <c:pt idx="3">
                  <c:v>0.0432896067488569</c:v>
                </c:pt>
                <c:pt idx="4">
                  <c:v>0.241192983710909</c:v>
                </c:pt>
                <c:pt idx="5">
                  <c:v>0.149016514017808</c:v>
                </c:pt>
                <c:pt idx="6">
                  <c:v>0.120220390239861</c:v>
                </c:pt>
                <c:pt idx="7">
                  <c:v>0.0315126249916908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'PPT Attributes'!$D$100</c:f>
              <c:strCache>
                <c:ptCount val="1"/>
                <c:pt idx="0">
                  <c:v>S&amp;P BSE 500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elete val="1"/>
          </c:dLbls>
          <c:cat>
            <c:strRef>
              <c:f>'PPT Attributes'!$A$101:$A$108</c:f>
              <c:strCache>
                <c:ptCount val="8"/>
                <c:pt idx="0">
                  <c:v>CY 2025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  <c:pt idx="6">
                  <c:v>2019</c:v>
                </c:pt>
                <c:pt idx="7">
                  <c:v>2018</c:v>
                </c:pt>
              </c:strCache>
            </c:strRef>
          </c:cat>
          <c:val>
            <c:numRef>
              <c:f>'PPT Attributes'!$D$101:$D$108</c:f>
              <c:numCache>
                <c:formatCode>0.0%</c:formatCode>
                <c:ptCount val="8"/>
                <c:pt idx="0">
                  <c:v>0.022527</c:v>
                </c:pt>
                <c:pt idx="1">
                  <c:v>0.145465796535709</c:v>
                </c:pt>
                <c:pt idx="2">
                  <c:v>0.248498523517645</c:v>
                </c:pt>
                <c:pt idx="3">
                  <c:v>0.0333786905211876</c:v>
                </c:pt>
                <c:pt idx="4">
                  <c:v>0.301140430926607</c:v>
                </c:pt>
                <c:pt idx="5">
                  <c:v>0.168033833223551</c:v>
                </c:pt>
                <c:pt idx="6">
                  <c:v>0.077511676096721</c:v>
                </c:pt>
                <c:pt idx="7">
                  <c:v>-0.0308170579621176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82484895"/>
        <c:axId val="1882470015"/>
      </c:lineChart>
      <c:catAx>
        <c:axId val="1882484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2470015"/>
        <c:crosses val="autoZero"/>
        <c:auto val="1"/>
        <c:lblAlgn val="ctr"/>
        <c:lblOffset val="100"/>
        <c:noMultiLvlLbl val="0"/>
      </c:catAx>
      <c:valAx>
        <c:axId val="1882470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8824848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0d1093f-604d-4c62-89f3-e164e5a94d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en-GB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CAGR</a:t>
            </a:r>
            <a:r>
              <a:rPr lang="en-IN" baseline="0"/>
              <a:t> Returns</a:t>
            </a:r>
            <a:endParaRPr lang="en-IN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'PPT Attributes'!$B$111</c:f>
              <c:strCache>
                <c:ptCount val="1"/>
                <c:pt idx="0">
                  <c:v>Equity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Attributes'!$B$112:$B$118</c:f>
              <c:numCache>
                <c:formatCode>0.0%</c:formatCode>
                <c:ptCount val="7"/>
                <c:pt idx="0">
                  <c:v>-0.0196150833333333</c:v>
                </c:pt>
                <c:pt idx="1">
                  <c:v>0.04222075</c:v>
                </c:pt>
                <c:pt idx="2">
                  <c:v>0.0731403333333333</c:v>
                </c:pt>
                <c:pt idx="3">
                  <c:v>0.0128765</c:v>
                </c:pt>
                <c:pt idx="4">
                  <c:v>0.1825995</c:v>
                </c:pt>
                <c:pt idx="5">
                  <c:v>0.221510666666667</c:v>
                </c:pt>
                <c:pt idx="6">
                  <c:v>0.135963083333333</c:v>
                </c:pt>
              </c:numCache>
            </c:numRef>
          </c:val>
        </c:ser>
        <c:ser>
          <c:idx val="1"/>
          <c:order val="1"/>
          <c:tx>
            <c:strRef>
              <c:f>'PPT Attributes'!$C$111</c:f>
              <c:strCache>
                <c:ptCount val="1"/>
                <c:pt idx="0">
                  <c:v>Nifty 50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Attributes'!$C$112:$C$118</c:f>
              <c:numCache>
                <c:formatCode>0.0%</c:formatCode>
                <c:ptCount val="7"/>
                <c:pt idx="0">
                  <c:v>-0.029341</c:v>
                </c:pt>
                <c:pt idx="1">
                  <c:v>0.017841</c:v>
                </c:pt>
                <c:pt idx="2">
                  <c:v>0.053596</c:v>
                </c:pt>
                <c:pt idx="3">
                  <c:v>-0.007326</c:v>
                </c:pt>
                <c:pt idx="4">
                  <c:v>0.129786</c:v>
                </c:pt>
                <c:pt idx="5">
                  <c:v>0.174585</c:v>
                </c:pt>
                <c:pt idx="6">
                  <c:v>0.112352</c:v>
                </c:pt>
              </c:numCache>
            </c:numRef>
          </c:val>
        </c:ser>
        <c:ser>
          <c:idx val="2"/>
          <c:order val="2"/>
          <c:tx>
            <c:strRef>
              <c:f>'PPT Attributes'!$D$111</c:f>
              <c:strCache>
                <c:ptCount val="1"/>
                <c:pt idx="0">
                  <c:v>S&amp;P BSE 500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'PPT Attributes'!$A$112:$A$118</c:f>
              <c:strCache>
                <c:ptCount val="7"/>
                <c:pt idx="0">
                  <c:v>1 M</c:v>
                </c:pt>
                <c:pt idx="1">
                  <c:v>3 M</c:v>
                </c:pt>
                <c:pt idx="2">
                  <c:v>6 M</c:v>
                </c:pt>
                <c:pt idx="3">
                  <c:v>1 Y</c:v>
                </c:pt>
                <c:pt idx="4">
                  <c:v>3 Y</c:v>
                </c:pt>
                <c:pt idx="5">
                  <c:v>5 Y</c:v>
                </c:pt>
                <c:pt idx="6">
                  <c:v>10 Y</c:v>
                </c:pt>
              </c:strCache>
            </c:strRef>
          </c:cat>
          <c:val>
            <c:numRef>
              <c:f>'PPT Attributes'!$D$112:$D$118</c:f>
              <c:numCache>
                <c:formatCode>0.0%</c:formatCode>
                <c:ptCount val="7"/>
                <c:pt idx="0">
                  <c:v>-0.028654</c:v>
                </c:pt>
                <c:pt idx="1">
                  <c:v>0.038723</c:v>
                </c:pt>
                <c:pt idx="2">
                  <c:v>0.05945</c:v>
                </c:pt>
                <c:pt idx="3">
                  <c:v>-0.032041</c:v>
                </c:pt>
                <c:pt idx="4">
                  <c:v>0.154431</c:v>
                </c:pt>
                <c:pt idx="5">
                  <c:v>0.201781</c:v>
                </c:pt>
                <c:pt idx="6">
                  <c:v>0.123351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5031631"/>
        <c:axId val="105046511"/>
      </c:barChart>
      <c:catAx>
        <c:axId val="1050316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46511"/>
        <c:crosses val="autoZero"/>
        <c:auto val="1"/>
        <c:lblAlgn val="ctr"/>
        <c:lblOffset val="100"/>
        <c:noMultiLvlLbl val="0"/>
      </c:catAx>
      <c:valAx>
        <c:axId val="1050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050316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4f087e7-6ce8-4026-a50a-9fd01556c72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Button" val="0"/>
</file>

<file path=xl/ctrlProps/ctrlProp2.xml><?xml version="1.0" encoding="utf-8"?>
<formControlPr xmlns="http://schemas.microsoft.com/office/spreadsheetml/2009/9/main" objectType="Button" val="0"/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7" Type="http://schemas.openxmlformats.org/officeDocument/2006/relationships/chart" Target="../charts/chart20.xml"/><Relationship Id="rId6" Type="http://schemas.openxmlformats.org/officeDocument/2006/relationships/chart" Target="../charts/chart19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1497704</xdr:colOff>
      <xdr:row>8</xdr:row>
      <xdr:rowOff>16710</xdr:rowOff>
    </xdr:from>
    <xdr:to>
      <xdr:col>23</xdr:col>
      <xdr:colOff>457549</xdr:colOff>
      <xdr:row>18</xdr:row>
      <xdr:rowOff>103068</xdr:rowOff>
    </xdr:to>
    <xdr:graphicFrame>
      <xdr:nvGraphicFramePr>
        <xdr:cNvPr id="2" name="Chart 1"/>
        <xdr:cNvGraphicFramePr/>
      </xdr:nvGraphicFramePr>
      <xdr:xfrm>
        <a:off x="21132165" y="1553845"/>
        <a:ext cx="0" cy="19532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452859</xdr:colOff>
      <xdr:row>28</xdr:row>
      <xdr:rowOff>0</xdr:rowOff>
    </xdr:from>
    <xdr:to>
      <xdr:col>23</xdr:col>
      <xdr:colOff>889056</xdr:colOff>
      <xdr:row>39</xdr:row>
      <xdr:rowOff>109056</xdr:rowOff>
    </xdr:to>
    <xdr:graphicFrame>
      <xdr:nvGraphicFramePr>
        <xdr:cNvPr id="3" name="Chart 2"/>
        <xdr:cNvGraphicFramePr/>
      </xdr:nvGraphicFramePr>
      <xdr:xfrm>
        <a:off x="21132165" y="5261610"/>
        <a:ext cx="0" cy="21678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546801</xdr:colOff>
      <xdr:row>16</xdr:row>
      <xdr:rowOff>48106</xdr:rowOff>
    </xdr:from>
    <xdr:to>
      <xdr:col>27</xdr:col>
      <xdr:colOff>372276</xdr:colOff>
      <xdr:row>31</xdr:row>
      <xdr:rowOff>19243</xdr:rowOff>
    </xdr:to>
    <xdr:graphicFrame>
      <xdr:nvGraphicFramePr>
        <xdr:cNvPr id="4" name="Chart 3"/>
        <xdr:cNvGraphicFramePr/>
      </xdr:nvGraphicFramePr>
      <xdr:xfrm>
        <a:off x="21132165" y="3086100"/>
        <a:ext cx="0" cy="27717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5" name="Chart 4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17</xdr:col>
      <xdr:colOff>135227</xdr:colOff>
      <xdr:row>25</xdr:row>
      <xdr:rowOff>65552</xdr:rowOff>
    </xdr:from>
    <xdr:to>
      <xdr:col>20</xdr:col>
      <xdr:colOff>195450</xdr:colOff>
      <xdr:row>41</xdr:row>
      <xdr:rowOff>171940</xdr:rowOff>
    </xdr:to>
    <xdr:sp>
      <xdr:nvSpPr>
        <xdr:cNvPr id="6" name="Rectangles 5"/>
        <xdr:cNvSpPr>
          <a:spLocks noTextEdit="1"/>
        </xdr:cNvSpPr>
      </xdr:nvSpPr>
      <xdr:spPr>
        <a:xfrm>
          <a:off x="21132165" y="4778375"/>
          <a:ext cx="0" cy="307975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>
      <xdr:nvSpPr>
        <xdr:cNvPr id="10" name="Chart 9"/>
        <xdr:cNvSpPr/>
      </xdr:nvSpPr>
      <xdr:spPr>
        <a:xfrm>
          <a:off x="0" y="0"/>
          <a:ext cx="0" cy="0"/>
        </a:xfrm>
      </xdr:spPr>
    </xdr:sp>
    <xdr:clientData/>
  </xdr:twoCellAnchor>
  <xdr:twoCellAnchor>
    <xdr:from>
      <xdr:col>0</xdr:col>
      <xdr:colOff>55057</xdr:colOff>
      <xdr:row>108</xdr:row>
      <xdr:rowOff>148349</xdr:rowOff>
    </xdr:from>
    <xdr:to>
      <xdr:col>2</xdr:col>
      <xdr:colOff>201372</xdr:colOff>
      <xdr:row>127</xdr:row>
      <xdr:rowOff>49133</xdr:rowOff>
    </xdr:to>
    <xdr:sp>
      <xdr:nvSpPr>
        <xdr:cNvPr id="7" name="Rectangles 6"/>
        <xdr:cNvSpPr>
          <a:spLocks noTextEdit="1"/>
        </xdr:cNvSpPr>
      </xdr:nvSpPr>
      <xdr:spPr>
        <a:xfrm>
          <a:off x="54610" y="20201890"/>
          <a:ext cx="3718560" cy="3375660"/>
        </a:xfrm>
        <a:prstGeom prst="rect">
          <a:avLst/>
        </a:prstGeom>
        <a:solidFill>
          <a:prstClr val="white"/>
        </a:solidFill>
        <a:ln w="1">
          <a:solidFill>
            <a:prstClr val="green"/>
          </a:solidFill>
        </a:ln>
      </xdr:spPr>
      <xdr:txBody>
        <a:bodyPr vertOverflow="clip" horzOverflow="clip"/>
        <a:lstStyle/>
        <a:p>
          <a:r>
            <a:rPr lang="en-IN" sz="1100"/>
            <a:t>This chart isn't available in your version of Excel.
Editing this shape or saving this workbook into a different file format will permanently break the chart.</a:t>
          </a:r>
          <a:endParaRPr lang="en-IN" sz="1100"/>
        </a:p>
      </xdr:txBody>
    </xdr:sp>
    <xdr:clientData/>
  </xdr:twoCellAnchor>
  <xdr:twoCellAnchor>
    <xdr:from>
      <xdr:col>2</xdr:col>
      <xdr:colOff>923039</xdr:colOff>
      <xdr:row>92</xdr:row>
      <xdr:rowOff>138956</xdr:rowOff>
    </xdr:from>
    <xdr:to>
      <xdr:col>6</xdr:col>
      <xdr:colOff>82384</xdr:colOff>
      <xdr:row>104</xdr:row>
      <xdr:rowOff>30379</xdr:rowOff>
    </xdr:to>
    <xdr:graphicFrame>
      <xdr:nvGraphicFramePr>
        <xdr:cNvPr id="11" name="Chart 10"/>
        <xdr:cNvGraphicFramePr/>
      </xdr:nvGraphicFramePr>
      <xdr:xfrm>
        <a:off x="4494530" y="17247235"/>
        <a:ext cx="3373120" cy="20955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339118</xdr:colOff>
      <xdr:row>105</xdr:row>
      <xdr:rowOff>14947</xdr:rowOff>
    </xdr:from>
    <xdr:to>
      <xdr:col>10</xdr:col>
      <xdr:colOff>186937</xdr:colOff>
      <xdr:row>120</xdr:row>
      <xdr:rowOff>59197</xdr:rowOff>
    </xdr:to>
    <xdr:graphicFrame>
      <xdr:nvGraphicFramePr>
        <xdr:cNvPr id="12" name="Chart 11"/>
        <xdr:cNvGraphicFramePr/>
      </xdr:nvGraphicFramePr>
      <xdr:xfrm>
        <a:off x="8124825" y="19510375"/>
        <a:ext cx="4597400" cy="2797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10</xdr:col>
      <xdr:colOff>1641862</xdr:colOff>
      <xdr:row>91</xdr:row>
      <xdr:rowOff>147108</xdr:rowOff>
    </xdr:from>
    <xdr:to>
      <xdr:col>14</xdr:col>
      <xdr:colOff>146726</xdr:colOff>
      <xdr:row>107</xdr:row>
      <xdr:rowOff>1058</xdr:rowOff>
    </xdr:to>
    <xdr:graphicFrame>
      <xdr:nvGraphicFramePr>
        <xdr:cNvPr id="13" name="Chart 12"/>
        <xdr:cNvGraphicFramePr/>
      </xdr:nvGraphicFramePr>
      <xdr:xfrm>
        <a:off x="14177010" y="17072610"/>
        <a:ext cx="4396740" cy="2789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10</xdr:col>
      <xdr:colOff>5525</xdr:colOff>
      <xdr:row>39</xdr:row>
      <xdr:rowOff>91658</xdr:rowOff>
    </xdr:from>
    <xdr:to>
      <xdr:col>12</xdr:col>
      <xdr:colOff>1071221</xdr:colOff>
      <xdr:row>54</xdr:row>
      <xdr:rowOff>0</xdr:rowOff>
    </xdr:to>
    <xdr:graphicFrame>
      <xdr:nvGraphicFramePr>
        <xdr:cNvPr id="14" name="Chart 13"/>
        <xdr:cNvGraphicFramePr/>
      </xdr:nvGraphicFramePr>
      <xdr:xfrm>
        <a:off x="12540615" y="7412355"/>
        <a:ext cx="4507230" cy="268033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185873</xdr:colOff>
      <xdr:row>54</xdr:row>
      <xdr:rowOff>9291</xdr:rowOff>
    </xdr:from>
    <xdr:to>
      <xdr:col>4</xdr:col>
      <xdr:colOff>184383</xdr:colOff>
      <xdr:row>68</xdr:row>
      <xdr:rowOff>145677</xdr:rowOff>
    </xdr:to>
    <xdr:graphicFrame>
      <xdr:nvGraphicFramePr>
        <xdr:cNvPr id="7" name="Chart 6"/>
        <xdr:cNvGraphicFramePr/>
      </xdr:nvGraphicFramePr>
      <xdr:xfrm>
        <a:off x="185420" y="10112375"/>
        <a:ext cx="5671185" cy="27158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752231</xdr:colOff>
      <xdr:row>51</xdr:row>
      <xdr:rowOff>136771</xdr:rowOff>
    </xdr:from>
    <xdr:to>
      <xdr:col>18</xdr:col>
      <xdr:colOff>263769</xdr:colOff>
      <xdr:row>60</xdr:row>
      <xdr:rowOff>63568</xdr:rowOff>
    </xdr:to>
    <xdr:graphicFrame>
      <xdr:nvGraphicFramePr>
        <xdr:cNvPr id="8" name="Chart 7"/>
        <xdr:cNvGraphicFramePr/>
      </xdr:nvGraphicFramePr>
      <xdr:xfrm>
        <a:off x="20987385" y="9681845"/>
        <a:ext cx="3725545" cy="15919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17616</xdr:colOff>
      <xdr:row>49</xdr:row>
      <xdr:rowOff>124267</xdr:rowOff>
    </xdr:from>
    <xdr:to>
      <xdr:col>30</xdr:col>
      <xdr:colOff>70074</xdr:colOff>
      <xdr:row>55</xdr:row>
      <xdr:rowOff>39077</xdr:rowOff>
    </xdr:to>
    <xdr:graphicFrame>
      <xdr:nvGraphicFramePr>
        <xdr:cNvPr id="9" name="Chart 8"/>
        <xdr:cNvGraphicFramePr/>
      </xdr:nvGraphicFramePr>
      <xdr:xfrm>
        <a:off x="29622115" y="9303385"/>
        <a:ext cx="8891905" cy="10217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11950</xdr:colOff>
      <xdr:row>65</xdr:row>
      <xdr:rowOff>57623</xdr:rowOff>
    </xdr:from>
    <xdr:to>
      <xdr:col>23</xdr:col>
      <xdr:colOff>156308</xdr:colOff>
      <xdr:row>101</xdr:row>
      <xdr:rowOff>9766</xdr:rowOff>
    </xdr:to>
    <xdr:graphicFrame>
      <xdr:nvGraphicFramePr>
        <xdr:cNvPr id="10" name="Chart 9"/>
        <xdr:cNvGraphicFramePr/>
      </xdr:nvGraphicFramePr>
      <xdr:xfrm>
        <a:off x="24460835" y="12181840"/>
        <a:ext cx="5300345" cy="29165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315721</xdr:colOff>
      <xdr:row>66</xdr:row>
      <xdr:rowOff>28375</xdr:rowOff>
    </xdr:from>
    <xdr:to>
      <xdr:col>14</xdr:col>
      <xdr:colOff>517769</xdr:colOff>
      <xdr:row>107</xdr:row>
      <xdr:rowOff>19538</xdr:rowOff>
    </xdr:to>
    <xdr:graphicFrame>
      <xdr:nvGraphicFramePr>
        <xdr:cNvPr id="11" name="Chart 10"/>
        <xdr:cNvGraphicFramePr/>
      </xdr:nvGraphicFramePr>
      <xdr:xfrm>
        <a:off x="15956915" y="12345035"/>
        <a:ext cx="4796155" cy="386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23</xdr:col>
      <xdr:colOff>831465</xdr:colOff>
      <xdr:row>57</xdr:row>
      <xdr:rowOff>26851</xdr:rowOff>
    </xdr:from>
    <xdr:to>
      <xdr:col>25</xdr:col>
      <xdr:colOff>966055</xdr:colOff>
      <xdr:row>65</xdr:row>
      <xdr:rowOff>90393</xdr:rowOff>
    </xdr:to>
    <xdr:graphicFrame>
      <xdr:nvGraphicFramePr>
        <xdr:cNvPr id="2" name="Chart 1"/>
        <xdr:cNvGraphicFramePr/>
      </xdr:nvGraphicFramePr>
      <xdr:xfrm>
        <a:off x="30436185" y="10688320"/>
        <a:ext cx="3706495" cy="15265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1</xdr:row>
      <xdr:rowOff>0</xdr:rowOff>
    </xdr:from>
    <xdr:to>
      <xdr:col>6</xdr:col>
      <xdr:colOff>681108</xdr:colOff>
      <xdr:row>6</xdr:row>
      <xdr:rowOff>117521</xdr:rowOff>
    </xdr:to>
    <xdr:graphicFrame>
      <xdr:nvGraphicFramePr>
        <xdr:cNvPr id="2" name="Chart 1"/>
        <xdr:cNvGraphicFramePr/>
      </xdr:nvGraphicFramePr>
      <xdr:xfrm>
        <a:off x="0" y="182880"/>
        <a:ext cx="11932920" cy="10318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13</xdr:row>
      <xdr:rowOff>143177</xdr:rowOff>
    </xdr:from>
    <xdr:to>
      <xdr:col>4</xdr:col>
      <xdr:colOff>499958</xdr:colOff>
      <xdr:row>29</xdr:row>
      <xdr:rowOff>167605</xdr:rowOff>
    </xdr:to>
    <xdr:graphicFrame>
      <xdr:nvGraphicFramePr>
        <xdr:cNvPr id="3" name="Chart 2"/>
        <xdr:cNvGraphicFramePr/>
      </xdr:nvGraphicFramePr>
      <xdr:xfrm>
        <a:off x="0" y="2520315"/>
        <a:ext cx="8260715" cy="295021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50800</xdr:colOff>
      <xdr:row>14</xdr:row>
      <xdr:rowOff>3</xdr:rowOff>
    </xdr:from>
    <xdr:to>
      <xdr:col>6</xdr:col>
      <xdr:colOff>901963</xdr:colOff>
      <xdr:row>22</xdr:row>
      <xdr:rowOff>75267</xdr:rowOff>
    </xdr:to>
    <xdr:graphicFrame>
      <xdr:nvGraphicFramePr>
        <xdr:cNvPr id="4" name="Chart 3"/>
        <xdr:cNvGraphicFramePr/>
      </xdr:nvGraphicFramePr>
      <xdr:xfrm>
        <a:off x="8428990" y="2560320"/>
        <a:ext cx="3724910" cy="153797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46</xdr:row>
      <xdr:rowOff>155751</xdr:rowOff>
    </xdr:from>
    <xdr:to>
      <xdr:col>4</xdr:col>
      <xdr:colOff>30109</xdr:colOff>
      <xdr:row>73</xdr:row>
      <xdr:rowOff>85663</xdr:rowOff>
    </xdr:to>
    <xdr:graphicFrame>
      <xdr:nvGraphicFramePr>
        <xdr:cNvPr id="5" name="Chart 4"/>
        <xdr:cNvGraphicFramePr/>
      </xdr:nvGraphicFramePr>
      <xdr:xfrm>
        <a:off x="0" y="8596630"/>
        <a:ext cx="7790815" cy="48672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0</xdr:colOff>
      <xdr:row>47</xdr:row>
      <xdr:rowOff>11983</xdr:rowOff>
    </xdr:from>
    <xdr:to>
      <xdr:col>6</xdr:col>
      <xdr:colOff>882650</xdr:colOff>
      <xdr:row>55</xdr:row>
      <xdr:rowOff>167639</xdr:rowOff>
    </xdr:to>
    <xdr:graphicFrame>
      <xdr:nvGraphicFramePr>
        <xdr:cNvPr id="6" name="Chart 5"/>
        <xdr:cNvGraphicFramePr/>
      </xdr:nvGraphicFramePr>
      <xdr:xfrm>
        <a:off x="8378190" y="8635365"/>
        <a:ext cx="3756660" cy="16186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1885950</xdr:colOff>
          <xdr:row>0</xdr:row>
          <xdr:rowOff>127000</xdr:rowOff>
        </xdr:from>
        <xdr:to>
          <xdr:col>8</xdr:col>
          <xdr:colOff>222250</xdr:colOff>
          <xdr:row>2</xdr:row>
          <xdr:rowOff>139700</xdr:rowOff>
        </xdr:to>
        <xdr:sp macro="[0]!UploadPPTTemplate">
          <xdr:nvSpPr>
            <xdr:cNvPr id="4108" name="btnUploadTemplate" hidden="1">
              <a:extLst>
                <a:ext uri="{63B3BB69-23CF-44E3-9099-C40C66FF867C}">
                  <a14:compatExt spid="_x0000_s4108"/>
                </a:ext>
              </a:extLst>
            </xdr:cNvPr>
            <xdr:cNvSpPr/>
          </xdr:nvSpPr>
          <xdr:spPr>
            <a:xfrm>
              <a:off x="13110210" y="127000"/>
              <a:ext cx="1868170" cy="37846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Upload Template</a:t>
              </a:r>
              <a:endParaRPr lang="en-IN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1885950</xdr:colOff>
          <xdr:row>3</xdr:row>
          <xdr:rowOff>82550</xdr:rowOff>
        </xdr:from>
        <xdr:to>
          <xdr:col>8</xdr:col>
          <xdr:colOff>222250</xdr:colOff>
          <xdr:row>5</xdr:row>
          <xdr:rowOff>95250</xdr:rowOff>
        </xdr:to>
        <xdr:sp macro="[0]!ExportChartsToPPT">
          <xdr:nvSpPr>
            <xdr:cNvPr id="4109" name="btnExportCharts" hidden="1">
              <a:extLst>
                <a:ext uri="{63B3BB69-23CF-44E3-9099-C40C66FF867C}">
                  <a14:compatExt spid="_x0000_s4109"/>
                </a:ext>
              </a:extLst>
            </xdr:cNvPr>
            <xdr:cNvSpPr/>
          </xdr:nvSpPr>
          <xdr:spPr>
            <a:xfrm>
              <a:off x="13110210" y="631190"/>
              <a:ext cx="1868170" cy="378460"/>
            </a:xfrm>
            <a:prstGeom prst="rect">
              <a:avLst/>
            </a:prstGeom>
          </xdr:spPr>
          <xdr:txBody>
            <a:bodyPr vertOverflow="clip" wrap="square" lIns="36576" tIns="36576" rIns="36576" bIns="36576" anchor="ctr" upright="1"/>
            <a:lstStyle/>
            <a:p>
              <a:pPr algn="ctr" rtl="0">
                <a:defRPr sz="1000"/>
              </a:pPr>
              <a:r>
                <a:rPr lang="en-IN" sz="1100" b="0" i="0" u="none" strike="noStrike" baseline="0">
                  <a:solidFill>
                    <a:srgbClr val="000000"/>
                  </a:solidFill>
                  <a:latin typeface="Aptos Narrow"/>
                </a:rPr>
                <a:t>Export Charts to PPT</a:t>
              </a:r>
              <a:endParaRPr lang="en-IN" sz="1100" b="0" i="0" u="none" strike="noStrike" baseline="0">
                <a:solidFill>
                  <a:srgbClr val="000000"/>
                </a:solidFill>
                <a:latin typeface="Aptos Narrow"/>
              </a:endParaRPr>
            </a:p>
          </xdr:txBody>
        </xdr:sp>
        <xdr:clientData fPrintsWithSheet="0"/>
      </xdr:twoCellAnchor>
    </mc:Choice>
    <mc:Fallback/>
  </mc:AlternateContent>
  <xdr:twoCellAnchor>
    <xdr:from>
      <xdr:col>5</xdr:col>
      <xdr:colOff>13562</xdr:colOff>
      <xdr:row>93</xdr:row>
      <xdr:rowOff>48164</xdr:rowOff>
    </xdr:from>
    <xdr:to>
      <xdr:col>7</xdr:col>
      <xdr:colOff>729267</xdr:colOff>
      <xdr:row>108</xdr:row>
      <xdr:rowOff>47685</xdr:rowOff>
    </xdr:to>
    <xdr:graphicFrame>
      <xdr:nvGraphicFramePr>
        <xdr:cNvPr id="8" name="Chart 7"/>
        <xdr:cNvGraphicFramePr/>
      </xdr:nvGraphicFramePr>
      <xdr:xfrm>
        <a:off x="8391525" y="17112615"/>
        <a:ext cx="5447665" cy="2781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13565</xdr:colOff>
      <xdr:row>109</xdr:row>
      <xdr:rowOff>144011</xdr:rowOff>
    </xdr:from>
    <xdr:to>
      <xdr:col>7</xdr:col>
      <xdr:colOff>729270</xdr:colOff>
      <xdr:row>124</xdr:row>
      <xdr:rowOff>155513</xdr:rowOff>
    </xdr:to>
    <xdr:graphicFrame>
      <xdr:nvGraphicFramePr>
        <xdr:cNvPr id="9" name="Chart 8"/>
        <xdr:cNvGraphicFramePr/>
      </xdr:nvGraphicFramePr>
      <xdr:xfrm>
        <a:off x="8391525" y="20172680"/>
        <a:ext cx="5447665" cy="27927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ttps://pioneerclient-my.sharepoint.com/personal/mriganksahi_clientassociates_com/Documents/MP%20holdings%20July'25%20(1)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Raw Data"/>
      <sheetName val="Mediator"/>
      <sheetName val="Final Input"/>
    </sheetNames>
    <sheetDataSet>
      <sheetData sheetId="0"/>
      <sheetData sheetId="1">
        <row r="112">
          <cell r="D112">
            <v>0.64249119153024</v>
          </cell>
        </row>
        <row r="113">
          <cell r="D113">
            <v>0.664763888605049</v>
          </cell>
        </row>
        <row r="114">
          <cell r="D114">
            <v>0.590041773280451</v>
          </cell>
        </row>
        <row r="115">
          <cell r="D115">
            <v>2.23631145074362</v>
          </cell>
        </row>
        <row r="116">
          <cell r="D116">
            <v>0.995115897142225</v>
          </cell>
        </row>
        <row r="117">
          <cell r="D117">
            <v>2.63675886918736</v>
          </cell>
        </row>
        <row r="118">
          <cell r="D118">
            <v>1.72789253824198</v>
          </cell>
        </row>
        <row r="119">
          <cell r="D119">
            <v>3.83318673566526</v>
          </cell>
        </row>
        <row r="120">
          <cell r="D120">
            <v>0.920114021866781</v>
          </cell>
        </row>
        <row r="121">
          <cell r="D121">
            <v>1.13649889661517</v>
          </cell>
        </row>
        <row r="122">
          <cell r="D122">
            <v>0.260680809797908</v>
          </cell>
        </row>
        <row r="123">
          <cell r="D123">
            <v>1.01168085562612</v>
          </cell>
        </row>
        <row r="124">
          <cell r="D124">
            <v>2.71837807297335</v>
          </cell>
        </row>
        <row r="125">
          <cell r="D125">
            <v>0.953215292390808</v>
          </cell>
        </row>
        <row r="126">
          <cell r="D126">
            <v>9.96527801120735</v>
          </cell>
        </row>
        <row r="127">
          <cell r="D127">
            <v>0.572853907019288</v>
          </cell>
        </row>
        <row r="128">
          <cell r="D128">
            <v>0.957036849889301</v>
          </cell>
        </row>
        <row r="129">
          <cell r="D129">
            <v>8.67752162500231</v>
          </cell>
        </row>
        <row r="130">
          <cell r="D130">
            <v>0.265681137982539</v>
          </cell>
        </row>
        <row r="131">
          <cell r="D131">
            <v>0.119486145455268</v>
          </cell>
        </row>
        <row r="132">
          <cell r="D132">
            <v>4.23918303121686</v>
          </cell>
        </row>
        <row r="133">
          <cell r="D133">
            <v>1.58909868968667</v>
          </cell>
        </row>
        <row r="134">
          <cell r="D134">
            <v>0.0421376997860129</v>
          </cell>
        </row>
        <row r="135">
          <cell r="D135">
            <v>2.30996389566792</v>
          </cell>
        </row>
        <row r="136">
          <cell r="D136">
            <v>1.94007918523126</v>
          </cell>
        </row>
        <row r="137">
          <cell r="D137">
            <v>3.78566594244597</v>
          </cell>
        </row>
        <row r="138">
          <cell r="D138">
            <v>3.26327487937089</v>
          </cell>
        </row>
        <row r="139">
          <cell r="D139">
            <v>1.43029255741438</v>
          </cell>
        </row>
        <row r="140">
          <cell r="D140">
            <v>1.13462529729295</v>
          </cell>
        </row>
        <row r="141">
          <cell r="D141">
            <v>1.47186281381425</v>
          </cell>
        </row>
        <row r="142">
          <cell r="D142">
            <v>0.289970274804299</v>
          </cell>
        </row>
        <row r="143">
          <cell r="D143">
            <v>1.8131522783818</v>
          </cell>
        </row>
        <row r="144">
          <cell r="D144">
            <v>0.427223919882943</v>
          </cell>
        </row>
        <row r="145">
          <cell r="D145">
            <v>0.316682169370319</v>
          </cell>
        </row>
        <row r="146">
          <cell r="D146">
            <v>0.959213370116911</v>
          </cell>
        </row>
        <row r="147">
          <cell r="D147">
            <v>1.10619766359483</v>
          </cell>
        </row>
        <row r="148">
          <cell r="D148">
            <v>0.545649537419969</v>
          </cell>
        </row>
        <row r="149">
          <cell r="D149">
            <v>5.41567906781985</v>
          </cell>
        </row>
        <row r="150">
          <cell r="D150">
            <v>0.644072013722061</v>
          </cell>
        </row>
        <row r="151">
          <cell r="D151">
            <v>1.35711308356166</v>
          </cell>
        </row>
        <row r="152">
          <cell r="D152">
            <v>0.104507102858305</v>
          </cell>
        </row>
        <row r="153">
          <cell r="D153">
            <v>0.459893665254029</v>
          </cell>
        </row>
        <row r="154">
          <cell r="D154">
            <v>2.99201377984151</v>
          </cell>
        </row>
        <row r="155">
          <cell r="D155">
            <v>1.88229930814998</v>
          </cell>
        </row>
        <row r="156">
          <cell r="D156">
            <v>1.66950194335951</v>
          </cell>
        </row>
        <row r="157">
          <cell r="D157">
            <v>1.4123385511571</v>
          </cell>
        </row>
        <row r="158">
          <cell r="D158">
            <v>0.933348678887878</v>
          </cell>
        </row>
        <row r="159">
          <cell r="D159">
            <v>0.293605935167698</v>
          </cell>
        </row>
        <row r="160">
          <cell r="D160">
            <v>1.18652412041841</v>
          </cell>
        </row>
        <row r="161">
          <cell r="D161">
            <v>1.35422405923265</v>
          </cell>
        </row>
        <row r="162">
          <cell r="D162">
            <v>1.32213577572019</v>
          </cell>
        </row>
        <row r="163">
          <cell r="D163">
            <v>0.798613482865657</v>
          </cell>
        </row>
        <row r="164">
          <cell r="D164">
            <v>0.953314640695793</v>
          </cell>
        </row>
        <row r="165">
          <cell r="D165">
            <v>0.384231093275497</v>
          </cell>
        </row>
        <row r="166">
          <cell r="D166">
            <v>2.65894218764273</v>
          </cell>
        </row>
        <row r="167">
          <cell r="D167">
            <v>1.0169786192269</v>
          </cell>
        </row>
        <row r="168">
          <cell r="D168">
            <v>0.749878568029614</v>
          </cell>
        </row>
      </sheetData>
      <sheetData sheetId="2"/>
    </sheetDataSet>
  </externalBook>
</externalLink>
</file>

<file path=xl/richData/rdrichvalue.xml><?xml version="1.0" encoding="utf-8"?>
<rvData xmlns="http://schemas.microsoft.com/office/spreadsheetml/2017/richdata" count="1">
  <rv s="0">
    <v>0</v>
    <v>8</v>
    <v>15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4" Type="http://schemas.openxmlformats.org/officeDocument/2006/relationships/ctrlProp" Target="../ctrlProps/ctrlProp2.xml"/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H67"/>
  <sheetViews>
    <sheetView showGridLines="0" tabSelected="1" zoomScale="65" zoomScaleNormal="65" workbookViewId="0">
      <selection activeCell="A20" sqref="A20"/>
    </sheetView>
  </sheetViews>
  <sheetFormatPr defaultColWidth="9" defaultRowHeight="14.4" outlineLevelCol="7"/>
  <cols>
    <col min="1" max="1" width="12.7222222222222" customWidth="1"/>
    <col min="2" max="2" width="50" customWidth="1"/>
    <col min="3" max="3" width="21.1759259259259" customWidth="1"/>
    <col min="4" max="5" width="29" customWidth="1"/>
    <col min="6" max="6" width="38.3611111111111" customWidth="1"/>
    <col min="7" max="7" width="20.6296296296296" customWidth="1"/>
    <col min="8" max="8" width="66.3611111111111" customWidth="1"/>
  </cols>
  <sheetData>
    <row r="1" ht="15.15"/>
    <row r="2" ht="15.15" spans="2:3">
      <c r="B2" s="212" t="s">
        <v>0</v>
      </c>
      <c r="C2" s="464" t="str">
        <f>D5</f>
        <v>Conservative</v>
      </c>
    </row>
    <row r="3" ht="15.15" spans="2:3">
      <c r="B3" s="465" t="s">
        <v>1</v>
      </c>
      <c r="C3" s="466">
        <v>500000000</v>
      </c>
    </row>
    <row r="4" ht="15.15"/>
    <row r="5" ht="15.15" spans="1:8">
      <c r="A5" s="212" t="s">
        <v>2</v>
      </c>
      <c r="B5" s="11"/>
      <c r="C5" s="153"/>
      <c r="D5" s="467" t="s">
        <v>3</v>
      </c>
      <c r="E5" s="468" t="s">
        <v>4</v>
      </c>
      <c r="H5" s="469" t="s">
        <v>5</v>
      </c>
    </row>
    <row r="6" ht="14.5" customHeight="1" spans="1:8">
      <c r="A6" s="470" t="s">
        <v>6</v>
      </c>
      <c r="D6" s="471">
        <f>VLOOKUP('Selector Sheet '!D5,'Drop Downs'!$B$25:$F$29,3,FALSE)</f>
        <v>0.4</v>
      </c>
      <c r="E6" s="472"/>
      <c r="H6" s="473" t="s">
        <v>7</v>
      </c>
    </row>
    <row r="7" spans="1:8">
      <c r="A7" s="470" t="s">
        <v>8</v>
      </c>
      <c r="D7" s="471">
        <f>VLOOKUP('Selector Sheet '!D5,'Drop Downs'!$B$25:$F$29,4,FALSE)</f>
        <v>0.2</v>
      </c>
      <c r="E7" s="472"/>
      <c r="H7" s="474"/>
    </row>
    <row r="8" spans="1:8">
      <c r="A8" s="470" t="s">
        <v>9</v>
      </c>
      <c r="D8" s="471">
        <f>VLOOKUP('Selector Sheet '!D5,'Drop Downs'!$B$25:$F$29,5,FALSE)</f>
        <v>0.1</v>
      </c>
      <c r="E8" s="472"/>
      <c r="H8" s="474"/>
    </row>
    <row r="9" ht="15.15" spans="1:8">
      <c r="A9" s="470" t="s">
        <v>10</v>
      </c>
      <c r="D9" s="471">
        <f>VLOOKUP('Selector Sheet '!D5,'Drop Downs'!$B$25:$F$29,2,FALSE)</f>
        <v>0.3</v>
      </c>
      <c r="E9" s="475"/>
      <c r="H9" s="474"/>
    </row>
    <row r="10" ht="15.15" spans="1:8">
      <c r="A10" s="212" t="s">
        <v>11</v>
      </c>
      <c r="B10" s="11"/>
      <c r="C10" s="153"/>
      <c r="D10" s="476">
        <f>SUM(D6:D9)</f>
        <v>1</v>
      </c>
      <c r="E10" s="477"/>
      <c r="F10" s="477"/>
      <c r="H10" s="474"/>
    </row>
    <row r="11" spans="2:8">
      <c r="B11" s="478"/>
      <c r="F11" s="477"/>
      <c r="H11" s="474"/>
    </row>
    <row r="12" ht="15.15" spans="1:8">
      <c r="A12" s="226" t="s">
        <v>12</v>
      </c>
      <c r="B12" s="227"/>
      <c r="C12" s="227"/>
      <c r="D12" s="227"/>
      <c r="E12" s="227"/>
      <c r="F12" s="477"/>
      <c r="H12" s="479"/>
    </row>
    <row r="13" ht="15" customHeight="1" spans="1:6">
      <c r="A13" s="480" t="s">
        <v>13</v>
      </c>
      <c r="B13" s="481"/>
      <c r="C13" s="482">
        <v>1</v>
      </c>
      <c r="D13" s="483">
        <f>$C$13*$D$6</f>
        <v>0.4</v>
      </c>
      <c r="E13" s="484" t="s">
        <v>14</v>
      </c>
      <c r="F13" s="468" t="s">
        <v>15</v>
      </c>
    </row>
    <row r="14" ht="15.15" spans="1:8">
      <c r="A14" s="176" t="s">
        <v>16</v>
      </c>
      <c r="B14" s="199"/>
      <c r="C14" s="485">
        <v>1</v>
      </c>
      <c r="D14" s="485">
        <f>C14*$D$6</f>
        <v>0.4</v>
      </c>
      <c r="E14" s="486">
        <f>IF(D14*$C$3=0,"",D14*$C$3)</f>
        <v>200000000</v>
      </c>
      <c r="F14" s="475"/>
      <c r="H14" s="487" t="s">
        <v>17</v>
      </c>
    </row>
    <row r="15" spans="1:8">
      <c r="A15" s="488" t="b">
        <v>0</v>
      </c>
      <c r="B15" s="74" t="s">
        <v>18</v>
      </c>
      <c r="C15" s="489">
        <f>IF(A15=FALSE,0,$C$14/COUNTIF($A$15:$A$19,TRUE))</f>
        <v>0</v>
      </c>
      <c r="D15" s="490">
        <f>C15*$D$6</f>
        <v>0</v>
      </c>
      <c r="E15" s="491" t="str">
        <f t="shared" ref="E15:E66" si="0">IF(D15*$C$3=0,"",D15*$C$3)</f>
        <v/>
      </c>
      <c r="H15" s="492" t="s">
        <v>19</v>
      </c>
    </row>
    <row r="16" ht="15.15" spans="1:8">
      <c r="A16" s="488" t="b">
        <v>1</v>
      </c>
      <c r="B16" s="113" t="s">
        <v>20</v>
      </c>
      <c r="C16" s="489">
        <f>IF(A16=FALSE,0,$C$14/COUNTIF($A$15:$A$19,TRUE))</f>
        <v>0.5</v>
      </c>
      <c r="D16" s="490">
        <f>C16*$D$6</f>
        <v>0.2</v>
      </c>
      <c r="E16" s="491">
        <f t="shared" si="0"/>
        <v>100000000</v>
      </c>
      <c r="H16" s="493" t="s">
        <v>21</v>
      </c>
    </row>
    <row r="17" spans="1:7">
      <c r="A17" s="488" t="b">
        <v>0</v>
      </c>
      <c r="B17" s="73" t="s">
        <v>22</v>
      </c>
      <c r="C17" s="489">
        <f>IF(A17=FALSE,0,$C$14/COUNTIF($A$15:$A$19,TRUE))</f>
        <v>0</v>
      </c>
      <c r="D17" s="490">
        <f>C17*$D$6</f>
        <v>0</v>
      </c>
      <c r="E17" s="491" t="str">
        <f t="shared" si="0"/>
        <v/>
      </c>
      <c r="F17" s="71"/>
      <c r="G17" s="54"/>
    </row>
    <row r="18" spans="1:7">
      <c r="A18" s="494" t="b">
        <v>0</v>
      </c>
      <c r="B18" s="59" t="s">
        <v>23</v>
      </c>
      <c r="C18" s="495">
        <f>IF(A18=FALSE,0,$C$14/COUNTIF($A$15:$A$19,TRUE))</f>
        <v>0</v>
      </c>
      <c r="D18" s="496">
        <f>$D$6*C18</f>
        <v>0</v>
      </c>
      <c r="E18" s="497" t="str">
        <f t="shared" si="0"/>
        <v/>
      </c>
      <c r="F18" s="498"/>
      <c r="G18" s="498"/>
    </row>
    <row r="19" spans="1:7">
      <c r="A19" s="494" t="b">
        <v>1</v>
      </c>
      <c r="B19" s="59" t="s">
        <v>24</v>
      </c>
      <c r="C19" s="495">
        <f>IF(A19=FALSE,0,$C$14/COUNTIF($A$15:$A$19,TRUE))</f>
        <v>0.5</v>
      </c>
      <c r="D19" s="496">
        <f>$D$6*C19</f>
        <v>0.2</v>
      </c>
      <c r="E19" s="497">
        <f t="shared" si="0"/>
        <v>100000000</v>
      </c>
      <c r="F19" s="498"/>
      <c r="G19" s="498"/>
    </row>
    <row r="20" ht="15.15" spans="1:7">
      <c r="A20" s="176" t="s">
        <v>25</v>
      </c>
      <c r="B20" s="199"/>
      <c r="C20" s="499">
        <f>VLOOKUP($D$5,'Drop Downs'!$I$3:$M$7,3,FALSE)</f>
        <v>0.2</v>
      </c>
      <c r="D20" s="485">
        <f>C20*$D$6</f>
        <v>0.08</v>
      </c>
      <c r="E20" s="486">
        <f t="shared" si="0"/>
        <v>40000000</v>
      </c>
      <c r="F20" s="498"/>
      <c r="G20" s="498"/>
    </row>
    <row r="21" spans="1:7">
      <c r="A21" s="488" t="b">
        <v>1</v>
      </c>
      <c r="B21" s="74" t="s">
        <v>26</v>
      </c>
      <c r="C21" s="489">
        <f>IF(A21=FALSE,0,$C$20/COUNTIF($A$21:$A$23,TRUE))</f>
        <v>0.1</v>
      </c>
      <c r="D21" s="490">
        <f>C21*$D$6</f>
        <v>0.04</v>
      </c>
      <c r="E21" s="491">
        <f t="shared" si="0"/>
        <v>20000000</v>
      </c>
      <c r="F21" s="498"/>
      <c r="G21" s="498"/>
    </row>
    <row r="22" spans="1:7">
      <c r="A22" s="488" t="b">
        <v>0</v>
      </c>
      <c r="B22" s="74" t="s">
        <v>27</v>
      </c>
      <c r="C22" s="489">
        <f>IF(A22=FALSE,0,$C$20/COUNTIF($A$21:$A$23,TRUE))</f>
        <v>0</v>
      </c>
      <c r="D22" s="490">
        <f>C22*$D$6</f>
        <v>0</v>
      </c>
      <c r="E22" s="491" t="str">
        <f t="shared" si="0"/>
        <v/>
      </c>
      <c r="F22" s="498"/>
      <c r="G22" s="498"/>
    </row>
    <row r="23" ht="15.15" spans="1:7">
      <c r="A23" s="494" t="b">
        <v>1</v>
      </c>
      <c r="B23" s="59" t="s">
        <v>28</v>
      </c>
      <c r="C23" s="495">
        <f>IF(A23=FALSE,0,$C$20/COUNTIF($A$21:$A$23,TRUE))</f>
        <v>0.1</v>
      </c>
      <c r="D23" s="496">
        <f>C23*$D$6</f>
        <v>0.04</v>
      </c>
      <c r="E23" s="497">
        <f t="shared" si="0"/>
        <v>20000000</v>
      </c>
      <c r="F23" s="498"/>
      <c r="G23" s="498"/>
    </row>
    <row r="24" ht="15.15" spans="1:7">
      <c r="A24" s="176" t="s">
        <v>29</v>
      </c>
      <c r="B24" s="199"/>
      <c r="C24" s="499">
        <f>VLOOKUP($D$5,'Drop Downs'!$I$3:$M$7,5,FALSE)</f>
        <v>0</v>
      </c>
      <c r="D24" s="485">
        <f>C24*$D$6</f>
        <v>0</v>
      </c>
      <c r="E24" s="486" t="str">
        <f t="shared" si="0"/>
        <v/>
      </c>
      <c r="F24" s="498"/>
      <c r="G24" s="498"/>
    </row>
    <row r="25" spans="1:7">
      <c r="A25" s="488" t="b">
        <v>0</v>
      </c>
      <c r="B25" s="74" t="s">
        <v>30</v>
      </c>
      <c r="C25" s="489">
        <f>IF(A25=FALSE,0,$C$24/COUNTIF($A$25:$A$26,TRUE))</f>
        <v>0</v>
      </c>
      <c r="D25" s="490">
        <f>$D$6*C25</f>
        <v>0</v>
      </c>
      <c r="E25" s="491" t="str">
        <f t="shared" si="0"/>
        <v/>
      </c>
      <c r="F25" s="498"/>
      <c r="G25" s="498"/>
    </row>
    <row r="26" ht="15.15" spans="1:7">
      <c r="A26" s="494" t="b">
        <v>0</v>
      </c>
      <c r="B26" s="59" t="s">
        <v>31</v>
      </c>
      <c r="C26" s="495">
        <f>IF(A26=FALSE,0,$C$24/COUNTIF($A$25:$A$26,TRUE))</f>
        <v>0</v>
      </c>
      <c r="D26" s="496">
        <f>$D$6*C26</f>
        <v>0</v>
      </c>
      <c r="E26" s="497" t="str">
        <f t="shared" si="0"/>
        <v/>
      </c>
      <c r="F26" s="498"/>
      <c r="G26" s="498"/>
    </row>
    <row r="27" ht="15.15" spans="1:7">
      <c r="A27" s="176" t="s">
        <v>32</v>
      </c>
      <c r="B27" s="199"/>
      <c r="C27" s="499">
        <f>VLOOKUP($D$5,'Drop Downs'!$I$3:$M$7,4,FALSE)</f>
        <v>0.5</v>
      </c>
      <c r="D27" s="485">
        <f>C27*$D$6</f>
        <v>0.2</v>
      </c>
      <c r="E27" s="486">
        <f t="shared" si="0"/>
        <v>100000000</v>
      </c>
      <c r="F27" s="498"/>
      <c r="G27" s="498"/>
    </row>
    <row r="28" spans="1:7">
      <c r="A28" s="488" t="b">
        <v>0</v>
      </c>
      <c r="B28" s="74" t="s">
        <v>33</v>
      </c>
      <c r="C28" s="489">
        <f t="shared" ref="C28:C36" si="1">IF(A28=FALSE,0,$C$27/COUNTIF($A$28:$A$36,TRUE))</f>
        <v>0</v>
      </c>
      <c r="D28" s="490">
        <f>C28*$D$6</f>
        <v>0</v>
      </c>
      <c r="E28" s="491" t="str">
        <f t="shared" si="0"/>
        <v/>
      </c>
      <c r="F28" s="498"/>
      <c r="G28" s="498"/>
    </row>
    <row r="29" spans="1:7">
      <c r="A29" s="488" t="b">
        <v>0</v>
      </c>
      <c r="B29" s="74" t="s">
        <v>34</v>
      </c>
      <c r="C29" s="489">
        <f t="shared" si="1"/>
        <v>0</v>
      </c>
      <c r="D29" s="490">
        <f>$D$6*C29</f>
        <v>0</v>
      </c>
      <c r="E29" s="491" t="str">
        <f t="shared" si="0"/>
        <v/>
      </c>
      <c r="F29" s="498"/>
      <c r="G29" s="498"/>
    </row>
    <row r="30" spans="1:7">
      <c r="A30" s="494" t="b">
        <v>0</v>
      </c>
      <c r="B30" s="59" t="s">
        <v>35</v>
      </c>
      <c r="C30" s="500">
        <f t="shared" si="1"/>
        <v>0</v>
      </c>
      <c r="D30" s="496">
        <f>C30*$D$6</f>
        <v>0</v>
      </c>
      <c r="E30" s="497" t="str">
        <f t="shared" si="0"/>
        <v/>
      </c>
      <c r="F30" s="498"/>
      <c r="G30" s="498"/>
    </row>
    <row r="31" spans="1:7">
      <c r="A31" s="488" t="b">
        <v>0</v>
      </c>
      <c r="B31" s="74" t="s">
        <v>36</v>
      </c>
      <c r="C31" s="489">
        <f t="shared" si="1"/>
        <v>0</v>
      </c>
      <c r="D31" s="490">
        <f>$D$6*C31</f>
        <v>0</v>
      </c>
      <c r="E31" s="491" t="str">
        <f t="shared" si="0"/>
        <v/>
      </c>
      <c r="F31" s="498"/>
      <c r="G31" s="498"/>
    </row>
    <row r="32" spans="1:7">
      <c r="A32" s="488" t="b">
        <v>0</v>
      </c>
      <c r="B32" s="74" t="s">
        <v>37</v>
      </c>
      <c r="C32" s="489">
        <f t="shared" si="1"/>
        <v>0</v>
      </c>
      <c r="D32" s="490">
        <f>C32*$D$6</f>
        <v>0</v>
      </c>
      <c r="E32" s="491" t="str">
        <f t="shared" si="0"/>
        <v/>
      </c>
      <c r="F32" s="498"/>
      <c r="G32" s="498"/>
    </row>
    <row r="33" spans="1:7">
      <c r="A33" s="488" t="b">
        <v>0</v>
      </c>
      <c r="B33" s="74" t="s">
        <v>38</v>
      </c>
      <c r="C33" s="489">
        <f t="shared" si="1"/>
        <v>0</v>
      </c>
      <c r="D33" s="490">
        <f>C33*$D$6</f>
        <v>0</v>
      </c>
      <c r="E33" s="491" t="str">
        <f t="shared" si="0"/>
        <v/>
      </c>
      <c r="F33" s="498"/>
      <c r="G33" s="498"/>
    </row>
    <row r="34" spans="1:7">
      <c r="A34" s="488" t="b">
        <v>0</v>
      </c>
      <c r="B34" s="74" t="s">
        <v>39</v>
      </c>
      <c r="C34" s="489">
        <f t="shared" si="1"/>
        <v>0</v>
      </c>
      <c r="D34" s="490">
        <f>C34*$D$6</f>
        <v>0</v>
      </c>
      <c r="E34" s="491" t="str">
        <f t="shared" si="0"/>
        <v/>
      </c>
      <c r="F34" s="498"/>
      <c r="G34" s="498"/>
    </row>
    <row r="35" spans="1:7">
      <c r="A35" s="494" t="b">
        <v>0</v>
      </c>
      <c r="B35" s="59" t="s">
        <v>40</v>
      </c>
      <c r="C35" s="500">
        <f t="shared" si="1"/>
        <v>0</v>
      </c>
      <c r="D35" s="496">
        <f>$D$6*C35</f>
        <v>0</v>
      </c>
      <c r="E35" s="497" t="str">
        <f t="shared" si="0"/>
        <v/>
      </c>
      <c r="F35" s="498"/>
      <c r="G35" s="498"/>
    </row>
    <row r="36" ht="15.15" spans="1:7">
      <c r="A36" s="501" t="b">
        <v>0</v>
      </c>
      <c r="B36" s="83" t="s">
        <v>41</v>
      </c>
      <c r="C36" s="502">
        <f t="shared" si="1"/>
        <v>0</v>
      </c>
      <c r="D36" s="503">
        <f>$D$6*C36</f>
        <v>0</v>
      </c>
      <c r="E36" s="504" t="str">
        <f t="shared" si="0"/>
        <v/>
      </c>
      <c r="F36" s="498"/>
      <c r="G36" s="498"/>
    </row>
    <row r="37" ht="15.15" spans="1:7">
      <c r="A37" s="505" t="s">
        <v>42</v>
      </c>
      <c r="B37" s="505"/>
      <c r="C37" s="506">
        <f>SUM($C$28:$C$36)+C26+SUM($C$21:$C$23)+SUM($C$15:$C$19)</f>
        <v>1.2</v>
      </c>
      <c r="D37" s="507">
        <f>SUM($D$28:$D$36)+$D$26+SUM($D$21:$D$23)+SUM($D$15:$D$19)</f>
        <v>0.48</v>
      </c>
      <c r="E37" s="508">
        <f t="shared" si="0"/>
        <v>240000000</v>
      </c>
      <c r="F37" s="498"/>
      <c r="G37" s="498"/>
    </row>
    <row r="38" ht="15.15" spans="1:7">
      <c r="A38" s="480" t="s">
        <v>43</v>
      </c>
      <c r="B38" s="481"/>
      <c r="C38" s="509">
        <v>1</v>
      </c>
      <c r="D38" s="510">
        <f>C38*$D$7</f>
        <v>0.2</v>
      </c>
      <c r="E38" s="511">
        <f t="shared" si="0"/>
        <v>100000000</v>
      </c>
      <c r="F38" s="498"/>
      <c r="G38" s="498"/>
    </row>
    <row r="39" spans="1:7">
      <c r="A39" s="488" t="b">
        <v>0</v>
      </c>
      <c r="B39" s="74" t="s">
        <v>44</v>
      </c>
      <c r="C39" s="489">
        <f>IF(A39=FALSE,0,$C$38/COUNTIF($A$39:$A$42,TRUE))</f>
        <v>0</v>
      </c>
      <c r="D39" s="490">
        <f>$D$7*C39</f>
        <v>0</v>
      </c>
      <c r="E39" s="491" t="str">
        <f t="shared" si="0"/>
        <v/>
      </c>
      <c r="F39" s="498"/>
      <c r="G39" s="498"/>
    </row>
    <row r="40" spans="1:7">
      <c r="A40" s="488" t="b">
        <v>0</v>
      </c>
      <c r="B40" s="74" t="s">
        <v>45</v>
      </c>
      <c r="C40" s="489">
        <f>IF(A40=FALSE,0,$C$38/COUNTIF($A$39:$A$42,TRUE))</f>
        <v>0</v>
      </c>
      <c r="D40" s="490">
        <f>$D$7*C40</f>
        <v>0</v>
      </c>
      <c r="E40" s="491" t="str">
        <f t="shared" si="0"/>
        <v/>
      </c>
      <c r="F40" s="498"/>
      <c r="G40" s="498"/>
    </row>
    <row r="41" spans="1:7">
      <c r="A41" s="488" t="b">
        <v>0</v>
      </c>
      <c r="B41" s="74" t="s">
        <v>46</v>
      </c>
      <c r="C41" s="489">
        <f>IF(A41=FALSE,0,$C$38/COUNTIF($A$39:$A$42,TRUE))</f>
        <v>0</v>
      </c>
      <c r="D41" s="490">
        <f>$D$7*C41</f>
        <v>0</v>
      </c>
      <c r="E41" s="491" t="str">
        <f t="shared" si="0"/>
        <v/>
      </c>
      <c r="F41" s="498"/>
      <c r="G41" s="498"/>
    </row>
    <row r="42" ht="15.15" spans="1:7">
      <c r="A42" s="494" t="b">
        <v>0</v>
      </c>
      <c r="B42" s="114" t="s">
        <v>47</v>
      </c>
      <c r="C42" s="495">
        <f>IF(A42=FALSE,0,$C$38/COUNTIF($A$39:$A$42,TRUE))</f>
        <v>0</v>
      </c>
      <c r="D42" s="496">
        <f>$D$7*C42</f>
        <v>0</v>
      </c>
      <c r="E42" s="497" t="str">
        <f t="shared" si="0"/>
        <v/>
      </c>
      <c r="F42" s="498"/>
      <c r="G42" s="498"/>
    </row>
    <row r="43" ht="15.15" spans="1:7">
      <c r="A43" s="512" t="s">
        <v>48</v>
      </c>
      <c r="B43" s="513"/>
      <c r="C43" s="507">
        <f>SUM($C$39:$C$42)</f>
        <v>0</v>
      </c>
      <c r="D43" s="514">
        <f>SUM(D39:D42)</f>
        <v>0</v>
      </c>
      <c r="E43" s="515" t="str">
        <f t="shared" si="0"/>
        <v/>
      </c>
      <c r="F43" s="498"/>
      <c r="G43" s="498"/>
    </row>
    <row r="44" ht="15.15" spans="1:5">
      <c r="A44" s="480" t="s">
        <v>10</v>
      </c>
      <c r="B44" s="481"/>
      <c r="C44" s="509">
        <v>1</v>
      </c>
      <c r="D44" s="510">
        <f>C44*$D$9</f>
        <v>0.3</v>
      </c>
      <c r="E44" s="511">
        <f t="shared" si="0"/>
        <v>150000000</v>
      </c>
    </row>
    <row r="45" ht="15.15" spans="1:5">
      <c r="A45" s="110" t="s">
        <v>49</v>
      </c>
      <c r="B45" s="110"/>
      <c r="C45" s="499">
        <f>VLOOKUP($D$5,'Drop Downs'!$I$9:$L$14,2,FALSE)</f>
        <v>0.7</v>
      </c>
      <c r="D45" s="485">
        <f>C45*$D$9</f>
        <v>0.21</v>
      </c>
      <c r="E45" s="486">
        <f t="shared" si="0"/>
        <v>105000000</v>
      </c>
    </row>
    <row r="46" spans="1:5">
      <c r="A46" s="488" t="b">
        <v>0</v>
      </c>
      <c r="B46" s="74" t="s">
        <v>50</v>
      </c>
      <c r="C46" s="489">
        <f t="shared" ref="C46:C51" si="2">IF($A46=FALSE,0,$C$45/COUNTIF($A$46:$A$51,TRUE))</f>
        <v>0</v>
      </c>
      <c r="D46" s="490">
        <f>$D$9*C46</f>
        <v>0</v>
      </c>
      <c r="E46" s="491" t="str">
        <f t="shared" si="0"/>
        <v/>
      </c>
    </row>
    <row r="47" spans="1:5">
      <c r="A47" s="488" t="b">
        <v>0</v>
      </c>
      <c r="B47" s="74" t="s">
        <v>51</v>
      </c>
      <c r="C47" s="489">
        <f t="shared" si="2"/>
        <v>0</v>
      </c>
      <c r="D47" s="490">
        <f t="shared" ref="D47:D51" si="3">$D$9*C47</f>
        <v>0</v>
      </c>
      <c r="E47" s="491" t="str">
        <f t="shared" si="0"/>
        <v/>
      </c>
    </row>
    <row r="48" spans="1:5">
      <c r="A48" s="488" t="b">
        <v>0</v>
      </c>
      <c r="B48" s="74" t="s">
        <v>52</v>
      </c>
      <c r="C48" s="489">
        <f t="shared" si="2"/>
        <v>0</v>
      </c>
      <c r="D48" s="490">
        <f t="shared" si="3"/>
        <v>0</v>
      </c>
      <c r="E48" s="491" t="str">
        <f t="shared" si="0"/>
        <v/>
      </c>
    </row>
    <row r="49" spans="1:7">
      <c r="A49" s="494" t="b">
        <v>0</v>
      </c>
      <c r="B49" s="59" t="s">
        <v>53</v>
      </c>
      <c r="C49" s="495">
        <f t="shared" si="2"/>
        <v>0</v>
      </c>
      <c r="D49" s="496">
        <f t="shared" si="3"/>
        <v>0</v>
      </c>
      <c r="E49" s="497" t="str">
        <f t="shared" si="0"/>
        <v/>
      </c>
      <c r="F49" s="498"/>
      <c r="G49" s="498"/>
    </row>
    <row r="50" spans="1:7">
      <c r="A50" s="494" t="b">
        <v>0</v>
      </c>
      <c r="B50" s="59" t="s">
        <v>54</v>
      </c>
      <c r="C50" s="495">
        <f t="shared" si="2"/>
        <v>0</v>
      </c>
      <c r="D50" s="496">
        <f t="shared" si="3"/>
        <v>0</v>
      </c>
      <c r="E50" s="497" t="str">
        <f t="shared" si="0"/>
        <v/>
      </c>
      <c r="F50" s="498"/>
      <c r="G50" s="498"/>
    </row>
    <row r="51" ht="15.15" spans="1:7">
      <c r="A51" s="494" t="b">
        <v>0</v>
      </c>
      <c r="B51" s="59" t="s">
        <v>55</v>
      </c>
      <c r="C51" s="495">
        <f t="shared" si="2"/>
        <v>0</v>
      </c>
      <c r="D51" s="496">
        <f t="shared" si="3"/>
        <v>0</v>
      </c>
      <c r="E51" s="497" t="str">
        <f t="shared" si="0"/>
        <v/>
      </c>
      <c r="F51" s="498"/>
      <c r="G51" s="498"/>
    </row>
    <row r="52" ht="15.15" spans="1:6">
      <c r="A52" s="110" t="s">
        <v>56</v>
      </c>
      <c r="B52" s="110"/>
      <c r="C52" s="499">
        <f>VLOOKUP($D$5,'Drop Downs'!$I$9:$L$14,3,FALSE)</f>
        <v>0.15</v>
      </c>
      <c r="D52" s="485">
        <f>C52*$D$9</f>
        <v>0.045</v>
      </c>
      <c r="E52" s="486">
        <f t="shared" si="0"/>
        <v>22500000</v>
      </c>
      <c r="F52" s="516" t="s">
        <v>57</v>
      </c>
    </row>
    <row r="53" ht="15.15" spans="1:6">
      <c r="A53" s="488" t="b">
        <v>0</v>
      </c>
      <c r="B53" s="74" t="s">
        <v>58</v>
      </c>
      <c r="C53" s="489">
        <f>IF($A53=FALSE,0,$C$52/COUNTIF($A$53:$A$56,TRUE))</f>
        <v>0</v>
      </c>
      <c r="D53" s="490">
        <f>$D$9*C53</f>
        <v>0</v>
      </c>
      <c r="E53" s="491" t="str">
        <f t="shared" si="0"/>
        <v/>
      </c>
      <c r="F53" s="517"/>
    </row>
    <row r="54" spans="1:5">
      <c r="A54" s="488" t="b">
        <v>0</v>
      </c>
      <c r="B54" s="74" t="s">
        <v>59</v>
      </c>
      <c r="C54" s="489">
        <f>IF($A54=FALSE,0,$C$52/COUNTIF($A$53:$A$56,TRUE))</f>
        <v>0</v>
      </c>
      <c r="D54" s="490">
        <f>$D$9*C54</f>
        <v>0</v>
      </c>
      <c r="E54" s="491" t="str">
        <f t="shared" si="0"/>
        <v/>
      </c>
    </row>
    <row r="55" spans="1:5">
      <c r="A55" s="488" t="b">
        <v>0</v>
      </c>
      <c r="B55" s="74" t="s">
        <v>60</v>
      </c>
      <c r="C55" s="489">
        <f>IF($A55=FALSE,0,$C$52/COUNTIF($A$53:$A$56,TRUE))</f>
        <v>0</v>
      </c>
      <c r="D55" s="490">
        <f>$D$9*C55</f>
        <v>0</v>
      </c>
      <c r="E55" s="491" t="str">
        <f t="shared" si="0"/>
        <v/>
      </c>
    </row>
    <row r="56" ht="15.15" spans="1:7">
      <c r="A56" s="494" t="b">
        <v>0</v>
      </c>
      <c r="B56" s="59" t="s">
        <v>61</v>
      </c>
      <c r="C56" s="495">
        <f>IF($A56=FALSE,0,$C$52/COUNTIF($A$53:$A$56,TRUE))</f>
        <v>0</v>
      </c>
      <c r="D56" s="496">
        <f>$D$9*C56</f>
        <v>0</v>
      </c>
      <c r="E56" s="497" t="str">
        <f t="shared" si="0"/>
        <v/>
      </c>
      <c r="F56" s="498"/>
      <c r="G56" s="498"/>
    </row>
    <row r="57" ht="15.15" spans="1:7">
      <c r="A57" s="110" t="s">
        <v>62</v>
      </c>
      <c r="B57" s="110"/>
      <c r="C57" s="499">
        <f>VLOOKUP($D$5,'Drop Downs'!$I$9:$L$14,4,FALSE)</f>
        <v>0.15</v>
      </c>
      <c r="D57" s="485">
        <f>C57*$D$9</f>
        <v>0.045</v>
      </c>
      <c r="E57" s="486">
        <f t="shared" si="0"/>
        <v>22500000</v>
      </c>
      <c r="F57" s="498"/>
      <c r="G57" s="498"/>
    </row>
    <row r="58" ht="15.15" spans="1:5">
      <c r="A58" s="488" t="b">
        <v>0</v>
      </c>
      <c r="B58" s="74" t="s">
        <v>63</v>
      </c>
      <c r="C58" s="489">
        <f>IF(A58=FALSE,0,$C$57)</f>
        <v>0</v>
      </c>
      <c r="D58" s="490">
        <f>$D$7*C58</f>
        <v>0</v>
      </c>
      <c r="E58" s="491" t="str">
        <f t="shared" si="0"/>
        <v/>
      </c>
    </row>
    <row r="59" ht="15.15" spans="1:5">
      <c r="A59" s="512" t="s">
        <v>64</v>
      </c>
      <c r="B59" s="513"/>
      <c r="C59" s="506">
        <f>SUM($C$46:$C$51)+SUM($C$53:$C$56)+$C$58</f>
        <v>0</v>
      </c>
      <c r="D59" s="507">
        <f>$D$58+SUM($D$53:$D$56)+SUM($D$46:$D$51)</f>
        <v>0</v>
      </c>
      <c r="E59" s="508" t="str">
        <f t="shared" si="0"/>
        <v/>
      </c>
    </row>
    <row r="60" ht="15.15" spans="1:6">
      <c r="A60" s="480" t="s">
        <v>65</v>
      </c>
      <c r="B60" s="481"/>
      <c r="C60" s="518"/>
      <c r="D60" s="510"/>
      <c r="E60" s="511" t="str">
        <f t="shared" si="0"/>
        <v/>
      </c>
      <c r="F60" s="516" t="s">
        <v>66</v>
      </c>
    </row>
    <row r="61" ht="15.15" spans="1:6">
      <c r="A61" s="110" t="s">
        <v>67</v>
      </c>
      <c r="B61" s="110"/>
      <c r="C61" s="519">
        <v>0.5</v>
      </c>
      <c r="D61" s="485">
        <f>C61*$D$8</f>
        <v>0.05</v>
      </c>
      <c r="E61" s="486">
        <f t="shared" si="0"/>
        <v>25000000</v>
      </c>
      <c r="F61" s="517"/>
    </row>
    <row r="62" ht="15.15" spans="1:5">
      <c r="A62" s="488" t="b">
        <v>0</v>
      </c>
      <c r="B62" s="113" t="s">
        <v>68</v>
      </c>
      <c r="C62" s="489">
        <f>IF(A62=FALSE,0,C61)</f>
        <v>0</v>
      </c>
      <c r="D62" s="490">
        <f>C62*$D$8</f>
        <v>0</v>
      </c>
      <c r="E62" s="491" t="str">
        <f t="shared" si="0"/>
        <v/>
      </c>
    </row>
    <row r="63" ht="15.15" spans="1:5">
      <c r="A63" s="110" t="s">
        <v>69</v>
      </c>
      <c r="B63" s="110"/>
      <c r="C63" s="519">
        <v>0.5</v>
      </c>
      <c r="D63" s="485"/>
      <c r="E63" s="486" t="str">
        <f t="shared" si="0"/>
        <v/>
      </c>
    </row>
    <row r="64" spans="1:5">
      <c r="A64" s="488" t="b">
        <v>0</v>
      </c>
      <c r="B64" s="74" t="s">
        <v>70</v>
      </c>
      <c r="C64" s="520">
        <f>IF($A64=FALSE,0,$C$45/COUNTIF($A$64:$A$65,TRUE))</f>
        <v>0</v>
      </c>
      <c r="D64" s="521">
        <f>C64*$D$8</f>
        <v>0</v>
      </c>
      <c r="E64" s="522" t="str">
        <f t="shared" si="0"/>
        <v/>
      </c>
    </row>
    <row r="65" ht="29.55" spans="1:5">
      <c r="A65" s="494" t="b">
        <v>0</v>
      </c>
      <c r="B65" s="59" t="s">
        <v>71</v>
      </c>
      <c r="C65" s="523">
        <f>IF($A65=FALSE,0,$C$45/COUNTIF($A$64:$A$65,TRUE))</f>
        <v>0</v>
      </c>
      <c r="D65" s="524">
        <f>C65*$D$8</f>
        <v>0</v>
      </c>
      <c r="E65" s="525" t="str">
        <f t="shared" si="0"/>
        <v/>
      </c>
    </row>
    <row r="66" ht="15.15" spans="1:5">
      <c r="A66" s="512" t="s">
        <v>11</v>
      </c>
      <c r="B66" s="513"/>
      <c r="C66" s="506">
        <f>C64+C65+C62</f>
        <v>0</v>
      </c>
      <c r="D66" s="507">
        <f>D65+D64+D62</f>
        <v>0</v>
      </c>
      <c r="E66" s="508" t="str">
        <f t="shared" si="0"/>
        <v/>
      </c>
    </row>
    <row r="67" spans="1:1">
      <c r="A67" s="526"/>
    </row>
  </sheetData>
  <sheetProtection selectLockedCells="1"/>
  <mergeCells count="8">
    <mergeCell ref="A5:C5"/>
    <mergeCell ref="A10:C10"/>
    <mergeCell ref="A12:E12"/>
    <mergeCell ref="E5:E9"/>
    <mergeCell ref="F13:F14"/>
    <mergeCell ref="F52:F53"/>
    <mergeCell ref="F60:F61"/>
    <mergeCell ref="H6:H12"/>
  </mergeCells>
  <dataValidations count="1">
    <dataValidation type="list" allowBlank="1" showInputMessage="1" showErrorMessage="1" sqref="D5">
      <formula1>'Drop Downs'!$B$25:$B$29</formula1>
    </dataValidation>
  </dataValidation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J110"/>
  <sheetViews>
    <sheetView showGridLines="0" zoomScale="53" zoomScaleNormal="53" topLeftCell="A6" workbookViewId="0">
      <selection activeCell="A4" sqref="A4"/>
    </sheetView>
  </sheetViews>
  <sheetFormatPr defaultColWidth="9" defaultRowHeight="14.4"/>
  <cols>
    <col min="1" max="1" width="36.7222222222222" customWidth="1"/>
    <col min="2" max="7" width="15.3611111111111" customWidth="1"/>
    <col min="8" max="8" width="23.1759259259259" customWidth="1"/>
    <col min="9" max="10" width="15.3611111111111" customWidth="1"/>
    <col min="11" max="12" width="25.0925925925926" customWidth="1"/>
    <col min="13" max="13" width="20.3611111111111" customWidth="1"/>
    <col min="14" max="16" width="15.3611111111111" customWidth="1"/>
    <col min="17" max="17" width="8.72222222222222" customWidth="1"/>
    <col min="18" max="18" width="8.72222222222222" hidden="1" customWidth="1"/>
    <col min="19" max="19" width="57.7222222222222" hidden="1" customWidth="1"/>
    <col min="20" max="20" width="15.1759259259259" hidden="1" customWidth="1"/>
    <col min="21" max="21" width="8.72222222222222" hidden="1" customWidth="1"/>
    <col min="22" max="22" width="57.7222222222222" hidden="1" customWidth="1"/>
    <col min="23" max="24" width="15.1759259259259" hidden="1" customWidth="1"/>
    <col min="25" max="25" width="8.72222222222222" hidden="1" customWidth="1"/>
    <col min="26" max="26" width="57.7222222222222" hidden="1" customWidth="1"/>
    <col min="27" max="27" width="15.1759259259259" hidden="1" customWidth="1"/>
    <col min="28" max="29" width="8.72222222222222" hidden="1" customWidth="1"/>
    <col min="30" max="30" width="36.1759259259259" hidden="1" customWidth="1"/>
    <col min="31" max="31" width="17.7222222222222" hidden="1" customWidth="1"/>
    <col min="32" max="32" width="13.6296296296296" hidden="1" customWidth="1"/>
    <col min="33" max="33" width="16.4537037037037" hidden="1" customWidth="1"/>
    <col min="34" max="34" width="13.4537037037037" hidden="1" customWidth="1"/>
    <col min="35" max="35" width="11.7222222222222" hidden="1" customWidth="1"/>
    <col min="36" max="36" width="12.1759259259259" hidden="1" customWidth="1"/>
    <col min="37" max="37" width="8.72222222222222" hidden="1" customWidth="1"/>
    <col min="38" max="38" width="13" hidden="1" customWidth="1"/>
    <col min="39" max="39" width="10.2685185185185" hidden="1" customWidth="1"/>
    <col min="40" max="40" width="11.2685185185185" hidden="1" customWidth="1"/>
    <col min="41" max="42" width="8.72222222222222" hidden="1" customWidth="1"/>
    <col min="43" max="43" width="8.81481481481481" hidden="1" customWidth="1"/>
    <col min="44" max="44" width="10" hidden="1" customWidth="1"/>
    <col min="45" max="45" width="9.90740740740741" hidden="1" customWidth="1"/>
  </cols>
  <sheetData>
    <row r="1" ht="15.15" spans="1:5">
      <c r="A1" s="212" t="s">
        <v>72</v>
      </c>
      <c r="B1" s="11"/>
      <c r="C1" s="11"/>
      <c r="D1" s="11"/>
      <c r="E1" s="10"/>
    </row>
    <row r="2" ht="15.15"/>
    <row r="3" ht="15" customHeight="1" spans="1:45">
      <c r="A3" s="454" t="s">
        <v>73</v>
      </c>
      <c r="B3" s="153" t="s">
        <v>74</v>
      </c>
      <c r="C3" s="454" t="s">
        <v>75</v>
      </c>
      <c r="D3" s="153" t="s">
        <v>76</v>
      </c>
      <c r="E3" s="455" t="s">
        <v>77</v>
      </c>
      <c r="F3" s="213"/>
      <c r="G3" s="213"/>
      <c r="H3" s="213"/>
      <c r="I3" s="213"/>
      <c r="J3" s="213"/>
      <c r="K3" s="213"/>
      <c r="L3" s="213"/>
      <c r="M3" s="213"/>
      <c r="N3" s="213"/>
      <c r="S3" s="32" t="s">
        <v>78</v>
      </c>
      <c r="T3" s="33"/>
      <c r="V3" s="458" t="s">
        <v>79</v>
      </c>
      <c r="W3" s="116"/>
      <c r="X3" s="116"/>
      <c r="Z3" s="115" t="s">
        <v>80</v>
      </c>
      <c r="AA3" s="272"/>
      <c r="AD3" s="160" t="s">
        <v>81</v>
      </c>
      <c r="AE3" s="153"/>
      <c r="AF3" s="212" t="s">
        <v>82</v>
      </c>
      <c r="AG3" s="11"/>
      <c r="AH3" s="11"/>
      <c r="AI3" s="11"/>
      <c r="AJ3" s="11"/>
      <c r="AK3" s="11"/>
      <c r="AL3" s="11"/>
      <c r="AM3" s="11"/>
      <c r="AN3" s="153"/>
      <c r="AQ3" s="455" t="s">
        <v>83</v>
      </c>
      <c r="AR3" s="455" t="s">
        <v>6</v>
      </c>
      <c r="AS3" s="153" t="str">
        <f>IF($AR$3='Drop Downs'!$I$18,'Drop Downs'!$D$2,'Drop Downs'!$E$2)</f>
        <v>Nifty 50</v>
      </c>
    </row>
    <row r="4" ht="15.15" spans="1:62">
      <c r="A4" s="87" t="str" cm="1">
        <f t="array" ref="A4:A7">_xlfn._xlws.FILTER('Selector Sheet '!$B$14:$B$43,'Selector Sheet '!$A$14:$A$43=TRUE,"No funds selected")</f>
        <v>Nippon India Large Cap Fund(G)</v>
      </c>
      <c r="B4" s="162" cm="1">
        <f t="array" ref="B4:B25">_xlfn.IFNA(VLOOKUP($A$4:$A$25,'Selector Sheet '!$B$14:$D$43,3,FALSE),"")</f>
        <v>0.2</v>
      </c>
      <c r="C4" s="190" cm="1">
        <f t="array" ref="C4:C7">VLOOKUP(_xlfn.ANCHORARRAY($A$4),Source_Data!$T$2:$W$24,2,FALSE)</f>
        <v>0.837409</v>
      </c>
      <c r="D4" s="174" cm="1">
        <f t="array" ref="D4:D7">VLOOKUP(_xlfn.ANCHORARRAY($A$4),Source_Data!$T$2:$W$24,3,FALSE)</f>
        <v>0.107269</v>
      </c>
      <c r="E4" s="164" cm="1">
        <f t="array" ref="E4:E7">VLOOKUP(_xlfn.ANCHORARRAY($A$4),Source_Data!$T$2:$W$24,4,FALSE)</f>
        <v>0.038736</v>
      </c>
      <c r="F4" s="213"/>
      <c r="G4" s="213"/>
      <c r="H4" s="213"/>
      <c r="I4" s="213"/>
      <c r="J4" s="213"/>
      <c r="K4" s="213"/>
      <c r="L4" s="213"/>
      <c r="M4" s="213"/>
      <c r="N4" s="213"/>
      <c r="S4" s="152" t="s">
        <v>84</v>
      </c>
      <c r="T4" s="153" t="s">
        <v>85</v>
      </c>
      <c r="V4" s="119" t="s">
        <v>86</v>
      </c>
      <c r="W4" s="154" t="e">
        <f>SUM($T$5:$T$7)</f>
        <v>#N/A</v>
      </c>
      <c r="X4" s="155"/>
      <c r="Z4" s="138" t="str" cm="1">
        <f t="array" ref="Z4:AA14">_xlfn._xlws.SORT(_xlfn.HSTACK(_xlfn.UNIQUE(Source_Data!$J$2:$J$192),_xlfn.BYROW(_xlfn.UNIQUE(Source_Data!$J$2:$J$192),_xlfn.LAMBDA(_xlpm.x,SUMIF(Source_Data!$J$2:$J$192,_xlpm.x,Source_Data!$L$2:$L$192)))),2,-1)</f>
        <v>Financial</v>
      </c>
      <c r="AA4" s="139" t="e">
        <v>#N/A</v>
      </c>
      <c r="AD4" s="456"/>
      <c r="AE4" s="153" t="s">
        <v>87</v>
      </c>
      <c r="AF4" s="296" t="s">
        <v>88</v>
      </c>
      <c r="AG4" s="297" t="s">
        <v>89</v>
      </c>
      <c r="AH4" s="297" t="s">
        <v>90</v>
      </c>
      <c r="AI4" s="460" vm="1" t="e" cm="1">
        <f ca="1" t="array" ref="AI4">IFERROR(INDEX('Performance Data'!#REF!,MATCH(TRIM(_xlfn.ANCHORARRAY($AD$5)),'Performance Data'!#REF!,0),MATCH(TRIM(#REF!),'Performance Data'!#REF!,0)),"")</f>
        <v>#VALUE!</v>
      </c>
      <c r="AJ4" s="297" t="s">
        <v>91</v>
      </c>
      <c r="AK4" s="297" t="s">
        <v>92</v>
      </c>
      <c r="AL4" s="297" t="s">
        <v>93</v>
      </c>
      <c r="AM4" s="297" t="s">
        <v>94</v>
      </c>
      <c r="AN4" s="334" t="s">
        <v>95</v>
      </c>
      <c r="AQ4" s="461" t="s">
        <v>96</v>
      </c>
      <c r="AR4" s="462" cm="1">
        <f t="array" ref="AR4">SUMPRODUCT(_xlfn._xlws.FILTER((VLOOKUP(_xlfn._xlws.FILTER('Drop Downs'!$J$26:$J$48,'Drop Downs'!$I$26:$I$48=$L$30,"Not Found"),$AD$33:$AN$48,2,FALSE)),NOT(ISNA((VLOOKUP(_xlfn._xlws.FILTER('Drop Downs'!$J$26:$J$48,'Drop Downs'!$I$26:$I$48=$L$30,"Not Found"),$AD$33:$AN$48,2,FALSE))))),_xlfn.IFNA(VLOOKUP(_xlfn._xlws.FILTER(_xlfn.ANCHORARRAY($AD$33),ISNUMBER(MATCH(_xlfn.ANCHORARRAY($AD$33),_xlfn._xlws.FILTER('Drop Downs'!$J$26:$J$48,'Drop Downs'!$I$26:$I$48=$L$30,"Not Found"),0))),'Selector Sheet '!$B$14:$D$43,2,FALSE),0))</f>
        <v>0.0478129</v>
      </c>
      <c r="AS4" s="139" cm="1">
        <f t="array" ref="AS4:AS11">IF($AS$3='Drop Downs'!$D$2,(VLOOKUP('Output Dashboard (option 1)'!$AQ$4:$AQ$11,'Drop Downs'!$C$3:$E$10,2,FALSE)),VLOOKUP('Output Dashboard (option 1)'!$AQ$4:$AQ$11,'Drop Downs'!$C$3:$E$10,3,FALSE))</f>
        <v>-0.005306</v>
      </c>
      <c r="AU4" s="2"/>
      <c r="AW4" s="71"/>
      <c r="BA4" s="71"/>
      <c r="BJ4" s="2"/>
    </row>
    <row r="5" ht="15.15" spans="1:62">
      <c r="A5" s="89" t="str">
        <v>Canara Rob Bluechip Equity Fund-Reg(G)</v>
      </c>
      <c r="B5" s="164">
        <v>0.2</v>
      </c>
      <c r="C5" s="190">
        <v>0.904036</v>
      </c>
      <c r="D5" s="174">
        <v>0.053861</v>
      </c>
      <c r="E5" s="164">
        <v>0</v>
      </c>
      <c r="F5" s="213"/>
      <c r="G5" s="213"/>
      <c r="H5" s="213"/>
      <c r="I5" s="213"/>
      <c r="J5" s="213"/>
      <c r="K5" s="213"/>
      <c r="L5" s="213"/>
      <c r="M5" s="213"/>
      <c r="N5" s="213"/>
      <c r="S5" s="143" t="str" cm="1">
        <f t="array" ref="S5:T24">_xlfn._xlws.SORT(_xlfn.TAKE(_xlfn._xlws.SORT(_xlfn.HSTACK(_xlfn.UNIQUE(Source_Data!$B$2:$B$567),_xlfn.BYROW(_xlfn.UNIQUE(Source_Data!$B$2:$B$567),_xlfn.LAMBDA(_xlpm.x,SUMIF(Source_Data!$B$2:$B$567,_xlpm.x,Source_Data!$D$2:$D$567)))),2,-1),20),2,-1)</f>
        <v>HDFC Bank</v>
      </c>
      <c r="T5" s="24" t="e">
        <v>#N/A</v>
      </c>
      <c r="V5" s="123" t="s">
        <v>97</v>
      </c>
      <c r="W5" s="156" t="e">
        <f>SUM($T$5:$T$9)</f>
        <v>#N/A</v>
      </c>
      <c r="X5" s="157"/>
      <c r="Z5" s="143" t="str">
        <v>Technology</v>
      </c>
      <c r="AA5" s="24" t="e">
        <v>#N/A</v>
      </c>
      <c r="AD5" s="235" t="str" cm="1">
        <f t="array" ref="AD5:AD20">IF($A$4:$A$19&gt;0,$A$4:$A$19,"")</f>
        <v>Nippon India Large Cap Fund(G)</v>
      </c>
      <c r="AE5" s="42" cm="1">
        <f t="array" ref="AE5:AE20">IFERROR(INDEX('Performance Data'!$B$3:$AN$293,MATCH(TRIM(_xlfn.ANCHORARRAY($AD$5)),'Performance Data'!$B$3:$B$294,0),MATCH(TRIM(AE$4),'Performance Data'!$B$4:$AM$4,0)),"")</f>
        <v>1.51</v>
      </c>
      <c r="AF5" s="23" cm="1">
        <f t="array" ref="AF5:AF20">IFERROR(INDEX('Performance Data'!$B$3:$AN$293,MATCH(TRIM(_xlfn.ANCHORARRAY($AD$5)),'Performance Data'!$B$3:$B$294,0),MATCH(TRIM(AF$4),'Performance Data'!$B$4:$AM$4,0)),"")</f>
        <v>-0.017875</v>
      </c>
      <c r="AG5" s="23" cm="1">
        <f t="array" ref="AG5:AG20">IFERROR(INDEX('Performance Data'!$B$3:$AN$293,MATCH(TRIM(_xlfn.ANCHORARRAY($AD$5)),'Performance Data'!$B$3:$B$294,0),MATCH(TRIM(AG$4),'Performance Data'!$B$4:$AM$4,0)),"")</f>
        <v>0.047609</v>
      </c>
      <c r="AH5" s="23" cm="1">
        <f t="array" ref="AH5:AH20">IFERROR(INDEX('Performance Data'!$B$3:$AN$293,MATCH(TRIM(_xlfn.ANCHORARRAY($AD$5)),'Performance Data'!$B$3:$B$294,0),MATCH(TRIM(AH$4),'Performance Data'!$B$4:$AM$4,0)),"")</f>
        <v>0.078495</v>
      </c>
      <c r="AI5" s="23" t="str" cm="1">
        <f t="array" ref="AI5:AI20">IFERROR(INDEX('Performance Data'!$B$3:$AN$293,MATCH(TRIM(_xlfn.ANCHORARRAY($AD$5)),'Performance Data'!$B$3:$B$294,0),MATCH(TRIM(AI$4),'Performance Data'!$B$4:$AM$4,0)),"")</f>
        <v/>
      </c>
      <c r="AJ5" s="23" cm="1">
        <f t="array" ref="AJ5:AJ20">IFERROR(INDEX('Performance Data'!$B$3:$AN$293,MATCH(TRIM(_xlfn.ANCHORARRAY($AD$5)),'Performance Data'!$B$3:$B$294,0),MATCH(TRIM(AJ$4),'Performance Data'!$B$4:$AM$4,0)),"")</f>
        <v>0.006832</v>
      </c>
      <c r="AK5" s="23" t="str" cm="1">
        <f t="array" ref="AK5:AK20">IFERROR(INDEX('Performance Data'!$B$3:$AN$293,MATCH(TRIM(_xlfn.ANCHORARRAY($AD$5)),'Performance Data'!$B$3:$B$294,0),MATCH(TRIM(AK$4),'Performance Data'!$B$4:$AM$4,0)),"")</f>
        <v/>
      </c>
      <c r="AL5" s="23" cm="1">
        <f t="array" ref="AL5:AL20">IFERROR(INDEX('Performance Data'!$B$3:$AN$293,MATCH(TRIM(_xlfn.ANCHORARRAY($AD$5)),'Performance Data'!$B$3:$B$294,0),MATCH(TRIM(AL$4),'Performance Data'!$B$4:$AM$4,0)),"")</f>
        <v>0.204123</v>
      </c>
      <c r="AM5" s="23" cm="1">
        <f t="array" ref="AM5:AM20">IFERROR(INDEX('Performance Data'!$B$3:$AN$293,MATCH(TRIM(_xlfn.ANCHORARRAY($AD$5)),'Performance Data'!$B$3:$B$294,0),MATCH(TRIM(AM$4),'Performance Data'!$B$4:$AM$4,0)),"")</f>
        <v>0.251486</v>
      </c>
      <c r="AN5" s="24" cm="1">
        <f t="array" ref="AN5:AN20">IFERROR(INDEX('Performance Data'!$B$3:$AN$293,MATCH(TRIM(_xlfn.ANCHORARRAY($AD$5)),'Performance Data'!$B$3:$B$294,0),MATCH(TRIM(AN$4),'Performance Data'!$B$4:$AM$4,0)),"")</f>
        <v>0.137065</v>
      </c>
      <c r="AQ5" s="461">
        <v>2024</v>
      </c>
      <c r="AR5" s="463" cm="1">
        <f t="array" ref="AR5">SUMPRODUCT(_xlfn._xlws.FILTER((VLOOKUP(_xlfn._xlws.FILTER('Drop Downs'!$J$26:$J$48,'Drop Downs'!$I$26:$I$48=$AR$3,"Not Found"),$AD$33:$AN$48,3,FALSE)),NOT(ISNA((VLOOKUP(_xlfn._xlws.FILTER('Drop Downs'!$J$26:$J$48,'Drop Downs'!$I$26:$I$48=$AR$3,"Not Found"),$AD$33:$AN$48,3,FALSE))))),_xlfn.IFNA(VLOOKUP(_xlfn._xlws.FILTER(_xlfn.ANCHORARRAY($AD$33),ISNUMBER(MATCH(_xlfn.ANCHORARRAY($AD$33),_xlfn._xlws.FILTER('Drop Downs'!$J$26:$J$48,'Drop Downs'!$I$26:$I$48=$AR$3,"Not Found"),0))),'Selector Sheet '!$B$14:$D$43,2,FALSE),0))</f>
        <v>0.224498312121989</v>
      </c>
      <c r="AS5" s="24">
        <v>0.0880476902077809</v>
      </c>
      <c r="AU5" s="2"/>
      <c r="AW5" s="71"/>
      <c r="BA5" s="71"/>
      <c r="BJ5" s="2"/>
    </row>
    <row r="6" ht="15.15" spans="1:62">
      <c r="A6" s="89" t="str">
        <v>SBI Large &amp; Midcap Fund-Reg(G)</v>
      </c>
      <c r="B6" s="164">
        <v>0.04</v>
      </c>
      <c r="C6" s="190">
        <v>0.433817</v>
      </c>
      <c r="D6" s="174">
        <v>0.360591</v>
      </c>
      <c r="E6" s="164">
        <v>0.149174</v>
      </c>
      <c r="F6" s="213"/>
      <c r="G6" s="213"/>
      <c r="H6" s="213"/>
      <c r="I6" s="213"/>
      <c r="J6" s="213"/>
      <c r="K6" s="213"/>
      <c r="L6" s="213"/>
      <c r="M6" s="213"/>
      <c r="N6" s="213"/>
      <c r="S6" s="143" t="str">
        <v>ICICI Bank</v>
      </c>
      <c r="T6" s="24" t="e">
        <v>#N/A</v>
      </c>
      <c r="V6" s="123" t="s">
        <v>98</v>
      </c>
      <c r="W6" s="156" t="e">
        <f>SUM($T$5:$T$14)</f>
        <v>#N/A</v>
      </c>
      <c r="X6" s="157"/>
      <c r="Z6" s="143" t="str">
        <v>Consumer Discretionary</v>
      </c>
      <c r="AA6" s="24" t="e">
        <v>#N/A</v>
      </c>
      <c r="AD6" s="235" t="str">
        <v>Canara Rob Bluechip Equity Fund-Reg(G)</v>
      </c>
      <c r="AE6" s="42">
        <v>1.64</v>
      </c>
      <c r="AF6" s="23">
        <v>-0.022278</v>
      </c>
      <c r="AG6" s="23">
        <v>0.029528</v>
      </c>
      <c r="AH6" s="23">
        <v>0.065354</v>
      </c>
      <c r="AI6" s="23" t="str">
        <v/>
      </c>
      <c r="AJ6" s="23">
        <v>0.018666</v>
      </c>
      <c r="AK6" s="23" t="str">
        <v/>
      </c>
      <c r="AL6" s="23">
        <v>0.161045</v>
      </c>
      <c r="AM6" s="23">
        <v>0.186387</v>
      </c>
      <c r="AN6" s="24">
        <v>0.131291</v>
      </c>
      <c r="AQ6" s="461">
        <v>2023</v>
      </c>
      <c r="AR6" s="463" cm="1">
        <f t="array" ref="AR6">SUMPRODUCT(_xlfn._xlws.FILTER((VLOOKUP(_xlfn._xlws.FILTER('Drop Downs'!$J$26:$J$41,'Drop Downs'!$I$26:$I$41=$AR$3,"Not Found"),$AD$33:$AN$48,4,FALSE)),NOT(ISNA((VLOOKUP(_xlfn._xlws.FILTER('Drop Downs'!$J$26:$J$41,'Drop Downs'!$I$26:$I$41=$AR$3,"Not Found"),$AD$33:$AN$48,4,FALSE))))),_xlfn.IFNA(VLOOKUP(_xlfn._xlws.FILTER(_xlfn.ANCHORARRAY($AD$33),ISNUMBER(MATCH(_xlfn.ANCHORARRAY($AD$33),_xlfn._xlws.FILTER('Drop Downs'!$J$26:$J$41,'Drop Downs'!$I$26:$I$41=$AR$3,"Not Found"),0))),'Selector Sheet '!$B$14:$D$43,2,FALSE),0))</f>
        <v>0.322654295478335</v>
      </c>
      <c r="AS6" s="24">
        <v>0.200278393101744</v>
      </c>
      <c r="AU6" s="2"/>
      <c r="AW6" s="71"/>
      <c r="BA6" s="71"/>
      <c r="BJ6" s="2"/>
    </row>
    <row r="7" ht="15.15" spans="1:62">
      <c r="A7" s="89" t="str">
        <v>Canara Rob Emerg Equities Fund-Reg(G)</v>
      </c>
      <c r="B7" s="164">
        <v>0.04</v>
      </c>
      <c r="C7" s="190">
        <v>0.453308</v>
      </c>
      <c r="D7" s="174">
        <v>0.392334</v>
      </c>
      <c r="E7" s="164">
        <v>0.125245</v>
      </c>
      <c r="F7" s="213"/>
      <c r="G7" s="213"/>
      <c r="H7" s="213"/>
      <c r="I7" s="213"/>
      <c r="J7" s="213"/>
      <c r="K7" s="213"/>
      <c r="L7" s="213"/>
      <c r="M7" s="213"/>
      <c r="N7" s="213"/>
      <c r="S7" s="143" t="str">
        <v>Reliance Ind</v>
      </c>
      <c r="T7" s="24" t="e">
        <v>#N/A</v>
      </c>
      <c r="V7" s="128" t="s">
        <v>99</v>
      </c>
      <c r="W7" s="158" t="e">
        <f>SUM($T$5:$T$24)</f>
        <v>#N/A</v>
      </c>
      <c r="X7" s="159"/>
      <c r="Z7" s="143" t="str">
        <v>Energy &amp; Utilities</v>
      </c>
      <c r="AA7" s="24" t="e">
        <v>#N/A</v>
      </c>
      <c r="AD7" s="235" t="str">
        <v>SBI Large &amp; Midcap Fund-Reg(G)</v>
      </c>
      <c r="AE7" s="42">
        <v>1.58</v>
      </c>
      <c r="AF7" s="23">
        <v>-0.009427</v>
      </c>
      <c r="AG7" s="23">
        <v>0.065682</v>
      </c>
      <c r="AH7" s="23">
        <v>0.085126</v>
      </c>
      <c r="AI7" s="23" t="str">
        <v/>
      </c>
      <c r="AJ7" s="23">
        <v>0.02127</v>
      </c>
      <c r="AK7" s="23" t="str">
        <v/>
      </c>
      <c r="AL7" s="23">
        <v>0.192237</v>
      </c>
      <c r="AM7" s="23">
        <v>0.246868</v>
      </c>
      <c r="AN7" s="24">
        <v>0.141788</v>
      </c>
      <c r="AQ7" s="461">
        <v>2022</v>
      </c>
      <c r="AR7" s="463" cm="1">
        <f t="array" ref="AR7">SUMPRODUCT(_xlfn._xlws.FILTER((VLOOKUP(_xlfn._xlws.FILTER('Drop Downs'!$J$26:$J$41,'Drop Downs'!$I$26:$I$41=$AR$3,"Not Found"),$AD$33:$AN$48,5,FALSE)),NOT(ISNA((VLOOKUP(_xlfn._xlws.FILTER('Drop Downs'!$J$26:$J$41,'Drop Downs'!$I$26:$I$41=$AR$3,"Not Found"),$AD$33:$AN$48,5,FALSE))))),_xlfn.IFNA(VLOOKUP(_xlfn._xlws.FILTER(_xlfn.ANCHORARRAY($AD$33),ISNUMBER(MATCH(_xlfn.ANCHORARRAY($AD$33),_xlfn._xlws.FILTER('Drop Downs'!$J$26:$J$41,'Drop Downs'!$I$26:$I$41=$AR$3,"Not Found"),0))),'Selector Sheet '!$B$14:$D$43,2,FALSE),0))</f>
        <v>0.0663471954028307</v>
      </c>
      <c r="AS7" s="24">
        <v>0.0432896067488569</v>
      </c>
      <c r="AU7" s="2"/>
      <c r="AW7" s="71"/>
      <c r="BA7" s="71"/>
      <c r="BJ7" s="2"/>
    </row>
    <row r="8" ht="15.15" spans="1:62">
      <c r="A8" s="89"/>
      <c r="B8" s="164" t="str">
        <v/>
      </c>
      <c r="C8" s="190"/>
      <c r="D8" s="174"/>
      <c r="E8" s="164"/>
      <c r="F8" s="213"/>
      <c r="G8" s="213"/>
      <c r="H8" s="213"/>
      <c r="I8" s="213"/>
      <c r="J8" s="213"/>
      <c r="K8" s="213"/>
      <c r="L8" s="213"/>
      <c r="M8" s="213"/>
      <c r="N8" s="213"/>
      <c r="S8" s="143" t="str">
        <v>Infosys</v>
      </c>
      <c r="T8" s="24" t="e">
        <v>#N/A</v>
      </c>
      <c r="Z8" s="143" t="str">
        <v>Consumer Staples</v>
      </c>
      <c r="AA8" s="24" t="e">
        <v>#N/A</v>
      </c>
      <c r="AD8" s="235" t="str">
        <v>Canara Rob Emerg Equities Fund-Reg(G)</v>
      </c>
      <c r="AE8" s="42">
        <v>1.6</v>
      </c>
      <c r="AF8" s="23">
        <v>-0.025189</v>
      </c>
      <c r="AG8" s="23">
        <v>0.055282</v>
      </c>
      <c r="AH8" s="23">
        <v>0.073313</v>
      </c>
      <c r="AI8" s="23" t="str">
        <v/>
      </c>
      <c r="AJ8" s="23">
        <v>0.005758</v>
      </c>
      <c r="AK8" s="23" t="str">
        <v/>
      </c>
      <c r="AL8" s="23">
        <v>0.173117</v>
      </c>
      <c r="AM8" s="23">
        <v>0.221895</v>
      </c>
      <c r="AN8" s="24">
        <v>0.147989</v>
      </c>
      <c r="AQ8" s="461">
        <v>2021</v>
      </c>
      <c r="AR8" s="463" cm="1">
        <f t="array" ref="AR8">SUMPRODUCT(_xlfn._xlws.FILTER((VLOOKUP(_xlfn._xlws.FILTER('Drop Downs'!$J$26:$J$41,'Drop Downs'!$I$26:$I$41=$AR$3,"Not Found"),$AD$33:$AN$48,7,FALSE)),NOT(ISNA((VLOOKUP(_xlfn._xlws.FILTER('Drop Downs'!$J$26:$J$41,'Drop Downs'!$I$26:$I$41=$AR$3,"Not Found"),$AD$33:$AN$48,7,FALSE))))),_xlfn.IFNA(VLOOKUP(_xlfn._xlws.FILTER(_xlfn.ANCHORARRAY($AD$33),ISNUMBER(MATCH(_xlfn.ANCHORARRAY($AD$33),_xlfn._xlws.FILTER('Drop Downs'!$J$26:$J$41,'Drop Downs'!$I$26:$I$41=$AR$3,"Not Found"),0))),'Selector Sheet '!$B$14:$D$43,2,FALSE),0))</f>
        <v>0.360891848996891</v>
      </c>
      <c r="AS8" s="24">
        <v>0.241192983710909</v>
      </c>
      <c r="AU8" s="2"/>
      <c r="AV8" s="2"/>
      <c r="AW8" s="71"/>
      <c r="BA8" s="71"/>
      <c r="BJ8" s="2"/>
    </row>
    <row r="9" ht="15.15" spans="1:62">
      <c r="A9" s="89"/>
      <c r="B9" s="164" t="str">
        <v/>
      </c>
      <c r="C9" s="190"/>
      <c r="D9" s="174"/>
      <c r="E9" s="164"/>
      <c r="F9" s="213"/>
      <c r="G9" s="213"/>
      <c r="H9" s="213"/>
      <c r="I9" s="213"/>
      <c r="J9" s="213"/>
      <c r="K9" s="213"/>
      <c r="L9" s="213"/>
      <c r="M9" s="213"/>
      <c r="N9" s="213"/>
      <c r="S9" s="143" t="str">
        <v>Larsen &amp; Toubro</v>
      </c>
      <c r="T9" s="24" t="e">
        <v>#N/A</v>
      </c>
      <c r="Z9" s="143" t="str">
        <v>Industrials</v>
      </c>
      <c r="AA9" s="24" t="e">
        <v>#N/A</v>
      </c>
      <c r="AD9" s="235" t="str">
        <v/>
      </c>
      <c r="AE9" s="42" t="str">
        <v/>
      </c>
      <c r="AF9" s="23" t="str">
        <v/>
      </c>
      <c r="AG9" s="23" t="str">
        <v/>
      </c>
      <c r="AH9" s="23" t="str">
        <v/>
      </c>
      <c r="AI9" s="23" t="str">
        <v/>
      </c>
      <c r="AJ9" s="23" t="str">
        <v/>
      </c>
      <c r="AK9" s="23" t="str">
        <v/>
      </c>
      <c r="AL9" s="23" t="str">
        <v/>
      </c>
      <c r="AM9" s="23" t="str">
        <v/>
      </c>
      <c r="AN9" s="24" t="str">
        <v/>
      </c>
      <c r="AQ9" s="461">
        <v>2020</v>
      </c>
      <c r="AR9" s="463" cm="1">
        <f t="array" ref="AR9">SUMPRODUCT(_xlfn._xlws.FILTER((VLOOKUP(_xlfn._xlws.FILTER('Drop Downs'!$J$26:$J$41,'Drop Downs'!$I$26:$I$41=$AR$3,"Not Found"),$AD$33:$AN$48,9,FALSE)),NOT(ISNA((VLOOKUP(_xlfn._xlws.FILTER('Drop Downs'!$J$26:$J$41,'Drop Downs'!$I$26:$I$41=$AR$3,"Not Found"),$AD$33:$AN$48,9,FALSE))))),_xlfn.IFNA(VLOOKUP(_xlfn._xlws.FILTER(_xlfn.ANCHORARRAY($AD$33),ISNUMBER(MATCH(_xlfn.ANCHORARRAY($AD$33),_xlfn._xlws.FILTER('Drop Downs'!$J$26:$J$41,'Drop Downs'!$I$26:$I$41=$AR$3,"Not Found"),0))),'Selector Sheet '!$B$14:$D$43,2,FALSE),0))</f>
        <v>0.180127539158089</v>
      </c>
      <c r="AS9" s="24">
        <v>0.149016514017808</v>
      </c>
      <c r="AU9" s="2"/>
      <c r="AV9" s="2"/>
      <c r="AW9" s="71"/>
      <c r="BA9" s="71"/>
      <c r="BJ9" s="2"/>
    </row>
    <row r="10" ht="15.15" spans="1:62">
      <c r="A10" s="89"/>
      <c r="B10" s="164" t="str">
        <v/>
      </c>
      <c r="C10" s="190"/>
      <c r="D10" s="174"/>
      <c r="E10" s="164"/>
      <c r="F10" s="213"/>
      <c r="G10" s="213"/>
      <c r="H10" s="213"/>
      <c r="I10" s="213"/>
      <c r="J10" s="213"/>
      <c r="K10" s="213"/>
      <c r="L10" s="213"/>
      <c r="M10" s="213"/>
      <c r="N10" s="213"/>
      <c r="S10" s="143" t="str">
        <v>Bharti Airtel</v>
      </c>
      <c r="T10" s="24" t="e">
        <v>#N/A</v>
      </c>
      <c r="Z10" s="143" t="str">
        <v>Materials</v>
      </c>
      <c r="AA10" s="24" t="e">
        <v>#N/A</v>
      </c>
      <c r="AD10" s="235" t="str">
        <v/>
      </c>
      <c r="AE10" s="42" t="str">
        <v/>
      </c>
      <c r="AF10" s="23" t="str">
        <v/>
      </c>
      <c r="AG10" s="23" t="str">
        <v/>
      </c>
      <c r="AH10" s="23" t="str">
        <v/>
      </c>
      <c r="AI10" s="23" t="str">
        <v/>
      </c>
      <c r="AJ10" s="23" t="str">
        <v/>
      </c>
      <c r="AK10" s="23" t="str">
        <v/>
      </c>
      <c r="AL10" s="23" t="str">
        <v/>
      </c>
      <c r="AM10" s="23" t="str">
        <v/>
      </c>
      <c r="AN10" s="24" t="str">
        <v/>
      </c>
      <c r="AQ10" s="461">
        <v>2019</v>
      </c>
      <c r="AR10" s="463" cm="1">
        <f t="array" ref="AR10">SUMPRODUCT(_xlfn._xlws.FILTER((VLOOKUP(_xlfn._xlws.FILTER('Drop Downs'!$J$26:$J$41,'Drop Downs'!$I$26:$I$41=$AR$3,"Not Found"),$AD$33:$AN$48,10,FALSE)),NOT(ISNA((VLOOKUP(_xlfn._xlws.FILTER('Drop Downs'!$J$26:$J$41,'Drop Downs'!$I$26:$I$41=$AR$3,"Not Found"),$AD$33:$AN$48,10,FALSE))))),_xlfn.IFNA(VLOOKUP(_xlfn._xlws.FILTER(_xlfn.ANCHORARRAY($AD$33),ISNUMBER(MATCH(_xlfn.ANCHORARRAY($AD$33),_xlfn._xlws.FILTER('Drop Downs'!$J$26:$J$41,'Drop Downs'!$I$26:$I$41=$AR$3,"Not Found"),0))),'Selector Sheet '!$B$14:$D$43,2,FALSE),0))</f>
        <v>0.130162684691707</v>
      </c>
      <c r="AS10" s="24">
        <v>0.120220390239861</v>
      </c>
      <c r="AU10" s="2"/>
      <c r="AV10" s="2"/>
      <c r="BA10" s="71"/>
      <c r="BJ10" s="2"/>
    </row>
    <row r="11" ht="15.15" spans="1:62">
      <c r="A11" s="89"/>
      <c r="B11" s="164" t="str">
        <v/>
      </c>
      <c r="C11" s="190"/>
      <c r="D11" s="174"/>
      <c r="E11" s="164"/>
      <c r="F11" s="213"/>
      <c r="G11" s="213"/>
      <c r="H11" s="213"/>
      <c r="I11" s="213"/>
      <c r="J11" s="213"/>
      <c r="K11" s="213"/>
      <c r="L11" s="213"/>
      <c r="M11" s="213"/>
      <c r="N11" s="213"/>
      <c r="S11" s="143" t="str">
        <v>Mahindra &amp; Mahindra</v>
      </c>
      <c r="T11" s="24" t="e">
        <v>#N/A</v>
      </c>
      <c r="Z11" s="143" t="str">
        <v>Healthcare</v>
      </c>
      <c r="AA11" s="24" t="e">
        <v>#N/A</v>
      </c>
      <c r="AD11" s="235" t="str">
        <v/>
      </c>
      <c r="AE11" s="42" t="str">
        <v/>
      </c>
      <c r="AF11" s="23" t="str">
        <v/>
      </c>
      <c r="AG11" s="23" t="str">
        <v/>
      </c>
      <c r="AH11" s="23" t="str">
        <v/>
      </c>
      <c r="AI11" s="23" t="str">
        <v/>
      </c>
      <c r="AJ11" s="23" t="str">
        <v/>
      </c>
      <c r="AK11" s="23" t="str">
        <v/>
      </c>
      <c r="AL11" s="23" t="str">
        <v/>
      </c>
      <c r="AM11" s="23" t="str">
        <v/>
      </c>
      <c r="AN11" s="24" t="str">
        <v/>
      </c>
      <c r="AQ11" s="461">
        <v>2018</v>
      </c>
      <c r="AR11" s="148" cm="1">
        <f t="array" ref="AR11">SUMPRODUCT(_xlfn._xlws.FILTER((VLOOKUP(_xlfn._xlws.FILTER('Drop Downs'!$J$26:$J$41,'Drop Downs'!$I$26:$I$41=$AR$3,"Not Found"),$AD$33:$AN$48,11,FALSE)),NOT(ISNA((VLOOKUP(_xlfn._xlws.FILTER('Drop Downs'!$J$26:$J$41,'Drop Downs'!$I$26:$I$41=$AR$3,"Not Found"),$AD$33:$AN$48,11,FALSE))))),_xlfn.IFNA(VLOOKUP(_xlfn._xlws.FILTER(_xlfn.ANCHORARRAY($AD$33),ISNUMBER(MATCH(_xlfn.ANCHORARRAY($AD$33),_xlfn._xlws.FILTER('Drop Downs'!$J$26:$J$41,'Drop Downs'!$I$26:$I$41=$AR$3,"Not Found"),0))),'Selector Sheet '!$B$14:$D$43,2,FALSE),0))</f>
        <v>0.00141604156901546</v>
      </c>
      <c r="AS11" s="148">
        <v>0.0315126249916908</v>
      </c>
      <c r="AU11" s="2"/>
      <c r="AV11" s="2"/>
      <c r="BJ11" s="2"/>
    </row>
    <row r="12" spans="1:62">
      <c r="A12" s="89"/>
      <c r="B12" s="164" t="str">
        <v/>
      </c>
      <c r="C12" s="190"/>
      <c r="D12" s="174"/>
      <c r="E12" s="164"/>
      <c r="F12" s="213"/>
      <c r="G12" s="213"/>
      <c r="H12" s="213"/>
      <c r="I12" s="213"/>
      <c r="J12" s="213"/>
      <c r="K12" s="213"/>
      <c r="L12" s="213"/>
      <c r="M12" s="213"/>
      <c r="N12" s="213"/>
      <c r="S12" s="143" t="str">
        <v>Axis Bank</v>
      </c>
      <c r="T12" s="24" t="e">
        <v>#N/A</v>
      </c>
      <c r="Z12" s="143" t="str">
        <v>Real Estate</v>
      </c>
      <c r="AA12" s="24" t="e">
        <v>#N/A</v>
      </c>
      <c r="AD12" s="235" t="str">
        <v/>
      </c>
      <c r="AE12" s="42" t="str">
        <v/>
      </c>
      <c r="AF12" s="23" t="str">
        <v/>
      </c>
      <c r="AG12" s="23" t="str">
        <v/>
      </c>
      <c r="AH12" s="23" t="str">
        <v/>
      </c>
      <c r="AI12" s="23" t="str">
        <v/>
      </c>
      <c r="AJ12" s="23" t="str">
        <v/>
      </c>
      <c r="AK12" s="23" t="str">
        <v/>
      </c>
      <c r="AL12" s="23" t="str">
        <v/>
      </c>
      <c r="AM12" s="23" t="str">
        <v/>
      </c>
      <c r="AN12" s="24" t="str">
        <v/>
      </c>
      <c r="AQ12" s="42"/>
      <c r="AR12" s="6"/>
      <c r="AU12" s="2"/>
      <c r="AV12" s="2"/>
      <c r="BJ12" s="2"/>
    </row>
    <row r="13" spans="1:62">
      <c r="A13" s="89"/>
      <c r="B13" s="164" t="str">
        <v/>
      </c>
      <c r="C13" s="190"/>
      <c r="D13" s="174"/>
      <c r="E13" s="164"/>
      <c r="F13" s="213"/>
      <c r="G13" s="213"/>
      <c r="H13" s="213"/>
      <c r="I13" s="213"/>
      <c r="J13" s="213"/>
      <c r="K13" s="213"/>
      <c r="L13" s="213"/>
      <c r="M13" s="213"/>
      <c r="N13" s="213"/>
      <c r="S13" s="143" t="str">
        <v>ITC</v>
      </c>
      <c r="T13" s="24" t="e">
        <v>#N/A</v>
      </c>
      <c r="Z13" s="143" t="str">
        <v>Diversified</v>
      </c>
      <c r="AA13" s="24" t="e">
        <v>#N/A</v>
      </c>
      <c r="AD13" s="235" t="str">
        <v/>
      </c>
      <c r="AE13" s="42" t="str">
        <v/>
      </c>
      <c r="AF13" s="23" t="str">
        <v/>
      </c>
      <c r="AG13" s="23" t="str">
        <v/>
      </c>
      <c r="AH13" s="23" t="str">
        <v/>
      </c>
      <c r="AI13" s="23" t="str">
        <v/>
      </c>
      <c r="AJ13" s="23" t="str">
        <v/>
      </c>
      <c r="AK13" s="23" t="str">
        <v/>
      </c>
      <c r="AL13" s="23" t="str">
        <v/>
      </c>
      <c r="AM13" s="23" t="str">
        <v/>
      </c>
      <c r="AN13" s="24" t="str">
        <v/>
      </c>
      <c r="AQ13" s="42"/>
      <c r="AR13" s="6"/>
      <c r="AU13" s="2"/>
      <c r="AV13" s="2"/>
      <c r="BJ13" s="2"/>
    </row>
    <row r="14" ht="15.15" spans="1:48">
      <c r="A14" s="89"/>
      <c r="B14" s="164" t="str">
        <v/>
      </c>
      <c r="C14" s="190"/>
      <c r="D14" s="174"/>
      <c r="E14" s="164"/>
      <c r="F14" s="213"/>
      <c r="G14" s="213"/>
      <c r="H14" s="213"/>
      <c r="I14" s="213"/>
      <c r="J14" s="213"/>
      <c r="K14" s="213"/>
      <c r="L14" s="213"/>
      <c r="M14" s="213"/>
      <c r="N14" s="213"/>
      <c r="S14" s="143" t="str">
        <v>SBI</v>
      </c>
      <c r="T14" s="24" t="e">
        <v>#N/A</v>
      </c>
      <c r="Z14" s="147" t="str">
        <v>Cash (Unclassified)</v>
      </c>
      <c r="AA14" s="148">
        <v>0</v>
      </c>
      <c r="AD14" s="179" t="str">
        <v/>
      </c>
      <c r="AE14" s="42" t="str">
        <v/>
      </c>
      <c r="AF14" s="23" t="str">
        <v/>
      </c>
      <c r="AG14" s="23" t="str">
        <v/>
      </c>
      <c r="AH14" s="23" t="str">
        <v/>
      </c>
      <c r="AI14" s="23" t="str">
        <v/>
      </c>
      <c r="AJ14" s="23" t="str">
        <v/>
      </c>
      <c r="AK14" s="23" t="str">
        <v/>
      </c>
      <c r="AL14" s="23" t="str">
        <v/>
      </c>
      <c r="AM14" s="23" t="str">
        <v/>
      </c>
      <c r="AN14" s="24" t="str">
        <v/>
      </c>
      <c r="AQ14" s="42"/>
      <c r="AR14" s="6"/>
      <c r="AT14" s="2"/>
      <c r="AU14" s="2"/>
      <c r="AV14" s="2"/>
    </row>
    <row r="15" spans="1:48">
      <c r="A15" s="89"/>
      <c r="B15" s="164" t="str">
        <v/>
      </c>
      <c r="C15" s="190"/>
      <c r="D15" s="174"/>
      <c r="E15" s="164"/>
      <c r="F15" s="213"/>
      <c r="G15" s="213"/>
      <c r="H15" s="213"/>
      <c r="I15" s="213"/>
      <c r="J15" s="213"/>
      <c r="K15" s="213"/>
      <c r="L15" s="213"/>
      <c r="M15" s="213"/>
      <c r="N15" s="213"/>
      <c r="S15" s="143" t="str">
        <v>Maruti Suzuki</v>
      </c>
      <c r="T15" s="24" t="e">
        <v>#N/A</v>
      </c>
      <c r="AD15" s="179" t="str">
        <v/>
      </c>
      <c r="AE15" s="42" t="str">
        <v/>
      </c>
      <c r="AF15" s="23" t="str">
        <v/>
      </c>
      <c r="AG15" s="23" t="str">
        <v/>
      </c>
      <c r="AH15" s="23" t="str">
        <v/>
      </c>
      <c r="AI15" s="23" t="str">
        <v/>
      </c>
      <c r="AJ15" s="23" t="str">
        <v/>
      </c>
      <c r="AK15" s="23" t="str">
        <v/>
      </c>
      <c r="AL15" s="23" t="str">
        <v/>
      </c>
      <c r="AM15" s="23" t="str">
        <v/>
      </c>
      <c r="AN15" s="24" t="str">
        <v/>
      </c>
      <c r="AQ15" s="42"/>
      <c r="AR15" s="6"/>
      <c r="AT15" s="2"/>
      <c r="AU15" s="2"/>
      <c r="AV15" s="2"/>
    </row>
    <row r="16" spans="1:48">
      <c r="A16" s="89"/>
      <c r="B16" s="164" t="str">
        <v/>
      </c>
      <c r="C16" s="190"/>
      <c r="D16" s="174"/>
      <c r="E16" s="164"/>
      <c r="F16" s="213"/>
      <c r="G16" s="213"/>
      <c r="H16" s="213"/>
      <c r="I16" s="213"/>
      <c r="J16" s="213"/>
      <c r="K16" s="213"/>
      <c r="L16" s="213"/>
      <c r="M16" s="213"/>
      <c r="N16" s="213"/>
      <c r="S16" s="143" t="str">
        <v>NTPC</v>
      </c>
      <c r="T16" s="24" t="e">
        <v>#N/A</v>
      </c>
      <c r="AD16" s="179" t="str">
        <v/>
      </c>
      <c r="AE16" s="42" t="str">
        <v/>
      </c>
      <c r="AF16" s="23" t="str">
        <v/>
      </c>
      <c r="AG16" s="23" t="str">
        <v/>
      </c>
      <c r="AH16" s="23" t="str">
        <v/>
      </c>
      <c r="AI16" s="23" t="str">
        <v/>
      </c>
      <c r="AJ16" s="23" t="str">
        <v/>
      </c>
      <c r="AK16" s="23" t="str">
        <v/>
      </c>
      <c r="AL16" s="23" t="str">
        <v/>
      </c>
      <c r="AM16" s="23" t="str">
        <v/>
      </c>
      <c r="AN16" s="24" t="str">
        <v/>
      </c>
      <c r="AT16" s="2"/>
      <c r="AU16" s="2"/>
      <c r="AV16" s="2"/>
    </row>
    <row r="17" spans="1:48">
      <c r="A17" s="89"/>
      <c r="B17" s="164" t="str">
        <v/>
      </c>
      <c r="C17" s="190"/>
      <c r="D17" s="174"/>
      <c r="E17" s="164"/>
      <c r="F17" s="213"/>
      <c r="G17" s="213"/>
      <c r="H17" s="213"/>
      <c r="I17" s="213"/>
      <c r="J17" s="213"/>
      <c r="K17" s="213"/>
      <c r="L17" s="213"/>
      <c r="M17" s="213"/>
      <c r="N17" s="213"/>
      <c r="S17" s="143" t="str">
        <v>Tata Consultancy</v>
      </c>
      <c r="T17" s="24" t="e">
        <v>#N/A</v>
      </c>
      <c r="AD17" s="179" t="str">
        <v/>
      </c>
      <c r="AE17" s="42" t="str">
        <v/>
      </c>
      <c r="AF17" s="23" t="str">
        <v/>
      </c>
      <c r="AG17" s="23" t="str">
        <v/>
      </c>
      <c r="AH17" s="23" t="str">
        <v/>
      </c>
      <c r="AI17" s="23" t="str">
        <v/>
      </c>
      <c r="AJ17" s="23" t="str">
        <v/>
      </c>
      <c r="AK17" s="23" t="str">
        <v/>
      </c>
      <c r="AL17" s="23" t="str">
        <v/>
      </c>
      <c r="AM17" s="23" t="str">
        <v/>
      </c>
      <c r="AN17" s="24" t="str">
        <v/>
      </c>
      <c r="AT17" s="2"/>
      <c r="AU17" s="2"/>
      <c r="AV17" s="2"/>
    </row>
    <row r="18" spans="1:48">
      <c r="A18" s="89"/>
      <c r="B18" s="164" t="str">
        <v/>
      </c>
      <c r="C18" s="190"/>
      <c r="D18" s="174"/>
      <c r="E18" s="164"/>
      <c r="F18" s="213"/>
      <c r="G18" s="213"/>
      <c r="H18" s="213"/>
      <c r="I18" s="213"/>
      <c r="J18" s="213"/>
      <c r="K18" s="213"/>
      <c r="L18" s="213"/>
      <c r="M18" s="213"/>
      <c r="N18" s="213"/>
      <c r="S18" s="143" t="str">
        <v>Sun Pharmaceutical</v>
      </c>
      <c r="T18" s="24" t="e">
        <v>#N/A</v>
      </c>
      <c r="AD18" s="179" t="str">
        <v/>
      </c>
      <c r="AE18" s="42" t="str">
        <v/>
      </c>
      <c r="AF18" s="23" t="str">
        <v/>
      </c>
      <c r="AG18" s="23" t="str">
        <v/>
      </c>
      <c r="AH18" s="23" t="str">
        <v/>
      </c>
      <c r="AI18" s="23" t="str">
        <v/>
      </c>
      <c r="AJ18" s="23" t="str">
        <v/>
      </c>
      <c r="AK18" s="23" t="str">
        <v/>
      </c>
      <c r="AL18" s="23" t="str">
        <v/>
      </c>
      <c r="AM18" s="23" t="str">
        <v/>
      </c>
      <c r="AN18" s="24" t="str">
        <v/>
      </c>
      <c r="AT18" s="2"/>
      <c r="AU18" s="2"/>
      <c r="AV18" s="2"/>
    </row>
    <row r="19" spans="1:48">
      <c r="A19" s="89"/>
      <c r="B19" s="164" t="str">
        <v/>
      </c>
      <c r="C19" s="190"/>
      <c r="D19" s="174"/>
      <c r="E19" s="164"/>
      <c r="F19" s="213"/>
      <c r="G19" s="213"/>
      <c r="H19" s="213"/>
      <c r="I19" s="213"/>
      <c r="J19" s="213"/>
      <c r="K19" s="213"/>
      <c r="L19" s="213"/>
      <c r="M19" s="213"/>
      <c r="N19" s="213"/>
      <c r="S19" s="143" t="str">
        <v>Ultratech Cement</v>
      </c>
      <c r="T19" s="24" t="e">
        <v>#N/A</v>
      </c>
      <c r="AD19" s="179" t="str">
        <v/>
      </c>
      <c r="AE19" s="42" t="str">
        <v/>
      </c>
      <c r="AF19" s="23" t="str">
        <v/>
      </c>
      <c r="AG19" s="23" t="str">
        <v/>
      </c>
      <c r="AH19" s="23" t="str">
        <v/>
      </c>
      <c r="AI19" s="23" t="str">
        <v/>
      </c>
      <c r="AJ19" s="23" t="str">
        <v/>
      </c>
      <c r="AK19" s="23" t="str">
        <v/>
      </c>
      <c r="AL19" s="23" t="str">
        <v/>
      </c>
      <c r="AM19" s="23" t="str">
        <v/>
      </c>
      <c r="AN19" s="24" t="str">
        <v/>
      </c>
      <c r="AT19" s="2"/>
      <c r="AU19" s="2"/>
      <c r="AV19" s="2"/>
    </row>
    <row r="20" ht="15.15" spans="1:46">
      <c r="A20" s="89"/>
      <c r="B20" s="164" t="str">
        <v/>
      </c>
      <c r="C20" s="190"/>
      <c r="D20" s="174"/>
      <c r="E20" s="164"/>
      <c r="F20" s="213"/>
      <c r="G20" s="213"/>
      <c r="H20" s="213"/>
      <c r="I20" s="213"/>
      <c r="J20" s="213"/>
      <c r="K20" s="213"/>
      <c r="L20" s="213"/>
      <c r="M20" s="213"/>
      <c r="N20" s="213"/>
      <c r="S20" s="143" t="str">
        <v>Interglobe Aviation</v>
      </c>
      <c r="T20" s="24" t="e">
        <v>#N/A</v>
      </c>
      <c r="AD20" s="186" t="str">
        <v/>
      </c>
      <c r="AE20" s="457" t="str">
        <v/>
      </c>
      <c r="AF20" s="459" t="str">
        <v/>
      </c>
      <c r="AG20" s="459" t="str">
        <v/>
      </c>
      <c r="AH20" s="459" t="str">
        <v/>
      </c>
      <c r="AI20" s="459" t="str">
        <v/>
      </c>
      <c r="AJ20" s="459" t="str">
        <v/>
      </c>
      <c r="AK20" s="459" t="str">
        <v/>
      </c>
      <c r="AL20" s="459" t="str">
        <v/>
      </c>
      <c r="AM20" s="459" t="str">
        <v/>
      </c>
      <c r="AN20" s="148" t="str">
        <v/>
      </c>
      <c r="AT20" s="2"/>
    </row>
    <row r="21" spans="1:46">
      <c r="A21" s="89"/>
      <c r="B21" s="164" t="str">
        <v/>
      </c>
      <c r="C21" s="190"/>
      <c r="D21" s="174"/>
      <c r="E21" s="164"/>
      <c r="F21" s="213"/>
      <c r="G21" s="213"/>
      <c r="H21" s="213"/>
      <c r="I21" s="213"/>
      <c r="J21" s="213"/>
      <c r="K21" s="213"/>
      <c r="L21" s="213"/>
      <c r="M21" s="213"/>
      <c r="N21" s="213"/>
      <c r="S21" s="143" t="str">
        <v>Hindustan Unilever</v>
      </c>
      <c r="T21" s="24" t="e">
        <v>#N/A</v>
      </c>
      <c r="V21" s="115" t="s">
        <v>100</v>
      </c>
      <c r="W21" s="272" t="s">
        <v>101</v>
      </c>
      <c r="X21" s="116" t="s">
        <v>13</v>
      </c>
      <c r="AT21" s="2"/>
    </row>
    <row r="22" spans="1:24">
      <c r="A22" s="89"/>
      <c r="B22" s="164" t="str">
        <v/>
      </c>
      <c r="C22" s="190"/>
      <c r="D22" s="174"/>
      <c r="E22" s="164"/>
      <c r="F22" s="213"/>
      <c r="G22" s="213"/>
      <c r="H22" s="213"/>
      <c r="I22" s="213"/>
      <c r="J22" s="213"/>
      <c r="K22" s="213"/>
      <c r="L22" s="213"/>
      <c r="M22" s="213"/>
      <c r="N22" s="213"/>
      <c r="S22" s="143" t="str">
        <v>Bajaj Finance</v>
      </c>
      <c r="T22" s="24" t="e">
        <v>#N/A</v>
      </c>
      <c r="V22" s="119" t="s">
        <v>75</v>
      </c>
      <c r="W22" s="157" cm="1">
        <f t="array" ref="W22">SUMPRODUCT(Source_Data!$U$2:$U$24,_xlfn.IFNA(VLOOKUP(Source_Data!$T$2:$T$24,'Selector Sheet '!$B$15:$D$43,3,FALSE),0))</f>
        <v>0.383774</v>
      </c>
      <c r="X22" s="273">
        <f>($W$22/SUM($W$22:$W$24))*1</f>
        <v>0.825602804021401</v>
      </c>
    </row>
    <row r="23" spans="1:24">
      <c r="A23" s="89"/>
      <c r="B23" s="164" t="str">
        <v/>
      </c>
      <c r="C23" s="190"/>
      <c r="D23" s="174"/>
      <c r="E23" s="164"/>
      <c r="F23" s="213"/>
      <c r="G23" s="213"/>
      <c r="H23" s="213"/>
      <c r="I23" s="213"/>
      <c r="J23" s="213"/>
      <c r="K23" s="213"/>
      <c r="L23" s="213"/>
      <c r="M23" s="213"/>
      <c r="N23" s="213"/>
      <c r="S23" s="143" t="str">
        <v>Kotak Bank</v>
      </c>
      <c r="T23" s="24" t="e">
        <v>#N/A</v>
      </c>
      <c r="V23" s="123" t="s">
        <v>102</v>
      </c>
      <c r="W23" s="157" cm="1">
        <f t="array" ref="W23">SUMPRODUCT(Source_Data!$V$2:$V$24,_xlfn.IFNA(VLOOKUP(Source_Data!$T$2:$T$24,'Selector Sheet '!$B$15:$D$43,3,FALSE),0))</f>
        <v>0.062343</v>
      </c>
      <c r="X23" s="274">
        <f>($W$23/SUM($W$22:$W$24))*1</f>
        <v>0.134116838584965</v>
      </c>
    </row>
    <row r="24" ht="15.15" spans="1:24">
      <c r="A24" s="89"/>
      <c r="B24" s="164" t="str">
        <v/>
      </c>
      <c r="C24" s="190"/>
      <c r="D24" s="174"/>
      <c r="E24" s="164"/>
      <c r="F24" s="213"/>
      <c r="G24" s="213"/>
      <c r="H24" s="213"/>
      <c r="I24" s="213"/>
      <c r="J24" s="213"/>
      <c r="K24" s="213"/>
      <c r="L24" s="213"/>
      <c r="M24" s="213"/>
      <c r="N24" s="213"/>
      <c r="S24" s="147" t="str">
        <v>Tech Mahindra</v>
      </c>
      <c r="T24" s="148" t="e">
        <v>#N/A</v>
      </c>
      <c r="V24" s="128" t="s">
        <v>103</v>
      </c>
      <c r="W24" s="159" cm="1">
        <f t="array" ref="W24">SUMPRODUCT(Source_Data!$W$2:$W$24,_xlfn.IFNA(VLOOKUP(Source_Data!$T$2:$T$24,'Selector Sheet '!$B$15:$D$43,3,FALSE),0))</f>
        <v>0.01872396</v>
      </c>
      <c r="X24" s="275">
        <f>($W$24/SUM($W$22:$W$24))*1</f>
        <v>0.0402803573936342</v>
      </c>
    </row>
    <row r="25" ht="15.15" spans="1:24">
      <c r="A25" s="94"/>
      <c r="B25" s="166" t="str">
        <v/>
      </c>
      <c r="C25" s="191"/>
      <c r="D25" s="192"/>
      <c r="E25" s="166"/>
      <c r="F25" s="213"/>
      <c r="G25" s="213"/>
      <c r="H25" s="213"/>
      <c r="I25" s="213"/>
      <c r="J25" s="213"/>
      <c r="K25" s="213"/>
      <c r="L25" s="213"/>
      <c r="M25" s="213"/>
      <c r="N25" s="213"/>
      <c r="W25" s="4"/>
      <c r="X25" s="4"/>
    </row>
    <row r="26" spans="23:24">
      <c r="W26" s="4"/>
      <c r="X26" s="4"/>
    </row>
    <row r="28" spans="1:13">
      <c r="A28" s="200" t="s">
        <v>104</v>
      </c>
      <c r="B28" s="116"/>
      <c r="C28" s="116"/>
      <c r="D28" s="116"/>
      <c r="E28" s="116"/>
      <c r="F28" s="116"/>
      <c r="G28" s="116"/>
      <c r="H28" s="116"/>
      <c r="I28" s="116"/>
      <c r="K28" s="200" t="s">
        <v>105</v>
      </c>
      <c r="L28" s="116"/>
      <c r="M28" s="116"/>
    </row>
    <row r="29" ht="15.15"/>
    <row r="30" ht="15.15" spans="1:13">
      <c r="A30" s="160" t="s">
        <v>81</v>
      </c>
      <c r="B30" s="153"/>
      <c r="C30" s="212" t="s">
        <v>82</v>
      </c>
      <c r="D30" s="11"/>
      <c r="E30" s="11"/>
      <c r="F30" s="11"/>
      <c r="G30" s="11"/>
      <c r="H30" s="11"/>
      <c r="I30" s="153"/>
      <c r="K30" s="160" t="s">
        <v>83</v>
      </c>
      <c r="L30" s="33" t="s">
        <v>6</v>
      </c>
      <c r="M30" s="153" t="str">
        <f>IF($L$30='Drop Downs'!$I$18,'Drop Downs'!$D$2,'Drop Downs'!$E$2)</f>
        <v>Nifty 50</v>
      </c>
    </row>
    <row r="31" ht="15.15" spans="1:40">
      <c r="A31" s="456"/>
      <c r="B31" s="153" t="s">
        <v>87</v>
      </c>
      <c r="C31" s="296" t="s">
        <v>88</v>
      </c>
      <c r="D31" s="297" t="s">
        <v>89</v>
      </c>
      <c r="E31" s="297" t="s">
        <v>90</v>
      </c>
      <c r="F31" s="297" t="s">
        <v>91</v>
      </c>
      <c r="G31" s="297" t="s">
        <v>93</v>
      </c>
      <c r="H31" s="297" t="s">
        <v>94</v>
      </c>
      <c r="I31" s="334" t="s">
        <v>95</v>
      </c>
      <c r="K31" s="161" t="s">
        <v>96</v>
      </c>
      <c r="L31" s="139" cm="1">
        <f t="array" ref="L31">_xlfn.LET(_xlpm.FilteredList,_xlfn._xlws.FILTER('Drop Downs'!$J$26:$J$48,'Drop Downs'!$I$26:$I$48=$L$30),_xlpm.DataValues,_xlfn.IFNA(VLOOKUP(_xlpm.FilteredList,$A$57:$I$78,2,FALSE),0),_xlpm.Weights,_xlfn.IFNA(VLOOKUP(_xlpm.FilteredList,'Selector Sheet '!$B$14:$D$43,2,FALSE),0),SUMPRODUCT(_xlpm.DataValues,_xlpm.Weights))</f>
        <v>0.0478129</v>
      </c>
      <c r="M31" s="139" cm="1">
        <f t="array" ref="M31:M38">IF($M$30='Drop Downs'!$D$2,(VLOOKUP('Output Dashboard (option 1)'!$AQ$4:$AQ$11,'Drop Downs'!$C$3:$E$10,2,FALSE)),VLOOKUP('Output Dashboard (option 1)'!$AQ$4:$AQ$11,'Drop Downs'!$C$3:$E$10,3,FALSE))</f>
        <v>-0.005306</v>
      </c>
      <c r="AD31" s="160" t="s">
        <v>81</v>
      </c>
      <c r="AE31" s="455"/>
      <c r="AF31" s="212" t="s">
        <v>82</v>
      </c>
      <c r="AG31" s="11"/>
      <c r="AH31" s="11"/>
      <c r="AI31" s="11"/>
      <c r="AJ31" s="11"/>
      <c r="AK31" s="11"/>
      <c r="AL31" s="11"/>
      <c r="AM31" s="11"/>
      <c r="AN31" s="153"/>
    </row>
    <row r="32" ht="15.15" spans="1:41">
      <c r="A32" s="235" t="str" cm="1">
        <f t="array" ref="A32:A53">IF($A$4:$A$25&gt;0,$A$4:$A$25,"")</f>
        <v>Nippon India Large Cap Fund(G)</v>
      </c>
      <c r="B32" s="42" cm="1">
        <f t="array" ref="B32:B53">IFERROR(INDEX('Performance Data'!$B$3:$AN$293,MATCH(TRIM(_xlfn.ANCHORARRAY($A$32)),'Performance Data'!$B$3:$B$294,0),MATCH(TRIM(B$31),'Performance Data'!$B$4:$AM$4,0)),"")</f>
        <v>1.51</v>
      </c>
      <c r="C32" s="174" cm="1">
        <f t="array" ref="C32:C53">IFERROR(INDEX('Performance Data'!$B$3:$AN$293,MATCH(TRIM(_xlfn.ANCHORARRAY($A$32)),'Performance Data'!$B$3:$B$294,0),MATCH(TRIM(C$31),'Performance Data'!$B$4:$AM$4,0)),"")</f>
        <v>-0.017875</v>
      </c>
      <c r="D32" s="174" cm="1">
        <f t="array" ref="D32:D53">IFERROR(INDEX('Performance Data'!$B$3:$AN$293,MATCH(TRIM(_xlfn.ANCHORARRAY($A$32)),'Performance Data'!$B$3:$B$294,0),MATCH(TRIM(D$31),'Performance Data'!$B$4:$AM$4,0)),"")</f>
        <v>0.047609</v>
      </c>
      <c r="E32" s="174" cm="1">
        <f t="array" ref="E32:E53">IFERROR(INDEX('Performance Data'!$B$3:$AN$293,MATCH(TRIM(_xlfn.ANCHORARRAY($A$32)),'Performance Data'!$B$3:$B$294,0),MATCH(TRIM(E$31),'Performance Data'!$B$4:$AM$4,0)),"")</f>
        <v>0.078495</v>
      </c>
      <c r="F32" s="174" cm="1">
        <f t="array" ref="F32:F53">IFERROR(INDEX('Performance Data'!$B$3:$AN$293,MATCH(TRIM(_xlfn.ANCHORARRAY($A$32)),'Performance Data'!$B$3:$B$294,0),MATCH(TRIM(F$31),'Performance Data'!$B$4:$AM$4,0)),"")</f>
        <v>0.006832</v>
      </c>
      <c r="G32" s="174" cm="1">
        <f t="array" ref="G32:G53">IFERROR(INDEX('Performance Data'!$B$3:$AN$293,MATCH(TRIM(_xlfn.ANCHORARRAY($A$32)),'Performance Data'!$B$3:$B$294,0),MATCH(TRIM(G$31),'Performance Data'!$B$4:$AM$4,0)),"")</f>
        <v>0.204123</v>
      </c>
      <c r="H32" s="174" cm="1">
        <f t="array" ref="H32:H53">IFERROR(INDEX('Performance Data'!$B$3:$AN$293,MATCH(TRIM(_xlfn.ANCHORARRAY($A$32)),'Performance Data'!$B$3:$B$294,0),MATCH(TRIM(H$31),'Performance Data'!$B$4:$AM$4,0)),"")</f>
        <v>0.251486</v>
      </c>
      <c r="I32" s="164" cm="1">
        <f t="array" ref="I32:I53">IFERROR(INDEX('Performance Data'!$B$3:$AN$293,MATCH(TRIM(_xlfn.ANCHORARRAY($A$32)),'Performance Data'!$B$3:$B$294,0),MATCH(TRIM(I$31),'Performance Data'!$B$4:$AM$4,0)),"")</f>
        <v>0.137065</v>
      </c>
      <c r="K32" s="163">
        <v>2024</v>
      </c>
      <c r="L32" s="24" cm="1">
        <f t="array" ref="L32">_xlfn.LET(_xlpm.FilteredList,_xlfn._xlws.FILTER('Drop Downs'!$J$26:$J$48,'Drop Downs'!$I$26:$I$48=$L$30),_xlpm.DataValues,_xlfn.IFNA(VLOOKUP(_xlpm.FilteredList,$A$57:$I$78,3,FALSE),0),_xlpm.Weights,_xlfn.IFNA(VLOOKUP(_xlpm.FilteredList,'Selector Sheet '!$B$14:$D$43,2,FALSE),0),SUMPRODUCT(_xlpm.DataValues,_xlpm.Weights))</f>
        <v>0.224498312121989</v>
      </c>
      <c r="M32" s="24">
        <v>0.0880476902077809</v>
      </c>
      <c r="AD32" s="456"/>
      <c r="AE32" s="266" t="s">
        <v>96</v>
      </c>
      <c r="AF32" s="267">
        <v>2024</v>
      </c>
      <c r="AG32" s="267">
        <v>2023</v>
      </c>
      <c r="AH32" s="268">
        <v>2022</v>
      </c>
      <c r="AI32" s="268">
        <v>2021</v>
      </c>
      <c r="AJ32" s="268">
        <v>2021</v>
      </c>
      <c r="AK32" s="268">
        <v>2019</v>
      </c>
      <c r="AL32" s="268">
        <v>2020</v>
      </c>
      <c r="AM32" s="268">
        <v>2019</v>
      </c>
      <c r="AN32" s="269">
        <v>2018</v>
      </c>
      <c r="AO32" s="24"/>
    </row>
    <row r="33" spans="1:40">
      <c r="A33" s="235" t="str">
        <v>Canara Rob Bluechip Equity Fund-Reg(G)</v>
      </c>
      <c r="B33" s="42">
        <v>1.64</v>
      </c>
      <c r="C33" s="174">
        <v>-0.022278</v>
      </c>
      <c r="D33" s="174">
        <v>0.029528</v>
      </c>
      <c r="E33" s="174">
        <v>0.065354</v>
      </c>
      <c r="F33" s="174">
        <v>0.018666</v>
      </c>
      <c r="G33" s="174">
        <v>0.161045</v>
      </c>
      <c r="H33" s="174">
        <v>0.186387</v>
      </c>
      <c r="I33" s="164">
        <v>0.131291</v>
      </c>
      <c r="K33" s="163">
        <v>2023</v>
      </c>
      <c r="L33" s="24" cm="1">
        <f t="array" ref="L33">_xlfn.LET(_xlpm.FilteredList,_xlfn._xlws.FILTER('Drop Downs'!$J$26:$J$48,'Drop Downs'!$I$26:$I$48=$L$30),_xlpm.DataValues,_xlfn.IFNA(VLOOKUP(_xlpm.FilteredList,$A$57:$I$78,4,FALSE),0),_xlpm.Weights,_xlfn.IFNA(VLOOKUP(_xlpm.FilteredList,'Selector Sheet '!$B$14:$D$43,2,FALSE),0),SUMPRODUCT(_xlpm.DataValues,_xlpm.Weights))</f>
        <v>0.322654295478335</v>
      </c>
      <c r="M33" s="24">
        <v>0.200278393101744</v>
      </c>
      <c r="AD33" s="235" t="str" cm="1">
        <f t="array" ref="AD33:AD48">IF($A$4:$A$19&gt;0,$A$4:$A$19,"")</f>
        <v>Nippon India Large Cap Fund(G)</v>
      </c>
      <c r="AE33" s="15" cm="1">
        <f t="array" ref="AE33:AE48">_xlfn.IFNA(INDEX('Performance Data'!$B$4:$AN$294,MATCH(_xlfn.ANCHORARRAY($AD$33),'Performance Data'!$B$4:$B$294,0),MATCH(AE$32,'Performance Data'!$B$4:$AM$4,0)),"")</f>
        <v>0.045961</v>
      </c>
      <c r="AF33" s="23" cm="1">
        <f t="array" ref="AF33:AF48">_xlfn.IFNA(INDEX('Performance Data'!$B$4:$AN$294,MATCH(_xlfn.ANCHORARRAY($AD$33),'Performance Data'!$B$4:$B$294,0),MATCH(AF$32,'Performance Data'!$B$4:$AM$4,0)),"")</f>
        <v>0.182397253978206</v>
      </c>
      <c r="AG33" s="23" cm="1">
        <f t="array" ref="AG33:AG48">_xlfn.IFNA(INDEX('Performance Data'!$B$4:$AN$294,MATCH(_xlfn.ANCHORARRAY($AD$33),'Performance Data'!$B$4:$B$294,0),MATCH(AG$32,'Performance Data'!$B$4:$AM$4,0)),"")</f>
        <v>0.321478427661326</v>
      </c>
      <c r="AH33" s="23" cm="1">
        <f t="array" ref="AH33:AH48">_xlfn.IFNA(INDEX('Performance Data'!$B$4:$AN$294,MATCH(_xlfn.ANCHORARRAY($AD$33),'Performance Data'!$B$4:$B$294,0),MATCH(AH$32,'Performance Data'!$B$4:$AM$4,0)),"")</f>
        <v>0.113278340777579</v>
      </c>
      <c r="AI33" cm="1">
        <f t="array" ref="AI33:AI48">_xlfn.IFNA(INDEX('Performance Data'!$B$4:$AN$294,MATCH(_xlfn.ANCHORARRAY($AD$33),'Performance Data'!$B$4:$B$294,0),MATCH(AI$32,'Performance Data'!$B$4:$AM$4,0)),"")</f>
        <v>0.323671949303782</v>
      </c>
      <c r="AJ33" s="23" cm="1">
        <f t="array" ref="AJ33:AJ48">_xlfn.IFNA(INDEX('Performance Data'!$B$4:$AN$294,MATCH(_xlfn.ANCHORARRAY($AD$33),'Performance Data'!$B$4:$B$294,0),MATCH(AJ$32,'Performance Data'!$B$4:$AM$4,0)),"")</f>
        <v>0.323671949303782</v>
      </c>
      <c r="AK33" cm="1">
        <f t="array" ref="AK33:AK48">_xlfn.IFNA(INDEX('Performance Data'!$B$4:$AN$294,MATCH(_xlfn.ANCHORARRAY($AD$33),'Performance Data'!$B$4:$B$294,0),MATCH(AK$32,'Performance Data'!$B$4:$AM$4,0)),"")</f>
        <v>0.0725190954426446</v>
      </c>
      <c r="AL33" s="23" cm="1">
        <f t="array" ref="AL33:AL48">_xlfn.IFNA(INDEX('Performance Data'!$B$4:$AN$294,MATCH(_xlfn.ANCHORARRAY($AD$33),'Performance Data'!$B$4:$B$294,0),MATCH(AL$32,'Performance Data'!$B$4:$AM$4,0)),"")</f>
        <v>0.0490812677272166</v>
      </c>
      <c r="AM33" s="23" cm="1">
        <f t="array" ref="AM33:AM48">_xlfn.IFNA(INDEX('Performance Data'!$B$4:$AN$294,MATCH(_xlfn.ANCHORARRAY($AD$33),'Performance Data'!$B$4:$B$294,0),MATCH(AM$32,'Performance Data'!$B$4:$AM$4,0)),"")</f>
        <v>0.0725190954426446</v>
      </c>
      <c r="AN33" s="24" cm="1">
        <f t="array" ref="AN33:AN48">_xlfn.IFNA(INDEX('Performance Data'!$B$4:$AN$294,MATCH(_xlfn.ANCHORARRAY($AD$33),'Performance Data'!$B$4:$B$294,0),MATCH(AN$32,'Performance Data'!$B$4:$AM$4,0)),"")</f>
        <v>-0.00200396593257917</v>
      </c>
    </row>
    <row r="34" spans="1:40">
      <c r="A34" s="235" t="str">
        <v>SBI Large &amp; Midcap Fund-Reg(G)</v>
      </c>
      <c r="B34" s="42">
        <v>1.58</v>
      </c>
      <c r="C34" s="174">
        <v>-0.009427</v>
      </c>
      <c r="D34" s="174">
        <v>0.065682</v>
      </c>
      <c r="E34" s="174">
        <v>0.085126</v>
      </c>
      <c r="F34" s="174">
        <v>0.02127</v>
      </c>
      <c r="G34" s="174">
        <v>0.192237</v>
      </c>
      <c r="H34" s="174">
        <v>0.246868</v>
      </c>
      <c r="I34" s="164">
        <v>0.141788</v>
      </c>
      <c r="K34" s="163">
        <v>2022</v>
      </c>
      <c r="L34" s="24" cm="1">
        <f t="array" ref="L34">_xlfn.LET(_xlpm.FilteredList,_xlfn._xlws.FILTER('Drop Downs'!$J$26:$J$48,'Drop Downs'!$I$26:$I$48=$L$30),_xlpm.DataValues,_xlfn.IFNA(VLOOKUP(_xlpm.FilteredList,$A$57:$I$78,5,FALSE),0),_xlpm.Weights,_xlfn.IFNA(VLOOKUP(_xlpm.FilteredList,'Selector Sheet '!$B$14:$D$43,2,FALSE),0),SUMPRODUCT(_xlpm.DataValues,_xlpm.Weights))</f>
        <v>0.0663471954028307</v>
      </c>
      <c r="M34" s="24">
        <v>0.0432896067488569</v>
      </c>
      <c r="AD34" s="179" t="str">
        <v>Canara Rob Bluechip Equity Fund-Reg(G)</v>
      </c>
      <c r="AE34" s="15">
        <v>0.039245</v>
      </c>
      <c r="AF34" s="23">
        <v>0.177881802223522</v>
      </c>
      <c r="AG34" s="23">
        <v>0.222169249106079</v>
      </c>
      <c r="AH34" s="23">
        <v>0.00817111271329016</v>
      </c>
      <c r="AI34">
        <v>0.245435498353786</v>
      </c>
      <c r="AJ34" s="23">
        <v>0.245435498353786</v>
      </c>
      <c r="AK34">
        <v>0.156795909671922</v>
      </c>
      <c r="AL34" s="23">
        <v>0.230570902394107</v>
      </c>
      <c r="AM34" s="23">
        <v>0.156795909671922</v>
      </c>
      <c r="AN34" s="24">
        <v>0.033920704845815</v>
      </c>
    </row>
    <row r="35" spans="1:40">
      <c r="A35" s="235" t="str">
        <v>Canara Rob Emerg Equities Fund-Reg(G)</v>
      </c>
      <c r="B35" s="42">
        <v>1.6</v>
      </c>
      <c r="C35" s="174">
        <v>-0.025189</v>
      </c>
      <c r="D35" s="174">
        <v>0.055282</v>
      </c>
      <c r="E35" s="174">
        <v>0.073313</v>
      </c>
      <c r="F35" s="174">
        <v>0.005758</v>
      </c>
      <c r="G35" s="174">
        <v>0.173117</v>
      </c>
      <c r="H35" s="174">
        <v>0.221895</v>
      </c>
      <c r="I35" s="164">
        <v>0.147989</v>
      </c>
      <c r="K35" s="163">
        <v>2021</v>
      </c>
      <c r="L35" s="24" cm="1">
        <f t="array" ref="L35">_xlfn.LET(_xlpm.FilteredList,_xlfn._xlws.FILTER('Drop Downs'!$J$26:$J$48,'Drop Downs'!$I$26:$I$48=$L$30),_xlpm.DataValues,_xlfn.IFNA(VLOOKUP(_xlpm.FilteredList,$A$57:$I$78,6,FALSE),0),_xlpm.Weights,_xlfn.IFNA(VLOOKUP(_xlpm.FilteredList,'Selector Sheet '!$B$14:$D$43,2,FALSE),0),SUMPRODUCT(_xlpm.DataValues,_xlpm.Weights))</f>
        <v>0.360891848996891</v>
      </c>
      <c r="M35" s="24">
        <v>0.241192983710909</v>
      </c>
      <c r="AD35" s="179" t="str">
        <v>SBI Large &amp; Midcap Fund-Reg(G)</v>
      </c>
      <c r="AE35" s="15">
        <v>0.049623</v>
      </c>
      <c r="AF35" s="23">
        <v>0.180429945474413</v>
      </c>
      <c r="AG35" s="23">
        <v>0.267927654028178</v>
      </c>
      <c r="AH35" s="23">
        <v>0.0727005482251813</v>
      </c>
      <c r="AI35">
        <v>0.393453444860057</v>
      </c>
      <c r="AJ35" s="23">
        <v>0.393453444860057</v>
      </c>
      <c r="AK35">
        <v>0.0682271555012597</v>
      </c>
      <c r="AL35" s="23">
        <v>0.157561874583203</v>
      </c>
      <c r="AM35" s="23">
        <v>0.0682271555012597</v>
      </c>
      <c r="AN35" s="24">
        <v>-0.0525042773477515</v>
      </c>
    </row>
    <row r="36" spans="1:40">
      <c r="A36" s="235" t="str">
        <v/>
      </c>
      <c r="B36" s="42" t="str">
        <v/>
      </c>
      <c r="C36" s="174" t="str">
        <v/>
      </c>
      <c r="D36" s="174" t="str">
        <v/>
      </c>
      <c r="E36" s="174" t="str">
        <v/>
      </c>
      <c r="F36" s="174" t="str">
        <v/>
      </c>
      <c r="G36" s="174" t="str">
        <v/>
      </c>
      <c r="H36" s="174" t="str">
        <v/>
      </c>
      <c r="I36" s="164" t="str">
        <v/>
      </c>
      <c r="K36" s="163">
        <v>2020</v>
      </c>
      <c r="L36" s="24" cm="1">
        <f t="array" ref="L36">_xlfn.LET(_xlpm.FilteredList,_xlfn._xlws.FILTER('Drop Downs'!$J$26:$J$48,'Drop Downs'!$I$26:$I$48=$L$30),_xlpm.DataValues,_xlfn.IFNA(VLOOKUP(_xlpm.FilteredList,$A$57:$I$78,7,FALSE),0),_xlpm.Weights,_xlfn.IFNA(VLOOKUP(_xlpm.FilteredList,'Selector Sheet '!$B$14:$D$43,2,FALSE),0),SUMPRODUCT(_xlpm.DataValues,_xlpm.Weights))</f>
        <v>0.180127539158089</v>
      </c>
      <c r="M36" s="24">
        <v>0.149016514017808</v>
      </c>
      <c r="AD36" s="179" t="str">
        <v>Canara Rob Emerg Equities Fund-Reg(G)</v>
      </c>
      <c r="AE36" s="15">
        <v>0.002476</v>
      </c>
      <c r="AF36" s="23">
        <v>0.263157894736842</v>
      </c>
      <c r="AG36" s="23">
        <v>0.24037691691815</v>
      </c>
      <c r="AH36" s="23">
        <v>-0.0164758616512205</v>
      </c>
      <c r="AI36">
        <v>0.369927806821011</v>
      </c>
      <c r="AJ36" s="23">
        <v>0.369927806821011</v>
      </c>
      <c r="AK36">
        <v>0.0868246658429743</v>
      </c>
      <c r="AL36" s="23">
        <v>0.245452666391071</v>
      </c>
      <c r="AM36" s="23">
        <v>0.0868246658429743</v>
      </c>
      <c r="AN36" s="24">
        <v>-0.0929190015282731</v>
      </c>
    </row>
    <row r="37" spans="1:40">
      <c r="A37" s="235" t="str">
        <v/>
      </c>
      <c r="B37" s="42" t="str">
        <v/>
      </c>
      <c r="C37" s="174" t="str">
        <v/>
      </c>
      <c r="D37" s="174" t="str">
        <v/>
      </c>
      <c r="E37" s="174" t="str">
        <v/>
      </c>
      <c r="F37" s="174" t="str">
        <v/>
      </c>
      <c r="G37" s="174" t="str">
        <v/>
      </c>
      <c r="H37" s="174" t="str">
        <v/>
      </c>
      <c r="I37" s="164" t="str">
        <v/>
      </c>
      <c r="K37" s="163">
        <v>2019</v>
      </c>
      <c r="L37" s="24" cm="1">
        <f t="array" ref="L37">_xlfn.LET(_xlpm.FilteredList,_xlfn._xlws.FILTER('Drop Downs'!$J$26:$J$48,'Drop Downs'!$I$26:$I$48=$L$30),_xlpm.DataValues,_xlfn.IFNA(VLOOKUP(_xlpm.FilteredList,$A$57:$I$78,8,FALSE),0),_xlpm.Weights,_xlfn.IFNA(VLOOKUP(_xlpm.FilteredList,'Selector Sheet '!$B$14:$D$43,2,FALSE),0),SUMPRODUCT(_xlpm.DataValues,_xlpm.Weights))</f>
        <v>0.130162684691707</v>
      </c>
      <c r="M37" s="24">
        <v>0.120220390239861</v>
      </c>
      <c r="AD37" s="179" t="str">
        <v/>
      </c>
      <c r="AE37" s="15" t="str">
        <v/>
      </c>
      <c r="AF37" s="23" t="str">
        <v/>
      </c>
      <c r="AG37" s="23" t="str">
        <v/>
      </c>
      <c r="AH37" s="23" t="str">
        <v/>
      </c>
      <c r="AI37" t="str">
        <v/>
      </c>
      <c r="AJ37" s="23" t="str">
        <v/>
      </c>
      <c r="AK37" t="str">
        <v/>
      </c>
      <c r="AL37" s="23" t="str">
        <v/>
      </c>
      <c r="AM37" s="23" t="str">
        <v/>
      </c>
      <c r="AN37" s="24" t="str">
        <v/>
      </c>
    </row>
    <row r="38" ht="15.15" spans="1:40">
      <c r="A38" s="235" t="str">
        <v/>
      </c>
      <c r="B38" s="42" t="str">
        <v/>
      </c>
      <c r="C38" s="174" t="str">
        <v/>
      </c>
      <c r="D38" s="174" t="str">
        <v/>
      </c>
      <c r="E38" s="174" t="str">
        <v/>
      </c>
      <c r="F38" s="174" t="str">
        <v/>
      </c>
      <c r="G38" s="174" t="str">
        <v/>
      </c>
      <c r="H38" s="174" t="str">
        <v/>
      </c>
      <c r="I38" s="164" t="str">
        <v/>
      </c>
      <c r="K38" s="165">
        <v>2018</v>
      </c>
      <c r="L38" s="148" cm="1">
        <f t="array" ref="L38">_xlfn.LET(_xlpm.FilteredList,_xlfn._xlws.FILTER('Drop Downs'!$J$26:$J$48,'Drop Downs'!$I$26:$I$48=$L$30),_xlpm.DataValues,_xlfn.IFNA(VLOOKUP(_xlpm.FilteredList,$A$57:$I$78,9,FALSE),0),_xlpm.Weights,_xlfn.IFNA(VLOOKUP(_xlpm.FilteredList,'Selector Sheet '!$B$14:$D$43,2,FALSE),0),SUMPRODUCT(_xlpm.DataValues,_xlpm.Weights))</f>
        <v>0.00141604156901546</v>
      </c>
      <c r="M38" s="148">
        <v>0.0315126249916908</v>
      </c>
      <c r="AD38" s="179" t="str">
        <v/>
      </c>
      <c r="AE38" s="15" t="str">
        <v/>
      </c>
      <c r="AF38" s="23" t="str">
        <v/>
      </c>
      <c r="AG38" s="23" t="str">
        <v/>
      </c>
      <c r="AH38" s="23" t="str">
        <v/>
      </c>
      <c r="AI38" t="str">
        <v/>
      </c>
      <c r="AJ38" s="23" t="str">
        <v/>
      </c>
      <c r="AK38" t="str">
        <v/>
      </c>
      <c r="AL38" s="23" t="str">
        <v/>
      </c>
      <c r="AM38" s="23" t="str">
        <v/>
      </c>
      <c r="AN38" s="24" t="str">
        <v/>
      </c>
    </row>
    <row r="39" spans="1:40">
      <c r="A39" s="235" t="str">
        <v/>
      </c>
      <c r="B39" s="42" t="str">
        <v/>
      </c>
      <c r="C39" s="174" t="str">
        <v/>
      </c>
      <c r="D39" s="174" t="str">
        <v/>
      </c>
      <c r="E39" s="174" t="str">
        <v/>
      </c>
      <c r="F39" s="174" t="str">
        <v/>
      </c>
      <c r="G39" s="174" t="str">
        <v/>
      </c>
      <c r="H39" s="174" t="str">
        <v/>
      </c>
      <c r="I39" s="164" t="str">
        <v/>
      </c>
      <c r="AD39" s="179" t="str">
        <v/>
      </c>
      <c r="AE39" s="15" t="str">
        <v/>
      </c>
      <c r="AF39" s="23" t="str">
        <v/>
      </c>
      <c r="AG39" s="23" t="str">
        <v/>
      </c>
      <c r="AH39" s="23" t="str">
        <v/>
      </c>
      <c r="AI39" t="str">
        <v/>
      </c>
      <c r="AJ39" s="23" t="str">
        <v/>
      </c>
      <c r="AK39" t="str">
        <v/>
      </c>
      <c r="AL39" s="23" t="str">
        <v/>
      </c>
      <c r="AM39" s="23" t="str">
        <v/>
      </c>
      <c r="AN39" s="24" t="str">
        <v/>
      </c>
    </row>
    <row r="40" spans="1:40">
      <c r="A40" s="235" t="str">
        <v/>
      </c>
      <c r="B40" s="42" t="str">
        <v/>
      </c>
      <c r="C40" s="174" t="str">
        <v/>
      </c>
      <c r="D40" s="174" t="str">
        <v/>
      </c>
      <c r="E40" s="174" t="str">
        <v/>
      </c>
      <c r="F40" s="174" t="str">
        <v/>
      </c>
      <c r="G40" s="174" t="str">
        <v/>
      </c>
      <c r="H40" s="174" t="str">
        <v/>
      </c>
      <c r="I40" s="164" t="str">
        <v/>
      </c>
      <c r="AD40" t="str">
        <v/>
      </c>
      <c r="AE40" s="15" t="str">
        <v/>
      </c>
      <c r="AF40" s="23" t="str">
        <v/>
      </c>
      <c r="AG40" s="23" t="str">
        <v/>
      </c>
      <c r="AH40" s="23" t="str">
        <v/>
      </c>
      <c r="AI40" t="str">
        <v/>
      </c>
      <c r="AJ40" s="23" t="str">
        <v/>
      </c>
      <c r="AK40" t="str">
        <v/>
      </c>
      <c r="AL40" s="23" t="str">
        <v/>
      </c>
      <c r="AM40" s="23" t="str">
        <v/>
      </c>
      <c r="AN40" s="24" t="str">
        <v/>
      </c>
    </row>
    <row r="41" spans="1:40">
      <c r="A41" s="179" t="str">
        <v/>
      </c>
      <c r="B41" s="42" t="str">
        <v/>
      </c>
      <c r="C41" s="174" t="str">
        <v/>
      </c>
      <c r="D41" s="174" t="str">
        <v/>
      </c>
      <c r="E41" s="174" t="str">
        <v/>
      </c>
      <c r="F41" s="174" t="str">
        <v/>
      </c>
      <c r="G41" s="174" t="str">
        <v/>
      </c>
      <c r="H41" s="174" t="str">
        <v/>
      </c>
      <c r="I41" s="164" t="str">
        <v/>
      </c>
      <c r="L41" s="2"/>
      <c r="AD41" s="179" t="str">
        <v/>
      </c>
      <c r="AE41" s="15" t="str">
        <v/>
      </c>
      <c r="AF41" s="23" t="str">
        <v/>
      </c>
      <c r="AG41" s="23" t="str">
        <v/>
      </c>
      <c r="AH41" s="23" t="str">
        <v/>
      </c>
      <c r="AI41" t="str">
        <v/>
      </c>
      <c r="AJ41" s="23" t="str">
        <v/>
      </c>
      <c r="AK41" t="str">
        <v/>
      </c>
      <c r="AL41" s="23" t="str">
        <v/>
      </c>
      <c r="AM41" s="23" t="str">
        <v/>
      </c>
      <c r="AN41" s="24" t="str">
        <v/>
      </c>
    </row>
    <row r="42" spans="1:40">
      <c r="A42" s="179" t="str">
        <v/>
      </c>
      <c r="B42" s="42" t="str">
        <v/>
      </c>
      <c r="C42" s="174" t="str">
        <v/>
      </c>
      <c r="D42" s="174" t="str">
        <v/>
      </c>
      <c r="E42" s="174" t="str">
        <v/>
      </c>
      <c r="F42" s="174" t="str">
        <v/>
      </c>
      <c r="G42" s="174" t="str">
        <v/>
      </c>
      <c r="H42" s="174" t="str">
        <v/>
      </c>
      <c r="I42" s="164" t="str">
        <v/>
      </c>
      <c r="K42" s="2"/>
      <c r="L42" s="2"/>
      <c r="AD42" s="179" t="str">
        <v/>
      </c>
      <c r="AE42" s="15" t="str">
        <v/>
      </c>
      <c r="AF42" s="23" t="str">
        <v/>
      </c>
      <c r="AG42" s="23" t="str">
        <v/>
      </c>
      <c r="AH42" s="23" t="str">
        <v/>
      </c>
      <c r="AI42" t="str">
        <v/>
      </c>
      <c r="AJ42" s="23" t="str">
        <v/>
      </c>
      <c r="AK42" t="str">
        <v/>
      </c>
      <c r="AL42" s="23" t="str">
        <v/>
      </c>
      <c r="AM42" s="23" t="str">
        <v/>
      </c>
      <c r="AN42" s="24" t="str">
        <v/>
      </c>
    </row>
    <row r="43" spans="1:40">
      <c r="A43" s="179" t="str">
        <v/>
      </c>
      <c r="B43" s="42" t="str">
        <v/>
      </c>
      <c r="C43" s="174" t="str">
        <v/>
      </c>
      <c r="D43" s="174" t="str">
        <v/>
      </c>
      <c r="E43" s="174" t="str">
        <v/>
      </c>
      <c r="F43" s="174" t="str">
        <v/>
      </c>
      <c r="G43" s="174" t="str">
        <v/>
      </c>
      <c r="H43" s="174" t="str">
        <v/>
      </c>
      <c r="I43" s="164" t="str">
        <v/>
      </c>
      <c r="L43" s="2"/>
      <c r="AD43" s="179" t="str">
        <v/>
      </c>
      <c r="AE43" s="15" t="str">
        <v/>
      </c>
      <c r="AF43" s="23" t="str">
        <v/>
      </c>
      <c r="AG43" s="23" t="str">
        <v/>
      </c>
      <c r="AH43" s="23" t="str">
        <v/>
      </c>
      <c r="AI43" t="str">
        <v/>
      </c>
      <c r="AJ43" s="23" t="str">
        <v/>
      </c>
      <c r="AK43" t="str">
        <v/>
      </c>
      <c r="AL43" s="23" t="str">
        <v/>
      </c>
      <c r="AM43" s="23" t="str">
        <v/>
      </c>
      <c r="AN43" s="24" t="str">
        <v/>
      </c>
    </row>
    <row r="44" spans="1:40">
      <c r="A44" s="179" t="str">
        <v/>
      </c>
      <c r="B44" s="42" t="str">
        <v/>
      </c>
      <c r="C44" s="174" t="str">
        <v/>
      </c>
      <c r="D44" s="174" t="str">
        <v/>
      </c>
      <c r="E44" s="174" t="str">
        <v/>
      </c>
      <c r="F44" s="174" t="str">
        <v/>
      </c>
      <c r="G44" s="174" t="str">
        <v/>
      </c>
      <c r="H44" s="174" t="str">
        <v/>
      </c>
      <c r="I44" s="164" t="str">
        <v/>
      </c>
      <c r="L44" s="2"/>
      <c r="AD44" s="179" t="str">
        <v/>
      </c>
      <c r="AE44" s="15" t="str">
        <v/>
      </c>
      <c r="AF44" s="23" t="str">
        <v/>
      </c>
      <c r="AG44" s="23" t="str">
        <v/>
      </c>
      <c r="AH44" s="23" t="str">
        <v/>
      </c>
      <c r="AI44" t="str">
        <v/>
      </c>
      <c r="AJ44" s="23" t="str">
        <v/>
      </c>
      <c r="AK44" t="str">
        <v/>
      </c>
      <c r="AL44" s="23" t="str">
        <v/>
      </c>
      <c r="AM44" s="23" t="str">
        <v/>
      </c>
      <c r="AN44" s="24" t="str">
        <v/>
      </c>
    </row>
    <row r="45" spans="1:40">
      <c r="A45" s="179" t="str">
        <v/>
      </c>
      <c r="B45" s="42" t="str">
        <v/>
      </c>
      <c r="C45" s="174" t="str">
        <v/>
      </c>
      <c r="D45" s="174" t="str">
        <v/>
      </c>
      <c r="E45" s="174" t="str">
        <v/>
      </c>
      <c r="F45" s="174" t="str">
        <v/>
      </c>
      <c r="G45" s="174" t="str">
        <v/>
      </c>
      <c r="H45" s="174" t="str">
        <v/>
      </c>
      <c r="I45" s="164" t="str">
        <v/>
      </c>
      <c r="L45" s="2"/>
      <c r="AD45" s="179" t="str">
        <v/>
      </c>
      <c r="AE45" s="15" t="str">
        <v/>
      </c>
      <c r="AF45" s="23" t="str">
        <v/>
      </c>
      <c r="AG45" s="23" t="str">
        <v/>
      </c>
      <c r="AH45" s="23" t="str">
        <v/>
      </c>
      <c r="AI45" t="str">
        <v/>
      </c>
      <c r="AJ45" s="23" t="str">
        <v/>
      </c>
      <c r="AK45" t="str">
        <v/>
      </c>
      <c r="AL45" s="23" t="str">
        <v/>
      </c>
      <c r="AM45" s="23" t="str">
        <v/>
      </c>
      <c r="AN45" s="24" t="str">
        <v/>
      </c>
    </row>
    <row r="46" spans="1:40">
      <c r="A46" s="179" t="str">
        <v/>
      </c>
      <c r="B46" s="42" t="str">
        <v/>
      </c>
      <c r="C46" s="174" t="str">
        <v/>
      </c>
      <c r="D46" s="174" t="str">
        <v/>
      </c>
      <c r="E46" s="174" t="str">
        <v/>
      </c>
      <c r="F46" s="174" t="str">
        <v/>
      </c>
      <c r="G46" s="174" t="str">
        <v/>
      </c>
      <c r="H46" s="174" t="str">
        <v/>
      </c>
      <c r="I46" s="164" t="str">
        <v/>
      </c>
      <c r="L46" s="2"/>
      <c r="AD46" s="179" t="str">
        <v/>
      </c>
      <c r="AE46" s="15" t="str">
        <v/>
      </c>
      <c r="AF46" s="23" t="str">
        <v/>
      </c>
      <c r="AG46" s="23" t="str">
        <v/>
      </c>
      <c r="AH46" s="23" t="str">
        <v/>
      </c>
      <c r="AI46" t="str">
        <v/>
      </c>
      <c r="AJ46" s="23" t="str">
        <v/>
      </c>
      <c r="AK46" t="str">
        <v/>
      </c>
      <c r="AL46" s="23" t="str">
        <v/>
      </c>
      <c r="AM46" s="23" t="str">
        <v/>
      </c>
      <c r="AN46" s="24" t="str">
        <v/>
      </c>
    </row>
    <row r="47" spans="1:40">
      <c r="A47" s="179" t="str">
        <v/>
      </c>
      <c r="B47" s="42" t="str">
        <v/>
      </c>
      <c r="C47" s="174" t="str">
        <v/>
      </c>
      <c r="D47" s="174" t="str">
        <v/>
      </c>
      <c r="E47" s="174" t="str">
        <v/>
      </c>
      <c r="F47" s="174" t="str">
        <v/>
      </c>
      <c r="G47" s="174" t="str">
        <v/>
      </c>
      <c r="H47" s="174" t="str">
        <v/>
      </c>
      <c r="I47" s="164" t="str">
        <v/>
      </c>
      <c r="L47" s="2"/>
      <c r="AD47" s="179" t="str">
        <v/>
      </c>
      <c r="AE47" s="15" t="str">
        <v/>
      </c>
      <c r="AF47" s="23" t="str">
        <v/>
      </c>
      <c r="AG47" s="23" t="str">
        <v/>
      </c>
      <c r="AH47" s="23" t="str">
        <v/>
      </c>
      <c r="AI47" t="str">
        <v/>
      </c>
      <c r="AJ47" s="23" t="str">
        <v/>
      </c>
      <c r="AK47" t="str">
        <v/>
      </c>
      <c r="AL47" s="23" t="str">
        <v/>
      </c>
      <c r="AM47" s="23" t="str">
        <v/>
      </c>
      <c r="AN47" s="24" t="str">
        <v/>
      </c>
    </row>
    <row r="48" ht="15.15" spans="1:40">
      <c r="A48" s="179" t="str">
        <v/>
      </c>
      <c r="B48" s="42" t="str">
        <v/>
      </c>
      <c r="C48" s="174" t="str">
        <v/>
      </c>
      <c r="D48" s="174" t="str">
        <v/>
      </c>
      <c r="E48" s="174" t="str">
        <v/>
      </c>
      <c r="F48" s="174" t="str">
        <v/>
      </c>
      <c r="G48" s="174" t="str">
        <v/>
      </c>
      <c r="H48" s="174" t="str">
        <v/>
      </c>
      <c r="I48" s="164" t="str">
        <v/>
      </c>
      <c r="L48" s="2"/>
      <c r="AD48" s="186" t="str">
        <v/>
      </c>
      <c r="AE48" s="29" t="str">
        <v/>
      </c>
      <c r="AF48" s="459" t="str">
        <v/>
      </c>
      <c r="AG48" s="459" t="str">
        <v/>
      </c>
      <c r="AH48" s="459" t="str">
        <v/>
      </c>
      <c r="AI48" s="96" t="str">
        <v/>
      </c>
      <c r="AJ48" s="459" t="str">
        <v/>
      </c>
      <c r="AK48" s="96" t="str">
        <v/>
      </c>
      <c r="AL48" s="459" t="str">
        <v/>
      </c>
      <c r="AM48" s="459" t="str">
        <v/>
      </c>
      <c r="AN48" s="148" t="str">
        <v/>
      </c>
    </row>
    <row r="49" spans="1:12">
      <c r="A49" s="179" t="str">
        <v/>
      </c>
      <c r="B49" s="42" t="str">
        <v/>
      </c>
      <c r="C49" s="174" t="str">
        <v/>
      </c>
      <c r="D49" s="174" t="str">
        <v/>
      </c>
      <c r="E49" s="174" t="str">
        <v/>
      </c>
      <c r="F49" s="174" t="str">
        <v/>
      </c>
      <c r="G49" s="174" t="str">
        <v/>
      </c>
      <c r="H49" s="174" t="str">
        <v/>
      </c>
      <c r="I49" s="164" t="str">
        <v/>
      </c>
      <c r="L49" s="2"/>
    </row>
    <row r="50" spans="1:12">
      <c r="A50" s="179" t="str">
        <v/>
      </c>
      <c r="B50" s="42" t="str">
        <v/>
      </c>
      <c r="C50" s="174" t="str">
        <v/>
      </c>
      <c r="D50" s="174" t="str">
        <v/>
      </c>
      <c r="E50" s="174" t="str">
        <v/>
      </c>
      <c r="F50" s="174" t="str">
        <v/>
      </c>
      <c r="G50" s="174" t="str">
        <v/>
      </c>
      <c r="H50" s="174" t="str">
        <v/>
      </c>
      <c r="I50" s="164" t="str">
        <v/>
      </c>
      <c r="L50" s="2"/>
    </row>
    <row r="51" spans="1:12">
      <c r="A51" s="179" t="str">
        <v/>
      </c>
      <c r="B51" s="42" t="str">
        <v/>
      </c>
      <c r="C51" s="174" t="str">
        <v/>
      </c>
      <c r="D51" s="174" t="str">
        <v/>
      </c>
      <c r="E51" s="174" t="str">
        <v/>
      </c>
      <c r="F51" s="174" t="str">
        <v/>
      </c>
      <c r="G51" s="174" t="str">
        <v/>
      </c>
      <c r="H51" s="174" t="str">
        <v/>
      </c>
      <c r="I51" s="164" t="str">
        <v/>
      </c>
      <c r="L51" s="2"/>
    </row>
    <row r="52" spans="1:12">
      <c r="A52" s="179" t="str">
        <v/>
      </c>
      <c r="B52" s="42" t="str">
        <v/>
      </c>
      <c r="C52" s="174" t="str">
        <v/>
      </c>
      <c r="D52" s="174" t="str">
        <v/>
      </c>
      <c r="E52" s="174" t="str">
        <v/>
      </c>
      <c r="F52" s="174" t="str">
        <v/>
      </c>
      <c r="G52" s="174" t="str">
        <v/>
      </c>
      <c r="H52" s="174" t="str">
        <v/>
      </c>
      <c r="I52" s="164" t="str">
        <v/>
      </c>
      <c r="L52" s="2"/>
    </row>
    <row r="53" ht="15.15" spans="1:12">
      <c r="A53" s="186" t="str">
        <v/>
      </c>
      <c r="B53" s="457" t="str">
        <v/>
      </c>
      <c r="C53" s="192" t="str">
        <v/>
      </c>
      <c r="D53" s="192" t="str">
        <v/>
      </c>
      <c r="E53" s="192" t="str">
        <v/>
      </c>
      <c r="F53" s="192" t="str">
        <v/>
      </c>
      <c r="G53" s="192" t="str">
        <v/>
      </c>
      <c r="H53" s="192" t="str">
        <v/>
      </c>
      <c r="I53" s="166" t="str">
        <v/>
      </c>
      <c r="L53" s="2"/>
    </row>
    <row r="54" ht="15.15" spans="12:12">
      <c r="L54" s="2"/>
    </row>
    <row r="55" ht="15.15" spans="1:9">
      <c r="A55" s="160" t="s">
        <v>81</v>
      </c>
      <c r="B55" s="212" t="s">
        <v>82</v>
      </c>
      <c r="C55" s="11"/>
      <c r="D55" s="11"/>
      <c r="E55" s="11"/>
      <c r="F55" s="11"/>
      <c r="G55" s="11"/>
      <c r="H55" s="11"/>
      <c r="I55" s="153"/>
    </row>
    <row r="56" ht="15.15" spans="1:9">
      <c r="A56" s="456"/>
      <c r="B56" s="266" t="s">
        <v>96</v>
      </c>
      <c r="C56" s="267">
        <v>2024</v>
      </c>
      <c r="D56" s="267">
        <v>2023</v>
      </c>
      <c r="E56" s="268">
        <v>2022</v>
      </c>
      <c r="F56" s="268">
        <v>2021</v>
      </c>
      <c r="G56" s="268">
        <v>2020</v>
      </c>
      <c r="H56" s="268">
        <v>2019</v>
      </c>
      <c r="I56" s="269">
        <v>2018</v>
      </c>
    </row>
    <row r="57" spans="1:9">
      <c r="A57" s="235" t="str" cm="1">
        <f t="array" ref="A57:A78">IF($A$4:$A$25&gt;0,$A$4:$A$25,"")</f>
        <v>Nippon India Large Cap Fund(G)</v>
      </c>
      <c r="B57" s="190" cm="1">
        <f t="array" ref="B57:B78">_xlfn.IFNA(INDEX('Performance Data'!$B$4:$AN$294,MATCH(_xlfn.ANCHORARRAY($A$57),'Performance Data'!$B$4:$B$294,0),MATCH(B$56,'Performance Data'!$B$4:$AM$4,0)),"")</f>
        <v>0.045961</v>
      </c>
      <c r="C57" s="174" cm="1">
        <f t="array" ref="C57:C78">_xlfn.IFNA(INDEX('Performance Data'!$B$4:$AN$294,MATCH(_xlfn.ANCHORARRAY($A$57),'Performance Data'!$B$4:$B$294,0),MATCH(C$56,'Performance Data'!$B$4:$AM$4,0)),"")</f>
        <v>0.182397253978206</v>
      </c>
      <c r="D57" s="174" cm="1">
        <f t="array" ref="D57:D78">_xlfn.IFNA(INDEX('Performance Data'!$B$4:$AN$294,MATCH(_xlfn.ANCHORARRAY($A$57),'Performance Data'!$B$4:$B$294,0),MATCH(D$56,'Performance Data'!$B$4:$AM$4,0)),"")</f>
        <v>0.321478427661326</v>
      </c>
      <c r="E57" s="174" cm="1">
        <f t="array" ref="E57:E78">_xlfn.IFNA(INDEX('Performance Data'!$B$4:$AN$294,MATCH(_xlfn.ANCHORARRAY($A$57),'Performance Data'!$B$4:$B$294,0),MATCH(E$56,'Performance Data'!$B$4:$AM$4,0)),"")</f>
        <v>0.113278340777579</v>
      </c>
      <c r="F57" s="174" cm="1">
        <f t="array" ref="F57:F78">_xlfn.IFNA(INDEX('Performance Data'!$B$4:$AN$294,MATCH(_xlfn.ANCHORARRAY($A$57),'Performance Data'!$B$4:$B$294,0),MATCH(F$56,'Performance Data'!$B$4:$AM$4,0)),"")</f>
        <v>0.323671949303782</v>
      </c>
      <c r="G57" s="174" cm="1">
        <f t="array" ref="G57:G78">_xlfn.IFNA(INDEX('Performance Data'!$B$4:$AN$294,MATCH(_xlfn.ANCHORARRAY($A$57),'Performance Data'!$B$4:$B$294,0),MATCH(G$56,'Performance Data'!$B$4:$AM$4,0)),"")</f>
        <v>0.0490812677272166</v>
      </c>
      <c r="H57" s="174" cm="1">
        <f t="array" ref="H57:H78">_xlfn.IFNA(INDEX('Performance Data'!$B$4:$AN$294,MATCH(_xlfn.ANCHORARRAY($A$57),'Performance Data'!$B$4:$B$294,0),MATCH(H$56,'Performance Data'!$B$4:$AM$4,0)),"")</f>
        <v>0.0725190954426446</v>
      </c>
      <c r="I57" s="164" cm="1">
        <f t="array" ref="I57:I78">_xlfn.IFNA(INDEX('Performance Data'!$B$4:$AN$294,MATCH(_xlfn.ANCHORARRAY($A$57),'Performance Data'!$B$4:$B$294,0),MATCH(I$56,'Performance Data'!$B$4:$AM$4,0)),"")</f>
        <v>-0.00200396593257917</v>
      </c>
    </row>
    <row r="58" spans="1:9">
      <c r="A58" s="179" t="str">
        <v>Canara Rob Bluechip Equity Fund-Reg(G)</v>
      </c>
      <c r="B58" s="190">
        <v>0.039245</v>
      </c>
      <c r="C58" s="174">
        <v>0.177881802223522</v>
      </c>
      <c r="D58" s="174">
        <v>0.222169249106079</v>
      </c>
      <c r="E58" s="174">
        <v>0.00817111271329016</v>
      </c>
      <c r="F58" s="174">
        <v>0.245435498353786</v>
      </c>
      <c r="G58" s="174">
        <v>0.230570902394107</v>
      </c>
      <c r="H58" s="174">
        <v>0.156795909671922</v>
      </c>
      <c r="I58" s="164">
        <v>0.033920704845815</v>
      </c>
    </row>
    <row r="59" spans="1:9">
      <c r="A59" s="179" t="str">
        <v>SBI Large &amp; Midcap Fund-Reg(G)</v>
      </c>
      <c r="B59" s="190">
        <v>0.049623</v>
      </c>
      <c r="C59" s="174">
        <v>0.180429945474413</v>
      </c>
      <c r="D59" s="174">
        <v>0.267927654028178</v>
      </c>
      <c r="E59" s="174">
        <v>0.0727005482251813</v>
      </c>
      <c r="F59" s="174">
        <v>0.393453444860057</v>
      </c>
      <c r="G59" s="174">
        <v>0.157561874583203</v>
      </c>
      <c r="H59" s="174">
        <v>0.0682271555012597</v>
      </c>
      <c r="I59" s="164">
        <v>-0.0525042773477515</v>
      </c>
    </row>
    <row r="60" spans="1:9">
      <c r="A60" s="179" t="str">
        <v>Canara Rob Emerg Equities Fund-Reg(G)</v>
      </c>
      <c r="B60" s="190">
        <v>0.002476</v>
      </c>
      <c r="C60" s="174">
        <v>0.263157894736842</v>
      </c>
      <c r="D60" s="174">
        <v>0.24037691691815</v>
      </c>
      <c r="E60" s="174">
        <v>-0.0164758616512205</v>
      </c>
      <c r="F60" s="174">
        <v>0.369927806821011</v>
      </c>
      <c r="G60" s="174">
        <v>0.245452666391071</v>
      </c>
      <c r="H60" s="174">
        <v>0.0868246658429743</v>
      </c>
      <c r="I60" s="164">
        <v>-0.0929190015282731</v>
      </c>
    </row>
    <row r="61" spans="1:9">
      <c r="A61" s="179" t="str">
        <v/>
      </c>
      <c r="B61" s="190" t="str">
        <v/>
      </c>
      <c r="C61" s="174" t="str">
        <v/>
      </c>
      <c r="D61" s="174" t="str">
        <v/>
      </c>
      <c r="E61" s="174" t="str">
        <v/>
      </c>
      <c r="F61" s="174" t="str">
        <v/>
      </c>
      <c r="G61" s="174" t="str">
        <v/>
      </c>
      <c r="H61" s="174" t="str">
        <v/>
      </c>
      <c r="I61" s="164" t="str">
        <v/>
      </c>
    </row>
    <row r="62" spans="1:9">
      <c r="A62" s="179" t="str">
        <v/>
      </c>
      <c r="B62" s="190" t="str">
        <v/>
      </c>
      <c r="C62" s="174" t="str">
        <v/>
      </c>
      <c r="D62" s="174" t="str">
        <v/>
      </c>
      <c r="E62" s="174" t="str">
        <v/>
      </c>
      <c r="F62" s="174" t="str">
        <v/>
      </c>
      <c r="G62" s="174" t="str">
        <v/>
      </c>
      <c r="H62" s="174" t="str">
        <v/>
      </c>
      <c r="I62" s="164" t="str">
        <v/>
      </c>
    </row>
    <row r="63" spans="1:9">
      <c r="A63" s="179" t="str">
        <v/>
      </c>
      <c r="B63" s="190" t="str">
        <v/>
      </c>
      <c r="C63" s="174" t="str">
        <v/>
      </c>
      <c r="D63" s="174" t="str">
        <v/>
      </c>
      <c r="E63" s="174" t="str">
        <v/>
      </c>
      <c r="F63" s="174" t="str">
        <v/>
      </c>
      <c r="G63" s="174" t="str">
        <v/>
      </c>
      <c r="H63" s="174" t="str">
        <v/>
      </c>
      <c r="I63" s="164" t="str">
        <v/>
      </c>
    </row>
    <row r="64" spans="1:9">
      <c r="A64" s="179" t="str">
        <v/>
      </c>
      <c r="B64" s="190" t="str">
        <v/>
      </c>
      <c r="C64" s="174" t="str">
        <v/>
      </c>
      <c r="D64" s="174" t="str">
        <v/>
      </c>
      <c r="E64" s="174" t="str">
        <v/>
      </c>
      <c r="F64" s="174" t="str">
        <v/>
      </c>
      <c r="G64" s="174" t="str">
        <v/>
      </c>
      <c r="H64" s="174" t="str">
        <v/>
      </c>
      <c r="I64" s="164" t="str">
        <v/>
      </c>
    </row>
    <row r="65" spans="1:9">
      <c r="A65" s="179" t="str">
        <v/>
      </c>
      <c r="B65" s="190" t="str">
        <v/>
      </c>
      <c r="C65" s="174" t="str">
        <v/>
      </c>
      <c r="D65" s="174" t="str">
        <v/>
      </c>
      <c r="E65" s="174" t="str">
        <v/>
      </c>
      <c r="F65" s="174" t="str">
        <v/>
      </c>
      <c r="G65" s="174" t="str">
        <v/>
      </c>
      <c r="H65" s="174" t="str">
        <v/>
      </c>
      <c r="I65" s="164" t="str">
        <v/>
      </c>
    </row>
    <row r="66" spans="1:9">
      <c r="A66" s="179" t="str">
        <v/>
      </c>
      <c r="B66" s="190" t="str">
        <v/>
      </c>
      <c r="C66" s="174" t="str">
        <v/>
      </c>
      <c r="D66" s="174" t="str">
        <v/>
      </c>
      <c r="E66" s="174" t="str">
        <v/>
      </c>
      <c r="F66" s="174" t="str">
        <v/>
      </c>
      <c r="G66" s="174" t="str">
        <v/>
      </c>
      <c r="H66" s="174" t="str">
        <v/>
      </c>
      <c r="I66" s="164" t="str">
        <v/>
      </c>
    </row>
    <row r="67" spans="1:9">
      <c r="A67" s="179" t="str">
        <v/>
      </c>
      <c r="B67" s="190" t="str">
        <v/>
      </c>
      <c r="C67" s="174" t="str">
        <v/>
      </c>
      <c r="D67" s="174" t="str">
        <v/>
      </c>
      <c r="E67" s="174" t="str">
        <v/>
      </c>
      <c r="F67" s="174" t="str">
        <v/>
      </c>
      <c r="G67" s="174" t="str">
        <v/>
      </c>
      <c r="H67" s="174" t="str">
        <v/>
      </c>
      <c r="I67" s="164" t="str">
        <v/>
      </c>
    </row>
    <row r="68" spans="1:9">
      <c r="A68" s="179" t="str">
        <v/>
      </c>
      <c r="B68" s="190" t="str">
        <v/>
      </c>
      <c r="C68" s="174" t="str">
        <v/>
      </c>
      <c r="D68" s="174" t="str">
        <v/>
      </c>
      <c r="E68" s="174" t="str">
        <v/>
      </c>
      <c r="F68" s="174" t="str">
        <v/>
      </c>
      <c r="G68" s="174" t="str">
        <v/>
      </c>
      <c r="H68" s="174" t="str">
        <v/>
      </c>
      <c r="I68" s="164" t="str">
        <v/>
      </c>
    </row>
    <row r="69" spans="1:9">
      <c r="A69" s="179" t="str">
        <v/>
      </c>
      <c r="B69" s="190" t="str">
        <v/>
      </c>
      <c r="C69" s="174" t="str">
        <v/>
      </c>
      <c r="D69" s="174" t="str">
        <v/>
      </c>
      <c r="E69" s="174" t="str">
        <v/>
      </c>
      <c r="F69" s="174" t="str">
        <v/>
      </c>
      <c r="G69" s="174" t="str">
        <v/>
      </c>
      <c r="H69" s="174" t="str">
        <v/>
      </c>
      <c r="I69" s="164" t="str">
        <v/>
      </c>
    </row>
    <row r="70" spans="1:9">
      <c r="A70" s="179" t="str">
        <v/>
      </c>
      <c r="B70" s="190" t="str">
        <v/>
      </c>
      <c r="C70" s="174" t="str">
        <v/>
      </c>
      <c r="D70" s="174" t="str">
        <v/>
      </c>
      <c r="E70" s="174" t="str">
        <v/>
      </c>
      <c r="F70" s="174" t="str">
        <v/>
      </c>
      <c r="G70" s="174" t="str">
        <v/>
      </c>
      <c r="H70" s="174" t="str">
        <v/>
      </c>
      <c r="I70" s="164" t="str">
        <v/>
      </c>
    </row>
    <row r="71" spans="1:9">
      <c r="A71" s="179" t="str">
        <v/>
      </c>
      <c r="B71" s="190" t="str">
        <v/>
      </c>
      <c r="C71" s="174" t="str">
        <v/>
      </c>
      <c r="D71" s="174" t="str">
        <v/>
      </c>
      <c r="E71" s="174" t="str">
        <v/>
      </c>
      <c r="F71" s="174" t="str">
        <v/>
      </c>
      <c r="G71" s="174" t="str">
        <v/>
      </c>
      <c r="H71" s="174" t="str">
        <v/>
      </c>
      <c r="I71" s="164" t="str">
        <v/>
      </c>
    </row>
    <row r="72" spans="1:9">
      <c r="A72" s="179" t="str">
        <v/>
      </c>
      <c r="B72" s="190" t="str">
        <v/>
      </c>
      <c r="C72" s="174" t="str">
        <v/>
      </c>
      <c r="D72" s="174" t="str">
        <v/>
      </c>
      <c r="E72" s="174" t="str">
        <v/>
      </c>
      <c r="F72" s="174" t="str">
        <v/>
      </c>
      <c r="G72" s="174" t="str">
        <v/>
      </c>
      <c r="H72" s="174" t="str">
        <v/>
      </c>
      <c r="I72" s="164" t="str">
        <v/>
      </c>
    </row>
    <row r="73" spans="1:9">
      <c r="A73" s="179" t="str">
        <v/>
      </c>
      <c r="B73" s="190" t="str">
        <v/>
      </c>
      <c r="C73" s="174" t="str">
        <v/>
      </c>
      <c r="D73" s="174" t="str">
        <v/>
      </c>
      <c r="E73" s="174" t="str">
        <v/>
      </c>
      <c r="F73" s="174" t="str">
        <v/>
      </c>
      <c r="G73" s="174" t="str">
        <v/>
      </c>
      <c r="H73" s="174" t="str">
        <v/>
      </c>
      <c r="I73" s="164" t="str">
        <v/>
      </c>
    </row>
    <row r="74" spans="1:9">
      <c r="A74" s="179" t="str">
        <v/>
      </c>
      <c r="B74" s="190" t="str">
        <v/>
      </c>
      <c r="C74" s="174" t="str">
        <v/>
      </c>
      <c r="D74" s="174" t="str">
        <v/>
      </c>
      <c r="E74" s="174" t="str">
        <v/>
      </c>
      <c r="F74" s="174" t="str">
        <v/>
      </c>
      <c r="G74" s="174" t="str">
        <v/>
      </c>
      <c r="H74" s="174" t="str">
        <v/>
      </c>
      <c r="I74" s="164" t="str">
        <v/>
      </c>
    </row>
    <row r="75" spans="1:9">
      <c r="A75" s="179" t="str">
        <v/>
      </c>
      <c r="B75" s="190" t="str">
        <v/>
      </c>
      <c r="C75" s="174" t="str">
        <v/>
      </c>
      <c r="D75" s="174" t="str">
        <v/>
      </c>
      <c r="E75" s="174" t="str">
        <v/>
      </c>
      <c r="F75" s="174" t="str">
        <v/>
      </c>
      <c r="G75" s="174" t="str">
        <v/>
      </c>
      <c r="H75" s="174" t="str">
        <v/>
      </c>
      <c r="I75" s="164" t="str">
        <v/>
      </c>
    </row>
    <row r="76" spans="1:9">
      <c r="A76" s="179" t="str">
        <v/>
      </c>
      <c r="B76" s="190" t="str">
        <v/>
      </c>
      <c r="C76" s="174" t="str">
        <v/>
      </c>
      <c r="D76" s="174" t="str">
        <v/>
      </c>
      <c r="E76" s="174" t="str">
        <v/>
      </c>
      <c r="F76" s="174" t="str">
        <v/>
      </c>
      <c r="G76" s="174" t="str">
        <v/>
      </c>
      <c r="H76" s="174" t="str">
        <v/>
      </c>
      <c r="I76" s="164" t="str">
        <v/>
      </c>
    </row>
    <row r="77" spans="1:9">
      <c r="A77" s="179" t="str">
        <v/>
      </c>
      <c r="B77" s="190" t="str">
        <v/>
      </c>
      <c r="C77" s="174" t="str">
        <v/>
      </c>
      <c r="D77" s="174" t="str">
        <v/>
      </c>
      <c r="E77" s="174" t="str">
        <v/>
      </c>
      <c r="F77" s="174" t="str">
        <v/>
      </c>
      <c r="G77" s="174" t="str">
        <v/>
      </c>
      <c r="H77" s="174" t="str">
        <v/>
      </c>
      <c r="I77" s="164" t="str">
        <v/>
      </c>
    </row>
    <row r="78" ht="15.15" spans="1:9">
      <c r="A78" s="186" t="str">
        <v/>
      </c>
      <c r="B78" s="191" t="str">
        <v/>
      </c>
      <c r="C78" s="192" t="str">
        <v/>
      </c>
      <c r="D78" s="192" t="str">
        <v/>
      </c>
      <c r="E78" s="192" t="str">
        <v/>
      </c>
      <c r="F78" s="192" t="str">
        <v/>
      </c>
      <c r="G78" s="192" t="str">
        <v/>
      </c>
      <c r="H78" s="192" t="str">
        <v/>
      </c>
      <c r="I78" s="166" t="str">
        <v/>
      </c>
    </row>
    <row r="79" spans="2:9">
      <c r="B79" s="174"/>
      <c r="C79" s="213"/>
      <c r="D79" s="213"/>
      <c r="E79" s="213"/>
      <c r="F79" s="213"/>
      <c r="G79" s="213"/>
      <c r="H79" s="213"/>
      <c r="I79" s="213"/>
    </row>
    <row r="80" spans="2:9">
      <c r="B80" s="174"/>
      <c r="C80" s="213"/>
      <c r="D80" s="213"/>
      <c r="E80" s="213"/>
      <c r="F80" s="213"/>
      <c r="G80" s="213"/>
      <c r="H80" s="213"/>
      <c r="I80" s="213"/>
    </row>
    <row r="81" spans="2:9">
      <c r="B81" s="174"/>
      <c r="C81" s="213"/>
      <c r="D81" s="213"/>
      <c r="E81" s="213"/>
      <c r="F81" s="213"/>
      <c r="G81" s="213"/>
      <c r="H81" s="213"/>
      <c r="I81" s="213"/>
    </row>
    <row r="83" ht="15.15"/>
    <row r="84" spans="1:14">
      <c r="A84" s="32" t="s">
        <v>106</v>
      </c>
      <c r="B84" s="98"/>
      <c r="C84" s="98"/>
      <c r="D84" s="98"/>
      <c r="E84" s="98"/>
      <c r="F84" s="98"/>
      <c r="G84" s="98"/>
      <c r="H84" s="98"/>
      <c r="I84" s="98"/>
      <c r="L84" s="32" t="s">
        <v>107</v>
      </c>
      <c r="M84" s="98"/>
      <c r="N84" s="98"/>
    </row>
    <row r="86" ht="15.15"/>
    <row r="87" ht="15.15" spans="1:14">
      <c r="A87" s="32" t="s">
        <v>78</v>
      </c>
      <c r="B87" s="33"/>
      <c r="D87" s="458" t="s">
        <v>79</v>
      </c>
      <c r="E87" s="116"/>
      <c r="F87" s="116"/>
      <c r="H87" s="133" t="s">
        <v>80</v>
      </c>
      <c r="I87" s="134"/>
      <c r="L87" s="115" t="s">
        <v>100</v>
      </c>
      <c r="M87" s="272" t="s">
        <v>101</v>
      </c>
      <c r="N87" s="116" t="s">
        <v>13</v>
      </c>
    </row>
    <row r="88" ht="15.15" spans="1:14">
      <c r="A88" s="152" t="s">
        <v>84</v>
      </c>
      <c r="B88" s="153" t="s">
        <v>85</v>
      </c>
      <c r="D88" s="119" t="s">
        <v>86</v>
      </c>
      <c r="E88" s="154" t="e">
        <f>SUM($B$89:$B$91)</f>
        <v>#N/A</v>
      </c>
      <c r="F88" s="155"/>
      <c r="H88" s="138" t="str" cm="1">
        <f t="array" ref="H88:I98">_xlfn._xlws.SORT(_xlfn.HSTACK(_xlfn.UNIQUE(Source_Data!$J$2:$J$192),_xlfn.BYROW(_xlfn.UNIQUE(Source_Data!$J$2:$J$192),_xlfn.LAMBDA(_xlpm.x,SUMIF(Source_Data!$J$2:$J$192,_xlpm.x,Source_Data!$L$2:$L$192)))),2,-1)</f>
        <v>Financial</v>
      </c>
      <c r="I88" s="139" t="e">
        <v>#N/A</v>
      </c>
      <c r="L88" s="119" t="s">
        <v>75</v>
      </c>
      <c r="M88" s="157" cm="1">
        <f t="array" ref="M88">SUMPRODUCT(Source_Data!$U$2:$U$24,_xlfn.IFNA(VLOOKUP(Source_Data!$T$2:$T$24,'Selector Sheet '!$B$15:$D$43,3,FALSE),0))</f>
        <v>0.383774</v>
      </c>
      <c r="N88" s="273">
        <f>($W22/SUM($M$88:$M$90))*1</f>
        <v>0.825602804021401</v>
      </c>
    </row>
    <row r="89" spans="1:14">
      <c r="A89" s="143" t="str" cm="1">
        <f t="array" ref="A89:B108">_xlfn._xlws.SORT(_xlfn.TAKE(_xlfn._xlws.SORT(_xlfn.HSTACK(_xlfn.UNIQUE(Source_Data!$B$2:$B$567),_xlfn.BYROW(_xlfn.UNIQUE(Source_Data!$B$2:$B$567),_xlfn.LAMBDA(_xlpm.x,SUMIF(Source_Data!$B$2:$B$567,_xlpm.x,Source_Data!$D$2:$D$567)))),2,-1),20),2,-1)</f>
        <v>HDFC Bank</v>
      </c>
      <c r="B89" s="24" t="e">
        <v>#N/A</v>
      </c>
      <c r="D89" s="123" t="s">
        <v>97</v>
      </c>
      <c r="E89" s="156" t="e">
        <f>SUM($B$89:$B$93)</f>
        <v>#N/A</v>
      </c>
      <c r="F89" s="157"/>
      <c r="H89" s="143" t="str">
        <v>Technology</v>
      </c>
      <c r="I89" s="24" t="e">
        <v>#N/A</v>
      </c>
      <c r="L89" s="123" t="s">
        <v>102</v>
      </c>
      <c r="M89" s="157" cm="1">
        <f t="array" ref="M89">SUMPRODUCT(Source_Data!$V$2:$V$24,_xlfn.IFNA(VLOOKUP(Source_Data!$T$2:$T$24,'Selector Sheet '!$B$15:$D$43,3,FALSE),0))</f>
        <v>0.062343</v>
      </c>
      <c r="N89" s="274">
        <f>($W23/SUM($M$88:$M$90))*1</f>
        <v>0.134116838584965</v>
      </c>
    </row>
    <row r="90" spans="1:14">
      <c r="A90" s="143" t="str">
        <v>ICICI Bank</v>
      </c>
      <c r="B90" s="24" t="e">
        <v>#N/A</v>
      </c>
      <c r="D90" s="123" t="s">
        <v>98</v>
      </c>
      <c r="E90" s="156" t="e">
        <f>SUM($B$89:$B$98)</f>
        <v>#N/A</v>
      </c>
      <c r="F90" s="157"/>
      <c r="H90" s="143" t="str">
        <v>Consumer Discretionary</v>
      </c>
      <c r="I90" s="24" t="e">
        <v>#N/A</v>
      </c>
      <c r="L90" s="128" t="s">
        <v>103</v>
      </c>
      <c r="M90" s="159" cm="1">
        <f t="array" ref="M90">SUMPRODUCT(Source_Data!$W$2:$W$24,_xlfn.IFNA(VLOOKUP(Source_Data!$T$2:$T$24,'Selector Sheet '!$B$15:$D$43,3,FALSE),0))</f>
        <v>0.01872396</v>
      </c>
      <c r="N90" s="275">
        <f>($W24/SUM($M$88:$M$90))*1</f>
        <v>0.0402803573936342</v>
      </c>
    </row>
    <row r="91" spans="1:9">
      <c r="A91" s="143" t="str">
        <v>Reliance Ind</v>
      </c>
      <c r="B91" s="24" t="e">
        <v>#N/A</v>
      </c>
      <c r="D91" s="128" t="s">
        <v>99</v>
      </c>
      <c r="E91" s="158" t="e">
        <f>SUM($B$89:$B$108)</f>
        <v>#N/A</v>
      </c>
      <c r="F91" s="159"/>
      <c r="H91" s="143" t="str">
        <v>Energy &amp; Utilities</v>
      </c>
      <c r="I91" s="24" t="e">
        <v>#N/A</v>
      </c>
    </row>
    <row r="92" spans="1:9">
      <c r="A92" s="143" t="str">
        <v>Infosys</v>
      </c>
      <c r="B92" s="24" t="e">
        <v>#N/A</v>
      </c>
      <c r="H92" s="143" t="str">
        <v>Consumer Staples</v>
      </c>
      <c r="I92" s="24" t="e">
        <v>#N/A</v>
      </c>
    </row>
    <row r="93" spans="1:9">
      <c r="A93" s="143" t="str">
        <v>Larsen &amp; Toubro</v>
      </c>
      <c r="B93" s="24" t="e">
        <v>#N/A</v>
      </c>
      <c r="H93" s="143" t="str">
        <v>Industrials</v>
      </c>
      <c r="I93" s="24" t="e">
        <v>#N/A</v>
      </c>
    </row>
    <row r="94" spans="1:9">
      <c r="A94" s="143" t="str">
        <v>Bharti Airtel</v>
      </c>
      <c r="B94" s="24" t="e">
        <v>#N/A</v>
      </c>
      <c r="H94" s="143" t="str">
        <v>Materials</v>
      </c>
      <c r="I94" s="24" t="e">
        <v>#N/A</v>
      </c>
    </row>
    <row r="95" spans="1:9">
      <c r="A95" s="143" t="str">
        <v>Mahindra &amp; Mahindra</v>
      </c>
      <c r="B95" s="24" t="e">
        <v>#N/A</v>
      </c>
      <c r="H95" s="143" t="str">
        <v>Healthcare</v>
      </c>
      <c r="I95" s="24" t="e">
        <v>#N/A</v>
      </c>
    </row>
    <row r="96" spans="1:9">
      <c r="A96" s="143" t="str">
        <v>Axis Bank</v>
      </c>
      <c r="B96" s="24" t="e">
        <v>#N/A</v>
      </c>
      <c r="H96" s="143" t="str">
        <v>Real Estate</v>
      </c>
      <c r="I96" s="24" t="e">
        <v>#N/A</v>
      </c>
    </row>
    <row r="97" spans="1:9">
      <c r="A97" s="143" t="str">
        <v>ITC</v>
      </c>
      <c r="B97" s="24" t="e">
        <v>#N/A</v>
      </c>
      <c r="H97" s="143" t="str">
        <v>Diversified</v>
      </c>
      <c r="I97" s="24" t="e">
        <v>#N/A</v>
      </c>
    </row>
    <row r="98" ht="15.15" spans="1:9">
      <c r="A98" s="143" t="str">
        <v>SBI</v>
      </c>
      <c r="B98" s="24" t="e">
        <v>#N/A</v>
      </c>
      <c r="H98" s="147" t="str">
        <v>Cash (Unclassified)</v>
      </c>
      <c r="I98" s="148">
        <v>0</v>
      </c>
    </row>
    <row r="99" spans="1:2">
      <c r="A99" s="143" t="str">
        <v>Maruti Suzuki</v>
      </c>
      <c r="B99" s="24" t="e">
        <v>#N/A</v>
      </c>
    </row>
    <row r="100" spans="1:2">
      <c r="A100" s="143" t="str">
        <v>NTPC</v>
      </c>
      <c r="B100" s="24" t="e">
        <v>#N/A</v>
      </c>
    </row>
    <row r="101" spans="1:2">
      <c r="A101" s="143" t="str">
        <v>Tata Consultancy</v>
      </c>
      <c r="B101" s="24" t="e">
        <v>#N/A</v>
      </c>
    </row>
    <row r="102" spans="1:2">
      <c r="A102" s="143" t="str">
        <v>Sun Pharmaceutical</v>
      </c>
      <c r="B102" s="24" t="e">
        <v>#N/A</v>
      </c>
    </row>
    <row r="103" spans="1:2">
      <c r="A103" s="143" t="str">
        <v>Ultratech Cement</v>
      </c>
      <c r="B103" s="24" t="e">
        <v>#N/A</v>
      </c>
    </row>
    <row r="104" spans="1:2">
      <c r="A104" s="143" t="str">
        <v>Interglobe Aviation</v>
      </c>
      <c r="B104" s="24" t="e">
        <v>#N/A</v>
      </c>
    </row>
    <row r="105" spans="1:2">
      <c r="A105" s="143" t="str">
        <v>Hindustan Unilever</v>
      </c>
      <c r="B105" s="24" t="e">
        <v>#N/A</v>
      </c>
    </row>
    <row r="106" spans="1:2">
      <c r="A106" s="143" t="str">
        <v>Bajaj Finance</v>
      </c>
      <c r="B106" s="24" t="e">
        <v>#N/A</v>
      </c>
    </row>
    <row r="107" spans="1:2">
      <c r="A107" s="143" t="str">
        <v>Kotak Bank</v>
      </c>
      <c r="B107" s="24" t="e">
        <v>#N/A</v>
      </c>
    </row>
    <row r="108" ht="15.15" spans="1:2">
      <c r="A108" s="147" t="str">
        <v>Tech Mahindra</v>
      </c>
      <c r="B108" s="148" t="e">
        <v>#N/A</v>
      </c>
    </row>
    <row r="109" spans="5:6">
      <c r="E109" s="4"/>
      <c r="F109" s="4"/>
    </row>
    <row r="110" spans="5:6">
      <c r="E110" s="4"/>
      <c r="F110" s="4"/>
    </row>
  </sheetData>
  <mergeCells count="27">
    <mergeCell ref="A1:E1"/>
    <mergeCell ref="S3:T3"/>
    <mergeCell ref="V3:X3"/>
    <mergeCell ref="Z3:AA3"/>
    <mergeCell ref="AF3:AN3"/>
    <mergeCell ref="W4:X4"/>
    <mergeCell ref="W5:X5"/>
    <mergeCell ref="W6:X6"/>
    <mergeCell ref="W7:X7"/>
    <mergeCell ref="A28:I28"/>
    <mergeCell ref="K28:M28"/>
    <mergeCell ref="C30:I30"/>
    <mergeCell ref="AF31:AN31"/>
    <mergeCell ref="B55:I55"/>
    <mergeCell ref="A84:I84"/>
    <mergeCell ref="L84:N84"/>
    <mergeCell ref="A87:B87"/>
    <mergeCell ref="D87:F87"/>
    <mergeCell ref="H87:I87"/>
    <mergeCell ref="E88:F88"/>
    <mergeCell ref="E89:F89"/>
    <mergeCell ref="E90:F90"/>
    <mergeCell ref="E91:F91"/>
    <mergeCell ref="A30:A31"/>
    <mergeCell ref="A55:A56"/>
    <mergeCell ref="AD3:AD4"/>
    <mergeCell ref="AD31:AD32"/>
  </mergeCells>
  <conditionalFormatting sqref="C32:I53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B57:I78">
    <cfRule type="cellIs" dxfId="0" priority="3" operator="lessThan">
      <formula>0</formula>
    </cfRule>
    <cfRule type="cellIs" dxfId="1" priority="4" operator="greaterThan">
      <formula>0</formula>
    </cfRule>
  </conditionalFormatting>
  <dataValidations count="1">
    <dataValidation type="list" allowBlank="1" showInputMessage="1" showErrorMessage="1" sqref="AR3 L30">
      <formula1>'Drop Downs'!$I$18:$I$21</formula1>
    </dataValidation>
  </dataValidations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B1:BU501"/>
  <sheetViews>
    <sheetView zoomScale="65" zoomScaleNormal="65" workbookViewId="0">
      <selection activeCell="B6" sqref="B6"/>
    </sheetView>
  </sheetViews>
  <sheetFormatPr defaultColWidth="9" defaultRowHeight="14.4"/>
  <cols>
    <col min="1" max="1" width="2.81481481481481" style="281" customWidth="1"/>
    <col min="2" max="2" width="48" style="281" customWidth="1"/>
    <col min="3" max="3" width="12.5462962962963" style="281" customWidth="1"/>
    <col min="4" max="6" width="10.7222222222222" style="281" customWidth="1"/>
    <col min="7" max="7" width="10.4537037037037" style="281" customWidth="1"/>
    <col min="8" max="9" width="9.17592592592593" style="281" customWidth="1"/>
    <col min="10" max="10" width="9.81481481481481" style="281" customWidth="1"/>
    <col min="11" max="11" width="10.4537037037037" style="281" customWidth="1"/>
    <col min="12" max="12" width="10.2685185185185" style="281" customWidth="1"/>
    <col min="13" max="13" width="9.26851851851852" style="281" customWidth="1"/>
    <col min="14" max="14" width="8.5462962962963" style="281" customWidth="1"/>
    <col min="15" max="15" width="7.5462962962963" style="280" customWidth="1"/>
    <col min="16" max="20" width="9.4537037037037" style="281" customWidth="1"/>
    <col min="21" max="21" width="9" style="281" customWidth="1"/>
    <col min="22" max="39" width="8.26851851851852" style="281" customWidth="1"/>
    <col min="40" max="40" width="14.1759259259259" style="281" customWidth="1"/>
    <col min="41" max="41" width="16.2685185185185" style="281" customWidth="1"/>
    <col min="42" max="44" width="8.72222222222222" style="281"/>
    <col min="45" max="45" width="73.5462962962963" style="281" customWidth="1"/>
    <col min="46" max="46" width="12.8148148148148" style="281" customWidth="1"/>
    <col min="47" max="47" width="10.3611111111111" style="281" customWidth="1"/>
    <col min="48" max="48" width="9.17592592592593" style="281" customWidth="1"/>
    <col min="49" max="49" width="2.72222222222222" style="281" customWidth="1"/>
    <col min="50" max="50" width="8.17592592592593" style="281" customWidth="1"/>
    <col min="51" max="51" width="9" style="281" customWidth="1"/>
    <col min="52" max="52" width="16.2685185185185" style="281" customWidth="1"/>
    <col min="53" max="56" width="8.81481481481481" style="281" customWidth="1"/>
    <col min="57" max="57" width="2.72222222222222" style="281" customWidth="1"/>
    <col min="58" max="73" width="8.81481481481481" style="281" customWidth="1"/>
    <col min="74" max="267" width="8.72222222222222" style="281"/>
    <col min="268" max="268" width="35.1759259259259" style="281" customWidth="1"/>
    <col min="269" max="297" width="8.26851851851852" style="281" customWidth="1"/>
    <col min="298" max="523" width="8.72222222222222" style="281"/>
    <col min="524" max="524" width="35.1759259259259" style="281" customWidth="1"/>
    <col min="525" max="553" width="8.26851851851852" style="281" customWidth="1"/>
    <col min="554" max="779" width="8.72222222222222" style="281"/>
    <col min="780" max="780" width="35.1759259259259" style="281" customWidth="1"/>
    <col min="781" max="809" width="8.26851851851852" style="281" customWidth="1"/>
    <col min="810" max="1035" width="8.72222222222222" style="281"/>
    <col min="1036" max="1036" width="35.1759259259259" style="281" customWidth="1"/>
    <col min="1037" max="1065" width="8.26851851851852" style="281" customWidth="1"/>
    <col min="1066" max="1291" width="8.72222222222222" style="281"/>
    <col min="1292" max="1292" width="35.1759259259259" style="281" customWidth="1"/>
    <col min="1293" max="1321" width="8.26851851851852" style="281" customWidth="1"/>
    <col min="1322" max="1547" width="8.72222222222222" style="281"/>
    <col min="1548" max="1548" width="35.1759259259259" style="281" customWidth="1"/>
    <col min="1549" max="1577" width="8.26851851851852" style="281" customWidth="1"/>
    <col min="1578" max="1803" width="8.72222222222222" style="281"/>
    <col min="1804" max="1804" width="35.1759259259259" style="281" customWidth="1"/>
    <col min="1805" max="1833" width="8.26851851851852" style="281" customWidth="1"/>
    <col min="1834" max="2059" width="8.72222222222222" style="281"/>
    <col min="2060" max="2060" width="35.1759259259259" style="281" customWidth="1"/>
    <col min="2061" max="2089" width="8.26851851851852" style="281" customWidth="1"/>
    <col min="2090" max="2315" width="8.72222222222222" style="281"/>
    <col min="2316" max="2316" width="35.1759259259259" style="281" customWidth="1"/>
    <col min="2317" max="2345" width="8.26851851851852" style="281" customWidth="1"/>
    <col min="2346" max="2571" width="8.72222222222222" style="281"/>
    <col min="2572" max="2572" width="35.1759259259259" style="281" customWidth="1"/>
    <col min="2573" max="2601" width="8.26851851851852" style="281" customWidth="1"/>
    <col min="2602" max="2827" width="8.72222222222222" style="281"/>
    <col min="2828" max="2828" width="35.1759259259259" style="281" customWidth="1"/>
    <col min="2829" max="2857" width="8.26851851851852" style="281" customWidth="1"/>
    <col min="2858" max="3083" width="8.72222222222222" style="281"/>
    <col min="3084" max="3084" width="35.1759259259259" style="281" customWidth="1"/>
    <col min="3085" max="3113" width="8.26851851851852" style="281" customWidth="1"/>
    <col min="3114" max="3339" width="8.72222222222222" style="281"/>
    <col min="3340" max="3340" width="35.1759259259259" style="281" customWidth="1"/>
    <col min="3341" max="3369" width="8.26851851851852" style="281" customWidth="1"/>
    <col min="3370" max="3595" width="8.72222222222222" style="281"/>
    <col min="3596" max="3596" width="35.1759259259259" style="281" customWidth="1"/>
    <col min="3597" max="3625" width="8.26851851851852" style="281" customWidth="1"/>
    <col min="3626" max="3851" width="8.72222222222222" style="281"/>
    <col min="3852" max="3852" width="35.1759259259259" style="281" customWidth="1"/>
    <col min="3853" max="3881" width="8.26851851851852" style="281" customWidth="1"/>
    <col min="3882" max="4107" width="8.72222222222222" style="281"/>
    <col min="4108" max="4108" width="35.1759259259259" style="281" customWidth="1"/>
    <col min="4109" max="4137" width="8.26851851851852" style="281" customWidth="1"/>
    <col min="4138" max="4363" width="8.72222222222222" style="281"/>
    <col min="4364" max="4364" width="35.1759259259259" style="281" customWidth="1"/>
    <col min="4365" max="4393" width="8.26851851851852" style="281" customWidth="1"/>
    <col min="4394" max="4619" width="8.72222222222222" style="281"/>
    <col min="4620" max="4620" width="35.1759259259259" style="281" customWidth="1"/>
    <col min="4621" max="4649" width="8.26851851851852" style="281" customWidth="1"/>
    <col min="4650" max="4875" width="8.72222222222222" style="281"/>
    <col min="4876" max="4876" width="35.1759259259259" style="281" customWidth="1"/>
    <col min="4877" max="4905" width="8.26851851851852" style="281" customWidth="1"/>
    <col min="4906" max="5131" width="8.72222222222222" style="281"/>
    <col min="5132" max="5132" width="35.1759259259259" style="281" customWidth="1"/>
    <col min="5133" max="5161" width="8.26851851851852" style="281" customWidth="1"/>
    <col min="5162" max="5387" width="8.72222222222222" style="281"/>
    <col min="5388" max="5388" width="35.1759259259259" style="281" customWidth="1"/>
    <col min="5389" max="5417" width="8.26851851851852" style="281" customWidth="1"/>
    <col min="5418" max="5643" width="8.72222222222222" style="281"/>
    <col min="5644" max="5644" width="35.1759259259259" style="281" customWidth="1"/>
    <col min="5645" max="5673" width="8.26851851851852" style="281" customWidth="1"/>
    <col min="5674" max="5899" width="8.72222222222222" style="281"/>
    <col min="5900" max="5900" width="35.1759259259259" style="281" customWidth="1"/>
    <col min="5901" max="5929" width="8.26851851851852" style="281" customWidth="1"/>
    <col min="5930" max="6155" width="8.72222222222222" style="281"/>
    <col min="6156" max="6156" width="35.1759259259259" style="281" customWidth="1"/>
    <col min="6157" max="6185" width="8.26851851851852" style="281" customWidth="1"/>
    <col min="6186" max="6411" width="8.72222222222222" style="281"/>
    <col min="6412" max="6412" width="35.1759259259259" style="281" customWidth="1"/>
    <col min="6413" max="6441" width="8.26851851851852" style="281" customWidth="1"/>
    <col min="6442" max="6667" width="8.72222222222222" style="281"/>
    <col min="6668" max="6668" width="35.1759259259259" style="281" customWidth="1"/>
    <col min="6669" max="6697" width="8.26851851851852" style="281" customWidth="1"/>
    <col min="6698" max="6923" width="8.72222222222222" style="281"/>
    <col min="6924" max="6924" width="35.1759259259259" style="281" customWidth="1"/>
    <col min="6925" max="6953" width="8.26851851851852" style="281" customWidth="1"/>
    <col min="6954" max="7179" width="8.72222222222222" style="281"/>
    <col min="7180" max="7180" width="35.1759259259259" style="281" customWidth="1"/>
    <col min="7181" max="7209" width="8.26851851851852" style="281" customWidth="1"/>
    <col min="7210" max="7435" width="8.72222222222222" style="281"/>
    <col min="7436" max="7436" width="35.1759259259259" style="281" customWidth="1"/>
    <col min="7437" max="7465" width="8.26851851851852" style="281" customWidth="1"/>
    <col min="7466" max="7691" width="8.72222222222222" style="281"/>
    <col min="7692" max="7692" width="35.1759259259259" style="281" customWidth="1"/>
    <col min="7693" max="7721" width="8.26851851851852" style="281" customWidth="1"/>
    <col min="7722" max="7947" width="8.72222222222222" style="281"/>
    <col min="7948" max="7948" width="35.1759259259259" style="281" customWidth="1"/>
    <col min="7949" max="7977" width="8.26851851851852" style="281" customWidth="1"/>
    <col min="7978" max="8203" width="8.72222222222222" style="281"/>
    <col min="8204" max="8204" width="35.1759259259259" style="281" customWidth="1"/>
    <col min="8205" max="8233" width="8.26851851851852" style="281" customWidth="1"/>
    <col min="8234" max="8459" width="8.72222222222222" style="281"/>
    <col min="8460" max="8460" width="35.1759259259259" style="281" customWidth="1"/>
    <col min="8461" max="8489" width="8.26851851851852" style="281" customWidth="1"/>
    <col min="8490" max="8715" width="8.72222222222222" style="281"/>
    <col min="8716" max="8716" width="35.1759259259259" style="281" customWidth="1"/>
    <col min="8717" max="8745" width="8.26851851851852" style="281" customWidth="1"/>
    <col min="8746" max="8971" width="8.72222222222222" style="281"/>
    <col min="8972" max="8972" width="35.1759259259259" style="281" customWidth="1"/>
    <col min="8973" max="9001" width="8.26851851851852" style="281" customWidth="1"/>
    <col min="9002" max="9227" width="8.72222222222222" style="281"/>
    <col min="9228" max="9228" width="35.1759259259259" style="281" customWidth="1"/>
    <col min="9229" max="9257" width="8.26851851851852" style="281" customWidth="1"/>
    <col min="9258" max="9483" width="8.72222222222222" style="281"/>
    <col min="9484" max="9484" width="35.1759259259259" style="281" customWidth="1"/>
    <col min="9485" max="9513" width="8.26851851851852" style="281" customWidth="1"/>
    <col min="9514" max="9739" width="8.72222222222222" style="281"/>
    <col min="9740" max="9740" width="35.1759259259259" style="281" customWidth="1"/>
    <col min="9741" max="9769" width="8.26851851851852" style="281" customWidth="1"/>
    <col min="9770" max="9995" width="8.72222222222222" style="281"/>
    <col min="9996" max="9996" width="35.1759259259259" style="281" customWidth="1"/>
    <col min="9997" max="10025" width="8.26851851851852" style="281" customWidth="1"/>
    <col min="10026" max="10251" width="8.72222222222222" style="281"/>
    <col min="10252" max="10252" width="35.1759259259259" style="281" customWidth="1"/>
    <col min="10253" max="10281" width="8.26851851851852" style="281" customWidth="1"/>
    <col min="10282" max="10507" width="8.72222222222222" style="281"/>
    <col min="10508" max="10508" width="35.1759259259259" style="281" customWidth="1"/>
    <col min="10509" max="10537" width="8.26851851851852" style="281" customWidth="1"/>
    <col min="10538" max="10763" width="8.72222222222222" style="281"/>
    <col min="10764" max="10764" width="35.1759259259259" style="281" customWidth="1"/>
    <col min="10765" max="10793" width="8.26851851851852" style="281" customWidth="1"/>
    <col min="10794" max="11019" width="8.72222222222222" style="281"/>
    <col min="11020" max="11020" width="35.1759259259259" style="281" customWidth="1"/>
    <col min="11021" max="11049" width="8.26851851851852" style="281" customWidth="1"/>
    <col min="11050" max="11275" width="8.72222222222222" style="281"/>
    <col min="11276" max="11276" width="35.1759259259259" style="281" customWidth="1"/>
    <col min="11277" max="11305" width="8.26851851851852" style="281" customWidth="1"/>
    <col min="11306" max="11531" width="8.72222222222222" style="281"/>
    <col min="11532" max="11532" width="35.1759259259259" style="281" customWidth="1"/>
    <col min="11533" max="11561" width="8.26851851851852" style="281" customWidth="1"/>
    <col min="11562" max="11787" width="8.72222222222222" style="281"/>
    <col min="11788" max="11788" width="35.1759259259259" style="281" customWidth="1"/>
    <col min="11789" max="11817" width="8.26851851851852" style="281" customWidth="1"/>
    <col min="11818" max="12043" width="8.72222222222222" style="281"/>
    <col min="12044" max="12044" width="35.1759259259259" style="281" customWidth="1"/>
    <col min="12045" max="12073" width="8.26851851851852" style="281" customWidth="1"/>
    <col min="12074" max="12299" width="8.72222222222222" style="281"/>
    <col min="12300" max="12300" width="35.1759259259259" style="281" customWidth="1"/>
    <col min="12301" max="12329" width="8.26851851851852" style="281" customWidth="1"/>
    <col min="12330" max="12555" width="8.72222222222222" style="281"/>
    <col min="12556" max="12556" width="35.1759259259259" style="281" customWidth="1"/>
    <col min="12557" max="12585" width="8.26851851851852" style="281" customWidth="1"/>
    <col min="12586" max="12811" width="8.72222222222222" style="281"/>
    <col min="12812" max="12812" width="35.1759259259259" style="281" customWidth="1"/>
    <col min="12813" max="12841" width="8.26851851851852" style="281" customWidth="1"/>
    <col min="12842" max="13067" width="8.72222222222222" style="281"/>
    <col min="13068" max="13068" width="35.1759259259259" style="281" customWidth="1"/>
    <col min="13069" max="13097" width="8.26851851851852" style="281" customWidth="1"/>
    <col min="13098" max="13323" width="8.72222222222222" style="281"/>
    <col min="13324" max="13324" width="35.1759259259259" style="281" customWidth="1"/>
    <col min="13325" max="13353" width="8.26851851851852" style="281" customWidth="1"/>
    <col min="13354" max="13579" width="8.72222222222222" style="281"/>
    <col min="13580" max="13580" width="35.1759259259259" style="281" customWidth="1"/>
    <col min="13581" max="13609" width="8.26851851851852" style="281" customWidth="1"/>
    <col min="13610" max="13835" width="8.72222222222222" style="281"/>
    <col min="13836" max="13836" width="35.1759259259259" style="281" customWidth="1"/>
    <col min="13837" max="13865" width="8.26851851851852" style="281" customWidth="1"/>
    <col min="13866" max="14091" width="8.72222222222222" style="281"/>
    <col min="14092" max="14092" width="35.1759259259259" style="281" customWidth="1"/>
    <col min="14093" max="14121" width="8.26851851851852" style="281" customWidth="1"/>
    <col min="14122" max="14347" width="8.72222222222222" style="281"/>
    <col min="14348" max="14348" width="35.1759259259259" style="281" customWidth="1"/>
    <col min="14349" max="14377" width="8.26851851851852" style="281" customWidth="1"/>
    <col min="14378" max="14603" width="8.72222222222222" style="281"/>
    <col min="14604" max="14604" width="35.1759259259259" style="281" customWidth="1"/>
    <col min="14605" max="14633" width="8.26851851851852" style="281" customWidth="1"/>
    <col min="14634" max="14859" width="8.72222222222222" style="281"/>
    <col min="14860" max="14860" width="35.1759259259259" style="281" customWidth="1"/>
    <col min="14861" max="14889" width="8.26851851851852" style="281" customWidth="1"/>
    <col min="14890" max="15115" width="8.72222222222222" style="281"/>
    <col min="15116" max="15116" width="35.1759259259259" style="281" customWidth="1"/>
    <col min="15117" max="15145" width="8.26851851851852" style="281" customWidth="1"/>
    <col min="15146" max="15371" width="8.72222222222222" style="281"/>
    <col min="15372" max="15372" width="35.1759259259259" style="281" customWidth="1"/>
    <col min="15373" max="15401" width="8.26851851851852" style="281" customWidth="1"/>
    <col min="15402" max="15627" width="8.72222222222222" style="281"/>
    <col min="15628" max="15628" width="35.1759259259259" style="281" customWidth="1"/>
    <col min="15629" max="15657" width="8.26851851851852" style="281" customWidth="1"/>
    <col min="15658" max="15883" width="8.72222222222222" style="281"/>
    <col min="15884" max="15884" width="35.1759259259259" style="281" customWidth="1"/>
    <col min="15885" max="15913" width="8.26851851851852" style="281" customWidth="1"/>
    <col min="15914" max="16139" width="8.72222222222222" style="281"/>
    <col min="16140" max="16140" width="35.1759259259259" style="281" customWidth="1"/>
    <col min="16141" max="16169" width="8.26851851851852" style="281" customWidth="1"/>
    <col min="16170" max="16384" width="8.72222222222222" style="281"/>
  </cols>
  <sheetData>
    <row r="1" ht="15.15" spans="6:12">
      <c r="F1" s="282"/>
      <c r="G1" s="283"/>
      <c r="L1" s="318"/>
    </row>
    <row r="2" ht="15" customHeight="1" spans="2:15">
      <c r="B2" s="284" t="s">
        <v>108</v>
      </c>
      <c r="C2" s="285"/>
      <c r="D2" s="285"/>
      <c r="E2" s="285"/>
      <c r="F2" s="286"/>
      <c r="G2" s="286"/>
      <c r="L2" s="282"/>
      <c r="M2" s="280"/>
      <c r="O2" s="281"/>
    </row>
    <row r="3" ht="15.75" customHeight="1" spans="2:73">
      <c r="B3" s="287" t="s">
        <v>109</v>
      </c>
      <c r="C3" s="288" t="s">
        <v>87</v>
      </c>
      <c r="D3" s="289" t="s">
        <v>110</v>
      </c>
      <c r="E3" s="290"/>
      <c r="F3" s="291" t="s">
        <v>82</v>
      </c>
      <c r="G3" s="292"/>
      <c r="H3" s="292"/>
      <c r="I3" s="292"/>
      <c r="J3" s="292"/>
      <c r="K3" s="292"/>
      <c r="L3" s="331"/>
      <c r="N3" s="332" t="s">
        <v>111</v>
      </c>
      <c r="O3" s="333"/>
      <c r="P3" s="333"/>
      <c r="Q3" s="333"/>
      <c r="R3" s="333"/>
      <c r="S3" s="333"/>
      <c r="T3" s="333"/>
      <c r="U3" s="333"/>
      <c r="V3" s="333"/>
      <c r="W3" s="333"/>
      <c r="X3" s="333"/>
      <c r="Y3" s="333"/>
      <c r="Z3" s="333"/>
      <c r="AA3" s="333"/>
      <c r="AB3" s="333"/>
      <c r="AC3" s="333"/>
      <c r="AD3" s="333"/>
      <c r="AE3" s="333"/>
      <c r="AF3" s="333"/>
      <c r="AG3" s="333"/>
      <c r="AH3" s="333"/>
      <c r="AI3" s="333"/>
      <c r="AJ3" s="333"/>
      <c r="AK3" s="333"/>
      <c r="AL3" s="333"/>
      <c r="AM3" s="333"/>
      <c r="AN3" s="346"/>
      <c r="AS3" s="350" t="s">
        <v>112</v>
      </c>
      <c r="AT3" s="351" t="s">
        <v>87</v>
      </c>
      <c r="AU3" s="352" t="s">
        <v>110</v>
      </c>
      <c r="AV3" s="353"/>
      <c r="AW3" s="368"/>
      <c r="AX3" s="332" t="s">
        <v>113</v>
      </c>
      <c r="AY3" s="333"/>
      <c r="AZ3" s="333"/>
      <c r="BA3" s="333"/>
      <c r="BB3" s="333"/>
      <c r="BC3" s="333"/>
      <c r="BD3" s="346"/>
      <c r="BE3" s="368"/>
      <c r="BF3" s="380" t="s">
        <v>114</v>
      </c>
      <c r="BG3" s="381"/>
      <c r="BH3" s="381"/>
      <c r="BI3" s="381"/>
      <c r="BJ3" s="381"/>
      <c r="BK3" s="381"/>
      <c r="BL3" s="381"/>
      <c r="BM3" s="381"/>
      <c r="BN3" s="381"/>
      <c r="BO3" s="381"/>
      <c r="BP3" s="381"/>
      <c r="BQ3" s="381"/>
      <c r="BR3" s="381"/>
      <c r="BS3" s="381"/>
      <c r="BT3" s="381"/>
      <c r="BU3" s="383"/>
    </row>
    <row r="4" ht="29.55" spans="2:73">
      <c r="B4" s="287" t="s">
        <v>109</v>
      </c>
      <c r="C4" s="293" t="s">
        <v>87</v>
      </c>
      <c r="D4" s="294" t="s">
        <v>115</v>
      </c>
      <c r="E4" s="295" t="s">
        <v>116</v>
      </c>
      <c r="F4" s="296" t="s">
        <v>88</v>
      </c>
      <c r="G4" s="297" t="s">
        <v>89</v>
      </c>
      <c r="H4" s="297" t="s">
        <v>90</v>
      </c>
      <c r="I4" s="297" t="s">
        <v>91</v>
      </c>
      <c r="J4" s="297" t="s">
        <v>93</v>
      </c>
      <c r="K4" s="297" t="s">
        <v>94</v>
      </c>
      <c r="L4" s="334" t="s">
        <v>95</v>
      </c>
      <c r="N4" s="266" t="s">
        <v>96</v>
      </c>
      <c r="O4" s="267">
        <v>2024</v>
      </c>
      <c r="P4" s="267">
        <v>2023</v>
      </c>
      <c r="Q4" s="268">
        <v>2022</v>
      </c>
      <c r="R4" s="268">
        <v>2021</v>
      </c>
      <c r="S4" s="268">
        <v>2020</v>
      </c>
      <c r="T4" s="268">
        <v>2019</v>
      </c>
      <c r="U4" s="268">
        <v>2018</v>
      </c>
      <c r="V4" s="268">
        <v>2017</v>
      </c>
      <c r="W4" s="268">
        <v>2016</v>
      </c>
      <c r="X4" s="268">
        <v>2015</v>
      </c>
      <c r="Y4" s="268">
        <v>2014</v>
      </c>
      <c r="Z4" s="268">
        <v>2013</v>
      </c>
      <c r="AA4" s="268">
        <v>2012</v>
      </c>
      <c r="AB4" s="268">
        <v>2011</v>
      </c>
      <c r="AC4" s="268">
        <v>2010</v>
      </c>
      <c r="AD4" s="268">
        <v>2009</v>
      </c>
      <c r="AE4" s="268">
        <v>2008</v>
      </c>
      <c r="AF4" s="268">
        <v>2007</v>
      </c>
      <c r="AG4" s="268">
        <v>2006</v>
      </c>
      <c r="AH4" s="268">
        <v>2005</v>
      </c>
      <c r="AI4" s="268">
        <v>2004</v>
      </c>
      <c r="AJ4" s="268">
        <v>2003</v>
      </c>
      <c r="AK4" s="268">
        <v>2002</v>
      </c>
      <c r="AL4" s="268">
        <v>2001</v>
      </c>
      <c r="AM4" s="269">
        <v>2000</v>
      </c>
      <c r="AN4" s="32" t="s">
        <v>117</v>
      </c>
      <c r="AO4" s="33" t="s">
        <v>118</v>
      </c>
      <c r="AP4" s="33" t="s">
        <v>119</v>
      </c>
      <c r="AQ4" s="33" t="s">
        <v>120</v>
      </c>
      <c r="AS4" s="354"/>
      <c r="AT4" s="355" t="s">
        <v>121</v>
      </c>
      <c r="AU4" s="356" t="s">
        <v>115</v>
      </c>
      <c r="AV4" s="357" t="s">
        <v>116</v>
      </c>
      <c r="AW4" s="369"/>
      <c r="AX4" s="266" t="s">
        <v>122</v>
      </c>
      <c r="AY4" s="268" t="s">
        <v>123</v>
      </c>
      <c r="AZ4" s="268" t="s">
        <v>124</v>
      </c>
      <c r="BA4" s="268" t="s">
        <v>91</v>
      </c>
      <c r="BB4" s="268" t="s">
        <v>125</v>
      </c>
      <c r="BC4" s="268" t="s">
        <v>126</v>
      </c>
      <c r="BD4" s="269" t="s">
        <v>127</v>
      </c>
      <c r="BE4" s="369"/>
      <c r="BF4" s="266">
        <v>2025</v>
      </c>
      <c r="BG4" s="266">
        <v>2024</v>
      </c>
      <c r="BH4" s="266">
        <v>2023</v>
      </c>
      <c r="BI4" s="268">
        <v>2022</v>
      </c>
      <c r="BJ4" s="268">
        <v>2021</v>
      </c>
      <c r="BK4" s="268">
        <v>2020</v>
      </c>
      <c r="BL4" s="268">
        <v>2019</v>
      </c>
      <c r="BM4" s="268">
        <v>2018</v>
      </c>
      <c r="BN4" s="268">
        <v>2017</v>
      </c>
      <c r="BO4" s="268">
        <v>2016</v>
      </c>
      <c r="BP4" s="268">
        <v>2015</v>
      </c>
      <c r="BQ4" s="268">
        <v>2014</v>
      </c>
      <c r="BR4" s="268">
        <v>2013</v>
      </c>
      <c r="BS4" s="268">
        <v>2012</v>
      </c>
      <c r="BT4" s="268">
        <v>2011</v>
      </c>
      <c r="BU4" s="269">
        <v>2010</v>
      </c>
    </row>
    <row r="5" spans="2:73">
      <c r="B5" s="298" t="s">
        <v>128</v>
      </c>
      <c r="C5" s="299">
        <v>1.63</v>
      </c>
      <c r="D5" s="300">
        <v>45838</v>
      </c>
      <c r="E5" s="301">
        <v>30927.4416</v>
      </c>
      <c r="F5" s="302">
        <v>-0.022096</v>
      </c>
      <c r="G5" s="303">
        <v>0.0339</v>
      </c>
      <c r="H5" s="303">
        <v>0.074165</v>
      </c>
      <c r="I5" s="303">
        <v>0.002579</v>
      </c>
      <c r="J5" s="303">
        <v>0.162269</v>
      </c>
      <c r="K5" s="303">
        <v>0.200447</v>
      </c>
      <c r="L5" s="335">
        <v>0.120113</v>
      </c>
      <c r="M5" s="318"/>
      <c r="N5" s="336">
        <v>0.048146</v>
      </c>
      <c r="O5" s="337">
        <v>0.155658635650328</v>
      </c>
      <c r="P5" s="337">
        <v>0.230708057598909</v>
      </c>
      <c r="Q5" s="337">
        <v>0.0353761100982179</v>
      </c>
      <c r="R5" s="337">
        <v>0.279046150374243</v>
      </c>
      <c r="S5" s="337">
        <v>0.142200455385144</v>
      </c>
      <c r="T5" s="337">
        <v>0.0764428412874584</v>
      </c>
      <c r="U5" s="337">
        <v>-0.0290512325445647</v>
      </c>
      <c r="V5" s="337">
        <v>0.305757504690432</v>
      </c>
      <c r="W5" s="337">
        <v>0.074258361151351</v>
      </c>
      <c r="X5" s="337">
        <v>0.0110163015792156</v>
      </c>
      <c r="Y5" s="337">
        <v>0.447239885724818</v>
      </c>
      <c r="Z5" s="337">
        <v>0.0925291985501411</v>
      </c>
      <c r="AA5" s="337">
        <v>0.360734347170845</v>
      </c>
      <c r="AB5" s="337">
        <v>-0.229250263991552</v>
      </c>
      <c r="AC5" s="337">
        <v>0.187014289295563</v>
      </c>
      <c r="AD5" s="337">
        <v>0.904511816662688</v>
      </c>
      <c r="AE5" s="337">
        <v>-0.485001229407426</v>
      </c>
      <c r="AF5" s="337">
        <v>0.622581288649511</v>
      </c>
      <c r="AG5" s="337">
        <v>0.477018267530937</v>
      </c>
      <c r="AH5" s="337">
        <v>0.417710944026733</v>
      </c>
      <c r="AI5" s="337">
        <v>0.214611872146119</v>
      </c>
      <c r="AJ5" s="337">
        <v>0.908034849951597</v>
      </c>
      <c r="AK5" s="337">
        <v>0.033</v>
      </c>
      <c r="AL5" s="337" t="s">
        <v>129</v>
      </c>
      <c r="AM5" s="347" t="s">
        <v>129</v>
      </c>
      <c r="AS5" t="s">
        <v>50</v>
      </c>
      <c r="AT5" s="358"/>
      <c r="AU5" s="359"/>
      <c r="AV5" s="360"/>
      <c r="AW5" s="369"/>
      <c r="AX5" s="370">
        <v>-0.0135</v>
      </c>
      <c r="AY5" s="371">
        <v>0.00862088140000017</v>
      </c>
      <c r="AZ5" s="371">
        <v>0.0391797904163271</v>
      </c>
      <c r="BA5" s="372">
        <v>0.10592712403818</v>
      </c>
      <c r="BB5" s="318">
        <v>0.142555716915734</v>
      </c>
      <c r="BC5" s="371" t="s">
        <v>129</v>
      </c>
      <c r="BD5" s="371" t="s">
        <v>129</v>
      </c>
      <c r="BE5" s="369"/>
      <c r="BF5" s="374">
        <v>0.0202200215361001</v>
      </c>
      <c r="BG5" s="370">
        <v>0.141366148583062</v>
      </c>
      <c r="BH5" s="370">
        <v>0.152362174428603</v>
      </c>
      <c r="BI5" s="371">
        <v>0.149573549003525</v>
      </c>
      <c r="BJ5" s="371">
        <v>0.02509849</v>
      </c>
      <c r="BK5" s="371" t="s">
        <v>129</v>
      </c>
      <c r="BL5" s="371" t="s">
        <v>129</v>
      </c>
      <c r="BM5" s="371" t="s">
        <v>129</v>
      </c>
      <c r="BN5" s="371" t="s">
        <v>129</v>
      </c>
      <c r="BO5" s="371" t="s">
        <v>129</v>
      </c>
      <c r="BP5" s="371" t="s">
        <v>129</v>
      </c>
      <c r="BQ5" s="371" t="s">
        <v>129</v>
      </c>
      <c r="BR5" s="371" t="s">
        <v>129</v>
      </c>
      <c r="BS5" s="371" t="s">
        <v>129</v>
      </c>
      <c r="BT5" s="371"/>
      <c r="BU5" s="373"/>
    </row>
    <row r="6" spans="2:73">
      <c r="B6" s="298" t="s">
        <v>130</v>
      </c>
      <c r="C6" s="304">
        <v>1.56</v>
      </c>
      <c r="D6" s="305">
        <v>45838</v>
      </c>
      <c r="E6" s="306">
        <v>34373.875002</v>
      </c>
      <c r="F6" s="307">
        <v>-0.02403</v>
      </c>
      <c r="G6" s="308">
        <v>0.02089</v>
      </c>
      <c r="H6" s="308">
        <v>0.054932</v>
      </c>
      <c r="I6" s="308">
        <v>0.001833</v>
      </c>
      <c r="J6" s="308">
        <v>0.116325</v>
      </c>
      <c r="K6" s="308">
        <v>0.147279</v>
      </c>
      <c r="L6" s="338">
        <v>0.116562</v>
      </c>
      <c r="M6" s="318"/>
      <c r="N6" s="336">
        <v>0.030516</v>
      </c>
      <c r="O6" s="337">
        <v>0.137258724897641</v>
      </c>
      <c r="P6" s="337">
        <v>0.174490496908633</v>
      </c>
      <c r="Q6" s="337">
        <v>-0.056599697558868</v>
      </c>
      <c r="R6" s="337">
        <v>0.206411258795934</v>
      </c>
      <c r="S6" s="337">
        <v>0.197191887675507</v>
      </c>
      <c r="T6" s="337">
        <v>0.185719570847207</v>
      </c>
      <c r="U6" s="337">
        <v>0.0654316121403232</v>
      </c>
      <c r="V6" s="337">
        <v>0.380304678998912</v>
      </c>
      <c r="W6" s="337">
        <v>-0.0361824855794442</v>
      </c>
      <c r="X6" s="337">
        <v>-0.0124287933713101</v>
      </c>
      <c r="Y6" s="337">
        <v>0.408460977388767</v>
      </c>
      <c r="Z6" s="337">
        <v>0.134933774834437</v>
      </c>
      <c r="AA6" s="337">
        <v>0.317339149400218</v>
      </c>
      <c r="AB6" s="337">
        <v>-0.225506756756757</v>
      </c>
      <c r="AC6" s="337">
        <v>0.184</v>
      </c>
      <c r="AD6" s="337" t="s">
        <v>129</v>
      </c>
      <c r="AE6" s="337" t="s">
        <v>129</v>
      </c>
      <c r="AF6" s="337" t="s">
        <v>129</v>
      </c>
      <c r="AG6" s="337" t="s">
        <v>129</v>
      </c>
      <c r="AH6" s="337" t="s">
        <v>129</v>
      </c>
      <c r="AI6" s="337" t="s">
        <v>129</v>
      </c>
      <c r="AJ6" s="337" t="s">
        <v>129</v>
      </c>
      <c r="AK6" s="337" t="s">
        <v>129</v>
      </c>
      <c r="AL6" s="337" t="s">
        <v>129</v>
      </c>
      <c r="AM6" s="347" t="s">
        <v>129</v>
      </c>
      <c r="AS6" t="s">
        <v>51</v>
      </c>
      <c r="AT6" s="358"/>
      <c r="AU6" s="359"/>
      <c r="AV6" s="360"/>
      <c r="AW6" s="369"/>
      <c r="AX6" s="370">
        <v>0.00629999999999997</v>
      </c>
      <c r="AY6" s="371">
        <v>0.01830405207</v>
      </c>
      <c r="AZ6" s="371">
        <v>0.056719309630431</v>
      </c>
      <c r="BA6" s="372">
        <v>0.131263289009508</v>
      </c>
      <c r="BB6" s="371" t="s">
        <v>129</v>
      </c>
      <c r="BC6" s="371" t="s">
        <v>129</v>
      </c>
      <c r="BD6" s="371" t="s">
        <v>129</v>
      </c>
      <c r="BE6" s="369"/>
      <c r="BF6" s="374">
        <v>0.023497402735557</v>
      </c>
      <c r="BG6" s="370">
        <v>0.180066655236744</v>
      </c>
      <c r="BH6" s="370" t="s">
        <v>129</v>
      </c>
      <c r="BI6" s="371" t="s">
        <v>129</v>
      </c>
      <c r="BJ6" s="371" t="s">
        <v>129</v>
      </c>
      <c r="BK6" s="371" t="s">
        <v>129</v>
      </c>
      <c r="BL6" s="371" t="s">
        <v>129</v>
      </c>
      <c r="BM6" s="371" t="s">
        <v>129</v>
      </c>
      <c r="BN6" s="371" t="s">
        <v>129</v>
      </c>
      <c r="BO6" s="371" t="s">
        <v>129</v>
      </c>
      <c r="BP6" s="371" t="s">
        <v>129</v>
      </c>
      <c r="BQ6" s="371" t="s">
        <v>129</v>
      </c>
      <c r="BR6" s="371" t="s">
        <v>129</v>
      </c>
      <c r="BS6" s="371" t="s">
        <v>129</v>
      </c>
      <c r="BT6" s="371"/>
      <c r="BU6" s="373"/>
    </row>
    <row r="7" spans="2:73">
      <c r="B7" s="298" t="s">
        <v>131</v>
      </c>
      <c r="C7" s="304">
        <v>2.03</v>
      </c>
      <c r="D7" s="305">
        <v>45838</v>
      </c>
      <c r="E7" s="306">
        <v>1928.3758</v>
      </c>
      <c r="F7" s="307">
        <v>-0.009759</v>
      </c>
      <c r="G7" s="308">
        <v>0.045971</v>
      </c>
      <c r="H7" s="308">
        <v>0.085497</v>
      </c>
      <c r="I7" s="308">
        <v>0.015454</v>
      </c>
      <c r="J7" s="308">
        <v>0.165152</v>
      </c>
      <c r="K7" s="308">
        <v>0.184913</v>
      </c>
      <c r="L7" s="338">
        <v>0.12064</v>
      </c>
      <c r="M7" s="318"/>
      <c r="N7" s="336">
        <v>0.03456</v>
      </c>
      <c r="O7" s="337">
        <v>0.187040353008889</v>
      </c>
      <c r="P7" s="337">
        <v>0.267719248464703</v>
      </c>
      <c r="Q7" s="337">
        <v>-0.0231835280142546</v>
      </c>
      <c r="R7" s="337">
        <v>0.267503136762861</v>
      </c>
      <c r="S7" s="337">
        <v>0.174130819092516</v>
      </c>
      <c r="T7" s="337">
        <v>0.105897686542848</v>
      </c>
      <c r="U7" s="337">
        <v>-0.0422663554318384</v>
      </c>
      <c r="V7" s="337">
        <v>0.34163435854065</v>
      </c>
      <c r="W7" s="337">
        <v>0.0528482700555856</v>
      </c>
      <c r="X7" s="337">
        <v>-0.0567276507276507</v>
      </c>
      <c r="Y7" s="337">
        <v>0.303932943689615</v>
      </c>
      <c r="Z7" s="337">
        <v>0.0801747563718141</v>
      </c>
      <c r="AA7" s="337">
        <v>0.274335226467054</v>
      </c>
      <c r="AB7" s="337">
        <v>-0.23337071323134</v>
      </c>
      <c r="AC7" s="337">
        <v>0.185195733398431</v>
      </c>
      <c r="AD7" s="337">
        <v>0.740440447528678</v>
      </c>
      <c r="AE7" s="337">
        <v>-0.512743248838386</v>
      </c>
      <c r="AF7" s="337">
        <v>0.481983978183058</v>
      </c>
      <c r="AG7" s="337">
        <v>0.1734</v>
      </c>
      <c r="AH7" s="337" t="s">
        <v>129</v>
      </c>
      <c r="AI7" s="337" t="s">
        <v>129</v>
      </c>
      <c r="AJ7" s="337" t="s">
        <v>129</v>
      </c>
      <c r="AK7" s="337" t="s">
        <v>129</v>
      </c>
      <c r="AL7" s="337" t="s">
        <v>129</v>
      </c>
      <c r="AM7" s="347" t="s">
        <v>129</v>
      </c>
      <c r="AS7" t="s">
        <v>52</v>
      </c>
      <c r="AT7" s="358"/>
      <c r="AU7" s="359"/>
      <c r="AV7" s="360"/>
      <c r="AW7" s="369"/>
      <c r="AX7" s="370">
        <v>0.0291999999999999</v>
      </c>
      <c r="AY7" s="371">
        <v>0.0315317555199999</v>
      </c>
      <c r="AZ7" s="371">
        <v>-0.00412604130837735</v>
      </c>
      <c r="BA7" s="372">
        <v>0.10107677588386</v>
      </c>
      <c r="BB7" s="281">
        <v>0.186865874473905</v>
      </c>
      <c r="BC7" s="371">
        <v>0.301790955568388</v>
      </c>
      <c r="BD7" s="373"/>
      <c r="BE7" s="369"/>
      <c r="BF7" s="374">
        <v>0.0129641839206398</v>
      </c>
      <c r="BG7" s="370">
        <v>0.161097923170117</v>
      </c>
      <c r="BH7" s="370">
        <v>0.316118635621339</v>
      </c>
      <c r="BI7" s="371">
        <v>0.0940648901156438</v>
      </c>
      <c r="BJ7" s="371">
        <v>0.447209105039434</v>
      </c>
      <c r="BK7" s="371">
        <v>0.265743605366634</v>
      </c>
      <c r="BL7" s="371" t="s">
        <v>129</v>
      </c>
      <c r="BM7" s="371" t="s">
        <v>129</v>
      </c>
      <c r="BN7" s="371" t="s">
        <v>129</v>
      </c>
      <c r="BO7" s="371" t="s">
        <v>129</v>
      </c>
      <c r="BP7" s="371" t="s">
        <v>129</v>
      </c>
      <c r="BQ7" s="371" t="s">
        <v>129</v>
      </c>
      <c r="BR7" s="371" t="s">
        <v>129</v>
      </c>
      <c r="BS7" s="371" t="s">
        <v>129</v>
      </c>
      <c r="BT7" s="371"/>
      <c r="BU7" s="373"/>
    </row>
    <row r="8" spans="2:73">
      <c r="B8" s="298" t="s">
        <v>24</v>
      </c>
      <c r="C8" s="304">
        <v>1.64</v>
      </c>
      <c r="D8" s="305">
        <v>45838</v>
      </c>
      <c r="E8" s="306">
        <v>16617.3296</v>
      </c>
      <c r="F8" s="307">
        <v>-0.022278</v>
      </c>
      <c r="G8" s="308">
        <v>0.029528</v>
      </c>
      <c r="H8" s="308">
        <v>0.065354</v>
      </c>
      <c r="I8" s="308">
        <v>0.018666</v>
      </c>
      <c r="J8" s="308">
        <v>0.161045</v>
      </c>
      <c r="K8" s="308">
        <v>0.186387</v>
      </c>
      <c r="L8" s="338">
        <v>0.131291</v>
      </c>
      <c r="M8" s="318"/>
      <c r="N8" s="336">
        <v>0.039245</v>
      </c>
      <c r="O8" s="337">
        <v>0.177881802223522</v>
      </c>
      <c r="P8" s="337">
        <v>0.222169249106079</v>
      </c>
      <c r="Q8" s="337">
        <v>0.00817111271329016</v>
      </c>
      <c r="R8" s="337">
        <v>0.245435498353786</v>
      </c>
      <c r="S8" s="337">
        <v>0.230570902394107</v>
      </c>
      <c r="T8" s="337">
        <v>0.156795909671922</v>
      </c>
      <c r="U8" s="337">
        <v>0.033920704845815</v>
      </c>
      <c r="V8" s="337">
        <v>0.313657407407407</v>
      </c>
      <c r="W8" s="337">
        <v>0.0188679245283019</v>
      </c>
      <c r="X8" s="337">
        <v>-0.00469483568075107</v>
      </c>
      <c r="Y8" s="337">
        <v>0.358851674641148</v>
      </c>
      <c r="Z8" s="337">
        <v>0.050251256281407</v>
      </c>
      <c r="AA8" s="337">
        <v>0.283870967741935</v>
      </c>
      <c r="AB8" s="337">
        <v>-0.127579737335835</v>
      </c>
      <c r="AC8" s="337">
        <v>0.066</v>
      </c>
      <c r="AD8" s="337" t="s">
        <v>129</v>
      </c>
      <c r="AE8" s="337" t="s">
        <v>129</v>
      </c>
      <c r="AF8" s="337" t="s">
        <v>129</v>
      </c>
      <c r="AG8" s="337" t="s">
        <v>129</v>
      </c>
      <c r="AH8" s="337" t="s">
        <v>129</v>
      </c>
      <c r="AI8" s="337" t="s">
        <v>129</v>
      </c>
      <c r="AJ8" s="337" t="s">
        <v>129</v>
      </c>
      <c r="AK8" s="337" t="s">
        <v>129</v>
      </c>
      <c r="AL8" s="337" t="s">
        <v>129</v>
      </c>
      <c r="AM8" s="347" t="s">
        <v>129</v>
      </c>
      <c r="AN8" s="35">
        <v>0.7</v>
      </c>
      <c r="AO8" s="35">
        <v>0.9</v>
      </c>
      <c r="AP8" s="35">
        <v>26.79</v>
      </c>
      <c r="AQ8" s="35">
        <v>4.13</v>
      </c>
      <c r="AS8" t="s">
        <v>53</v>
      </c>
      <c r="AT8" s="358"/>
      <c r="AU8" s="359"/>
      <c r="AV8" s="360"/>
      <c r="AW8" s="369"/>
      <c r="AX8" s="370" t="s">
        <v>129</v>
      </c>
      <c r="AY8" s="370" t="s">
        <v>129</v>
      </c>
      <c r="AZ8" s="370" t="s">
        <v>129</v>
      </c>
      <c r="BA8" s="370" t="s">
        <v>129</v>
      </c>
      <c r="BB8" s="370" t="s">
        <v>129</v>
      </c>
      <c r="BC8" s="370" t="s">
        <v>129</v>
      </c>
      <c r="BD8" s="370" t="s">
        <v>129</v>
      </c>
      <c r="BE8" s="369"/>
      <c r="BF8" s="370" t="s">
        <v>129</v>
      </c>
      <c r="BG8" s="370" t="s">
        <v>129</v>
      </c>
      <c r="BH8" s="370" t="s">
        <v>129</v>
      </c>
      <c r="BI8" s="370" t="s">
        <v>129</v>
      </c>
      <c r="BJ8" s="370" t="s">
        <v>129</v>
      </c>
      <c r="BK8" s="370" t="s">
        <v>129</v>
      </c>
      <c r="BL8" s="370" t="s">
        <v>129</v>
      </c>
      <c r="BM8" s="370" t="s">
        <v>129</v>
      </c>
      <c r="BN8" s="370" t="s">
        <v>129</v>
      </c>
      <c r="BO8" s="370" t="s">
        <v>129</v>
      </c>
      <c r="BP8" s="370" t="s">
        <v>129</v>
      </c>
      <c r="BQ8" s="370" t="s">
        <v>129</v>
      </c>
      <c r="BR8" s="370" t="s">
        <v>129</v>
      </c>
      <c r="BS8" s="370" t="s">
        <v>129</v>
      </c>
      <c r="BT8" s="371"/>
      <c r="BU8" s="373"/>
    </row>
    <row r="9" spans="2:73">
      <c r="B9" s="298" t="s">
        <v>132</v>
      </c>
      <c r="C9" s="304">
        <v>1.85</v>
      </c>
      <c r="D9" s="305">
        <v>45838</v>
      </c>
      <c r="E9" s="306">
        <v>6323.2679</v>
      </c>
      <c r="F9" s="307">
        <v>-0.021492</v>
      </c>
      <c r="G9" s="308">
        <v>0.01465</v>
      </c>
      <c r="H9" s="308">
        <v>0.06126</v>
      </c>
      <c r="I9" s="308">
        <v>0.01562</v>
      </c>
      <c r="J9" s="308">
        <v>0.185538</v>
      </c>
      <c r="K9" s="308">
        <v>0.1903</v>
      </c>
      <c r="L9" s="338">
        <v>0.110868</v>
      </c>
      <c r="M9" s="318"/>
      <c r="N9" s="336">
        <v>0.044684</v>
      </c>
      <c r="O9" s="337">
        <v>0.204988502913131</v>
      </c>
      <c r="P9" s="337">
        <v>0.26612782822319</v>
      </c>
      <c r="Q9" s="337">
        <v>0.0144085473733488</v>
      </c>
      <c r="R9" s="337">
        <v>0.195253905366099</v>
      </c>
      <c r="S9" s="337">
        <v>0.0749244873320036</v>
      </c>
      <c r="T9" s="337">
        <v>0.148451943197286</v>
      </c>
      <c r="U9" s="337">
        <v>-0.0272134387351779</v>
      </c>
      <c r="V9" s="337">
        <v>0.264802374628964</v>
      </c>
      <c r="W9" s="337">
        <v>0.0488765665146033</v>
      </c>
      <c r="X9" s="337">
        <v>-0.0232897583959642</v>
      </c>
      <c r="Y9" s="337">
        <v>0.374883377048603</v>
      </c>
      <c r="Z9" s="337">
        <v>0.0222602123447904</v>
      </c>
      <c r="AA9" s="337">
        <v>0.302854463396049</v>
      </c>
      <c r="AB9" s="337">
        <v>-0.198479737665486</v>
      </c>
      <c r="AC9" s="337">
        <v>0.167970764790448</v>
      </c>
      <c r="AD9" s="337">
        <v>0.77127028865779</v>
      </c>
      <c r="AE9" s="337">
        <v>-0.455412529375648</v>
      </c>
      <c r="AF9" s="337">
        <v>0.649312102800475</v>
      </c>
      <c r="AG9" s="337">
        <v>0.465984131046839</v>
      </c>
      <c r="AH9" s="337">
        <v>0.429041697147037</v>
      </c>
      <c r="AI9" s="337">
        <v>0.250114311842707</v>
      </c>
      <c r="AJ9" s="337">
        <v>1.187</v>
      </c>
      <c r="AK9" s="337" t="s">
        <v>129</v>
      </c>
      <c r="AL9" s="337" t="s">
        <v>129</v>
      </c>
      <c r="AM9" s="347" t="s">
        <v>129</v>
      </c>
      <c r="AS9" t="s">
        <v>54</v>
      </c>
      <c r="AT9" s="358"/>
      <c r="AU9" s="359"/>
      <c r="AV9" s="360"/>
      <c r="AW9" s="369"/>
      <c r="AX9" s="370">
        <v>0.00219999999999998</v>
      </c>
      <c r="AY9" s="371">
        <v>0.0213700816000002</v>
      </c>
      <c r="AZ9" s="371">
        <v>0.0211317667079236</v>
      </c>
      <c r="BA9" s="372">
        <v>0.108026495488816</v>
      </c>
      <c r="BB9" s="372">
        <v>0.157024441369694</v>
      </c>
      <c r="BC9" s="371" t="s">
        <v>129</v>
      </c>
      <c r="BD9" s="371" t="s">
        <v>129</v>
      </c>
      <c r="BE9" s="369"/>
      <c r="BF9" s="374">
        <v>0.00502816029440023</v>
      </c>
      <c r="BG9" s="370">
        <v>0.167257506709361</v>
      </c>
      <c r="BH9" s="370">
        <v>0.169268698116085</v>
      </c>
      <c r="BI9" s="371">
        <v>0.133710275020996</v>
      </c>
      <c r="BJ9" s="371" t="s">
        <v>129</v>
      </c>
      <c r="BK9" s="371" t="s">
        <v>129</v>
      </c>
      <c r="BL9" s="371" t="s">
        <v>129</v>
      </c>
      <c r="BM9" s="371" t="s">
        <v>129</v>
      </c>
      <c r="BN9" s="371" t="s">
        <v>129</v>
      </c>
      <c r="BO9" s="371" t="s">
        <v>129</v>
      </c>
      <c r="BP9" s="371" t="s">
        <v>129</v>
      </c>
      <c r="BQ9" s="371" t="s">
        <v>129</v>
      </c>
      <c r="BR9" s="371" t="s">
        <v>129</v>
      </c>
      <c r="BS9" s="371" t="s">
        <v>129</v>
      </c>
      <c r="BT9" s="371"/>
      <c r="BU9" s="373"/>
    </row>
    <row r="10" spans="2:73">
      <c r="B10" s="298" t="s">
        <v>133</v>
      </c>
      <c r="C10" s="304">
        <v>2.11</v>
      </c>
      <c r="D10" s="305">
        <v>45838</v>
      </c>
      <c r="E10" s="306">
        <v>1322.0746</v>
      </c>
      <c r="F10" s="307">
        <v>-0.03389</v>
      </c>
      <c r="G10" s="308">
        <v>0.017227</v>
      </c>
      <c r="H10" s="308">
        <v>0.042103</v>
      </c>
      <c r="I10" s="308">
        <v>-0.030946</v>
      </c>
      <c r="J10" s="308">
        <v>0.158246</v>
      </c>
      <c r="K10" s="308">
        <v>0.184889</v>
      </c>
      <c r="L10" s="338">
        <v>0.118923</v>
      </c>
      <c r="M10" s="318"/>
      <c r="N10" s="336">
        <v>0.018229</v>
      </c>
      <c r="O10" s="337">
        <v>0.146265706621488</v>
      </c>
      <c r="P10" s="337">
        <v>0.257188498402556</v>
      </c>
      <c r="Q10" s="337">
        <v>0.0337614678899083</v>
      </c>
      <c r="R10" s="337">
        <v>0.233869141951551</v>
      </c>
      <c r="S10" s="337">
        <v>0.172862453531599</v>
      </c>
      <c r="T10" s="337">
        <v>0.115190997927154</v>
      </c>
      <c r="U10" s="337">
        <v>0.0168623908461308</v>
      </c>
      <c r="V10" s="337">
        <v>0.338033843674456</v>
      </c>
      <c r="W10" s="337">
        <v>0.00404530744336575</v>
      </c>
      <c r="X10" s="337">
        <v>0.00774561761108837</v>
      </c>
      <c r="Y10" s="337">
        <v>0.376543209876543</v>
      </c>
      <c r="Z10" s="337">
        <v>0.110972568578554</v>
      </c>
      <c r="AA10" s="337">
        <v>0.297734627831715</v>
      </c>
      <c r="AB10" s="337">
        <v>-0.185770750988142</v>
      </c>
      <c r="AC10" s="337">
        <v>0.159663865546218</v>
      </c>
      <c r="AD10" s="337">
        <v>0.309</v>
      </c>
      <c r="AE10" s="337" t="s">
        <v>129</v>
      </c>
      <c r="AF10" s="337" t="s">
        <v>129</v>
      </c>
      <c r="AG10" s="337" t="s">
        <v>129</v>
      </c>
      <c r="AH10" s="337" t="s">
        <v>129</v>
      </c>
      <c r="AI10" s="337" t="s">
        <v>129</v>
      </c>
      <c r="AJ10" s="337" t="s">
        <v>129</v>
      </c>
      <c r="AK10" s="337" t="s">
        <v>129</v>
      </c>
      <c r="AL10" s="337" t="s">
        <v>129</v>
      </c>
      <c r="AM10" s="347" t="s">
        <v>129</v>
      </c>
      <c r="AS10" t="s">
        <v>55</v>
      </c>
      <c r="AT10" s="358"/>
      <c r="AU10" s="359"/>
      <c r="AV10" s="360"/>
      <c r="AW10" s="369"/>
      <c r="AX10" s="370">
        <v>0.0125999999999999</v>
      </c>
      <c r="AY10" s="371">
        <v>0.0372505825100002</v>
      </c>
      <c r="AZ10" s="371">
        <v>0.0792665086840862</v>
      </c>
      <c r="BA10" s="372">
        <v>0.170130749829241</v>
      </c>
      <c r="BB10" s="281">
        <v>0.135298545657318</v>
      </c>
      <c r="BC10" s="371">
        <v>0.128469977185993</v>
      </c>
      <c r="BD10" s="373"/>
      <c r="BE10" s="369"/>
      <c r="BF10" s="374">
        <v>0.054468942179666</v>
      </c>
      <c r="BG10" s="370">
        <v>0.1706777971064</v>
      </c>
      <c r="BH10" s="370">
        <v>0.105169453538697</v>
      </c>
      <c r="BI10" s="371">
        <v>0.092774729332505</v>
      </c>
      <c r="BJ10" s="371">
        <v>0.100825007164755</v>
      </c>
      <c r="BK10" s="371">
        <v>0.162163155429869</v>
      </c>
      <c r="BL10" s="371">
        <v>0.113937216465696</v>
      </c>
      <c r="BM10" s="371">
        <v>0.127325815355805</v>
      </c>
      <c r="BN10" s="371">
        <v>0.132113154705603</v>
      </c>
      <c r="BO10" s="371" t="s">
        <v>129</v>
      </c>
      <c r="BP10" s="371" t="s">
        <v>129</v>
      </c>
      <c r="BQ10" s="371" t="s">
        <v>129</v>
      </c>
      <c r="BR10" s="371" t="s">
        <v>129</v>
      </c>
      <c r="BS10" s="371" t="s">
        <v>129</v>
      </c>
      <c r="BT10" s="371"/>
      <c r="BU10" s="373"/>
    </row>
    <row r="11" spans="2:73">
      <c r="B11" s="298" t="s">
        <v>134</v>
      </c>
      <c r="C11" s="304">
        <v>1.84</v>
      </c>
      <c r="D11" s="305">
        <v>45838</v>
      </c>
      <c r="E11" s="306">
        <v>7983.816018992</v>
      </c>
      <c r="F11" s="307">
        <v>-0.019053</v>
      </c>
      <c r="G11" s="308">
        <v>0.036704</v>
      </c>
      <c r="H11" s="308">
        <v>0.069894</v>
      </c>
      <c r="I11" s="308">
        <v>0.013708</v>
      </c>
      <c r="J11" s="308">
        <v>0.146926</v>
      </c>
      <c r="K11" s="308">
        <v>0.195552</v>
      </c>
      <c r="L11" s="338">
        <v>0.107427</v>
      </c>
      <c r="M11" s="318"/>
      <c r="N11" s="336">
        <v>0.040589</v>
      </c>
      <c r="O11" s="337">
        <v>0.162135332096932</v>
      </c>
      <c r="P11" s="337">
        <v>0.216608480900681</v>
      </c>
      <c r="Q11" s="337">
        <v>-0.0222127517419425</v>
      </c>
      <c r="R11" s="337">
        <v>0.327582441662797</v>
      </c>
      <c r="S11" s="337">
        <v>0.136702585959552</v>
      </c>
      <c r="T11" s="337">
        <v>0.0525602531596898</v>
      </c>
      <c r="U11" s="337">
        <v>-0.0357765226478776</v>
      </c>
      <c r="V11" s="337">
        <v>0.263080448521556</v>
      </c>
      <c r="W11" s="337">
        <v>0.0644577628417875</v>
      </c>
      <c r="X11" s="337">
        <v>0.0201751240531078</v>
      </c>
      <c r="Y11" s="337">
        <v>0.372210974345775</v>
      </c>
      <c r="Z11" s="337">
        <v>0.0407818769373254</v>
      </c>
      <c r="AA11" s="337">
        <v>0.26788333602982</v>
      </c>
      <c r="AB11" s="337">
        <v>-0.182485121270024</v>
      </c>
      <c r="AC11" s="337">
        <v>0.229625596625776</v>
      </c>
      <c r="AD11" s="337">
        <v>0.844881596399458</v>
      </c>
      <c r="AE11" s="337">
        <v>-0.481424292166301</v>
      </c>
      <c r="AF11" s="337">
        <v>0.474080656185921</v>
      </c>
      <c r="AG11" s="337">
        <v>0.455238726790448</v>
      </c>
      <c r="AH11" s="337">
        <v>0.412205400343373</v>
      </c>
      <c r="AI11" s="337">
        <v>0.246013224426296</v>
      </c>
      <c r="AJ11" s="337">
        <v>1.20592020592021</v>
      </c>
      <c r="AK11" s="337">
        <v>0.239234449760766</v>
      </c>
      <c r="AL11" s="337">
        <v>-0.161390994204192</v>
      </c>
      <c r="AM11" s="347">
        <v>-0.131965944272445</v>
      </c>
      <c r="AS11" t="s">
        <v>58</v>
      </c>
      <c r="AT11" s="358"/>
      <c r="AU11" s="359"/>
      <c r="AV11" s="360"/>
      <c r="AW11" s="369"/>
      <c r="AX11" s="370"/>
      <c r="AY11" s="371"/>
      <c r="AZ11" s="371"/>
      <c r="BA11" s="371"/>
      <c r="BB11" s="371"/>
      <c r="BC11" s="371"/>
      <c r="BD11" s="373"/>
      <c r="BE11" s="369"/>
      <c r="BF11" s="370"/>
      <c r="BG11" s="370"/>
      <c r="BH11" s="370"/>
      <c r="BI11" s="371"/>
      <c r="BJ11" s="371"/>
      <c r="BK11" s="371"/>
      <c r="BL11" s="371"/>
      <c r="BM11" s="371"/>
      <c r="BN11" s="371"/>
      <c r="BO11" s="371"/>
      <c r="BP11" s="371"/>
      <c r="BQ11" s="371"/>
      <c r="BR11" s="371"/>
      <c r="BS11" s="371"/>
      <c r="BT11" s="371"/>
      <c r="BU11" s="373"/>
    </row>
    <row r="12" spans="2:73">
      <c r="B12" s="298" t="s">
        <v>135</v>
      </c>
      <c r="C12" s="304">
        <v>1.59</v>
      </c>
      <c r="D12" s="305">
        <v>45838</v>
      </c>
      <c r="E12" s="306">
        <v>38905.1245</v>
      </c>
      <c r="F12" s="307">
        <v>-0.02065</v>
      </c>
      <c r="G12" s="308">
        <v>0.018871</v>
      </c>
      <c r="H12" s="308">
        <v>0.049209</v>
      </c>
      <c r="I12" s="308">
        <v>-0.02436</v>
      </c>
      <c r="J12" s="308">
        <v>0.171713</v>
      </c>
      <c r="K12" s="308">
        <v>0.215781</v>
      </c>
      <c r="L12" s="338">
        <v>0.12449</v>
      </c>
      <c r="M12" s="318"/>
      <c r="N12" s="336">
        <v>0.033793</v>
      </c>
      <c r="O12" s="337">
        <v>0.116446245211043</v>
      </c>
      <c r="P12" s="337">
        <v>0.300231943398902</v>
      </c>
      <c r="Q12" s="337">
        <v>0.106111359948307</v>
      </c>
      <c r="R12" s="337">
        <v>0.285366963212128</v>
      </c>
      <c r="S12" s="337">
        <v>0.0591061211270658</v>
      </c>
      <c r="T12" s="337">
        <v>0.0769817073170725</v>
      </c>
      <c r="U12" s="337">
        <v>0.00126330675933797</v>
      </c>
      <c r="V12" s="337">
        <v>0.319668050264723</v>
      </c>
      <c r="W12" s="337">
        <v>0.0852083976535984</v>
      </c>
      <c r="X12" s="337">
        <v>-0.0608981049799372</v>
      </c>
      <c r="Y12" s="337">
        <v>0.465176443600496</v>
      </c>
      <c r="Z12" s="337">
        <v>0.0404877984096586</v>
      </c>
      <c r="AA12" s="337">
        <v>0.3243323928492</v>
      </c>
      <c r="AB12" s="337">
        <v>-0.242961787814466</v>
      </c>
      <c r="AC12" s="337">
        <v>0.250504278051158</v>
      </c>
      <c r="AD12" s="337">
        <v>0.944610875234391</v>
      </c>
      <c r="AE12" s="337">
        <v>-0.453454267035753</v>
      </c>
      <c r="AF12" s="337">
        <v>0.544528336213959</v>
      </c>
      <c r="AG12" s="337">
        <v>0.374468617154287</v>
      </c>
      <c r="AH12" s="337">
        <v>0.552406832298137</v>
      </c>
      <c r="AI12" s="337">
        <v>0.275247524752475</v>
      </c>
      <c r="AJ12" s="337">
        <v>1.34474753337202</v>
      </c>
      <c r="AK12" s="337">
        <v>0.261346998535874</v>
      </c>
      <c r="AL12" s="337">
        <v>-0.101315789473685</v>
      </c>
      <c r="AM12" s="347">
        <v>-0.210822943705991</v>
      </c>
      <c r="AS12" t="s">
        <v>59</v>
      </c>
      <c r="AT12" s="358"/>
      <c r="AU12" s="359"/>
      <c r="AV12" s="360"/>
      <c r="AW12" s="369"/>
      <c r="AX12" s="370"/>
      <c r="AY12" s="371"/>
      <c r="AZ12" s="371"/>
      <c r="BA12" s="371"/>
      <c r="BB12" s="371"/>
      <c r="BC12" s="371"/>
      <c r="BD12" s="373"/>
      <c r="BE12" s="369"/>
      <c r="BF12" s="370"/>
      <c r="BG12" s="370"/>
      <c r="BH12" s="370"/>
      <c r="BI12" s="371"/>
      <c r="BJ12" s="371"/>
      <c r="BK12" s="371"/>
      <c r="BL12" s="371"/>
      <c r="BM12" s="371"/>
      <c r="BN12" s="371"/>
      <c r="BO12" s="371"/>
      <c r="BP12" s="371"/>
      <c r="BQ12" s="371"/>
      <c r="BR12" s="371"/>
      <c r="BS12" s="371"/>
      <c r="BT12" s="371"/>
      <c r="BU12" s="373"/>
    </row>
    <row r="13" spans="2:73">
      <c r="B13" s="298" t="s">
        <v>136</v>
      </c>
      <c r="C13" s="304">
        <v>2.13</v>
      </c>
      <c r="D13" s="305">
        <v>45838</v>
      </c>
      <c r="E13" s="306">
        <v>1887.7311</v>
      </c>
      <c r="F13" s="307">
        <v>-0.01841</v>
      </c>
      <c r="G13" s="308">
        <v>0.02958</v>
      </c>
      <c r="H13" s="308">
        <v>0.036813</v>
      </c>
      <c r="I13" s="308">
        <v>-0.026154</v>
      </c>
      <c r="J13" s="308">
        <v>0.146284</v>
      </c>
      <c r="K13" s="308">
        <v>0.176785</v>
      </c>
      <c r="L13" s="338">
        <v>0.117438</v>
      </c>
      <c r="M13" s="318"/>
      <c r="N13" s="336">
        <v>-0.00662</v>
      </c>
      <c r="O13" s="337">
        <v>0.183231841513157</v>
      </c>
      <c r="P13" s="337">
        <v>0.235143296219083</v>
      </c>
      <c r="Q13" s="337">
        <v>0.00511646874866631</v>
      </c>
      <c r="R13" s="337">
        <v>0.227008060453015</v>
      </c>
      <c r="S13" s="337">
        <v>0.158540954660259</v>
      </c>
      <c r="T13" s="337">
        <v>0.151068512117077</v>
      </c>
      <c r="U13" s="337">
        <v>-0.0317075614705445</v>
      </c>
      <c r="V13" s="337">
        <v>0.305343373730748</v>
      </c>
      <c r="W13" s="337">
        <v>0.0802121730124616</v>
      </c>
      <c r="X13" s="337">
        <v>-0.0298751449192674</v>
      </c>
      <c r="Y13" s="337">
        <v>0.348549236715944</v>
      </c>
      <c r="Z13" s="337">
        <v>0.0318505030460878</v>
      </c>
      <c r="AA13" s="337">
        <v>0.232379256322463</v>
      </c>
      <c r="AB13" s="337">
        <v>-0.226817562044697</v>
      </c>
      <c r="AC13" s="337">
        <v>0.179978407112554</v>
      </c>
      <c r="AD13" s="337">
        <v>0.585480564376733</v>
      </c>
      <c r="AE13" s="337">
        <v>-0.480475000848402</v>
      </c>
      <c r="AF13" s="337">
        <v>0.595251249305941</v>
      </c>
      <c r="AG13" s="337">
        <v>0.372498961671385</v>
      </c>
      <c r="AH13" s="337">
        <v>0.419682027923985</v>
      </c>
      <c r="AI13" s="337">
        <v>0.3873095684803</v>
      </c>
      <c r="AJ13" s="337">
        <v>1.6025390625</v>
      </c>
      <c r="AK13" s="337">
        <v>0.024</v>
      </c>
      <c r="AL13" s="337" t="s">
        <v>129</v>
      </c>
      <c r="AM13" s="347" t="s">
        <v>129</v>
      </c>
      <c r="AS13" t="s">
        <v>60</v>
      </c>
      <c r="AT13" s="358"/>
      <c r="AU13" s="359"/>
      <c r="AV13" s="360"/>
      <c r="AW13" s="369"/>
      <c r="AX13" s="370"/>
      <c r="AY13" s="371"/>
      <c r="AZ13" s="371"/>
      <c r="BA13" s="371"/>
      <c r="BB13" s="371"/>
      <c r="BC13" s="371"/>
      <c r="BD13" s="373"/>
      <c r="BE13" s="369"/>
      <c r="BF13" s="370"/>
      <c r="BG13" s="370"/>
      <c r="BH13" s="370"/>
      <c r="BI13" s="371"/>
      <c r="BJ13" s="371"/>
      <c r="BK13" s="371"/>
      <c r="BL13" s="371"/>
      <c r="BM13" s="371"/>
      <c r="BN13" s="371"/>
      <c r="BO13" s="371"/>
      <c r="BP13" s="371"/>
      <c r="BQ13" s="371"/>
      <c r="BR13" s="371"/>
      <c r="BS13" s="371"/>
      <c r="BT13" s="371"/>
      <c r="BU13" s="373"/>
    </row>
    <row r="14" spans="2:73">
      <c r="B14" s="298" t="s">
        <v>22</v>
      </c>
      <c r="C14" s="304">
        <v>1.42</v>
      </c>
      <c r="D14" s="305">
        <v>45838</v>
      </c>
      <c r="E14" s="306">
        <v>72336.0508815222</v>
      </c>
      <c r="F14" s="307">
        <v>-0.016662</v>
      </c>
      <c r="G14" s="308">
        <v>0.029834</v>
      </c>
      <c r="H14" s="308">
        <v>0.071031</v>
      </c>
      <c r="I14" s="308">
        <v>0.011239</v>
      </c>
      <c r="J14" s="308">
        <v>0.189794</v>
      </c>
      <c r="K14" s="308">
        <v>0.221221</v>
      </c>
      <c r="L14" s="338">
        <v>0.137519</v>
      </c>
      <c r="M14" s="318"/>
      <c r="N14" s="336">
        <v>0.057922</v>
      </c>
      <c r="O14" s="337">
        <v>0.168731696328002</v>
      </c>
      <c r="P14" s="337">
        <v>0.273927392739274</v>
      </c>
      <c r="Q14" s="337">
        <v>0.0685372585096596</v>
      </c>
      <c r="R14" s="337">
        <v>0.291740938799762</v>
      </c>
      <c r="S14" s="337">
        <v>0.134861766689144</v>
      </c>
      <c r="T14" s="337">
        <v>0.0977054034048853</v>
      </c>
      <c r="U14" s="337">
        <v>-0.00807635829662257</v>
      </c>
      <c r="V14" s="337">
        <v>0.327485380116959</v>
      </c>
      <c r="W14" s="337">
        <v>0.0773538676933847</v>
      </c>
      <c r="X14" s="337">
        <v>-0.00209570380719521</v>
      </c>
      <c r="Y14" s="337">
        <v>0.41103992114342</v>
      </c>
      <c r="Z14" s="337">
        <v>0.102118413905486</v>
      </c>
      <c r="AA14" s="337">
        <v>0.267906336088154</v>
      </c>
      <c r="AB14" s="337">
        <v>-0.164075993091537</v>
      </c>
      <c r="AC14" s="337">
        <v>0.270665691294806</v>
      </c>
      <c r="AD14" s="337">
        <v>0.911888111888112</v>
      </c>
      <c r="AE14" s="337">
        <v>-0.285</v>
      </c>
      <c r="AF14" s="337" t="s">
        <v>129</v>
      </c>
      <c r="AG14" s="337" t="s">
        <v>129</v>
      </c>
      <c r="AH14" s="337" t="s">
        <v>129</v>
      </c>
      <c r="AI14" s="337" t="s">
        <v>129</v>
      </c>
      <c r="AJ14" s="337" t="s">
        <v>129</v>
      </c>
      <c r="AK14" s="337" t="s">
        <v>129</v>
      </c>
      <c r="AL14" s="337" t="s">
        <v>129</v>
      </c>
      <c r="AM14" s="347" t="s">
        <v>129</v>
      </c>
      <c r="AN14" s="35">
        <v>0.9</v>
      </c>
      <c r="AO14" s="35">
        <v>0.89</v>
      </c>
      <c r="AP14" s="35">
        <v>22.93</v>
      </c>
      <c r="AQ14" s="35">
        <v>3.49</v>
      </c>
      <c r="AS14" t="s">
        <v>61</v>
      </c>
      <c r="AT14" s="358"/>
      <c r="AU14" s="359"/>
      <c r="AV14" s="360"/>
      <c r="AW14" s="369"/>
      <c r="AX14" s="370"/>
      <c r="AY14" s="371"/>
      <c r="AZ14" s="371"/>
      <c r="BA14" s="371"/>
      <c r="BB14" s="371"/>
      <c r="BC14" s="371"/>
      <c r="BD14" s="373"/>
      <c r="BE14" s="369"/>
      <c r="BF14" s="370"/>
      <c r="BG14" s="370"/>
      <c r="BH14" s="370"/>
      <c r="BI14" s="371"/>
      <c r="BJ14" s="371"/>
      <c r="BK14" s="371"/>
      <c r="BL14" s="371"/>
      <c r="BM14" s="371"/>
      <c r="BN14" s="371"/>
      <c r="BO14" s="371"/>
      <c r="BP14" s="371"/>
      <c r="BQ14" s="371"/>
      <c r="BR14" s="371"/>
      <c r="BS14" s="371"/>
      <c r="BT14" s="371"/>
      <c r="BU14" s="373"/>
    </row>
    <row r="15" spans="2:73">
      <c r="B15" s="298" t="s">
        <v>137</v>
      </c>
      <c r="C15" s="304">
        <v>2.05</v>
      </c>
      <c r="D15" s="305">
        <v>45838</v>
      </c>
      <c r="E15" s="306">
        <v>1558.2449</v>
      </c>
      <c r="F15" s="307">
        <v>-0.034711</v>
      </c>
      <c r="G15" s="308">
        <v>0.036672</v>
      </c>
      <c r="H15" s="308">
        <v>0.070412</v>
      </c>
      <c r="I15" s="308">
        <v>-0.002188</v>
      </c>
      <c r="J15" s="308">
        <v>0.170622</v>
      </c>
      <c r="K15" s="308">
        <v>0.191028</v>
      </c>
      <c r="L15" s="338">
        <v>0.121877</v>
      </c>
      <c r="M15" s="318"/>
      <c r="N15" s="336">
        <v>0.017854</v>
      </c>
      <c r="O15" s="337">
        <v>0.199964292090698</v>
      </c>
      <c r="P15" s="337">
        <v>0.277891854893908</v>
      </c>
      <c r="Q15" s="337">
        <v>-0.0298804780876494</v>
      </c>
      <c r="R15" s="337">
        <v>0.325315341742446</v>
      </c>
      <c r="S15" s="337">
        <v>0.140515222482436</v>
      </c>
      <c r="T15" s="337">
        <v>0.104990757855823</v>
      </c>
      <c r="U15" s="337">
        <v>-0.0044166359955834</v>
      </c>
      <c r="V15" s="337">
        <v>0.283419933868682</v>
      </c>
      <c r="W15" s="337">
        <v>0.0276699029126214</v>
      </c>
      <c r="X15" s="337">
        <v>0.0456852791878174</v>
      </c>
      <c r="Y15" s="337">
        <v>0.395184135977337</v>
      </c>
      <c r="Z15" s="337">
        <v>0.0920340293890177</v>
      </c>
      <c r="AA15" s="337">
        <v>0.243269230769231</v>
      </c>
      <c r="AB15" s="337">
        <v>-0.219219219219219</v>
      </c>
      <c r="AC15" s="337">
        <v>0.176678445229682</v>
      </c>
      <c r="AD15" s="337">
        <v>0.132</v>
      </c>
      <c r="AE15" s="337" t="s">
        <v>129</v>
      </c>
      <c r="AF15" s="337" t="s">
        <v>129</v>
      </c>
      <c r="AG15" s="337" t="s">
        <v>129</v>
      </c>
      <c r="AH15" s="337" t="s">
        <v>129</v>
      </c>
      <c r="AI15" s="337" t="s">
        <v>129</v>
      </c>
      <c r="AJ15" s="337" t="s">
        <v>129</v>
      </c>
      <c r="AK15" s="337" t="s">
        <v>129</v>
      </c>
      <c r="AL15" s="337" t="s">
        <v>129</v>
      </c>
      <c r="AM15" s="347" t="s">
        <v>129</v>
      </c>
      <c r="AS15" t="s">
        <v>63</v>
      </c>
      <c r="AT15" s="358"/>
      <c r="AU15" s="359"/>
      <c r="AV15" s="360"/>
      <c r="AW15" s="369"/>
      <c r="AX15" s="374">
        <v>0.0148</v>
      </c>
      <c r="AY15" s="372">
        <v>0.0283</v>
      </c>
      <c r="AZ15" s="372">
        <v>0.0472</v>
      </c>
      <c r="BA15" s="372">
        <v>0.0912</v>
      </c>
      <c r="BB15" s="371" t="s">
        <v>129</v>
      </c>
      <c r="BC15" s="371" t="s">
        <v>129</v>
      </c>
      <c r="BD15" s="373" t="s">
        <v>129</v>
      </c>
      <c r="BE15" s="369"/>
      <c r="BF15" s="374">
        <v>0.0335</v>
      </c>
      <c r="BG15" s="374">
        <v>0.071</v>
      </c>
      <c r="BH15" s="374">
        <v>0.0358</v>
      </c>
      <c r="BI15" s="371" t="s">
        <v>129</v>
      </c>
      <c r="BJ15" s="371" t="s">
        <v>129</v>
      </c>
      <c r="BK15" s="371" t="s">
        <v>129</v>
      </c>
      <c r="BL15" s="371" t="s">
        <v>129</v>
      </c>
      <c r="BM15" s="371" t="s">
        <v>129</v>
      </c>
      <c r="BN15" s="371" t="s">
        <v>129</v>
      </c>
      <c r="BO15" s="371" t="s">
        <v>129</v>
      </c>
      <c r="BP15" s="371" t="s">
        <v>129</v>
      </c>
      <c r="BQ15" s="371" t="s">
        <v>129</v>
      </c>
      <c r="BR15" s="371" t="s">
        <v>129</v>
      </c>
      <c r="BS15" s="371" t="s">
        <v>129</v>
      </c>
      <c r="BT15" s="371" t="s">
        <v>129</v>
      </c>
      <c r="BU15" s="371" t="s">
        <v>129</v>
      </c>
    </row>
    <row r="16" spans="2:73">
      <c r="B16" s="298" t="s">
        <v>23</v>
      </c>
      <c r="C16" s="304">
        <v>1.73</v>
      </c>
      <c r="D16" s="305">
        <v>45838</v>
      </c>
      <c r="E16" s="306">
        <v>10515.7458</v>
      </c>
      <c r="F16" s="307">
        <v>-0.022727</v>
      </c>
      <c r="G16" s="308">
        <v>0.035144</v>
      </c>
      <c r="H16" s="308">
        <v>0.067235</v>
      </c>
      <c r="I16" s="308">
        <v>-0.00366</v>
      </c>
      <c r="J16" s="308">
        <v>0.159149</v>
      </c>
      <c r="K16" s="308">
        <v>0.193198</v>
      </c>
      <c r="L16" s="338">
        <v>0.121931</v>
      </c>
      <c r="M16" s="318"/>
      <c r="N16" s="336">
        <v>0.038292</v>
      </c>
      <c r="O16" s="337">
        <v>0.16245344709274</v>
      </c>
      <c r="P16" s="337">
        <v>0.229016423405311</v>
      </c>
      <c r="Q16" s="337">
        <v>0.0198842680741259</v>
      </c>
      <c r="R16" s="337">
        <v>0.277371666876431</v>
      </c>
      <c r="S16" s="337">
        <v>0.163714309465092</v>
      </c>
      <c r="T16" s="337">
        <v>0.141953711237682</v>
      </c>
      <c r="U16" s="337">
        <v>-0.0210508149059418</v>
      </c>
      <c r="V16" s="337">
        <v>0.291776945722697</v>
      </c>
      <c r="W16" s="337">
        <v>0.0293260998758466</v>
      </c>
      <c r="X16" s="337">
        <v>0.0376912650050678</v>
      </c>
      <c r="Y16" s="337">
        <v>0.424565310045491</v>
      </c>
      <c r="Z16" s="337">
        <v>0.0426049025564755</v>
      </c>
      <c r="AA16" s="337">
        <v>0.234110418462021</v>
      </c>
      <c r="AB16" s="337">
        <v>-0.184619736818091</v>
      </c>
      <c r="AC16" s="337">
        <v>0.162908172469782</v>
      </c>
      <c r="AD16" s="337">
        <v>0.667067669172932</v>
      </c>
      <c r="AE16" s="337">
        <v>-0.503452334937981</v>
      </c>
      <c r="AF16" s="337">
        <v>0.66563268172773</v>
      </c>
      <c r="AG16" s="337">
        <v>0.436130198155036</v>
      </c>
      <c r="AH16" s="337">
        <v>0.493691148775895</v>
      </c>
      <c r="AI16" s="337">
        <v>0.367616758241758</v>
      </c>
      <c r="AJ16" s="337">
        <v>0.936009307737056</v>
      </c>
      <c r="AK16" s="337" t="s">
        <v>129</v>
      </c>
      <c r="AL16" s="337" t="s">
        <v>129</v>
      </c>
      <c r="AM16" s="347" t="s">
        <v>129</v>
      </c>
      <c r="AN16" s="35">
        <v>0.65</v>
      </c>
      <c r="AO16" s="35">
        <v>0.93</v>
      </c>
      <c r="AP16" s="35">
        <v>23.66</v>
      </c>
      <c r="AQ16" s="35">
        <v>3.61</v>
      </c>
      <c r="AS16" s="361" t="s">
        <v>138</v>
      </c>
      <c r="AT16" s="362">
        <v>0.73</v>
      </c>
      <c r="AU16" s="363">
        <v>45716</v>
      </c>
      <c r="AV16" s="362">
        <v>9585.9669</v>
      </c>
      <c r="AW16" s="369"/>
      <c r="AX16" s="375">
        <v>0.013215</v>
      </c>
      <c r="AY16" s="375">
        <v>0.022823</v>
      </c>
      <c r="AZ16" s="375">
        <v>0.038488</v>
      </c>
      <c r="BA16" s="375">
        <v>0.081713</v>
      </c>
      <c r="BB16" s="375">
        <v>0.065641</v>
      </c>
      <c r="BC16" s="375">
        <v>0.06502</v>
      </c>
      <c r="BD16" s="375">
        <v>0.075168</v>
      </c>
      <c r="BE16" s="377"/>
      <c r="BF16" s="375">
        <v>0.022823</v>
      </c>
      <c r="BG16" s="375">
        <v>0.0787793614011505</v>
      </c>
      <c r="BH16" s="375">
        <v>0.0686159066551631</v>
      </c>
      <c r="BI16" s="375">
        <v>0.0365217995408042</v>
      </c>
      <c r="BJ16" s="375">
        <v>0.035853310338186</v>
      </c>
      <c r="BK16" s="375">
        <v>0.109128711391493</v>
      </c>
      <c r="BL16" s="375">
        <v>0.0990157846826358</v>
      </c>
      <c r="BM16" s="375">
        <v>0.0662981221561367</v>
      </c>
      <c r="BN16" s="375">
        <v>0.0561392294729502</v>
      </c>
      <c r="BO16" s="375">
        <v>0.123201451566058</v>
      </c>
      <c r="BP16" s="375">
        <v>0.0852029318610281</v>
      </c>
      <c r="BQ16" s="375">
        <v>0.124713214441246</v>
      </c>
      <c r="BR16" s="375">
        <v>0.0963388219950159</v>
      </c>
      <c r="BS16" s="375">
        <v>0.0985491626463351</v>
      </c>
      <c r="BT16" s="375">
        <v>0.0925470396058631</v>
      </c>
      <c r="BU16" s="375">
        <v>0.0581493155369869</v>
      </c>
    </row>
    <row r="17" spans="2:73">
      <c r="B17" s="298" t="s">
        <v>139</v>
      </c>
      <c r="C17" s="304">
        <v>1.51</v>
      </c>
      <c r="D17" s="305">
        <v>45838</v>
      </c>
      <c r="E17" s="306">
        <v>40724.5936</v>
      </c>
      <c r="F17" s="307">
        <v>-0.016011</v>
      </c>
      <c r="G17" s="308">
        <v>0.040576</v>
      </c>
      <c r="H17" s="308">
        <v>0.074604</v>
      </c>
      <c r="I17" s="308">
        <v>0.009309</v>
      </c>
      <c r="J17" s="308">
        <v>0.134872</v>
      </c>
      <c r="K17" s="308">
        <v>0.176536</v>
      </c>
      <c r="L17" s="338">
        <v>0.127192</v>
      </c>
      <c r="M17" s="318"/>
      <c r="N17" s="336">
        <v>0.049824</v>
      </c>
      <c r="O17" s="337">
        <v>0.126856624816841</v>
      </c>
      <c r="P17" s="337">
        <v>0.184499356949318</v>
      </c>
      <c r="Q17" s="337">
        <v>0.0159843708374035</v>
      </c>
      <c r="R17" s="337">
        <v>0.277357359303852</v>
      </c>
      <c r="S17" s="337">
        <v>0.137026937391753</v>
      </c>
      <c r="T17" s="337">
        <v>0.127256111491889</v>
      </c>
      <c r="U17" s="337">
        <v>-0.00637691926696394</v>
      </c>
      <c r="V17" s="337">
        <v>0.38580335182749</v>
      </c>
      <c r="W17" s="337">
        <v>0.0808989458715881</v>
      </c>
      <c r="X17" s="337">
        <v>0.0425408488833026</v>
      </c>
      <c r="Y17" s="337">
        <v>0.528597467855559</v>
      </c>
      <c r="Z17" s="337">
        <v>0.0894697294976384</v>
      </c>
      <c r="AA17" s="337">
        <v>0.332761087267525</v>
      </c>
      <c r="AB17" s="337">
        <v>-0.19641317468529</v>
      </c>
      <c r="AC17" s="337">
        <v>0.231210191082802</v>
      </c>
      <c r="AD17" s="337">
        <v>1.09333333333333</v>
      </c>
      <c r="AE17" s="337">
        <v>-0.325</v>
      </c>
      <c r="AF17" s="337" t="s">
        <v>129</v>
      </c>
      <c r="AG17" s="337" t="s">
        <v>129</v>
      </c>
      <c r="AH17" s="337" t="s">
        <v>129</v>
      </c>
      <c r="AI17" s="337" t="s">
        <v>129</v>
      </c>
      <c r="AJ17" s="337" t="s">
        <v>129</v>
      </c>
      <c r="AK17" s="337" t="s">
        <v>129</v>
      </c>
      <c r="AL17" s="337" t="s">
        <v>129</v>
      </c>
      <c r="AM17" s="347" t="s">
        <v>129</v>
      </c>
      <c r="AS17" s="361" t="s">
        <v>140</v>
      </c>
      <c r="AT17" s="364">
        <v>0.63</v>
      </c>
      <c r="AU17" s="365">
        <v>45716</v>
      </c>
      <c r="AV17" s="364">
        <v>12987.923803</v>
      </c>
      <c r="AW17" s="369"/>
      <c r="AX17" s="376">
        <v>0.012468</v>
      </c>
      <c r="AY17" s="376">
        <v>0.023066</v>
      </c>
      <c r="AZ17" s="376">
        <v>0.039291</v>
      </c>
      <c r="BA17" s="376">
        <v>0.080002</v>
      </c>
      <c r="BB17" s="376">
        <v>0.064007</v>
      </c>
      <c r="BC17" s="376">
        <v>0.061721</v>
      </c>
      <c r="BD17" s="376">
        <v>0.072638</v>
      </c>
      <c r="BE17" s="377"/>
      <c r="BF17" s="376">
        <v>0.023066</v>
      </c>
      <c r="BG17" s="376">
        <v>0.0755498409765805</v>
      </c>
      <c r="BH17" s="376">
        <v>0.065271972954755</v>
      </c>
      <c r="BI17" s="376">
        <v>0.0375386780470909</v>
      </c>
      <c r="BJ17" s="376">
        <v>0.0338964284761844</v>
      </c>
      <c r="BK17" s="376">
        <v>0.0959162045186364</v>
      </c>
      <c r="BL17" s="376">
        <v>0.105236627604949</v>
      </c>
      <c r="BM17" s="376">
        <v>0.0756194000556421</v>
      </c>
      <c r="BN17" s="376">
        <v>0.0718288141350095</v>
      </c>
      <c r="BO17" s="376">
        <v>0.0837107856544236</v>
      </c>
      <c r="BP17" s="376">
        <v>0.0849827039920706</v>
      </c>
      <c r="BQ17" s="376">
        <v>0.0927197901925771</v>
      </c>
      <c r="BR17" s="376">
        <v>0.0868913307181336</v>
      </c>
      <c r="BS17" s="376">
        <v>0.0518253</v>
      </c>
      <c r="BT17" s="376" t="s">
        <v>129</v>
      </c>
      <c r="BU17" s="376" t="s">
        <v>129</v>
      </c>
    </row>
    <row r="18" spans="2:73">
      <c r="B18" s="298" t="s">
        <v>141</v>
      </c>
      <c r="C18" s="304">
        <v>2.14</v>
      </c>
      <c r="D18" s="305">
        <v>45838</v>
      </c>
      <c r="E18" s="306">
        <v>1563.5841</v>
      </c>
      <c r="F18" s="307">
        <v>-0.015099</v>
      </c>
      <c r="G18" s="308">
        <v>0.118679</v>
      </c>
      <c r="H18" s="308">
        <v>0.064219</v>
      </c>
      <c r="I18" s="308">
        <v>-0.110031</v>
      </c>
      <c r="J18" s="308">
        <v>0.106595</v>
      </c>
      <c r="K18" s="308">
        <v>0.137627</v>
      </c>
      <c r="L18" s="338">
        <v>0.097715</v>
      </c>
      <c r="M18" s="318"/>
      <c r="N18" s="336">
        <v>-0.037661</v>
      </c>
      <c r="O18" s="337">
        <v>0.136196496132983</v>
      </c>
      <c r="P18" s="337">
        <v>0.188192636947658</v>
      </c>
      <c r="Q18" s="337">
        <v>0.0195357198734842</v>
      </c>
      <c r="R18" s="337">
        <v>0.145878812805613</v>
      </c>
      <c r="S18" s="337">
        <v>0.172782704414184</v>
      </c>
      <c r="T18" s="337">
        <v>0.170854974802572</v>
      </c>
      <c r="U18" s="337">
        <v>-0.0420339045751754</v>
      </c>
      <c r="V18" s="337">
        <v>0.321539006832154</v>
      </c>
      <c r="W18" s="337">
        <v>0.0283290391503803</v>
      </c>
      <c r="X18" s="337">
        <v>0.0589675847979291</v>
      </c>
      <c r="Y18" s="337">
        <v>0.442356238541797</v>
      </c>
      <c r="Z18" s="337">
        <v>0.04183</v>
      </c>
      <c r="AA18" s="337" t="s">
        <v>129</v>
      </c>
      <c r="AB18" s="337" t="s">
        <v>129</v>
      </c>
      <c r="AC18" s="337" t="s">
        <v>129</v>
      </c>
      <c r="AD18" s="337" t="s">
        <v>129</v>
      </c>
      <c r="AE18" s="337" t="s">
        <v>129</v>
      </c>
      <c r="AF18" s="337" t="s">
        <v>129</v>
      </c>
      <c r="AG18" s="337" t="s">
        <v>129</v>
      </c>
      <c r="AH18" s="337" t="s">
        <v>129</v>
      </c>
      <c r="AI18" s="337" t="s">
        <v>129</v>
      </c>
      <c r="AJ18" s="337" t="s">
        <v>129</v>
      </c>
      <c r="AK18" s="337" t="s">
        <v>129</v>
      </c>
      <c r="AL18" s="337" t="s">
        <v>129</v>
      </c>
      <c r="AM18" s="347" t="s">
        <v>129</v>
      </c>
      <c r="AS18" s="361" t="s">
        <v>142</v>
      </c>
      <c r="AT18" s="364">
        <v>0.89</v>
      </c>
      <c r="AU18" s="365">
        <v>45716</v>
      </c>
      <c r="AV18" s="364">
        <v>118.4179</v>
      </c>
      <c r="AW18" s="369"/>
      <c r="AX18" s="376">
        <v>0.013812</v>
      </c>
      <c r="AY18" s="376">
        <v>0.023175</v>
      </c>
      <c r="AZ18" s="376">
        <v>0.037051</v>
      </c>
      <c r="BA18" s="376">
        <v>0.080731</v>
      </c>
      <c r="BB18" s="376" t="s">
        <v>129</v>
      </c>
      <c r="BC18" s="376" t="s">
        <v>129</v>
      </c>
      <c r="BD18" s="376" t="s">
        <v>129</v>
      </c>
      <c r="BE18" s="377"/>
      <c r="BF18" s="376">
        <v>0.023175</v>
      </c>
      <c r="BG18" s="376">
        <v>0.0780890044591214</v>
      </c>
      <c r="BH18" s="376">
        <v>0.0114100000000001</v>
      </c>
      <c r="BI18" s="376" t="s">
        <v>129</v>
      </c>
      <c r="BJ18" s="376" t="s">
        <v>129</v>
      </c>
      <c r="BK18" s="376" t="s">
        <v>129</v>
      </c>
      <c r="BL18" s="376" t="s">
        <v>129</v>
      </c>
      <c r="BM18" s="376" t="s">
        <v>129</v>
      </c>
      <c r="BN18" s="376" t="s">
        <v>129</v>
      </c>
      <c r="BO18" s="376" t="s">
        <v>129</v>
      </c>
      <c r="BP18" s="376" t="s">
        <v>129</v>
      </c>
      <c r="BQ18" s="376" t="s">
        <v>129</v>
      </c>
      <c r="BR18" s="376" t="s">
        <v>129</v>
      </c>
      <c r="BS18" s="376" t="s">
        <v>129</v>
      </c>
      <c r="BT18" s="376" t="s">
        <v>129</v>
      </c>
      <c r="BU18" s="376" t="s">
        <v>129</v>
      </c>
    </row>
    <row r="19" spans="2:73">
      <c r="B19" s="298" t="s">
        <v>20</v>
      </c>
      <c r="C19" s="304">
        <v>1.51</v>
      </c>
      <c r="D19" s="305">
        <v>45838</v>
      </c>
      <c r="E19" s="306">
        <v>43828.5997</v>
      </c>
      <c r="F19" s="307">
        <v>-0.017875</v>
      </c>
      <c r="G19" s="308">
        <v>0.047609</v>
      </c>
      <c r="H19" s="308">
        <v>0.078495</v>
      </c>
      <c r="I19" s="308">
        <v>0.006832</v>
      </c>
      <c r="J19" s="308">
        <v>0.204123</v>
      </c>
      <c r="K19" s="308">
        <v>0.251486</v>
      </c>
      <c r="L19" s="338">
        <v>0.137065</v>
      </c>
      <c r="M19" s="318"/>
      <c r="N19" s="336">
        <v>0.045961</v>
      </c>
      <c r="O19" s="337">
        <v>0.182397253978206</v>
      </c>
      <c r="P19" s="337">
        <v>0.321478427661326</v>
      </c>
      <c r="Q19" s="337">
        <v>0.113278340777579</v>
      </c>
      <c r="R19" s="337">
        <v>0.323671949303782</v>
      </c>
      <c r="S19" s="337">
        <v>0.0490812677272166</v>
      </c>
      <c r="T19" s="337">
        <v>0.0725190954426446</v>
      </c>
      <c r="U19" s="337">
        <v>-0.00200396593257917</v>
      </c>
      <c r="V19" s="337">
        <v>0.384211946930216</v>
      </c>
      <c r="W19" s="337">
        <v>0.022273823269714</v>
      </c>
      <c r="X19" s="337">
        <v>0.0111429699706402</v>
      </c>
      <c r="Y19" s="337">
        <v>0.546455668474401</v>
      </c>
      <c r="Z19" s="337">
        <v>0.0415301226476404</v>
      </c>
      <c r="AA19" s="337">
        <v>0.409683644231331</v>
      </c>
      <c r="AB19" s="337">
        <v>-0.264452027298274</v>
      </c>
      <c r="AC19" s="337">
        <v>0.193640579809354</v>
      </c>
      <c r="AD19" s="337">
        <v>0.734251413477377</v>
      </c>
      <c r="AE19" s="337">
        <v>-0.49161838372865</v>
      </c>
      <c r="AF19" s="337">
        <v>0.32552</v>
      </c>
      <c r="AG19" s="337" t="s">
        <v>129</v>
      </c>
      <c r="AH19" s="337" t="s">
        <v>129</v>
      </c>
      <c r="AI19" s="337" t="s">
        <v>129</v>
      </c>
      <c r="AJ19" s="337" t="s">
        <v>129</v>
      </c>
      <c r="AK19" s="337" t="s">
        <v>129</v>
      </c>
      <c r="AL19" s="337" t="s">
        <v>129</v>
      </c>
      <c r="AM19" s="347" t="s">
        <v>129</v>
      </c>
      <c r="AN19" s="35">
        <v>0.97</v>
      </c>
      <c r="AO19" s="35">
        <v>0.93</v>
      </c>
      <c r="AP19" s="35">
        <v>23.34</v>
      </c>
      <c r="AQ19" s="35">
        <v>3.48</v>
      </c>
      <c r="AS19" s="361" t="s">
        <v>143</v>
      </c>
      <c r="AT19" s="364">
        <v>0.63</v>
      </c>
      <c r="AU19" s="365">
        <v>45716</v>
      </c>
      <c r="AV19" s="364">
        <v>13421.3705</v>
      </c>
      <c r="AW19" s="369"/>
      <c r="AX19" s="376">
        <v>0.011061</v>
      </c>
      <c r="AY19" s="376">
        <v>0.021775</v>
      </c>
      <c r="AZ19" s="376">
        <v>0.037649</v>
      </c>
      <c r="BA19" s="376">
        <v>0.079011</v>
      </c>
      <c r="BB19" s="376">
        <v>0.063857</v>
      </c>
      <c r="BC19" s="376">
        <v>0.063167</v>
      </c>
      <c r="BD19" s="376">
        <v>0.072341</v>
      </c>
      <c r="BE19" s="377"/>
      <c r="BF19" s="376">
        <v>0.021775</v>
      </c>
      <c r="BG19" s="376">
        <v>0.0757935729822657</v>
      </c>
      <c r="BH19" s="376">
        <v>0.0673789243124848</v>
      </c>
      <c r="BI19" s="376">
        <v>0.036192339893279</v>
      </c>
      <c r="BJ19" s="376">
        <v>0.034072003379559</v>
      </c>
      <c r="BK19" s="376">
        <v>0.109284875412928</v>
      </c>
      <c r="BL19" s="376">
        <v>0.112011065362841</v>
      </c>
      <c r="BM19" s="376">
        <v>0.0734954902692027</v>
      </c>
      <c r="BN19" s="376">
        <v>0.0550099090697131</v>
      </c>
      <c r="BO19" s="376">
        <v>0.0799276103548667</v>
      </c>
      <c r="BP19" s="376">
        <v>0.085404389785635</v>
      </c>
      <c r="BQ19" s="376">
        <v>0.0925530227393604</v>
      </c>
      <c r="BR19" s="376">
        <v>0.07171</v>
      </c>
      <c r="BS19" s="376" t="s">
        <v>129</v>
      </c>
      <c r="BT19" s="376" t="s">
        <v>129</v>
      </c>
      <c r="BU19" s="376" t="s">
        <v>129</v>
      </c>
    </row>
    <row r="20" spans="2:73">
      <c r="B20" s="298" t="s">
        <v>144</v>
      </c>
      <c r="C20" s="304">
        <v>1.9</v>
      </c>
      <c r="D20" s="305">
        <v>45838</v>
      </c>
      <c r="E20" s="306">
        <v>2753.2825</v>
      </c>
      <c r="F20" s="307">
        <v>-0.025314</v>
      </c>
      <c r="G20" s="308">
        <v>0.065384</v>
      </c>
      <c r="H20" s="308">
        <v>0.045383</v>
      </c>
      <c r="I20" s="308">
        <v>-0.070916</v>
      </c>
      <c r="J20" s="308" t="s">
        <v>129</v>
      </c>
      <c r="K20" s="308" t="s">
        <v>129</v>
      </c>
      <c r="L20" s="338" t="s">
        <v>129</v>
      </c>
      <c r="M20" s="318"/>
      <c r="N20" s="336">
        <v>0.015821</v>
      </c>
      <c r="O20" s="337">
        <v>0.141805519852305</v>
      </c>
      <c r="P20" s="337">
        <v>0.268470302263767</v>
      </c>
      <c r="Q20" s="337">
        <v>0.01203</v>
      </c>
      <c r="R20" s="337" t="s">
        <v>129</v>
      </c>
      <c r="S20" s="337" t="s">
        <v>129</v>
      </c>
      <c r="T20" s="337" t="s">
        <v>129</v>
      </c>
      <c r="U20" s="337" t="s">
        <v>129</v>
      </c>
      <c r="V20" s="337" t="s">
        <v>129</v>
      </c>
      <c r="W20" s="337" t="s">
        <v>129</v>
      </c>
      <c r="X20" s="337" t="s">
        <v>129</v>
      </c>
      <c r="Y20" s="337" t="s">
        <v>129</v>
      </c>
      <c r="Z20" s="337" t="s">
        <v>129</v>
      </c>
      <c r="AA20" s="337" t="s">
        <v>129</v>
      </c>
      <c r="AB20" s="337" t="s">
        <v>129</v>
      </c>
      <c r="AC20" s="337" t="s">
        <v>129</v>
      </c>
      <c r="AD20" s="337" t="s">
        <v>129</v>
      </c>
      <c r="AE20" s="337" t="s">
        <v>129</v>
      </c>
      <c r="AF20" s="337" t="s">
        <v>129</v>
      </c>
      <c r="AG20" s="337" t="s">
        <v>129</v>
      </c>
      <c r="AH20" s="337" t="s">
        <v>129</v>
      </c>
      <c r="AI20" s="337" t="s">
        <v>129</v>
      </c>
      <c r="AJ20" s="337" t="s">
        <v>129</v>
      </c>
      <c r="AK20" s="337" t="s">
        <v>129</v>
      </c>
      <c r="AL20" s="337" t="s">
        <v>129</v>
      </c>
      <c r="AM20" s="347" t="s">
        <v>129</v>
      </c>
      <c r="AS20" s="361" t="s">
        <v>145</v>
      </c>
      <c r="AT20" s="364">
        <v>0.79</v>
      </c>
      <c r="AU20" s="365">
        <v>45716</v>
      </c>
      <c r="AV20" s="364">
        <v>25.4039</v>
      </c>
      <c r="AW20" s="369"/>
      <c r="AX20" s="376">
        <v>0.014231</v>
      </c>
      <c r="AY20" s="376">
        <v>0.023712</v>
      </c>
      <c r="AZ20" s="376">
        <v>0.038273</v>
      </c>
      <c r="BA20" s="376">
        <v>0.079998</v>
      </c>
      <c r="BB20" s="376">
        <v>0.057487</v>
      </c>
      <c r="BC20" s="376" t="s">
        <v>129</v>
      </c>
      <c r="BD20" s="376" t="s">
        <v>129</v>
      </c>
      <c r="BE20" s="377"/>
      <c r="BF20" s="376">
        <v>0.023712</v>
      </c>
      <c r="BG20" s="376">
        <v>0.0781679580104974</v>
      </c>
      <c r="BH20" s="376">
        <v>0.0628741662792572</v>
      </c>
      <c r="BI20" s="376">
        <v>0.0169915090698572</v>
      </c>
      <c r="BJ20" s="376">
        <v>0.034176520480966</v>
      </c>
      <c r="BK20" s="376">
        <v>0.00214999999999996</v>
      </c>
      <c r="BL20" s="376" t="s">
        <v>129</v>
      </c>
      <c r="BM20" s="376" t="s">
        <v>129</v>
      </c>
      <c r="BN20" s="376" t="s">
        <v>129</v>
      </c>
      <c r="BO20" s="376" t="s">
        <v>129</v>
      </c>
      <c r="BP20" s="376" t="s">
        <v>129</v>
      </c>
      <c r="BQ20" s="376" t="s">
        <v>129</v>
      </c>
      <c r="BR20" s="376" t="s">
        <v>129</v>
      </c>
      <c r="BS20" s="376" t="s">
        <v>129</v>
      </c>
      <c r="BT20" s="376" t="s">
        <v>129</v>
      </c>
      <c r="BU20" s="376" t="s">
        <v>129</v>
      </c>
    </row>
    <row r="21" spans="2:73">
      <c r="B21" s="298" t="s">
        <v>146</v>
      </c>
      <c r="C21" s="304">
        <v>1.48</v>
      </c>
      <c r="D21" s="305">
        <v>45838</v>
      </c>
      <c r="E21" s="306">
        <v>53959.0806</v>
      </c>
      <c r="F21" s="307">
        <v>-0.019714</v>
      </c>
      <c r="G21" s="308">
        <v>0.034552</v>
      </c>
      <c r="H21" s="308">
        <v>0.066194</v>
      </c>
      <c r="I21" s="308">
        <v>0.010644</v>
      </c>
      <c r="J21" s="308">
        <v>0.151055</v>
      </c>
      <c r="K21" s="308">
        <v>0.195883</v>
      </c>
      <c r="L21" s="338">
        <v>0.121038</v>
      </c>
      <c r="M21" s="318"/>
      <c r="N21" s="336">
        <v>0.050959</v>
      </c>
      <c r="O21" s="337">
        <v>0.124520864117</v>
      </c>
      <c r="P21" s="337">
        <v>0.226217714612575</v>
      </c>
      <c r="Q21" s="337">
        <v>0.0435743745746452</v>
      </c>
      <c r="R21" s="337">
        <v>0.260831987627084</v>
      </c>
      <c r="S21" s="337">
        <v>0.163394369178662</v>
      </c>
      <c r="T21" s="337">
        <v>0.116370999360864</v>
      </c>
      <c r="U21" s="337">
        <v>-0.0410957493105215</v>
      </c>
      <c r="V21" s="337">
        <v>0.302292124281091</v>
      </c>
      <c r="W21" s="337">
        <v>0.0482807836575137</v>
      </c>
      <c r="X21" s="337">
        <v>0.0798967408841562</v>
      </c>
      <c r="Y21" s="337">
        <v>0.478580329377954</v>
      </c>
      <c r="Z21" s="337">
        <v>0.0758091787439615</v>
      </c>
      <c r="AA21" s="337">
        <v>0.382303839732888</v>
      </c>
      <c r="AB21" s="337">
        <v>-0.24225173940544</v>
      </c>
      <c r="AC21" s="337">
        <v>0.118895966029724</v>
      </c>
      <c r="AD21" s="337">
        <v>0.878989361702128</v>
      </c>
      <c r="AE21" s="337">
        <v>-0.550239234449761</v>
      </c>
      <c r="AF21" s="337">
        <v>0.427839453458582</v>
      </c>
      <c r="AG21" s="337">
        <v>0.171</v>
      </c>
      <c r="AH21" s="337" t="s">
        <v>129</v>
      </c>
      <c r="AI21" s="337" t="s">
        <v>129</v>
      </c>
      <c r="AJ21" s="337" t="s">
        <v>129</v>
      </c>
      <c r="AK21" s="337" t="s">
        <v>129</v>
      </c>
      <c r="AL21" s="337" t="s">
        <v>129</v>
      </c>
      <c r="AM21" s="347" t="s">
        <v>129</v>
      </c>
      <c r="AS21" s="361" t="s">
        <v>147</v>
      </c>
      <c r="AT21" s="364">
        <v>0.71</v>
      </c>
      <c r="AU21" s="365">
        <v>45716</v>
      </c>
      <c r="AV21" s="364">
        <v>230.0894</v>
      </c>
      <c r="AW21" s="369"/>
      <c r="AX21" s="376">
        <v>0.010766</v>
      </c>
      <c r="AY21" s="376">
        <v>0.020533</v>
      </c>
      <c r="AZ21" s="376">
        <v>0.035901</v>
      </c>
      <c r="BA21" s="376">
        <v>0.076772</v>
      </c>
      <c r="BB21" s="376" t="s">
        <v>129</v>
      </c>
      <c r="BC21" s="376" t="s">
        <v>129</v>
      </c>
      <c r="BD21" s="376" t="s">
        <v>129</v>
      </c>
      <c r="BE21" s="377"/>
      <c r="BF21" s="376">
        <v>0.020533</v>
      </c>
      <c r="BG21" s="376">
        <v>0.0766203875566115</v>
      </c>
      <c r="BH21" s="376">
        <v>0.0621716200897037</v>
      </c>
      <c r="BI21" s="376">
        <v>0.0144500000000001</v>
      </c>
      <c r="BJ21" s="376" t="s">
        <v>129</v>
      </c>
      <c r="BK21" s="376" t="s">
        <v>129</v>
      </c>
      <c r="BL21" s="376" t="s">
        <v>129</v>
      </c>
      <c r="BM21" s="376" t="s">
        <v>129</v>
      </c>
      <c r="BN21" s="376" t="s">
        <v>129</v>
      </c>
      <c r="BO21" s="376" t="s">
        <v>129</v>
      </c>
      <c r="BP21" s="376" t="s">
        <v>129</v>
      </c>
      <c r="BQ21" s="376" t="s">
        <v>129</v>
      </c>
      <c r="BR21" s="376" t="s">
        <v>129</v>
      </c>
      <c r="BS21" s="376" t="s">
        <v>129</v>
      </c>
      <c r="BT21" s="376" t="s">
        <v>129</v>
      </c>
      <c r="BU21" s="376" t="s">
        <v>129</v>
      </c>
    </row>
    <row r="22" spans="2:73">
      <c r="B22" s="298" t="s">
        <v>148</v>
      </c>
      <c r="C22" s="304">
        <v>2</v>
      </c>
      <c r="D22" s="305">
        <v>45838</v>
      </c>
      <c r="E22" s="306">
        <v>2701.7775813251</v>
      </c>
      <c r="F22" s="307">
        <v>-0.029866</v>
      </c>
      <c r="G22" s="308">
        <v>0.018921</v>
      </c>
      <c r="H22" s="308">
        <v>0.042854</v>
      </c>
      <c r="I22" s="308">
        <v>-0.041784</v>
      </c>
      <c r="J22" s="308">
        <v>0.149555</v>
      </c>
      <c r="K22" s="308">
        <v>0.193573</v>
      </c>
      <c r="L22" s="338">
        <v>0.111409</v>
      </c>
      <c r="M22" s="318"/>
      <c r="N22" s="336">
        <v>0.023155</v>
      </c>
      <c r="O22" s="337">
        <v>0.12893307155409</v>
      </c>
      <c r="P22" s="337">
        <v>0.24539160189438</v>
      </c>
      <c r="Q22" s="337">
        <v>0.0331172790114473</v>
      </c>
      <c r="R22" s="337">
        <v>0.326709011785516</v>
      </c>
      <c r="S22" s="337">
        <v>0.0833411301584662</v>
      </c>
      <c r="T22" s="337">
        <v>0.121051052130143</v>
      </c>
      <c r="U22" s="337">
        <v>-0.0364834889251655</v>
      </c>
      <c r="V22" s="337">
        <v>0.295384171549129</v>
      </c>
      <c r="W22" s="337">
        <v>0.0289633366801573</v>
      </c>
      <c r="X22" s="337">
        <v>0.0133840432981188</v>
      </c>
      <c r="Y22" s="337">
        <v>0.360478733008334</v>
      </c>
      <c r="Z22" s="337">
        <v>0.0796187123885072</v>
      </c>
      <c r="AA22" s="337">
        <v>0.284671193377359</v>
      </c>
      <c r="AB22" s="337">
        <v>-0.212238893460641</v>
      </c>
      <c r="AC22" s="337">
        <v>0.189545930990093</v>
      </c>
      <c r="AD22" s="337">
        <v>0.771760284943269</v>
      </c>
      <c r="AE22" s="337">
        <v>-0.492136957706486</v>
      </c>
      <c r="AF22" s="337">
        <v>0.613193943178773</v>
      </c>
      <c r="AG22" s="337">
        <v>0.426289281111985</v>
      </c>
      <c r="AH22" s="337">
        <v>0.443542354088461</v>
      </c>
      <c r="AI22" s="337">
        <v>0.292800027632421</v>
      </c>
      <c r="AJ22" s="337">
        <v>1.40645845022131</v>
      </c>
      <c r="AK22" s="337">
        <v>0.0638678869876625</v>
      </c>
      <c r="AL22" s="337">
        <v>-0.238478438370693</v>
      </c>
      <c r="AM22" s="347">
        <v>-0.0659648472389383</v>
      </c>
      <c r="AS22" s="361" t="s">
        <v>149</v>
      </c>
      <c r="AT22" s="364">
        <v>0.72</v>
      </c>
      <c r="AU22" s="365">
        <v>45716</v>
      </c>
      <c r="AV22" s="364">
        <v>3211.4465</v>
      </c>
      <c r="AW22" s="369"/>
      <c r="AX22" s="376">
        <v>0.016883</v>
      </c>
      <c r="AY22" s="376">
        <v>0.022519</v>
      </c>
      <c r="AZ22" s="376">
        <v>0.034762</v>
      </c>
      <c r="BA22" s="376">
        <v>0.083187</v>
      </c>
      <c r="BB22" s="376">
        <v>0.066645</v>
      </c>
      <c r="BC22" s="376">
        <v>0.06364</v>
      </c>
      <c r="BD22" s="376">
        <v>0.072591</v>
      </c>
      <c r="BE22" s="377"/>
      <c r="BF22" s="376">
        <v>0.022519</v>
      </c>
      <c r="BG22" s="376">
        <v>0.0863788625842148</v>
      </c>
      <c r="BH22" s="376">
        <v>0.067103109656301</v>
      </c>
      <c r="BI22" s="376">
        <v>0.0320678559770359</v>
      </c>
      <c r="BJ22" s="376">
        <v>0.0310109406384889</v>
      </c>
      <c r="BK22" s="376">
        <v>0.109009905682734</v>
      </c>
      <c r="BL22" s="376">
        <v>0.0992354481159723</v>
      </c>
      <c r="BM22" s="376">
        <v>0.063312351552167</v>
      </c>
      <c r="BN22" s="376">
        <v>0.0542026192457623</v>
      </c>
      <c r="BO22" s="376">
        <v>0.106108442004118</v>
      </c>
      <c r="BP22" s="376">
        <v>0.0859786039985969</v>
      </c>
      <c r="BQ22" s="376">
        <v>0.104214878433727</v>
      </c>
      <c r="BR22" s="376">
        <v>0.03277</v>
      </c>
      <c r="BS22" s="376" t="s">
        <v>129</v>
      </c>
      <c r="BT22" s="376" t="s">
        <v>129</v>
      </c>
      <c r="BU22" s="376" t="s">
        <v>129</v>
      </c>
    </row>
    <row r="23" spans="2:73">
      <c r="B23" s="298" t="s">
        <v>150</v>
      </c>
      <c r="C23" s="304">
        <v>1.74</v>
      </c>
      <c r="D23" s="305">
        <v>45838</v>
      </c>
      <c r="E23" s="306">
        <v>13074.2632</v>
      </c>
      <c r="F23" s="307">
        <v>-0.023264</v>
      </c>
      <c r="G23" s="308">
        <v>0.022039</v>
      </c>
      <c r="H23" s="308">
        <v>0.047724</v>
      </c>
      <c r="I23" s="308">
        <v>-0.009849</v>
      </c>
      <c r="J23" s="308">
        <v>0.13088</v>
      </c>
      <c r="K23" s="308">
        <v>0.178196</v>
      </c>
      <c r="L23" s="338">
        <v>0.112141</v>
      </c>
      <c r="M23" s="318"/>
      <c r="N23" s="336">
        <v>0.040083</v>
      </c>
      <c r="O23" s="337">
        <v>0.112149767430377</v>
      </c>
      <c r="P23" s="337">
        <v>0.207814843359172</v>
      </c>
      <c r="Q23" s="337">
        <v>-0.0179476576302285</v>
      </c>
      <c r="R23" s="337">
        <v>0.295623680195939</v>
      </c>
      <c r="S23" s="337">
        <v>0.186715864866942</v>
      </c>
      <c r="T23" s="337">
        <v>0.106917314813144</v>
      </c>
      <c r="U23" s="337">
        <v>-0.00388447246758161</v>
      </c>
      <c r="V23" s="337">
        <v>0.295721894291792</v>
      </c>
      <c r="W23" s="337">
        <v>0.0360092660259503</v>
      </c>
      <c r="X23" s="337">
        <v>-0.00485977546693863</v>
      </c>
      <c r="Y23" s="337">
        <v>0.432925670317283</v>
      </c>
      <c r="Z23" s="337">
        <v>0.0590109318063508</v>
      </c>
      <c r="AA23" s="337">
        <v>0.250651041666667</v>
      </c>
      <c r="AB23" s="337">
        <v>-0.197212543554007</v>
      </c>
      <c r="AC23" s="337">
        <v>0.184726522187822</v>
      </c>
      <c r="AD23" s="337">
        <v>0.741552839683681</v>
      </c>
      <c r="AE23" s="337">
        <v>-0.503036798856734</v>
      </c>
      <c r="AF23" s="337">
        <v>0.625435540069686</v>
      </c>
      <c r="AG23" s="337">
        <v>0.269911504424779</v>
      </c>
      <c r="AH23" s="337">
        <v>0.176062445793582</v>
      </c>
      <c r="AI23" s="337" t="s">
        <v>129</v>
      </c>
      <c r="AJ23" s="337" t="s">
        <v>129</v>
      </c>
      <c r="AK23" s="337" t="s">
        <v>129</v>
      </c>
      <c r="AL23" s="337" t="s">
        <v>129</v>
      </c>
      <c r="AM23" s="347" t="s">
        <v>129</v>
      </c>
      <c r="AS23" s="361" t="s">
        <v>151</v>
      </c>
      <c r="AT23" s="364">
        <v>0.7</v>
      </c>
      <c r="AU23" s="365">
        <v>45716</v>
      </c>
      <c r="AV23" s="364">
        <v>263.6194</v>
      </c>
      <c r="AW23" s="369"/>
      <c r="AX23" s="376">
        <v>0.016354</v>
      </c>
      <c r="AY23" s="376">
        <v>0.025413</v>
      </c>
      <c r="AZ23" s="376">
        <v>0.03911</v>
      </c>
      <c r="BA23" s="376">
        <v>0.084519</v>
      </c>
      <c r="BB23" s="376">
        <v>0.06375</v>
      </c>
      <c r="BC23" s="376">
        <v>0.065044</v>
      </c>
      <c r="BD23" s="376">
        <v>0.07529</v>
      </c>
      <c r="BE23" s="377"/>
      <c r="BF23" s="376">
        <v>0.025413</v>
      </c>
      <c r="BG23" s="376">
        <v>0.0818630131949648</v>
      </c>
      <c r="BH23" s="376">
        <v>0.0639651445951629</v>
      </c>
      <c r="BI23" s="376">
        <v>0.0258182639010809</v>
      </c>
      <c r="BJ23" s="376">
        <v>0.0453032011116064</v>
      </c>
      <c r="BK23" s="376">
        <v>0.129192693685426</v>
      </c>
      <c r="BL23" s="376">
        <v>0.129218816859221</v>
      </c>
      <c r="BM23" s="376">
        <v>0.0585812259804234</v>
      </c>
      <c r="BN23" s="376">
        <v>0.0600588208814129</v>
      </c>
      <c r="BO23" s="376">
        <v>0.0803585902798042</v>
      </c>
      <c r="BP23" s="376">
        <v>0.0833604088550127</v>
      </c>
      <c r="BQ23" s="376">
        <v>0.107524581076218</v>
      </c>
      <c r="BR23" s="376">
        <v>0.0282299999999999</v>
      </c>
      <c r="BS23" s="376" t="s">
        <v>129</v>
      </c>
      <c r="BT23" s="376" t="s">
        <v>129</v>
      </c>
      <c r="BU23" s="376" t="s">
        <v>129</v>
      </c>
    </row>
    <row r="24" ht="15.15" spans="2:73">
      <c r="B24" s="298" t="s">
        <v>152</v>
      </c>
      <c r="C24" s="309">
        <v>0.05</v>
      </c>
      <c r="D24" s="310">
        <v>45838</v>
      </c>
      <c r="E24" s="311">
        <v>64150.2101</v>
      </c>
      <c r="F24" s="307">
        <v>-0.027639</v>
      </c>
      <c r="G24" s="308">
        <v>0.024295</v>
      </c>
      <c r="H24" s="308">
        <v>0.061562</v>
      </c>
      <c r="I24" s="308">
        <v>0.004964</v>
      </c>
      <c r="J24" s="308">
        <v>0.142216</v>
      </c>
      <c r="K24" s="308">
        <v>0.187925</v>
      </c>
      <c r="L24" s="338" t="s">
        <v>129</v>
      </c>
      <c r="M24" s="318"/>
      <c r="N24" s="336">
        <v>0.056746</v>
      </c>
      <c r="O24" s="337">
        <v>0.099910956235848</v>
      </c>
      <c r="P24" s="337">
        <v>0.21254110292327</v>
      </c>
      <c r="Q24" s="337">
        <v>0.0561577319894555</v>
      </c>
      <c r="R24" s="337">
        <v>0.254947463963311</v>
      </c>
      <c r="S24" s="337">
        <v>0.156937059600491</v>
      </c>
      <c r="T24" s="337">
        <v>0.134539623144386</v>
      </c>
      <c r="U24" s="337">
        <v>0.0452801364919924</v>
      </c>
      <c r="V24" s="337">
        <v>0.303093591353214</v>
      </c>
      <c r="W24" s="337">
        <v>0.0467803825376297</v>
      </c>
      <c r="X24" s="337">
        <v>0.0219399982403575</v>
      </c>
      <c r="Y24" s="337" t="s">
        <v>129</v>
      </c>
      <c r="Z24" s="337" t="s">
        <v>129</v>
      </c>
      <c r="AA24" s="337" t="s">
        <v>129</v>
      </c>
      <c r="AB24" s="337" t="s">
        <v>129</v>
      </c>
      <c r="AC24" s="337" t="s">
        <v>129</v>
      </c>
      <c r="AD24" s="337" t="s">
        <v>129</v>
      </c>
      <c r="AE24" s="337" t="s">
        <v>129</v>
      </c>
      <c r="AF24" s="337" t="s">
        <v>129</v>
      </c>
      <c r="AG24" s="337" t="s">
        <v>129</v>
      </c>
      <c r="AH24" s="337" t="s">
        <v>129</v>
      </c>
      <c r="AI24" s="337" t="s">
        <v>129</v>
      </c>
      <c r="AJ24" s="337" t="s">
        <v>129</v>
      </c>
      <c r="AK24" s="337" t="s">
        <v>129</v>
      </c>
      <c r="AL24" s="337" t="s">
        <v>129</v>
      </c>
      <c r="AM24" s="347" t="s">
        <v>129</v>
      </c>
      <c r="AS24" s="361" t="s">
        <v>153</v>
      </c>
      <c r="AT24" s="364">
        <v>0.51</v>
      </c>
      <c r="AU24" s="365">
        <v>45716</v>
      </c>
      <c r="AV24" s="364">
        <v>587.342954206</v>
      </c>
      <c r="AW24" s="369"/>
      <c r="AX24" s="376">
        <v>0.010765</v>
      </c>
      <c r="AY24" s="376">
        <v>0.020875</v>
      </c>
      <c r="AZ24" s="376">
        <v>0.037637</v>
      </c>
      <c r="BA24" s="376">
        <v>0.078652</v>
      </c>
      <c r="BB24" s="376">
        <v>0.063335</v>
      </c>
      <c r="BC24" s="376">
        <v>0.058892</v>
      </c>
      <c r="BD24" s="376">
        <v>0.071208</v>
      </c>
      <c r="BE24" s="377"/>
      <c r="BF24" s="376">
        <v>0.020875</v>
      </c>
      <c r="BG24" s="376">
        <v>0.0770259910106278</v>
      </c>
      <c r="BH24" s="376">
        <v>0.0683622503332459</v>
      </c>
      <c r="BI24" s="376">
        <v>0.0327005152473408</v>
      </c>
      <c r="BJ24" s="376">
        <v>0.0369232356701044</v>
      </c>
      <c r="BK24" s="376">
        <v>0.0913259720354091</v>
      </c>
      <c r="BL24" s="376">
        <v>0.111957482034908</v>
      </c>
      <c r="BM24" s="376">
        <v>0.0685979349256261</v>
      </c>
      <c r="BN24" s="376">
        <v>0.0633892999430848</v>
      </c>
      <c r="BO24" s="376">
        <v>0.0965544142504225</v>
      </c>
      <c r="BP24" s="376">
        <v>0.0726339572117933</v>
      </c>
      <c r="BQ24" s="376">
        <v>0.07553</v>
      </c>
      <c r="BR24" s="376" t="s">
        <v>129</v>
      </c>
      <c r="BS24" s="376" t="s">
        <v>129</v>
      </c>
      <c r="BT24" s="376" t="s">
        <v>129</v>
      </c>
      <c r="BU24" s="376" t="s">
        <v>129</v>
      </c>
    </row>
    <row r="25" spans="2:73">
      <c r="B25" s="312" t="s">
        <v>154</v>
      </c>
      <c r="F25" s="302">
        <v>-0.029931</v>
      </c>
      <c r="G25" s="303">
        <v>0.023115</v>
      </c>
      <c r="H25" s="303">
        <v>0.054214</v>
      </c>
      <c r="I25" s="303">
        <v>-0.018044</v>
      </c>
      <c r="J25" s="303">
        <v>0.139445</v>
      </c>
      <c r="K25" s="303">
        <v>0.183864</v>
      </c>
      <c r="L25" s="335">
        <v>0.11603</v>
      </c>
      <c r="M25" s="318"/>
      <c r="N25" s="339">
        <v>0.035912</v>
      </c>
      <c r="O25" s="340">
        <v>0.119583343943169</v>
      </c>
      <c r="P25" s="340">
        <v>0.21490819352006</v>
      </c>
      <c r="Q25" s="340">
        <v>0.045369467323215</v>
      </c>
      <c r="R25" s="340">
        <v>0.249994503729308</v>
      </c>
      <c r="S25" s="340">
        <v>0.152357882641574</v>
      </c>
      <c r="T25" s="340">
        <v>0.0963325932576055</v>
      </c>
      <c r="U25" s="340">
        <v>0.0118986960755337</v>
      </c>
      <c r="V25" s="340">
        <v>0.315152938763684</v>
      </c>
      <c r="W25" s="340">
        <v>0.0357045385220505</v>
      </c>
      <c r="X25" s="340">
        <v>-0.0324640022367543</v>
      </c>
      <c r="Y25" s="340">
        <v>0.322845012897678</v>
      </c>
      <c r="Z25" s="340">
        <v>0.0587341484067246</v>
      </c>
      <c r="AA25" s="340">
        <v>0.299579619025664</v>
      </c>
      <c r="AB25" s="340">
        <v>-0.257336255614543</v>
      </c>
      <c r="AC25" s="340">
        <v>0.15659330908629</v>
      </c>
      <c r="AD25" s="340">
        <v>0.850369504953233</v>
      </c>
      <c r="AE25" s="340">
        <v>-0.552814136530293</v>
      </c>
      <c r="AF25" s="340">
        <v>0.597449800981757</v>
      </c>
      <c r="AG25" s="340">
        <v>0.40968359497372</v>
      </c>
      <c r="AH25" s="340">
        <v>0.383463353558702</v>
      </c>
      <c r="AI25" s="340">
        <v>0.164392010855547</v>
      </c>
      <c r="AJ25" s="340">
        <v>0.847127424884258</v>
      </c>
      <c r="AK25" s="340">
        <v>0.0689998782094575</v>
      </c>
      <c r="AL25" s="340">
        <v>-0.23372755964299</v>
      </c>
      <c r="AM25" s="348">
        <v>-0.225673367494416</v>
      </c>
      <c r="AS25" s="361" t="s">
        <v>155</v>
      </c>
      <c r="AT25" s="364">
        <v>0.74</v>
      </c>
      <c r="AU25" s="365">
        <v>45716</v>
      </c>
      <c r="AV25" s="364">
        <v>5836.8354</v>
      </c>
      <c r="AW25" s="369"/>
      <c r="AX25" s="376">
        <v>0.013555</v>
      </c>
      <c r="AY25" s="376">
        <v>0.022796</v>
      </c>
      <c r="AZ25" s="376">
        <v>0.038329</v>
      </c>
      <c r="BA25" s="376">
        <v>0.080927</v>
      </c>
      <c r="BB25" s="376">
        <v>0.064865</v>
      </c>
      <c r="BC25" s="376">
        <v>0.063823</v>
      </c>
      <c r="BD25" s="376">
        <v>0.073895</v>
      </c>
      <c r="BE25" s="377"/>
      <c r="BF25" s="376">
        <v>0.022796</v>
      </c>
      <c r="BG25" s="376">
        <v>0.0785207178869078</v>
      </c>
      <c r="BH25" s="376">
        <v>0.0683126753486035</v>
      </c>
      <c r="BI25" s="376">
        <v>0.0327867966245547</v>
      </c>
      <c r="BJ25" s="376">
        <v>0.0365864592556064</v>
      </c>
      <c r="BK25" s="376">
        <v>0.105656098785014</v>
      </c>
      <c r="BL25" s="376">
        <v>0.10229267259925</v>
      </c>
      <c r="BM25" s="376">
        <v>0.0586810501276147</v>
      </c>
      <c r="BN25" s="376">
        <v>0.0632293476422564</v>
      </c>
      <c r="BO25" s="376">
        <v>0.108297620366189</v>
      </c>
      <c r="BP25" s="376">
        <v>0.0975509402556598</v>
      </c>
      <c r="BQ25" s="376">
        <v>0.0693899999999999</v>
      </c>
      <c r="BR25" s="376" t="s">
        <v>129</v>
      </c>
      <c r="BS25" s="376" t="s">
        <v>129</v>
      </c>
      <c r="BT25" s="376" t="s">
        <v>129</v>
      </c>
      <c r="BU25" s="376" t="s">
        <v>129</v>
      </c>
    </row>
    <row r="26" spans="2:73">
      <c r="B26" s="313" t="s">
        <v>156</v>
      </c>
      <c r="F26" s="307">
        <v>-0.028956</v>
      </c>
      <c r="G26" s="308">
        <v>0.011756</v>
      </c>
      <c r="H26" s="308">
        <v>0.047548</v>
      </c>
      <c r="I26" s="308">
        <v>-0.006799</v>
      </c>
      <c r="J26" s="308">
        <v>0.121048</v>
      </c>
      <c r="K26" s="308">
        <v>0.166288</v>
      </c>
      <c r="L26" s="338">
        <v>0.111775</v>
      </c>
      <c r="M26" s="318"/>
      <c r="N26" s="336">
        <v>0.038989</v>
      </c>
      <c r="O26" s="337">
        <v>0.0816546064479834</v>
      </c>
      <c r="P26" s="337">
        <v>0.187366557342991</v>
      </c>
      <c r="Q26" s="337">
        <v>0.0444077315444721</v>
      </c>
      <c r="R26" s="337">
        <v>0.219941308441042</v>
      </c>
      <c r="S26" s="337">
        <v>0.157503053056523</v>
      </c>
      <c r="T26" s="337">
        <v>0.143766290260736</v>
      </c>
      <c r="U26" s="337">
        <v>0.0590630425673793</v>
      </c>
      <c r="V26" s="337">
        <v>0.27905962715284</v>
      </c>
      <c r="W26" s="337">
        <v>0.0194857555497186</v>
      </c>
      <c r="X26" s="337">
        <v>-0.0502512416625513</v>
      </c>
      <c r="Y26" s="337">
        <v>0.298938909850794</v>
      </c>
      <c r="Z26" s="337">
        <v>0.0897717626916756</v>
      </c>
      <c r="AA26" s="337">
        <v>0.256991948195138</v>
      </c>
      <c r="AB26" s="337">
        <v>-0.246435604895195</v>
      </c>
      <c r="AC26" s="337">
        <v>0.174309368381334</v>
      </c>
      <c r="AD26" s="337">
        <v>0.810329511542596</v>
      </c>
      <c r="AE26" s="337">
        <v>-0.524458285827518</v>
      </c>
      <c r="AF26" s="337">
        <v>0.4714675006945</v>
      </c>
      <c r="AG26" s="337">
        <v>0.467015608756396</v>
      </c>
      <c r="AH26" s="337">
        <v>0.423348665468165</v>
      </c>
      <c r="AI26" s="337">
        <v>0.130798977900174</v>
      </c>
      <c r="AJ26" s="337">
        <v>0.728894258101194</v>
      </c>
      <c r="AK26" s="337">
        <v>0.0352355525038853</v>
      </c>
      <c r="AL26" s="337">
        <v>-0.178692990141285</v>
      </c>
      <c r="AM26" s="347">
        <v>-0.206499634425529</v>
      </c>
      <c r="AS26" s="361" t="s">
        <v>157</v>
      </c>
      <c r="AT26" s="364">
        <v>0.61</v>
      </c>
      <c r="AU26" s="365">
        <v>45716</v>
      </c>
      <c r="AV26" s="364">
        <v>4246.1157</v>
      </c>
      <c r="AW26" s="369"/>
      <c r="AX26" s="376">
        <v>0.012191</v>
      </c>
      <c r="AY26" s="376">
        <v>0.021556</v>
      </c>
      <c r="AZ26" s="376">
        <v>0.038828</v>
      </c>
      <c r="BA26" s="376">
        <v>0.075843</v>
      </c>
      <c r="BB26" s="376">
        <v>0.054725</v>
      </c>
      <c r="BC26" s="376">
        <v>0.056754</v>
      </c>
      <c r="BD26" s="376">
        <v>0.067779</v>
      </c>
      <c r="BE26" s="377"/>
      <c r="BF26" s="376">
        <v>0.021556</v>
      </c>
      <c r="BG26" s="376">
        <v>0.0726433104825476</v>
      </c>
      <c r="BH26" s="376">
        <v>0.0649407548525885</v>
      </c>
      <c r="BI26" s="376">
        <v>0.0156035956763892</v>
      </c>
      <c r="BJ26" s="376">
        <v>0.0303248837125446</v>
      </c>
      <c r="BK26" s="376">
        <v>0.103995586997566</v>
      </c>
      <c r="BL26" s="376">
        <v>0.095724131055196</v>
      </c>
      <c r="BM26" s="376">
        <v>0.0624569673216463</v>
      </c>
      <c r="BN26" s="376">
        <v>0.0547823718776841</v>
      </c>
      <c r="BO26" s="376">
        <v>0.102655712206728</v>
      </c>
      <c r="BP26" s="376">
        <v>0.077445742350833</v>
      </c>
      <c r="BQ26" s="376">
        <v>0.0870949413324435</v>
      </c>
      <c r="BR26" s="376">
        <v>0.0820947231791698</v>
      </c>
      <c r="BS26" s="376">
        <v>0.0246700000000001</v>
      </c>
      <c r="BT26" s="376">
        <v>-0.19711604081862</v>
      </c>
      <c r="BU26" s="376">
        <v>0.0569321634052375</v>
      </c>
    </row>
    <row r="27" spans="2:73">
      <c r="B27" s="313" t="s">
        <v>158</v>
      </c>
      <c r="F27" s="307">
        <v>-0.029341</v>
      </c>
      <c r="G27" s="308">
        <v>0.017841</v>
      </c>
      <c r="H27" s="308">
        <v>0.053596</v>
      </c>
      <c r="I27" s="308">
        <v>-0.007326</v>
      </c>
      <c r="J27" s="308">
        <v>0.129786</v>
      </c>
      <c r="K27" s="308">
        <v>0.174585</v>
      </c>
      <c r="L27" s="338">
        <v>0.112352</v>
      </c>
      <c r="M27" s="318"/>
      <c r="N27" s="336">
        <v>0.047518</v>
      </c>
      <c r="O27" s="337">
        <v>0.0880476902077809</v>
      </c>
      <c r="P27" s="337">
        <v>0.200278393101744</v>
      </c>
      <c r="Q27" s="337">
        <v>0.0432896067488569</v>
      </c>
      <c r="R27" s="337">
        <v>0.241192983710909</v>
      </c>
      <c r="S27" s="337">
        <v>0.149016514017808</v>
      </c>
      <c r="T27" s="337">
        <v>0.120220390239861</v>
      </c>
      <c r="U27" s="337">
        <v>0.0315126249916908</v>
      </c>
      <c r="V27" s="337">
        <v>0.286459478609299</v>
      </c>
      <c r="W27" s="337">
        <v>0.0301333316554141</v>
      </c>
      <c r="X27" s="337">
        <v>-0.0406087386963189</v>
      </c>
      <c r="Y27" s="337">
        <v>0.313880076142132</v>
      </c>
      <c r="Z27" s="337">
        <v>0.0675517772772687</v>
      </c>
      <c r="AA27" s="337">
        <v>0.276971649763207</v>
      </c>
      <c r="AB27" s="337">
        <v>-0.246181432879615</v>
      </c>
      <c r="AC27" s="337">
        <v>0.179473375568395</v>
      </c>
      <c r="AD27" s="337">
        <v>0.757616207356842</v>
      </c>
      <c r="AE27" s="337">
        <v>-0.517943830840908</v>
      </c>
      <c r="AF27" s="337">
        <v>0.547650262202501</v>
      </c>
      <c r="AG27" s="337">
        <v>0.398318379721845</v>
      </c>
      <c r="AH27" s="337">
        <v>0.363398221581351</v>
      </c>
      <c r="AI27" s="337">
        <v>0.106796116504854</v>
      </c>
      <c r="AJ27" s="337">
        <v>0.719021490626429</v>
      </c>
      <c r="AK27" s="337">
        <v>0.0325291534866154</v>
      </c>
      <c r="AL27" s="337">
        <v>-0.161845593763603</v>
      </c>
      <c r="AM27" s="347">
        <v>-0.146509507244419</v>
      </c>
      <c r="AS27" s="361" t="s">
        <v>159</v>
      </c>
      <c r="AT27" s="364">
        <v>0.74</v>
      </c>
      <c r="AU27" s="365">
        <v>45716</v>
      </c>
      <c r="AV27" s="364">
        <v>10092.2475197444</v>
      </c>
      <c r="AW27" s="369"/>
      <c r="AX27" s="376">
        <v>0.011755</v>
      </c>
      <c r="AY27" s="376">
        <v>0.022022</v>
      </c>
      <c r="AZ27" s="376">
        <v>0.041196</v>
      </c>
      <c r="BA27" s="376">
        <v>0.080557</v>
      </c>
      <c r="BB27" s="376">
        <v>0.070255</v>
      </c>
      <c r="BC27" s="376">
        <v>0.06704</v>
      </c>
      <c r="BD27" s="376">
        <v>0.074984</v>
      </c>
      <c r="BE27" s="377"/>
      <c r="BF27" s="376">
        <v>0.022022</v>
      </c>
      <c r="BG27" s="376">
        <v>0.078957057959195</v>
      </c>
      <c r="BH27" s="376">
        <v>0.0731560502380064</v>
      </c>
      <c r="BI27" s="376">
        <v>0.0426949245869319</v>
      </c>
      <c r="BJ27" s="376">
        <v>0.0422012384273658</v>
      </c>
      <c r="BK27" s="376">
        <v>0.0928775053725715</v>
      </c>
      <c r="BL27" s="376">
        <v>0.10104014757154</v>
      </c>
      <c r="BM27" s="376">
        <v>0.0571761126369419</v>
      </c>
      <c r="BN27" s="376">
        <v>0.0562283643736048</v>
      </c>
      <c r="BO27" s="376">
        <v>0.126219841746977</v>
      </c>
      <c r="BP27" s="376">
        <v>0.0864270021705714</v>
      </c>
      <c r="BQ27" s="376">
        <v>0.104968871652062</v>
      </c>
      <c r="BR27" s="376">
        <v>0.0892703998983579</v>
      </c>
      <c r="BS27" s="376">
        <v>0.0887084921890534</v>
      </c>
      <c r="BT27" s="376">
        <v>0.0911946718991736</v>
      </c>
      <c r="BU27" s="376">
        <v>0.06004</v>
      </c>
    </row>
    <row r="28" ht="15.15" spans="2:73">
      <c r="B28" s="314" t="s">
        <v>160</v>
      </c>
      <c r="F28" s="307">
        <v>-0.027567</v>
      </c>
      <c r="G28" s="308">
        <v>0.040108</v>
      </c>
      <c r="H28" s="308">
        <v>0.06287</v>
      </c>
      <c r="I28" s="308">
        <v>-0.10285</v>
      </c>
      <c r="J28" s="308">
        <v>0.178801</v>
      </c>
      <c r="K28" s="308">
        <v>0.200799</v>
      </c>
      <c r="L28" s="338">
        <v>0.124071</v>
      </c>
      <c r="M28" s="318"/>
      <c r="N28" s="341">
        <v>-0.013123</v>
      </c>
      <c r="O28" s="342">
        <v>0.274507524712643</v>
      </c>
      <c r="P28" s="342">
        <v>0.264464855976808</v>
      </c>
      <c r="Q28" s="342">
        <v>-0.000716520717515556</v>
      </c>
      <c r="R28" s="342">
        <v>0.298670657411666</v>
      </c>
      <c r="S28" s="342">
        <v>0.148405637365297</v>
      </c>
      <c r="T28" s="342">
        <v>0.00456903771629736</v>
      </c>
      <c r="U28" s="342">
        <v>-0.0899687223979603</v>
      </c>
      <c r="V28" s="342">
        <v>0.447643024446346</v>
      </c>
      <c r="W28" s="342">
        <v>0.0707136439063827</v>
      </c>
      <c r="X28" s="342">
        <v>0.069566916697452</v>
      </c>
      <c r="Y28" s="342">
        <v>0.444161367019117</v>
      </c>
      <c r="Z28" s="342">
        <v>0.0480711180262641</v>
      </c>
      <c r="AA28" s="342">
        <v>0.480847463728984</v>
      </c>
      <c r="AB28" s="342">
        <v>-0.318748697070401</v>
      </c>
      <c r="AC28" s="342">
        <v>0.178118408506458</v>
      </c>
      <c r="AD28" s="342">
        <v>1.27905700550958</v>
      </c>
      <c r="AE28" s="342">
        <v>-0.635201089023682</v>
      </c>
      <c r="AF28" s="342">
        <v>0.757336748119639</v>
      </c>
      <c r="AG28" s="342">
        <v>0.282399011089156</v>
      </c>
      <c r="AH28" s="342">
        <v>0.244346888824018</v>
      </c>
      <c r="AI28" s="342">
        <v>0.307601961417624</v>
      </c>
      <c r="AJ28" s="342">
        <v>1.41017656841584</v>
      </c>
      <c r="AK28" s="342">
        <v>0.0883848109065701</v>
      </c>
      <c r="AL28" s="342">
        <v>-0.464850271016673</v>
      </c>
      <c r="AM28" s="349">
        <v>-0.391021135599177</v>
      </c>
      <c r="AS28" s="361" t="s">
        <v>161</v>
      </c>
      <c r="AT28" s="364">
        <v>0.63</v>
      </c>
      <c r="AU28" s="365">
        <v>45716</v>
      </c>
      <c r="AV28" s="364">
        <v>100.2439</v>
      </c>
      <c r="AW28" s="369"/>
      <c r="AX28" s="376">
        <v>0.014095</v>
      </c>
      <c r="AY28" s="376">
        <v>0.02258</v>
      </c>
      <c r="AZ28" s="376">
        <v>0.036818</v>
      </c>
      <c r="BA28" s="376">
        <v>0.080816</v>
      </c>
      <c r="BB28" s="376">
        <v>0.057694</v>
      </c>
      <c r="BC28" s="376">
        <v>0.05639</v>
      </c>
      <c r="BD28" s="376">
        <v>0.064037</v>
      </c>
      <c r="BE28" s="377"/>
      <c r="BF28" s="376">
        <v>0.02258</v>
      </c>
      <c r="BG28" s="376">
        <v>0.0822403089461926</v>
      </c>
      <c r="BH28" s="376">
        <v>0.0645975324068338</v>
      </c>
      <c r="BI28" s="376">
        <v>0.00706597004071925</v>
      </c>
      <c r="BJ28" s="376">
        <v>0.0342085735698762</v>
      </c>
      <c r="BK28" s="376">
        <v>0.0949195629931435</v>
      </c>
      <c r="BL28" s="376">
        <v>0.0967504378695584</v>
      </c>
      <c r="BM28" s="376">
        <v>0.071727899925162</v>
      </c>
      <c r="BN28" s="376">
        <v>0.0488739865154247</v>
      </c>
      <c r="BO28" s="376">
        <v>0.0740995907843376</v>
      </c>
      <c r="BP28" s="376">
        <v>0.0685125373133305</v>
      </c>
      <c r="BQ28" s="376">
        <v>0.0870207301797148</v>
      </c>
      <c r="BR28" s="376">
        <v>0.0710803413164027</v>
      </c>
      <c r="BS28" s="376">
        <v>0.00210829999999999</v>
      </c>
      <c r="BT28" s="376" t="s">
        <v>129</v>
      </c>
      <c r="BU28" s="376" t="s">
        <v>129</v>
      </c>
    </row>
    <row r="29" ht="15.15" spans="2:73">
      <c r="B29" s="315" t="s">
        <v>162</v>
      </c>
      <c r="F29" s="316">
        <f>AVERAGE(F5:F24)</f>
        <v>-0.022027</v>
      </c>
      <c r="G29" s="317">
        <f t="shared" ref="G29:L29" si="0">AVERAGE(G5:G24)</f>
        <v>0.0360513</v>
      </c>
      <c r="H29" s="317">
        <f t="shared" si="0"/>
        <v>0.061447</v>
      </c>
      <c r="I29" s="317">
        <f t="shared" si="0"/>
        <v>-0.010452</v>
      </c>
      <c r="J29" s="317">
        <f t="shared" si="0"/>
        <v>0.155387315789474</v>
      </c>
      <c r="K29" s="317">
        <f t="shared" si="0"/>
        <v>0.189947684210526</v>
      </c>
      <c r="L29" s="343">
        <f t="shared" si="0"/>
        <v>0.119757722222222</v>
      </c>
      <c r="M29" s="318"/>
      <c r="N29" s="323">
        <f t="shared" ref="N29:AM29" si="1">AVERAGE(N5:N24)</f>
        <v>0.0321049</v>
      </c>
      <c r="O29" s="324">
        <f t="shared" si="1"/>
        <v>0.152741356688261</v>
      </c>
      <c r="P29" s="324">
        <f t="shared" si="1"/>
        <v>0.240291437843635</v>
      </c>
      <c r="Q29" s="324">
        <f t="shared" si="1"/>
        <v>0.0217610148693298</v>
      </c>
      <c r="R29" s="324">
        <f t="shared" si="1"/>
        <v>0.265627619438745</v>
      </c>
      <c r="S29" s="324">
        <f t="shared" si="1"/>
        <v>0.143926384164849</v>
      </c>
      <c r="T29" s="324">
        <f t="shared" si="1"/>
        <v>0.119119392934303</v>
      </c>
      <c r="U29" s="324">
        <f t="shared" si="1"/>
        <v>-0.00887785628539677</v>
      </c>
      <c r="V29" s="324">
        <f t="shared" si="1"/>
        <v>0.317000546696383</v>
      </c>
      <c r="W29" s="324">
        <f t="shared" si="1"/>
        <v>0.0430777750155998</v>
      </c>
      <c r="X29" s="324">
        <f t="shared" si="1"/>
        <v>0.00817452664009404</v>
      </c>
      <c r="Y29" s="324">
        <f t="shared" si="1"/>
        <v>0.415335122098516</v>
      </c>
      <c r="Z29" s="324">
        <f t="shared" si="1"/>
        <v>0.0682371092382941</v>
      </c>
      <c r="AA29" s="324">
        <f t="shared" si="1"/>
        <v>0.298048268164969</v>
      </c>
      <c r="AB29" s="324">
        <f t="shared" si="1"/>
        <v>-0.207806221095929</v>
      </c>
      <c r="AC29" s="324">
        <f t="shared" si="1"/>
        <v>0.184601437289071</v>
      </c>
      <c r="AD29" s="324">
        <f t="shared" si="1"/>
        <v>0.735402573537371</v>
      </c>
      <c r="AE29" s="324">
        <f t="shared" si="1"/>
        <v>-0.462999559796271</v>
      </c>
      <c r="AF29" s="324">
        <f t="shared" si="1"/>
        <v>0.547759929979421</v>
      </c>
      <c r="AG29" s="324">
        <f t="shared" si="1"/>
        <v>0.36219396878857</v>
      </c>
      <c r="AH29" s="324">
        <f t="shared" si="1"/>
        <v>0.41804285629965</v>
      </c>
      <c r="AI29" s="324">
        <f t="shared" si="1"/>
        <v>0.290530469646011</v>
      </c>
      <c r="AJ29" s="324">
        <f t="shared" si="1"/>
        <v>1.22724420138603</v>
      </c>
      <c r="AK29" s="324">
        <f t="shared" si="1"/>
        <v>0.124289867056861</v>
      </c>
      <c r="AL29" s="324">
        <f t="shared" si="1"/>
        <v>-0.167061740682857</v>
      </c>
      <c r="AM29" s="344">
        <f t="shared" si="1"/>
        <v>-0.136251245072458</v>
      </c>
      <c r="AS29" s="361" t="s">
        <v>163</v>
      </c>
      <c r="AT29" s="364">
        <v>0.7</v>
      </c>
      <c r="AU29" s="365">
        <v>45716</v>
      </c>
      <c r="AV29" s="364">
        <v>30.5653</v>
      </c>
      <c r="AW29" s="369"/>
      <c r="AX29" s="376">
        <v>0.010283</v>
      </c>
      <c r="AY29" s="376">
        <v>0.02064</v>
      </c>
      <c r="AZ29" s="376">
        <v>0.036304</v>
      </c>
      <c r="BA29" s="376">
        <v>0.073687</v>
      </c>
      <c r="BB29" s="376">
        <v>0.064727</v>
      </c>
      <c r="BC29" s="376" t="s">
        <v>129</v>
      </c>
      <c r="BD29" s="376" t="s">
        <v>129</v>
      </c>
      <c r="BE29" s="377"/>
      <c r="BF29" s="376">
        <v>0.02064</v>
      </c>
      <c r="BG29" s="376">
        <v>0.0760718035213328</v>
      </c>
      <c r="BH29" s="376">
        <v>0.0629991126885536</v>
      </c>
      <c r="BI29" s="376">
        <v>0.0424338937150159</v>
      </c>
      <c r="BJ29" s="376">
        <v>0.0363471059679221</v>
      </c>
      <c r="BK29" s="376">
        <v>0.01191</v>
      </c>
      <c r="BL29" s="376" t="s">
        <v>129</v>
      </c>
      <c r="BM29" s="376" t="s">
        <v>129</v>
      </c>
      <c r="BN29" s="376" t="s">
        <v>129</v>
      </c>
      <c r="BO29" s="376" t="s">
        <v>129</v>
      </c>
      <c r="BP29" s="376" t="s">
        <v>129</v>
      </c>
      <c r="BQ29" s="376" t="s">
        <v>129</v>
      </c>
      <c r="BR29" s="376" t="s">
        <v>129</v>
      </c>
      <c r="BS29" s="376" t="s">
        <v>129</v>
      </c>
      <c r="BT29" s="376" t="s">
        <v>129</v>
      </c>
      <c r="BU29" s="376" t="s">
        <v>129</v>
      </c>
    </row>
    <row r="30" s="280" customFormat="1" spans="2:73">
      <c r="B30" s="281"/>
      <c r="C30" s="281"/>
      <c r="D30" s="281"/>
      <c r="E30" s="281"/>
      <c r="F30" s="281"/>
      <c r="G30" s="318"/>
      <c r="H30" s="281"/>
      <c r="I30" s="281"/>
      <c r="J30" s="281"/>
      <c r="K30" s="281"/>
      <c r="L30" s="281"/>
      <c r="M30" s="318"/>
      <c r="N30" s="281"/>
      <c r="O30" s="281"/>
      <c r="P30" s="281"/>
      <c r="Q30" s="281"/>
      <c r="R30" s="281"/>
      <c r="S30" s="281"/>
      <c r="T30" s="281"/>
      <c r="U30" s="281"/>
      <c r="V30" s="281"/>
      <c r="W30" s="281"/>
      <c r="X30" s="281"/>
      <c r="Y30" s="281"/>
      <c r="Z30" s="281"/>
      <c r="AA30" s="281"/>
      <c r="AB30" s="281"/>
      <c r="AC30" s="281"/>
      <c r="AD30" s="281"/>
      <c r="AE30" s="281"/>
      <c r="AF30" s="281"/>
      <c r="AG30" s="281"/>
      <c r="AH30" s="281"/>
      <c r="AI30" s="281"/>
      <c r="AJ30" s="281"/>
      <c r="AK30" s="281"/>
      <c r="AL30" s="281"/>
      <c r="AM30" s="281"/>
      <c r="AN30" s="281"/>
      <c r="AS30" s="361" t="s">
        <v>164</v>
      </c>
      <c r="AT30" s="364">
        <v>0.75</v>
      </c>
      <c r="AU30" s="365">
        <v>45716</v>
      </c>
      <c r="AV30" s="364">
        <v>5761.9869</v>
      </c>
      <c r="AW30" s="369"/>
      <c r="AX30" s="376">
        <v>0.013049</v>
      </c>
      <c r="AY30" s="376">
        <v>0.022182</v>
      </c>
      <c r="AZ30" s="376">
        <v>0.037352</v>
      </c>
      <c r="BA30" s="376">
        <v>0.08135</v>
      </c>
      <c r="BB30" s="376">
        <v>0.066035</v>
      </c>
      <c r="BC30" s="376">
        <v>0.064847</v>
      </c>
      <c r="BD30" s="376">
        <v>0.074685</v>
      </c>
      <c r="BE30" s="377"/>
      <c r="BF30" s="376">
        <v>0.022182</v>
      </c>
      <c r="BG30" s="376">
        <v>0.0803123074187684</v>
      </c>
      <c r="BH30" s="376">
        <v>0.0677080165510123</v>
      </c>
      <c r="BI30" s="376">
        <v>0.0359809898781985</v>
      </c>
      <c r="BJ30" s="376">
        <v>0.0391269064942332</v>
      </c>
      <c r="BK30" s="376">
        <v>0.105066632754636</v>
      </c>
      <c r="BL30" s="376">
        <v>0.108439884023594</v>
      </c>
      <c r="BM30" s="376">
        <v>0.0671440501693578</v>
      </c>
      <c r="BN30" s="376">
        <v>0.0617018112929074</v>
      </c>
      <c r="BO30" s="376">
        <v>0.0996233316377201</v>
      </c>
      <c r="BP30" s="376">
        <v>0.085634078754031</v>
      </c>
      <c r="BQ30" s="376">
        <v>0.095126499344824</v>
      </c>
      <c r="BR30" s="376">
        <v>0.098275814352531</v>
      </c>
      <c r="BS30" s="376">
        <v>0.0763296084155339</v>
      </c>
      <c r="BT30" s="376">
        <v>0.0785181241566692</v>
      </c>
      <c r="BU30" s="376">
        <v>0.0365207959697253</v>
      </c>
    </row>
    <row r="31" s="280" customFormat="1" ht="15" customHeight="1" spans="2:73">
      <c r="B31" s="281"/>
      <c r="C31" s="281"/>
      <c r="D31" s="281"/>
      <c r="E31" s="281"/>
      <c r="F31" s="281"/>
      <c r="G31" s="281"/>
      <c r="H31" s="281"/>
      <c r="I31" s="281"/>
      <c r="J31" s="281"/>
      <c r="K31" s="281"/>
      <c r="L31" s="281"/>
      <c r="M31" s="318"/>
      <c r="N31" s="281"/>
      <c r="O31" s="281"/>
      <c r="P31" s="281"/>
      <c r="Q31" s="281"/>
      <c r="R31" s="281"/>
      <c r="S31" s="281"/>
      <c r="T31" s="281"/>
      <c r="U31" s="281"/>
      <c r="V31" s="281"/>
      <c r="W31" s="281"/>
      <c r="X31" s="281"/>
      <c r="Y31" s="281"/>
      <c r="Z31" s="281"/>
      <c r="AA31" s="281"/>
      <c r="AB31" s="281"/>
      <c r="AC31" s="281"/>
      <c r="AD31" s="281"/>
      <c r="AE31" s="281"/>
      <c r="AF31" s="281"/>
      <c r="AG31" s="281"/>
      <c r="AH31" s="281"/>
      <c r="AI31" s="281"/>
      <c r="AJ31" s="281"/>
      <c r="AK31" s="281"/>
      <c r="AL31" s="281"/>
      <c r="AM31" s="281"/>
      <c r="AN31" s="281"/>
      <c r="AS31" s="361" t="s">
        <v>165</v>
      </c>
      <c r="AT31" s="364">
        <v>0.78</v>
      </c>
      <c r="AU31" s="365">
        <v>45716</v>
      </c>
      <c r="AV31" s="364">
        <v>1881.9096</v>
      </c>
      <c r="AW31" s="369"/>
      <c r="AX31" s="376">
        <v>0.014643</v>
      </c>
      <c r="AY31" s="376">
        <v>0.023844</v>
      </c>
      <c r="AZ31" s="376">
        <v>0.038255</v>
      </c>
      <c r="BA31" s="376">
        <v>0.080928</v>
      </c>
      <c r="BB31" s="376">
        <v>0.06325</v>
      </c>
      <c r="BC31" s="376">
        <v>0.057687</v>
      </c>
      <c r="BD31" s="376">
        <v>0.066254</v>
      </c>
      <c r="BE31" s="377"/>
      <c r="BF31" s="376">
        <v>0.023844</v>
      </c>
      <c r="BG31" s="376">
        <v>0.0777916050919084</v>
      </c>
      <c r="BH31" s="376">
        <v>0.065089002488687</v>
      </c>
      <c r="BI31" s="376">
        <v>0.0306112285045498</v>
      </c>
      <c r="BJ31" s="376">
        <v>0.0257433835308027</v>
      </c>
      <c r="BK31" s="376">
        <v>0.0855826592617828</v>
      </c>
      <c r="BL31" s="376">
        <v>0.0985752456548039</v>
      </c>
      <c r="BM31" s="376">
        <v>0.072010375166777</v>
      </c>
      <c r="BN31" s="376">
        <v>0.0613043133837683</v>
      </c>
      <c r="BO31" s="376">
        <v>0.0814214350347221</v>
      </c>
      <c r="BP31" s="376">
        <v>0.0599288345090206</v>
      </c>
      <c r="BQ31" s="376">
        <v>0.0752187549578354</v>
      </c>
      <c r="BR31" s="376">
        <v>0.0808518496534168</v>
      </c>
      <c r="BS31" s="376">
        <v>0.0873241254679231</v>
      </c>
      <c r="BT31" s="376">
        <v>0.0824955945939652</v>
      </c>
      <c r="BU31" s="376">
        <v>0.0547090562237488</v>
      </c>
    </row>
    <row r="32" ht="15.75" customHeight="1" spans="2:73">
      <c r="B32" s="319" t="s">
        <v>166</v>
      </c>
      <c r="C32" s="320" t="s">
        <v>87</v>
      </c>
      <c r="D32" s="289" t="s">
        <v>110</v>
      </c>
      <c r="E32" s="290"/>
      <c r="F32" s="291" t="s">
        <v>82</v>
      </c>
      <c r="G32" s="292"/>
      <c r="H32" s="292"/>
      <c r="I32" s="292"/>
      <c r="J32" s="292"/>
      <c r="K32" s="292"/>
      <c r="L32" s="331"/>
      <c r="M32" s="318"/>
      <c r="N32" s="332" t="s">
        <v>111</v>
      </c>
      <c r="O32" s="333"/>
      <c r="P32" s="333"/>
      <c r="Q32" s="333"/>
      <c r="R32" s="333"/>
      <c r="S32" s="333"/>
      <c r="T32" s="333"/>
      <c r="U32" s="333"/>
      <c r="V32" s="333"/>
      <c r="W32" s="333"/>
      <c r="X32" s="333"/>
      <c r="Y32" s="333"/>
      <c r="Z32" s="333"/>
      <c r="AA32" s="333"/>
      <c r="AB32" s="333"/>
      <c r="AC32" s="333"/>
      <c r="AD32" s="333"/>
      <c r="AE32" s="333"/>
      <c r="AF32" s="333"/>
      <c r="AG32" s="333"/>
      <c r="AH32" s="333"/>
      <c r="AI32" s="333"/>
      <c r="AJ32" s="333"/>
      <c r="AK32" s="333"/>
      <c r="AL32" s="333"/>
      <c r="AM32" s="333"/>
      <c r="AN32" s="346"/>
      <c r="AS32" s="361" t="s">
        <v>167</v>
      </c>
      <c r="AT32" s="364">
        <v>0.81</v>
      </c>
      <c r="AU32" s="365">
        <v>45716</v>
      </c>
      <c r="AV32" s="364">
        <v>47.918026177</v>
      </c>
      <c r="AW32" s="369"/>
      <c r="AX32" s="376">
        <v>0.013688</v>
      </c>
      <c r="AY32" s="376">
        <v>0.022021</v>
      </c>
      <c r="AZ32" s="376">
        <v>0.03885</v>
      </c>
      <c r="BA32" s="376">
        <v>0.079619</v>
      </c>
      <c r="BB32" s="376">
        <v>0.061269</v>
      </c>
      <c r="BC32" s="376" t="s">
        <v>129</v>
      </c>
      <c r="BD32" s="376" t="s">
        <v>129</v>
      </c>
      <c r="BE32" s="377"/>
      <c r="BF32" s="376">
        <v>0.022021</v>
      </c>
      <c r="BG32" s="376">
        <v>0.0794844160133503</v>
      </c>
      <c r="BH32" s="376">
        <v>0.0631786133417116</v>
      </c>
      <c r="BI32" s="376">
        <v>0.0267267552182164</v>
      </c>
      <c r="BJ32" s="376">
        <v>0.0339111071873497</v>
      </c>
      <c r="BK32" s="376">
        <v>0.01943</v>
      </c>
      <c r="BL32" s="376" t="s">
        <v>129</v>
      </c>
      <c r="BM32" s="376" t="s">
        <v>129</v>
      </c>
      <c r="BN32" s="376" t="s">
        <v>129</v>
      </c>
      <c r="BO32" s="376" t="s">
        <v>129</v>
      </c>
      <c r="BP32" s="376" t="s">
        <v>129</v>
      </c>
      <c r="BQ32" s="376" t="s">
        <v>129</v>
      </c>
      <c r="BR32" s="376" t="s">
        <v>129</v>
      </c>
      <c r="BS32" s="376" t="s">
        <v>129</v>
      </c>
      <c r="BT32" s="376" t="s">
        <v>129</v>
      </c>
      <c r="BU32" s="376" t="s">
        <v>129</v>
      </c>
    </row>
    <row r="33" ht="29.55" spans="2:73">
      <c r="B33" s="321"/>
      <c r="C33" s="322"/>
      <c r="D33" s="294" t="s">
        <v>115</v>
      </c>
      <c r="E33" s="295" t="s">
        <v>116</v>
      </c>
      <c r="F33" s="296" t="s">
        <v>88</v>
      </c>
      <c r="G33" s="297" t="s">
        <v>89</v>
      </c>
      <c r="H33" s="297" t="s">
        <v>90</v>
      </c>
      <c r="I33" s="297" t="s">
        <v>91</v>
      </c>
      <c r="J33" s="297" t="s">
        <v>93</v>
      </c>
      <c r="K33" s="297" t="s">
        <v>94</v>
      </c>
      <c r="L33" s="334" t="s">
        <v>95</v>
      </c>
      <c r="M33" s="318"/>
      <c r="N33" s="266" t="s">
        <v>96</v>
      </c>
      <c r="O33" s="267">
        <v>2024</v>
      </c>
      <c r="P33" s="267">
        <v>2023</v>
      </c>
      <c r="Q33" s="268">
        <v>2022</v>
      </c>
      <c r="R33" s="268">
        <v>2021</v>
      </c>
      <c r="S33" s="268">
        <v>2020</v>
      </c>
      <c r="T33" s="268">
        <v>2019</v>
      </c>
      <c r="U33" s="268">
        <v>2018</v>
      </c>
      <c r="V33" s="268">
        <v>2017</v>
      </c>
      <c r="W33" s="268">
        <v>2016</v>
      </c>
      <c r="X33" s="268">
        <v>2015</v>
      </c>
      <c r="Y33" s="268">
        <v>2014</v>
      </c>
      <c r="Z33" s="268">
        <v>2013</v>
      </c>
      <c r="AA33" s="268">
        <v>2012</v>
      </c>
      <c r="AB33" s="268">
        <v>2011</v>
      </c>
      <c r="AC33" s="268">
        <v>2010</v>
      </c>
      <c r="AD33" s="268">
        <v>2009</v>
      </c>
      <c r="AE33" s="268">
        <v>2008</v>
      </c>
      <c r="AF33" s="268">
        <v>2007</v>
      </c>
      <c r="AG33" s="268">
        <v>2006</v>
      </c>
      <c r="AH33" s="268">
        <v>2005</v>
      </c>
      <c r="AI33" s="268">
        <v>2004</v>
      </c>
      <c r="AJ33" s="268">
        <v>2003</v>
      </c>
      <c r="AK33" s="268">
        <v>2002</v>
      </c>
      <c r="AL33" s="268">
        <v>2001</v>
      </c>
      <c r="AM33" s="269">
        <v>2000</v>
      </c>
      <c r="AS33" s="361" t="s">
        <v>168</v>
      </c>
      <c r="AT33" s="364">
        <v>0.76</v>
      </c>
      <c r="AU33" s="365">
        <v>45716</v>
      </c>
      <c r="AV33" s="364">
        <v>5708.448</v>
      </c>
      <c r="AW33" s="369"/>
      <c r="AX33" s="376">
        <v>0.014032</v>
      </c>
      <c r="AY33" s="376">
        <v>0.023173</v>
      </c>
      <c r="AZ33" s="376">
        <v>0.037979</v>
      </c>
      <c r="BA33" s="376">
        <v>0.080922</v>
      </c>
      <c r="BB33" s="376">
        <v>0.064005</v>
      </c>
      <c r="BC33" s="376">
        <v>0.064171</v>
      </c>
      <c r="BD33" s="376" t="s">
        <v>129</v>
      </c>
      <c r="BE33" s="377"/>
      <c r="BF33" s="376">
        <v>0.023173</v>
      </c>
      <c r="BG33" s="376">
        <v>0.0785211994739531</v>
      </c>
      <c r="BH33" s="376">
        <v>0.0679798724325453</v>
      </c>
      <c r="BI33" s="376">
        <v>0.0316992700904752</v>
      </c>
      <c r="BJ33" s="376">
        <v>0.0385878285095956</v>
      </c>
      <c r="BK33" s="376">
        <v>0.109308277627159</v>
      </c>
      <c r="BL33" s="376">
        <v>0.104939400868969</v>
      </c>
      <c r="BM33" s="376">
        <v>0.0640938290831225</v>
      </c>
      <c r="BN33" s="376">
        <v>0.0595848910661337</v>
      </c>
      <c r="BO33" s="376">
        <v>0.101763124005757</v>
      </c>
      <c r="BP33" s="376">
        <v>0.05608</v>
      </c>
      <c r="BQ33" s="376" t="s">
        <v>129</v>
      </c>
      <c r="BR33" s="376" t="s">
        <v>129</v>
      </c>
      <c r="BS33" s="376" t="s">
        <v>129</v>
      </c>
      <c r="BT33" s="376" t="s">
        <v>129</v>
      </c>
      <c r="BU33" s="376" t="s">
        <v>129</v>
      </c>
    </row>
    <row r="34" spans="2:73">
      <c r="B34" s="298" t="s">
        <v>169</v>
      </c>
      <c r="C34" s="299">
        <v>1.89</v>
      </c>
      <c r="D34" s="300">
        <v>45838</v>
      </c>
      <c r="E34" s="301">
        <v>5938.6697</v>
      </c>
      <c r="F34" s="308">
        <v>-0.029179</v>
      </c>
      <c r="G34" s="308">
        <v>0.059811</v>
      </c>
      <c r="H34" s="308">
        <v>0.070842</v>
      </c>
      <c r="I34" s="308">
        <v>-0.034068</v>
      </c>
      <c r="J34" s="308">
        <v>0.145022</v>
      </c>
      <c r="K34" s="308">
        <v>0.186091</v>
      </c>
      <c r="L34" s="338">
        <v>0.112275</v>
      </c>
      <c r="M34" s="318"/>
      <c r="N34" s="336">
        <v>0.009438</v>
      </c>
      <c r="O34" s="337">
        <v>0.155762791671027</v>
      </c>
      <c r="P34" s="337">
        <v>0.269274188193107</v>
      </c>
      <c r="Q34" s="337">
        <v>-0.129814220912427</v>
      </c>
      <c r="R34" s="337">
        <v>0.382697800771027</v>
      </c>
      <c r="S34" s="337">
        <v>0.183019046268727</v>
      </c>
      <c r="T34" s="337">
        <v>0.0891262385793334</v>
      </c>
      <c r="U34" s="337">
        <v>-0.13718828414718</v>
      </c>
      <c r="V34" s="337">
        <v>0.418451556003528</v>
      </c>
      <c r="W34" s="337">
        <v>0.0847712440632797</v>
      </c>
      <c r="X34" s="337">
        <v>0.0523533853511202</v>
      </c>
      <c r="Y34" s="337">
        <v>0.601462628123922</v>
      </c>
      <c r="Z34" s="337">
        <v>0.072240059273891</v>
      </c>
      <c r="AA34" s="337">
        <v>0.297132788723374</v>
      </c>
      <c r="AB34" s="337">
        <v>-0.280304340307799</v>
      </c>
      <c r="AC34" s="337">
        <v>0.143940392984307</v>
      </c>
      <c r="AD34" s="337">
        <v>0.87280810076562</v>
      </c>
      <c r="AE34" s="337">
        <v>-0.583757388846055</v>
      </c>
      <c r="AF34" s="337">
        <v>0.565416800772445</v>
      </c>
      <c r="AG34" s="337">
        <v>0.343858131487892</v>
      </c>
      <c r="AH34" s="337">
        <v>0.432465923172243</v>
      </c>
      <c r="AI34" s="337">
        <v>0.269366889500589</v>
      </c>
      <c r="AJ34" s="337">
        <v>1.10339123242349</v>
      </c>
      <c r="AK34" s="337">
        <v>0.0333333333333364</v>
      </c>
      <c r="AL34" s="337">
        <v>-0.239024390243903</v>
      </c>
      <c r="AM34" s="347">
        <v>-0.46091291748088</v>
      </c>
      <c r="AS34" s="361" t="s">
        <v>170</v>
      </c>
      <c r="AT34" s="364">
        <v>0.81</v>
      </c>
      <c r="AU34" s="365">
        <v>45716</v>
      </c>
      <c r="AV34" s="364">
        <v>3873.701</v>
      </c>
      <c r="AW34" s="369"/>
      <c r="AX34" s="376">
        <v>0.013412</v>
      </c>
      <c r="AY34" s="376">
        <v>0.022945</v>
      </c>
      <c r="AZ34" s="376">
        <v>0.037474</v>
      </c>
      <c r="BA34" s="376">
        <v>0.079409</v>
      </c>
      <c r="BB34" s="376">
        <v>0.06153</v>
      </c>
      <c r="BC34" s="376">
        <v>0.059747</v>
      </c>
      <c r="BD34" s="376">
        <v>0.070359</v>
      </c>
      <c r="BE34" s="377"/>
      <c r="BF34" s="376">
        <v>0.022945</v>
      </c>
      <c r="BG34" s="376">
        <v>0.0768532664439363</v>
      </c>
      <c r="BH34" s="376">
        <v>0.0655705244971291</v>
      </c>
      <c r="BI34" s="376">
        <v>0.0286685788953539</v>
      </c>
      <c r="BJ34" s="376">
        <v>0.0258490404984215</v>
      </c>
      <c r="BK34" s="376">
        <v>0.104700413656652</v>
      </c>
      <c r="BL34" s="376">
        <v>0.0966945651178794</v>
      </c>
      <c r="BM34" s="376">
        <v>0.0736319338141156</v>
      </c>
      <c r="BN34" s="376">
        <v>0.0638655325177656</v>
      </c>
      <c r="BO34" s="376">
        <v>0.0833496206491779</v>
      </c>
      <c r="BP34" s="376">
        <v>0.0873264048012486</v>
      </c>
      <c r="BQ34" s="376">
        <v>0.100154130130127</v>
      </c>
      <c r="BR34" s="376">
        <v>0.0833647019432173</v>
      </c>
      <c r="BS34" s="376">
        <v>0.0908312636873236</v>
      </c>
      <c r="BT34" s="376">
        <v>0.0883689456967448</v>
      </c>
      <c r="BU34" s="376">
        <v>0.0556589267990793</v>
      </c>
    </row>
    <row r="35" spans="2:73">
      <c r="B35" s="298" t="s">
        <v>171</v>
      </c>
      <c r="C35" s="304">
        <v>1.68</v>
      </c>
      <c r="D35" s="305">
        <v>45838</v>
      </c>
      <c r="E35" s="306">
        <v>14954.275998</v>
      </c>
      <c r="F35" s="308">
        <v>-0.016359</v>
      </c>
      <c r="G35" s="308">
        <v>0.06459</v>
      </c>
      <c r="H35" s="308">
        <v>0.065289</v>
      </c>
      <c r="I35" s="308">
        <v>0.009012</v>
      </c>
      <c r="J35" s="308">
        <v>0.178521</v>
      </c>
      <c r="K35" s="308">
        <v>0.227601</v>
      </c>
      <c r="L35" s="338" t="s">
        <v>129</v>
      </c>
      <c r="M35" s="318"/>
      <c r="N35" s="336">
        <v>0.014054</v>
      </c>
      <c r="O35" s="337">
        <v>0.255194041552332</v>
      </c>
      <c r="P35" s="337">
        <v>0.309548254620123</v>
      </c>
      <c r="Q35" s="337">
        <v>-0.088868101028999</v>
      </c>
      <c r="R35" s="337">
        <v>0.445571331981068</v>
      </c>
      <c r="S35" s="337">
        <v>0.247048903878583</v>
      </c>
      <c r="T35" s="337">
        <v>0.163886162904809</v>
      </c>
      <c r="U35" s="337">
        <v>0.019</v>
      </c>
      <c r="V35" s="337" t="s">
        <v>129</v>
      </c>
      <c r="W35" s="337" t="s">
        <v>129</v>
      </c>
      <c r="X35" s="337" t="s">
        <v>129</v>
      </c>
      <c r="Y35" s="337" t="s">
        <v>129</v>
      </c>
      <c r="Z35" s="337" t="s">
        <v>129</v>
      </c>
      <c r="AA35" s="337" t="s">
        <v>129</v>
      </c>
      <c r="AB35" s="337" t="s">
        <v>129</v>
      </c>
      <c r="AC35" s="337" t="s">
        <v>129</v>
      </c>
      <c r="AD35" s="337" t="s">
        <v>129</v>
      </c>
      <c r="AE35" s="337" t="s">
        <v>129</v>
      </c>
      <c r="AF35" s="337" t="s">
        <v>129</v>
      </c>
      <c r="AG35" s="337" t="s">
        <v>129</v>
      </c>
      <c r="AH35" s="337" t="s">
        <v>129</v>
      </c>
      <c r="AI35" s="337" t="s">
        <v>129</v>
      </c>
      <c r="AJ35" s="337" t="s">
        <v>129</v>
      </c>
      <c r="AK35" s="337" t="s">
        <v>129</v>
      </c>
      <c r="AL35" s="337" t="s">
        <v>129</v>
      </c>
      <c r="AM35" s="347" t="s">
        <v>129</v>
      </c>
      <c r="AS35" s="361" t="s">
        <v>172</v>
      </c>
      <c r="AT35" s="364">
        <v>0.42</v>
      </c>
      <c r="AU35" s="365">
        <v>45716</v>
      </c>
      <c r="AV35" s="364">
        <v>337.324346</v>
      </c>
      <c r="AW35" s="369"/>
      <c r="AX35" s="376">
        <v>0.013264</v>
      </c>
      <c r="AY35" s="376">
        <v>0.022941</v>
      </c>
      <c r="AZ35" s="376">
        <v>0.038371</v>
      </c>
      <c r="BA35" s="376">
        <v>0.083365</v>
      </c>
      <c r="BB35" s="376">
        <v>0.063686</v>
      </c>
      <c r="BC35" s="376">
        <v>0.057521</v>
      </c>
      <c r="BD35" s="376">
        <v>0.066899</v>
      </c>
      <c r="BE35" s="377"/>
      <c r="BF35" s="376">
        <v>0.022941</v>
      </c>
      <c r="BG35" s="376">
        <v>0.0799355899576982</v>
      </c>
      <c r="BH35" s="376">
        <v>0.0684399885676497</v>
      </c>
      <c r="BI35" s="376">
        <v>0.0299624819624821</v>
      </c>
      <c r="BJ35" s="376">
        <v>0.0293200249532128</v>
      </c>
      <c r="BK35" s="376">
        <v>0.0764134261494629</v>
      </c>
      <c r="BL35" s="376">
        <v>0.100606730342852</v>
      </c>
      <c r="BM35" s="376">
        <v>0.0606182765596888</v>
      </c>
      <c r="BN35" s="376">
        <v>0.0623265183117357</v>
      </c>
      <c r="BO35" s="376">
        <v>0.0788468366722709</v>
      </c>
      <c r="BP35" s="376">
        <v>0.0846689248758758</v>
      </c>
      <c r="BQ35" s="376">
        <v>0.0935319697377167</v>
      </c>
      <c r="BR35" s="376">
        <v>0.0851480896191351</v>
      </c>
      <c r="BS35" s="376">
        <v>0.0992857575207312</v>
      </c>
      <c r="BT35" s="376">
        <v>0.0932516311756376</v>
      </c>
      <c r="BU35" s="376">
        <v>0.0491391280199945</v>
      </c>
    </row>
    <row r="36" spans="2:73">
      <c r="B36" s="298" t="s">
        <v>173</v>
      </c>
      <c r="C36" s="304">
        <v>1.73</v>
      </c>
      <c r="D36" s="305">
        <v>45838</v>
      </c>
      <c r="E36" s="306">
        <v>9735.3598</v>
      </c>
      <c r="F36" s="308">
        <v>-0.012477</v>
      </c>
      <c r="G36" s="308">
        <v>0.059945</v>
      </c>
      <c r="H36" s="308">
        <v>0.079903</v>
      </c>
      <c r="I36" s="308">
        <v>0.000762</v>
      </c>
      <c r="J36" s="308">
        <v>0.24794</v>
      </c>
      <c r="K36" s="308">
        <v>0.266451</v>
      </c>
      <c r="L36" s="338">
        <v>0.150467</v>
      </c>
      <c r="M36" s="318"/>
      <c r="N36" s="336">
        <v>0.0204</v>
      </c>
      <c r="O36" s="337">
        <v>0.28787113264184</v>
      </c>
      <c r="P36" s="337">
        <v>0.362355418190652</v>
      </c>
      <c r="Q36" s="337">
        <v>0.0693173618126713</v>
      </c>
      <c r="R36" s="337">
        <v>0.340750773993808</v>
      </c>
      <c r="S36" s="337">
        <v>0.129370629370629</v>
      </c>
      <c r="T36" s="337">
        <v>0.0369363244958077</v>
      </c>
      <c r="U36" s="337">
        <v>-0.0510983434538041</v>
      </c>
      <c r="V36" s="337">
        <v>0.372878604048401</v>
      </c>
      <c r="W36" s="337">
        <v>0.0798634355335387</v>
      </c>
      <c r="X36" s="337">
        <v>0.052144718615735</v>
      </c>
      <c r="Y36" s="337">
        <v>0.286236901480149</v>
      </c>
      <c r="Z36" s="337">
        <v>0.0251464962519072</v>
      </c>
      <c r="AA36" s="337">
        <v>0.372556756100522</v>
      </c>
      <c r="AB36" s="337">
        <v>-0.267851508161896</v>
      </c>
      <c r="AC36" s="337">
        <v>0.14380918975798</v>
      </c>
      <c r="AD36" s="337">
        <v>0.670550370678601</v>
      </c>
      <c r="AE36" s="337">
        <v>-0.548150308313924</v>
      </c>
      <c r="AF36" s="337">
        <v>0.672062465514365</v>
      </c>
      <c r="AG36" s="337">
        <v>0.289181141439206</v>
      </c>
      <c r="AH36" s="337">
        <v>0.209</v>
      </c>
      <c r="AI36" s="337" t="s">
        <v>129</v>
      </c>
      <c r="AJ36" s="337" t="s">
        <v>129</v>
      </c>
      <c r="AK36" s="337" t="s">
        <v>129</v>
      </c>
      <c r="AL36" s="337" t="s">
        <v>129</v>
      </c>
      <c r="AM36" s="347" t="s">
        <v>129</v>
      </c>
      <c r="AS36" s="361" t="s">
        <v>174</v>
      </c>
      <c r="AT36" s="364">
        <v>0.71</v>
      </c>
      <c r="AU36" s="365">
        <v>45716</v>
      </c>
      <c r="AV36" s="364">
        <v>219.214594395</v>
      </c>
      <c r="AW36" s="369"/>
      <c r="AX36" s="376">
        <v>0.01061</v>
      </c>
      <c r="AY36" s="376">
        <v>0.021104</v>
      </c>
      <c r="AZ36" s="376">
        <v>0.035627</v>
      </c>
      <c r="BA36" s="376">
        <v>0.078579</v>
      </c>
      <c r="BB36" s="376">
        <v>0.057286</v>
      </c>
      <c r="BC36" s="376" t="s">
        <v>129</v>
      </c>
      <c r="BD36" s="376" t="s">
        <v>129</v>
      </c>
      <c r="BE36" s="377"/>
      <c r="BF36" s="376">
        <v>0.021104</v>
      </c>
      <c r="BG36" s="376">
        <v>0.0744034051556983</v>
      </c>
      <c r="BH36" s="376">
        <v>0.0649012655882814</v>
      </c>
      <c r="BI36" s="376">
        <v>0.0207318298860355</v>
      </c>
      <c r="BJ36" s="376">
        <v>0.0407282</v>
      </c>
      <c r="BK36" s="376" t="s">
        <v>129</v>
      </c>
      <c r="BL36" s="376" t="s">
        <v>129</v>
      </c>
      <c r="BM36" s="376" t="s">
        <v>129</v>
      </c>
      <c r="BN36" s="376" t="s">
        <v>129</v>
      </c>
      <c r="BO36" s="376" t="s">
        <v>129</v>
      </c>
      <c r="BP36" s="376" t="s">
        <v>129</v>
      </c>
      <c r="BQ36" s="376" t="s">
        <v>129</v>
      </c>
      <c r="BR36" s="376" t="s">
        <v>129</v>
      </c>
      <c r="BS36" s="376" t="s">
        <v>129</v>
      </c>
      <c r="BT36" s="376" t="s">
        <v>129</v>
      </c>
      <c r="BU36" s="376" t="s">
        <v>129</v>
      </c>
    </row>
    <row r="37" ht="15.15" spans="2:73">
      <c r="B37" s="298" t="s">
        <v>28</v>
      </c>
      <c r="C37" s="304">
        <v>1.6</v>
      </c>
      <c r="D37" s="305">
        <v>45838</v>
      </c>
      <c r="E37" s="306">
        <v>26117.6137</v>
      </c>
      <c r="F37" s="308">
        <v>-0.025189</v>
      </c>
      <c r="G37" s="308">
        <v>0.055282</v>
      </c>
      <c r="H37" s="308">
        <v>0.073313</v>
      </c>
      <c r="I37" s="308">
        <v>0.005758</v>
      </c>
      <c r="J37" s="308">
        <v>0.173117</v>
      </c>
      <c r="K37" s="308">
        <v>0.221895</v>
      </c>
      <c r="L37" s="338">
        <v>0.147989</v>
      </c>
      <c r="M37" s="318"/>
      <c r="N37" s="336">
        <v>0.002476</v>
      </c>
      <c r="O37" s="337">
        <v>0.263157894736842</v>
      </c>
      <c r="P37" s="337">
        <v>0.24037691691815</v>
      </c>
      <c r="Q37" s="337">
        <v>-0.0164758616512205</v>
      </c>
      <c r="R37" s="337">
        <v>0.369927806821011</v>
      </c>
      <c r="S37" s="337">
        <v>0.245452666391071</v>
      </c>
      <c r="T37" s="337">
        <v>0.0868246658429743</v>
      </c>
      <c r="U37" s="337">
        <v>-0.0929190015282731</v>
      </c>
      <c r="V37" s="337">
        <v>0.520526723470178</v>
      </c>
      <c r="W37" s="337">
        <v>0.0255799173816333</v>
      </c>
      <c r="X37" s="337">
        <v>0.130590982575894</v>
      </c>
      <c r="Y37" s="337">
        <v>0.960211267605634</v>
      </c>
      <c r="Z37" s="337">
        <v>0.0316018888485288</v>
      </c>
      <c r="AA37" s="337">
        <v>0.488912925905895</v>
      </c>
      <c r="AB37" s="337">
        <v>-0.222782681799075</v>
      </c>
      <c r="AC37" s="337">
        <v>0.283171521035599</v>
      </c>
      <c r="AD37" s="337">
        <v>1.12371134020619</v>
      </c>
      <c r="AE37" s="337">
        <v>-0.660575427682737</v>
      </c>
      <c r="AF37" s="337">
        <v>0.586674892041949</v>
      </c>
      <c r="AG37" s="337">
        <v>0.250771604938272</v>
      </c>
      <c r="AH37" s="337">
        <v>0.296</v>
      </c>
      <c r="AI37" s="337" t="s">
        <v>129</v>
      </c>
      <c r="AJ37" s="337" t="s">
        <v>129</v>
      </c>
      <c r="AK37" s="337" t="s">
        <v>129</v>
      </c>
      <c r="AL37" s="337" t="s">
        <v>129</v>
      </c>
      <c r="AM37" s="347" t="s">
        <v>129</v>
      </c>
      <c r="AN37" s="35">
        <v>0.71</v>
      </c>
      <c r="AO37" s="35">
        <v>0.97</v>
      </c>
      <c r="AP37" s="35">
        <v>37.16</v>
      </c>
      <c r="AQ37" s="35">
        <v>5.99</v>
      </c>
      <c r="AS37" s="361" t="s">
        <v>175</v>
      </c>
      <c r="AT37" s="364">
        <v>0.54</v>
      </c>
      <c r="AU37" s="365">
        <v>45716</v>
      </c>
      <c r="AV37" s="364">
        <v>825.4587</v>
      </c>
      <c r="AW37" s="369"/>
      <c r="AX37" s="376">
        <v>0.010101</v>
      </c>
      <c r="AY37" s="376">
        <v>0.021094</v>
      </c>
      <c r="AZ37" s="376">
        <v>0.036605</v>
      </c>
      <c r="BA37" s="376">
        <v>0.077871</v>
      </c>
      <c r="BB37" s="376">
        <v>0.086104</v>
      </c>
      <c r="BC37" s="376">
        <v>0.072117</v>
      </c>
      <c r="BD37" s="376">
        <v>0.068095</v>
      </c>
      <c r="BE37" s="377"/>
      <c r="BF37" s="376">
        <v>0.021094</v>
      </c>
      <c r="BG37" s="376">
        <v>0.0763598487375123</v>
      </c>
      <c r="BH37" s="376">
        <v>0.0665860359226382</v>
      </c>
      <c r="BI37" s="376">
        <v>0.103151412702246</v>
      </c>
      <c r="BJ37" s="376">
        <v>0.0281557254940909</v>
      </c>
      <c r="BK37" s="376">
        <v>0.088871616369842</v>
      </c>
      <c r="BL37" s="376">
        <v>-0.010354307271426</v>
      </c>
      <c r="BM37" s="376">
        <v>0.0681074515967708</v>
      </c>
      <c r="BN37" s="376">
        <v>0.0638443414152162</v>
      </c>
      <c r="BO37" s="376">
        <v>0.116807714181429</v>
      </c>
      <c r="BP37" s="376">
        <v>0.0859373559721993</v>
      </c>
      <c r="BQ37" s="376">
        <v>0.0848599999999999</v>
      </c>
      <c r="BR37" s="376" t="s">
        <v>129</v>
      </c>
      <c r="BS37" s="376" t="s">
        <v>129</v>
      </c>
      <c r="BT37" s="376" t="s">
        <v>129</v>
      </c>
      <c r="BU37" s="376" t="s">
        <v>129</v>
      </c>
    </row>
    <row r="38" ht="15.15" spans="2:73">
      <c r="B38" s="298" t="s">
        <v>176</v>
      </c>
      <c r="C38" s="304">
        <v>1.68</v>
      </c>
      <c r="D38" s="305">
        <v>45838</v>
      </c>
      <c r="E38" s="306">
        <v>15663.3785</v>
      </c>
      <c r="F38" s="308">
        <v>-0.026616</v>
      </c>
      <c r="G38" s="308">
        <v>0.028275</v>
      </c>
      <c r="H38" s="308">
        <v>0.063456</v>
      </c>
      <c r="I38" s="308">
        <v>-0.023299</v>
      </c>
      <c r="J38" s="308">
        <v>0.207303</v>
      </c>
      <c r="K38" s="308">
        <v>0.233106</v>
      </c>
      <c r="L38" s="338">
        <v>0.147141</v>
      </c>
      <c r="M38" s="318"/>
      <c r="N38" s="336">
        <v>0.015901</v>
      </c>
      <c r="O38" s="337">
        <v>0.23850696603671</v>
      </c>
      <c r="P38" s="337">
        <v>0.324704585874677</v>
      </c>
      <c r="Q38" s="337">
        <v>0.0437124555160142</v>
      </c>
      <c r="R38" s="337">
        <v>0.31197077620113</v>
      </c>
      <c r="S38" s="337">
        <v>0.14239935141132</v>
      </c>
      <c r="T38" s="337">
        <v>0.114479603579954</v>
      </c>
      <c r="U38" s="337">
        <v>-0.0924345810728575</v>
      </c>
      <c r="V38" s="337">
        <v>0.401111460500218</v>
      </c>
      <c r="W38" s="337">
        <v>0.111642914762033</v>
      </c>
      <c r="X38" s="337">
        <v>0.0609118593058002</v>
      </c>
      <c r="Y38" s="337">
        <v>0.454041105834042</v>
      </c>
      <c r="Z38" s="337">
        <v>0.0646161998653138</v>
      </c>
      <c r="AA38" s="337">
        <v>0.293552302749018</v>
      </c>
      <c r="AB38" s="337">
        <v>-0.250612672966407</v>
      </c>
      <c r="AC38" s="337">
        <v>0.241965496158856</v>
      </c>
      <c r="AD38" s="337">
        <v>0.864449620855429</v>
      </c>
      <c r="AE38" s="337">
        <v>-0.55104856205151</v>
      </c>
      <c r="AF38" s="337">
        <v>0.598467065016361</v>
      </c>
      <c r="AG38" s="337">
        <v>0.43963133640553</v>
      </c>
      <c r="AH38" s="337">
        <v>0.498848810437452</v>
      </c>
      <c r="AI38" s="337">
        <v>0.303651825912957</v>
      </c>
      <c r="AJ38" s="337">
        <v>1.3797619047619</v>
      </c>
      <c r="AK38" s="337">
        <v>0.25748502994012</v>
      </c>
      <c r="AL38" s="337">
        <v>-0.214117647058824</v>
      </c>
      <c r="AM38" s="347">
        <v>-0.15</v>
      </c>
      <c r="AS38" s="312" t="s">
        <v>162</v>
      </c>
      <c r="AT38"/>
      <c r="AU38"/>
      <c r="AV38"/>
      <c r="AW38" s="377"/>
      <c r="AX38" s="378">
        <f>AVERAGE(AX16:AX37)</f>
        <v>0.0129196818181818</v>
      </c>
      <c r="AY38" s="378">
        <f t="shared" ref="AY38:BU38" si="2">AVERAGE(AY16:AY37)</f>
        <v>0.0223995</v>
      </c>
      <c r="AZ38" s="378">
        <f t="shared" si="2"/>
        <v>0.0377340909090909</v>
      </c>
      <c r="BA38" s="378">
        <f t="shared" si="2"/>
        <v>0.0799299090909091</v>
      </c>
      <c r="BB38" s="378">
        <f t="shared" si="2"/>
        <v>0.06400765</v>
      </c>
      <c r="BC38" s="378">
        <f t="shared" si="2"/>
        <v>0.0623488125</v>
      </c>
      <c r="BD38" s="378">
        <f t="shared" si="2"/>
        <v>0.0710815333333333</v>
      </c>
      <c r="BE38" s="377"/>
      <c r="BF38" s="378">
        <f t="shared" si="2"/>
        <v>0.0223995</v>
      </c>
      <c r="BG38" s="378">
        <f t="shared" si="2"/>
        <v>0.078198310421138</v>
      </c>
      <c r="BH38" s="378">
        <f t="shared" si="2"/>
        <v>0.0636642063545597</v>
      </c>
      <c r="BI38" s="378">
        <f t="shared" si="2"/>
        <v>0.0323999375932218</v>
      </c>
      <c r="BJ38" s="378">
        <f t="shared" si="2"/>
        <v>0.0346163058848058</v>
      </c>
      <c r="BK38" s="378">
        <f t="shared" si="2"/>
        <v>0.0865652706681293</v>
      </c>
      <c r="BL38" s="378">
        <f t="shared" si="2"/>
        <v>0.0969615082807965</v>
      </c>
      <c r="BM38" s="378">
        <f t="shared" si="2"/>
        <v>0.0663470294587747</v>
      </c>
      <c r="BN38" s="378">
        <f t="shared" si="2"/>
        <v>0.0597731356965269</v>
      </c>
      <c r="BO38" s="378">
        <f t="shared" si="2"/>
        <v>0.0964341325871876</v>
      </c>
      <c r="BP38" s="378">
        <f t="shared" si="2"/>
        <v>0.0804421760441816</v>
      </c>
      <c r="BQ38" s="378">
        <f t="shared" si="2"/>
        <v>0.0929747589478568</v>
      </c>
      <c r="BR38" s="378">
        <f t="shared" si="2"/>
        <v>0.0755021727229483</v>
      </c>
      <c r="BS38" s="378">
        <f t="shared" si="2"/>
        <v>0.0688480011029889</v>
      </c>
      <c r="BT38" s="378">
        <f t="shared" si="2"/>
        <v>0.0470371380442048</v>
      </c>
      <c r="BU38" s="378">
        <f t="shared" si="2"/>
        <v>0.0530213408506818</v>
      </c>
    </row>
    <row r="39" spans="2:73">
      <c r="B39" s="298" t="s">
        <v>177</v>
      </c>
      <c r="C39" s="304">
        <v>1.84</v>
      </c>
      <c r="D39" s="305">
        <v>45838</v>
      </c>
      <c r="E39" s="306">
        <v>4139.4816</v>
      </c>
      <c r="F39" s="308">
        <v>-0.033928</v>
      </c>
      <c r="G39" s="308">
        <v>0.054652</v>
      </c>
      <c r="H39" s="308">
        <v>0.052899</v>
      </c>
      <c r="I39" s="308">
        <v>-0.00812</v>
      </c>
      <c r="J39" s="308">
        <v>0.18257</v>
      </c>
      <c r="K39" s="308">
        <v>0.226557</v>
      </c>
      <c r="L39" s="338">
        <v>0.138024</v>
      </c>
      <c r="M39" s="318"/>
      <c r="N39" s="336">
        <v>-0.013214</v>
      </c>
      <c r="O39" s="337">
        <v>0.24476398425604</v>
      </c>
      <c r="P39" s="337">
        <v>0.296978052688453</v>
      </c>
      <c r="Q39" s="337">
        <v>0.0134053319235707</v>
      </c>
      <c r="R39" s="337">
        <v>0.369534300416311</v>
      </c>
      <c r="S39" s="337">
        <v>0.169746831614289</v>
      </c>
      <c r="T39" s="337">
        <v>0.111032698188661</v>
      </c>
      <c r="U39" s="337">
        <v>-0.0334556793451781</v>
      </c>
      <c r="V39" s="337">
        <v>0.381078413780728</v>
      </c>
      <c r="W39" s="337">
        <v>0.00486837360259649</v>
      </c>
      <c r="X39" s="337">
        <v>0.0267518281958715</v>
      </c>
      <c r="Y39" s="337">
        <v>0.44715338245144</v>
      </c>
      <c r="Z39" s="337">
        <v>0.0529656534311305</v>
      </c>
      <c r="AA39" s="337">
        <v>0.267453294001967</v>
      </c>
      <c r="AB39" s="337">
        <v>-0.226027397260274</v>
      </c>
      <c r="AC39" s="337">
        <v>0.264013992129427</v>
      </c>
      <c r="AD39" s="337">
        <v>0.716193906648657</v>
      </c>
      <c r="AE39" s="337">
        <v>-0.553896625602571</v>
      </c>
      <c r="AF39" s="337">
        <v>0.4936</v>
      </c>
      <c r="AG39" s="337" t="s">
        <v>129</v>
      </c>
      <c r="AH39" s="337" t="s">
        <v>129</v>
      </c>
      <c r="AI39" s="337" t="s">
        <v>129</v>
      </c>
      <c r="AJ39" s="337" t="s">
        <v>129</v>
      </c>
      <c r="AK39" s="337" t="s">
        <v>129</v>
      </c>
      <c r="AL39" s="337" t="s">
        <v>129</v>
      </c>
      <c r="AM39" s="347" t="s">
        <v>129</v>
      </c>
      <c r="AS39" s="312" t="s">
        <v>178</v>
      </c>
      <c r="AT39"/>
      <c r="AU39"/>
      <c r="AV39"/>
      <c r="AW39"/>
      <c r="AX39" s="379">
        <v>0.0087263867959253</v>
      </c>
      <c r="AY39" s="379">
        <v>0.0207643930788102</v>
      </c>
      <c r="AZ39" s="379">
        <v>0.0377184412193585</v>
      </c>
      <c r="BA39" s="379">
        <v>0.080280059411505</v>
      </c>
      <c r="BB39" s="379">
        <v>0.0659301709109001</v>
      </c>
      <c r="BC39" s="379">
        <v>0.0655149768088614</v>
      </c>
      <c r="BD39" s="379">
        <v>0.0738047315298365</v>
      </c>
      <c r="BE39" s="382"/>
      <c r="BF39" s="379">
        <v>0.0207643930788102</v>
      </c>
      <c r="BG39" s="379">
        <v>0.0797029257152309</v>
      </c>
      <c r="BH39" s="379">
        <v>0.0725988870220093</v>
      </c>
      <c r="BI39" s="379">
        <v>0.0358682288812193</v>
      </c>
      <c r="BJ39" s="379">
        <v>0.0437965988907254</v>
      </c>
      <c r="BK39" s="379">
        <v>0.104161972570555</v>
      </c>
      <c r="BL39" s="379">
        <v>0.0953364838894115</v>
      </c>
      <c r="BM39" s="379">
        <v>0.0665068187794211</v>
      </c>
      <c r="BN39" s="379">
        <v>0.0602957159773323</v>
      </c>
      <c r="BO39" s="379">
        <v>0.0986738756953636</v>
      </c>
      <c r="BP39" s="379">
        <v>0.0865549936165921</v>
      </c>
      <c r="BQ39" s="379">
        <v>0.104681934209951</v>
      </c>
      <c r="BR39" s="379">
        <v>0.0827206164504672</v>
      </c>
      <c r="BS39" s="379">
        <v>0.0912371315059957</v>
      </c>
      <c r="BT39" s="379">
        <v>0.0786771029274067</v>
      </c>
      <c r="BU39" s="379">
        <v>0.0470040326565153</v>
      </c>
    </row>
    <row r="40" ht="15.15" spans="2:73">
      <c r="B40" s="298" t="s">
        <v>179</v>
      </c>
      <c r="C40" s="304">
        <v>2.01</v>
      </c>
      <c r="D40" s="305">
        <v>45838</v>
      </c>
      <c r="E40" s="306">
        <v>3684.319058744</v>
      </c>
      <c r="F40" s="308">
        <v>-0.02752</v>
      </c>
      <c r="G40" s="308">
        <v>0.066995</v>
      </c>
      <c r="H40" s="308">
        <v>0.082437</v>
      </c>
      <c r="I40" s="308">
        <v>0.022043</v>
      </c>
      <c r="J40" s="308">
        <v>0.166943</v>
      </c>
      <c r="K40" s="308">
        <v>0.23272</v>
      </c>
      <c r="L40" s="338">
        <v>0.114271</v>
      </c>
      <c r="M40" s="318"/>
      <c r="N40" s="336">
        <v>0.046536</v>
      </c>
      <c r="O40" s="337">
        <v>0.188016241957434</v>
      </c>
      <c r="P40" s="337">
        <v>0.269633861119735</v>
      </c>
      <c r="Q40" s="337">
        <v>-0.0282043009628049</v>
      </c>
      <c r="R40" s="337">
        <v>0.390531776477788</v>
      </c>
      <c r="S40" s="337">
        <v>0.12022042144259</v>
      </c>
      <c r="T40" s="337">
        <v>0.0210904158322083</v>
      </c>
      <c r="U40" s="337">
        <v>-0.049931065003149</v>
      </c>
      <c r="V40" s="337">
        <v>0.311303804390282</v>
      </c>
      <c r="W40" s="337">
        <v>0.0399931689458953</v>
      </c>
      <c r="X40" s="337">
        <v>0.0195723100329643</v>
      </c>
      <c r="Y40" s="337">
        <v>0.558975142839071</v>
      </c>
      <c r="Z40" s="337">
        <v>0.0707346048461967</v>
      </c>
      <c r="AA40" s="337">
        <v>0.314450082342992</v>
      </c>
      <c r="AB40" s="337">
        <v>-0.222514447866561</v>
      </c>
      <c r="AC40" s="337">
        <v>0.210079458967138</v>
      </c>
      <c r="AD40" s="337">
        <v>0.8873440731325</v>
      </c>
      <c r="AE40" s="337">
        <v>-0.516307429612687</v>
      </c>
      <c r="AF40" s="337">
        <v>0.490531813865147</v>
      </c>
      <c r="AG40" s="337">
        <v>0.419137466307278</v>
      </c>
      <c r="AH40" s="337">
        <v>0.484</v>
      </c>
      <c r="AI40" s="337" t="s">
        <v>129</v>
      </c>
      <c r="AJ40" s="337" t="s">
        <v>129</v>
      </c>
      <c r="AK40" s="337" t="s">
        <v>129</v>
      </c>
      <c r="AL40" s="337" t="s">
        <v>129</v>
      </c>
      <c r="AM40" s="347" t="s">
        <v>129</v>
      </c>
      <c r="AS40"/>
      <c r="AT40"/>
      <c r="AU40"/>
      <c r="AV40"/>
      <c r="AW40"/>
      <c r="AX40"/>
      <c r="AY40"/>
      <c r="AZ40"/>
      <c r="BA40"/>
      <c r="BB40"/>
      <c r="BC40"/>
      <c r="BD40"/>
      <c r="BE40"/>
      <c r="BF40"/>
      <c r="BG40"/>
      <c r="BH40"/>
      <c r="BI40"/>
      <c r="BJ40"/>
      <c r="BK40"/>
      <c r="BL40"/>
      <c r="BM40"/>
      <c r="BN40"/>
      <c r="BO40"/>
      <c r="BP40"/>
      <c r="BQ40"/>
      <c r="BR40"/>
      <c r="BS40"/>
      <c r="BT40"/>
      <c r="BU40"/>
    </row>
    <row r="41" ht="15.15" spans="2:73">
      <c r="B41" s="298" t="s">
        <v>180</v>
      </c>
      <c r="C41" s="304">
        <v>1.64</v>
      </c>
      <c r="D41" s="305">
        <v>45838</v>
      </c>
      <c r="E41" s="306">
        <v>26848.8468</v>
      </c>
      <c r="F41" s="308">
        <v>-0.025748</v>
      </c>
      <c r="G41" s="308">
        <v>0.056588</v>
      </c>
      <c r="H41" s="308">
        <v>0.075193</v>
      </c>
      <c r="I41" s="308">
        <v>-0.020426</v>
      </c>
      <c r="J41" s="308">
        <v>0.213638</v>
      </c>
      <c r="K41" s="308">
        <v>0.271973</v>
      </c>
      <c r="L41" s="338">
        <v>0.137948</v>
      </c>
      <c r="M41" s="318"/>
      <c r="N41" s="336">
        <v>0.024092</v>
      </c>
      <c r="O41" s="337">
        <v>0.194046470464487</v>
      </c>
      <c r="P41" s="337">
        <v>0.377181020315394</v>
      </c>
      <c r="Q41" s="337">
        <v>0.0816565809379726</v>
      </c>
      <c r="R41" s="337">
        <v>0.430802294478718</v>
      </c>
      <c r="S41" s="337">
        <v>0.114332971520134</v>
      </c>
      <c r="T41" s="337">
        <v>0.0658133940540235</v>
      </c>
      <c r="U41" s="337">
        <v>-0.0383124508843038</v>
      </c>
      <c r="V41" s="337">
        <v>0.294127729594463</v>
      </c>
      <c r="W41" s="337">
        <v>0.0391740090721236</v>
      </c>
      <c r="X41" s="337">
        <v>-0.0483971208063538</v>
      </c>
      <c r="Y41" s="337">
        <v>0.274621921359641</v>
      </c>
      <c r="Z41" s="337">
        <v>0.0454121119041163</v>
      </c>
      <c r="AA41" s="337">
        <v>0.355138852047584</v>
      </c>
      <c r="AB41" s="337">
        <v>-0.291562468379132</v>
      </c>
      <c r="AC41" s="337">
        <v>0.206343947267463</v>
      </c>
      <c r="AD41" s="337">
        <v>0.817622820919176</v>
      </c>
      <c r="AE41" s="337">
        <v>-0.567630533095792</v>
      </c>
      <c r="AF41" s="337">
        <v>0.464672822159775</v>
      </c>
      <c r="AG41" s="337">
        <v>0.361967137418993</v>
      </c>
      <c r="AH41" s="337">
        <v>0.478294573643409</v>
      </c>
      <c r="AI41" s="337">
        <v>0.194179393668979</v>
      </c>
      <c r="AJ41" s="337">
        <v>0.85909822866345</v>
      </c>
      <c r="AK41" s="337">
        <v>0.133211678832117</v>
      </c>
      <c r="AL41" s="337">
        <v>-0.163824978387896</v>
      </c>
      <c r="AM41" s="347">
        <v>-0.300446531572342</v>
      </c>
      <c r="AS41" s="366" t="s">
        <v>181</v>
      </c>
      <c r="AT41" s="351" t="s">
        <v>87</v>
      </c>
      <c r="AU41" s="352" t="s">
        <v>110</v>
      </c>
      <c r="AV41" s="353"/>
      <c r="AW41" s="368"/>
      <c r="AX41" s="332" t="s">
        <v>113</v>
      </c>
      <c r="AY41" s="333"/>
      <c r="AZ41" s="333"/>
      <c r="BA41" s="333"/>
      <c r="BB41" s="333"/>
      <c r="BC41" s="333"/>
      <c r="BD41" s="346"/>
      <c r="BE41" s="368"/>
      <c r="BF41" s="380" t="s">
        <v>114</v>
      </c>
      <c r="BG41" s="381"/>
      <c r="BH41" s="381"/>
      <c r="BI41" s="381"/>
      <c r="BJ41" s="381"/>
      <c r="BK41" s="381"/>
      <c r="BL41" s="381"/>
      <c r="BM41" s="381"/>
      <c r="BN41" s="381"/>
      <c r="BO41" s="381"/>
      <c r="BP41" s="381"/>
      <c r="BQ41" s="381"/>
      <c r="BR41" s="381"/>
      <c r="BS41" s="381"/>
      <c r="BT41" s="381"/>
      <c r="BU41" s="383"/>
    </row>
    <row r="42" ht="15.15" spans="2:73">
      <c r="B42" s="298" t="s">
        <v>182</v>
      </c>
      <c r="C42" s="304">
        <v>1.9</v>
      </c>
      <c r="D42" s="305">
        <v>45838</v>
      </c>
      <c r="E42" s="306">
        <v>4365.0351</v>
      </c>
      <c r="F42" s="308">
        <v>-0.020548</v>
      </c>
      <c r="G42" s="308">
        <v>0.08281</v>
      </c>
      <c r="H42" s="308">
        <v>0.064959</v>
      </c>
      <c r="I42" s="308">
        <v>-0.033972</v>
      </c>
      <c r="J42" s="308">
        <v>0.198359</v>
      </c>
      <c r="K42" s="308">
        <v>0.228155</v>
      </c>
      <c r="L42" s="338" t="s">
        <v>129</v>
      </c>
      <c r="M42" s="318"/>
      <c r="N42" s="336">
        <v>-0.067565</v>
      </c>
      <c r="O42" s="337">
        <v>0.385703575576125</v>
      </c>
      <c r="P42" s="337">
        <v>0.303194784130167</v>
      </c>
      <c r="Q42" s="337">
        <v>-0.0379714952696891</v>
      </c>
      <c r="R42" s="337">
        <v>0.35079289999751</v>
      </c>
      <c r="S42" s="337">
        <v>0.152559394008952</v>
      </c>
      <c r="T42" s="337">
        <v>0.04556</v>
      </c>
      <c r="U42" s="337" t="s">
        <v>129</v>
      </c>
      <c r="V42" s="337" t="s">
        <v>129</v>
      </c>
      <c r="W42" s="337" t="s">
        <v>129</v>
      </c>
      <c r="X42" s="337" t="s">
        <v>129</v>
      </c>
      <c r="Y42" s="337" t="s">
        <v>129</v>
      </c>
      <c r="Z42" s="337" t="s">
        <v>129</v>
      </c>
      <c r="AA42" s="337" t="s">
        <v>129</v>
      </c>
      <c r="AB42" s="337" t="s">
        <v>129</v>
      </c>
      <c r="AC42" s="337" t="s">
        <v>129</v>
      </c>
      <c r="AD42" s="337" t="s">
        <v>129</v>
      </c>
      <c r="AE42" s="337" t="s">
        <v>129</v>
      </c>
      <c r="AF42" s="337" t="s">
        <v>129</v>
      </c>
      <c r="AG42" s="337" t="s">
        <v>129</v>
      </c>
      <c r="AH42" s="337" t="s">
        <v>129</v>
      </c>
      <c r="AI42" s="337" t="s">
        <v>129</v>
      </c>
      <c r="AJ42" s="337" t="s">
        <v>129</v>
      </c>
      <c r="AK42" s="337" t="s">
        <v>129</v>
      </c>
      <c r="AL42" s="337" t="s">
        <v>129</v>
      </c>
      <c r="AM42" s="347" t="s">
        <v>129</v>
      </c>
      <c r="AS42" s="367"/>
      <c r="AT42" s="355" t="s">
        <v>121</v>
      </c>
      <c r="AU42" s="356" t="s">
        <v>115</v>
      </c>
      <c r="AV42" s="357" t="s">
        <v>116</v>
      </c>
      <c r="AW42" s="369"/>
      <c r="AX42" s="266" t="s">
        <v>122</v>
      </c>
      <c r="AY42" s="268" t="s">
        <v>123</v>
      </c>
      <c r="AZ42" s="268" t="s">
        <v>124</v>
      </c>
      <c r="BA42" s="268" t="s">
        <v>91</v>
      </c>
      <c r="BB42" s="268" t="s">
        <v>125</v>
      </c>
      <c r="BC42" s="268" t="s">
        <v>126</v>
      </c>
      <c r="BD42" s="269" t="s">
        <v>127</v>
      </c>
      <c r="BE42" s="369"/>
      <c r="BF42" s="266">
        <v>2025</v>
      </c>
      <c r="BG42" s="266">
        <v>2024</v>
      </c>
      <c r="BH42" s="266">
        <v>2023</v>
      </c>
      <c r="BI42" s="268">
        <v>2022</v>
      </c>
      <c r="BJ42" s="268">
        <v>2021</v>
      </c>
      <c r="BK42" s="268">
        <v>2020</v>
      </c>
      <c r="BL42" s="268">
        <v>2019</v>
      </c>
      <c r="BM42" s="268">
        <v>2018</v>
      </c>
      <c r="BN42" s="268">
        <v>2017</v>
      </c>
      <c r="BO42" s="268">
        <v>2016</v>
      </c>
      <c r="BP42" s="268">
        <v>2015</v>
      </c>
      <c r="BQ42" s="268">
        <v>2014</v>
      </c>
      <c r="BR42" s="268">
        <v>2013</v>
      </c>
      <c r="BS42" s="268">
        <v>2012</v>
      </c>
      <c r="BT42" s="268">
        <v>2011</v>
      </c>
      <c r="BU42" s="269">
        <v>2010</v>
      </c>
    </row>
    <row r="43" spans="2:73">
      <c r="B43" s="298" t="s">
        <v>27</v>
      </c>
      <c r="C43" s="304">
        <v>1.65</v>
      </c>
      <c r="D43" s="305">
        <v>45838</v>
      </c>
      <c r="E43" s="306">
        <v>22856.5892974126</v>
      </c>
      <c r="F43" s="308">
        <v>-0.027323</v>
      </c>
      <c r="G43" s="308">
        <v>0.027621</v>
      </c>
      <c r="H43" s="308">
        <v>0.059936</v>
      </c>
      <c r="I43" s="308">
        <v>0.008509</v>
      </c>
      <c r="J43" s="308">
        <v>0.217245</v>
      </c>
      <c r="K43" s="308">
        <v>0.274919</v>
      </c>
      <c r="L43" s="338">
        <v>0.152887</v>
      </c>
      <c r="M43" s="318"/>
      <c r="N43" s="336">
        <v>0.067757</v>
      </c>
      <c r="O43" s="337">
        <v>0.203788493236702</v>
      </c>
      <c r="P43" s="337">
        <v>0.29937106918239</v>
      </c>
      <c r="Q43" s="337">
        <v>0.117018246719957</v>
      </c>
      <c r="R43" s="337">
        <v>0.417952238645236</v>
      </c>
      <c r="S43" s="337">
        <v>0.117250714393142</v>
      </c>
      <c r="T43" s="337">
        <v>0.057410941475827</v>
      </c>
      <c r="U43" s="337">
        <v>-0.0621364436357129</v>
      </c>
      <c r="V43" s="337">
        <v>0.298234063976454</v>
      </c>
      <c r="W43" s="337">
        <v>0.102656076522333</v>
      </c>
      <c r="X43" s="337">
        <v>-0.00640672069243494</v>
      </c>
      <c r="Y43" s="337">
        <v>0.382913806254767</v>
      </c>
      <c r="Z43" s="337">
        <v>0.113775976996471</v>
      </c>
      <c r="AA43" s="337">
        <v>0.328298611111111</v>
      </c>
      <c r="AB43" s="337">
        <v>-0.203264402794107</v>
      </c>
      <c r="AC43" s="337">
        <v>0.175432891634826</v>
      </c>
      <c r="AD43" s="337">
        <v>0.746061036195884</v>
      </c>
      <c r="AE43" s="337">
        <v>-0.477412654847563</v>
      </c>
      <c r="AF43" s="337">
        <v>0.44398029134533</v>
      </c>
      <c r="AG43" s="337">
        <v>0.42774124483866</v>
      </c>
      <c r="AH43" s="337">
        <v>0.495312142693803</v>
      </c>
      <c r="AI43" s="337">
        <v>0.133488854328668</v>
      </c>
      <c r="AJ43" s="337">
        <v>0.946518668012109</v>
      </c>
      <c r="AK43" s="337">
        <v>0.123582766439909</v>
      </c>
      <c r="AL43" s="337">
        <v>-0.135294117647059</v>
      </c>
      <c r="AM43" s="347">
        <v>-0.333986287952987</v>
      </c>
      <c r="AN43" s="37">
        <v>1.17</v>
      </c>
      <c r="AO43" s="37">
        <v>0.84</v>
      </c>
      <c r="AP43" s="37">
        <v>24.56</v>
      </c>
      <c r="AQ43" s="37">
        <v>3.65</v>
      </c>
      <c r="AS43" s="361" t="s">
        <v>183</v>
      </c>
      <c r="AT43" s="364">
        <v>0.51</v>
      </c>
      <c r="AU43" s="365">
        <v>45716</v>
      </c>
      <c r="AV43" s="364">
        <v>25293.2913</v>
      </c>
      <c r="AW43" s="369"/>
      <c r="AX43" s="376">
        <v>0.01307</v>
      </c>
      <c r="AY43" s="376">
        <v>0.023926</v>
      </c>
      <c r="AZ43" s="376">
        <v>0.040279</v>
      </c>
      <c r="BA43" s="376">
        <v>0.087219</v>
      </c>
      <c r="BB43" s="376">
        <v>0.070382</v>
      </c>
      <c r="BC43" s="376">
        <v>0.071649</v>
      </c>
      <c r="BD43" s="376">
        <v>0.077675</v>
      </c>
      <c r="BE43" s="377"/>
      <c r="BF43" s="376">
        <v>0.023926</v>
      </c>
      <c r="BG43" s="376">
        <v>0.0853808125487864</v>
      </c>
      <c r="BH43" s="376">
        <v>0.0729105475836066</v>
      </c>
      <c r="BI43" s="376">
        <v>0.0407906161726531</v>
      </c>
      <c r="BJ43" s="376">
        <v>0.0403849655230368</v>
      </c>
      <c r="BK43" s="376">
        <v>0.11889364814041</v>
      </c>
      <c r="BL43" s="376">
        <v>0.0959986374442345</v>
      </c>
      <c r="BM43" s="376">
        <v>0.0700139363217301</v>
      </c>
      <c r="BN43" s="376">
        <v>0.0651483119967636</v>
      </c>
      <c r="BO43" s="376">
        <v>0.102438726129311</v>
      </c>
      <c r="BP43" s="376">
        <v>0.0888944588807319</v>
      </c>
      <c r="BQ43" s="376">
        <v>0.109066506244937</v>
      </c>
      <c r="BR43" s="376">
        <v>0.084171366006993</v>
      </c>
      <c r="BS43" s="376">
        <v>0.105533328300747</v>
      </c>
      <c r="BT43" s="376">
        <v>0.0952584597050329</v>
      </c>
      <c r="BU43" s="376">
        <v>0.0382992957642245</v>
      </c>
    </row>
    <row r="44" spans="2:73">
      <c r="B44" s="298" t="s">
        <v>184</v>
      </c>
      <c r="C44" s="304">
        <v>1.78</v>
      </c>
      <c r="D44" s="305">
        <v>45838</v>
      </c>
      <c r="E44" s="306">
        <v>7886.657</v>
      </c>
      <c r="F44" s="308">
        <v>-0.011946</v>
      </c>
      <c r="G44" s="308">
        <v>0.115891</v>
      </c>
      <c r="H44" s="308">
        <v>0.147617</v>
      </c>
      <c r="I44" s="308">
        <v>0.105015</v>
      </c>
      <c r="J44" s="308">
        <v>0.26175</v>
      </c>
      <c r="K44" s="308">
        <v>0.248538</v>
      </c>
      <c r="L44" s="338">
        <v>0.152354</v>
      </c>
      <c r="M44" s="318"/>
      <c r="N44" s="336">
        <v>0.050052</v>
      </c>
      <c r="O44" s="337">
        <v>0.374821173104435</v>
      </c>
      <c r="P44" s="337">
        <v>0.315640880858272</v>
      </c>
      <c r="Q44" s="337">
        <v>-0.00375023438964927</v>
      </c>
      <c r="R44" s="337">
        <v>0.296620471675176</v>
      </c>
      <c r="S44" s="337">
        <v>0.132745800055081</v>
      </c>
      <c r="T44" s="337">
        <v>0.107012195121951</v>
      </c>
      <c r="U44" s="337">
        <v>-0.00243309002433106</v>
      </c>
      <c r="V44" s="337">
        <v>0.396178343949045</v>
      </c>
      <c r="W44" s="337">
        <v>0.0333479596314174</v>
      </c>
      <c r="X44" s="337">
        <v>0.0382687927107061</v>
      </c>
      <c r="Y44" s="337">
        <v>0.437459070072037</v>
      </c>
      <c r="Z44" s="337">
        <v>0.115412710007305</v>
      </c>
      <c r="AA44" s="337">
        <v>0.265249537892791</v>
      </c>
      <c r="AB44" s="337">
        <v>-0.218208092485549</v>
      </c>
      <c r="AC44" s="337">
        <v>0.222614840989399</v>
      </c>
      <c r="AD44" s="337">
        <v>0.621776504297994</v>
      </c>
      <c r="AE44" s="337">
        <v>-0.489019033674963</v>
      </c>
      <c r="AF44" s="337">
        <v>0.366</v>
      </c>
      <c r="AG44" s="337" t="s">
        <v>129</v>
      </c>
      <c r="AH44" s="337" t="s">
        <v>129</v>
      </c>
      <c r="AI44" s="337" t="s">
        <v>129</v>
      </c>
      <c r="AJ44" s="337" t="s">
        <v>129</v>
      </c>
      <c r="AK44" s="337" t="s">
        <v>129</v>
      </c>
      <c r="AL44" s="337" t="s">
        <v>129</v>
      </c>
      <c r="AM44" s="347" t="s">
        <v>129</v>
      </c>
      <c r="AS44" s="361" t="s">
        <v>185</v>
      </c>
      <c r="AT44" s="364">
        <v>0.35</v>
      </c>
      <c r="AU44" s="365">
        <v>45716</v>
      </c>
      <c r="AV44" s="364">
        <v>164.4394</v>
      </c>
      <c r="AW44" s="369"/>
      <c r="AX44" s="376">
        <v>0.005473</v>
      </c>
      <c r="AY44" s="376">
        <v>0.016243</v>
      </c>
      <c r="AZ44" s="376">
        <v>0.032896</v>
      </c>
      <c r="BA44" s="376">
        <v>0.070343</v>
      </c>
      <c r="BB44" s="376">
        <v>0.056867</v>
      </c>
      <c r="BC44" s="376" t="s">
        <v>129</v>
      </c>
      <c r="BD44" s="376" t="s">
        <v>129</v>
      </c>
      <c r="BE44" s="377"/>
      <c r="BF44" s="376">
        <v>0.016243</v>
      </c>
      <c r="BG44" s="376">
        <v>0.0730513935432649</v>
      </c>
      <c r="BH44" s="376">
        <v>0.0693406517468435</v>
      </c>
      <c r="BI44" s="376">
        <v>0.01297</v>
      </c>
      <c r="BJ44" s="376" t="s">
        <v>129</v>
      </c>
      <c r="BK44" s="376" t="s">
        <v>129</v>
      </c>
      <c r="BL44" s="376" t="s">
        <v>129</v>
      </c>
      <c r="BM44" s="376" t="s">
        <v>129</v>
      </c>
      <c r="BN44" s="376" t="s">
        <v>129</v>
      </c>
      <c r="BO44" s="376" t="s">
        <v>129</v>
      </c>
      <c r="BP44" s="376" t="s">
        <v>129</v>
      </c>
      <c r="BQ44" s="376" t="s">
        <v>129</v>
      </c>
      <c r="BR44" s="376" t="s">
        <v>129</v>
      </c>
      <c r="BS44" s="376" t="s">
        <v>129</v>
      </c>
      <c r="BT44" s="376" t="s">
        <v>129</v>
      </c>
      <c r="BU44" s="376" t="s">
        <v>129</v>
      </c>
    </row>
    <row r="45" spans="2:73">
      <c r="B45" s="298" t="s">
        <v>186</v>
      </c>
      <c r="C45" s="304">
        <v>1.58</v>
      </c>
      <c r="D45" s="305">
        <v>45838</v>
      </c>
      <c r="E45" s="306">
        <v>28294.1486</v>
      </c>
      <c r="F45" s="308">
        <v>-0.015459</v>
      </c>
      <c r="G45" s="308">
        <v>0.069466</v>
      </c>
      <c r="H45" s="308">
        <v>0.085821</v>
      </c>
      <c r="I45" s="308">
        <v>-0.014114</v>
      </c>
      <c r="J45" s="308">
        <v>0.199487</v>
      </c>
      <c r="K45" s="308">
        <v>0.230121</v>
      </c>
      <c r="L45" s="338">
        <v>0.146777</v>
      </c>
      <c r="M45" s="318"/>
      <c r="N45" s="336">
        <v>0.018433</v>
      </c>
      <c r="O45" s="337">
        <v>0.241587893262502</v>
      </c>
      <c r="P45" s="337">
        <v>0.29334584295612</v>
      </c>
      <c r="Q45" s="337">
        <v>0.0698622521465193</v>
      </c>
      <c r="R45" s="337">
        <v>0.304188457071504</v>
      </c>
      <c r="S45" s="337">
        <v>0.164627328949735</v>
      </c>
      <c r="T45" s="337">
        <v>0.131596875082945</v>
      </c>
      <c r="U45" s="337">
        <v>-0.056165607542191</v>
      </c>
      <c r="V45" s="337">
        <v>0.348706513047494</v>
      </c>
      <c r="W45" s="337">
        <v>0.0959281156271984</v>
      </c>
      <c r="X45" s="337">
        <v>0.0327074809121385</v>
      </c>
      <c r="Y45" s="337">
        <v>0.499455285640565</v>
      </c>
      <c r="Z45" s="337">
        <v>0.0423340505219539</v>
      </c>
      <c r="AA45" s="337">
        <v>0.301425978739953</v>
      </c>
      <c r="AB45" s="337">
        <v>-0.228476556249</v>
      </c>
      <c r="AC45" s="337">
        <v>0.184981511330236</v>
      </c>
      <c r="AD45" s="337">
        <v>0.801289441099868</v>
      </c>
      <c r="AE45" s="337">
        <v>-0.567726693859471</v>
      </c>
      <c r="AF45" s="337">
        <v>0.910135730653975</v>
      </c>
      <c r="AG45" s="337">
        <v>0.387041564792176</v>
      </c>
      <c r="AH45" s="337">
        <v>0.587363191803151</v>
      </c>
      <c r="AI45" s="337">
        <v>0.2883</v>
      </c>
      <c r="AJ45" s="337" t="s">
        <v>129</v>
      </c>
      <c r="AK45" s="337" t="s">
        <v>129</v>
      </c>
      <c r="AL45" s="337" t="s">
        <v>129</v>
      </c>
      <c r="AM45" s="347" t="s">
        <v>129</v>
      </c>
      <c r="AS45" s="361" t="s">
        <v>187</v>
      </c>
      <c r="AT45" s="364">
        <v>0.32</v>
      </c>
      <c r="AU45" s="365">
        <v>45716</v>
      </c>
      <c r="AV45" s="364">
        <v>1684.6227</v>
      </c>
      <c r="AW45" s="369"/>
      <c r="AX45" s="376">
        <v>0.008097</v>
      </c>
      <c r="AY45" s="376">
        <v>0.02071</v>
      </c>
      <c r="AZ45" s="376">
        <v>0.036912</v>
      </c>
      <c r="BA45" s="376">
        <v>0.079396</v>
      </c>
      <c r="BB45" s="376">
        <v>0.059463</v>
      </c>
      <c r="BC45" s="376" t="s">
        <v>129</v>
      </c>
      <c r="BD45" s="376" t="s">
        <v>129</v>
      </c>
      <c r="BE45" s="377"/>
      <c r="BF45" s="376">
        <v>0.02071</v>
      </c>
      <c r="BG45" s="376">
        <v>0.0775073460109773</v>
      </c>
      <c r="BH45" s="376">
        <v>0.0686798265970159</v>
      </c>
      <c r="BI45" s="376">
        <v>0.01267</v>
      </c>
      <c r="BJ45" s="376" t="s">
        <v>129</v>
      </c>
      <c r="BK45" s="376" t="s">
        <v>129</v>
      </c>
      <c r="BL45" s="376" t="s">
        <v>129</v>
      </c>
      <c r="BM45" s="376" t="s">
        <v>129</v>
      </c>
      <c r="BN45" s="376" t="s">
        <v>129</v>
      </c>
      <c r="BO45" s="376" t="s">
        <v>129</v>
      </c>
      <c r="BP45" s="376" t="s">
        <v>129</v>
      </c>
      <c r="BQ45" s="376" t="s">
        <v>129</v>
      </c>
      <c r="BR45" s="376" t="s">
        <v>129</v>
      </c>
      <c r="BS45" s="376" t="s">
        <v>129</v>
      </c>
      <c r="BT45" s="376" t="s">
        <v>129</v>
      </c>
      <c r="BU45" s="376" t="s">
        <v>129</v>
      </c>
    </row>
    <row r="46" spans="2:73">
      <c r="B46" s="298" t="s">
        <v>188</v>
      </c>
      <c r="C46" s="304">
        <v>1.52</v>
      </c>
      <c r="D46" s="305">
        <v>45838</v>
      </c>
      <c r="E46" s="306">
        <v>41201.8704</v>
      </c>
      <c r="F46" s="308">
        <v>-0.019514</v>
      </c>
      <c r="G46" s="308">
        <v>0.064122</v>
      </c>
      <c r="H46" s="308">
        <v>0.085592</v>
      </c>
      <c r="I46" s="308">
        <v>-0.026001</v>
      </c>
      <c r="J46" s="308">
        <v>0.163582</v>
      </c>
      <c r="K46" s="308">
        <v>0.220446</v>
      </c>
      <c r="L46" s="338">
        <v>0.166869</v>
      </c>
      <c r="M46" s="318"/>
      <c r="N46" s="336">
        <v>0.028941</v>
      </c>
      <c r="O46" s="337">
        <v>0.155613080542972</v>
      </c>
      <c r="P46" s="337">
        <v>0.293407047638731</v>
      </c>
      <c r="Q46" s="337">
        <v>-0.0144818315137689</v>
      </c>
      <c r="R46" s="337">
        <v>0.391314204746723</v>
      </c>
      <c r="S46" s="337">
        <v>0.223964204575016</v>
      </c>
      <c r="T46" s="337">
        <v>0.147162979468407</v>
      </c>
      <c r="U46" s="337">
        <v>-0.0541923829595062</v>
      </c>
      <c r="V46" s="337">
        <v>0.490130103185285</v>
      </c>
      <c r="W46" s="337">
        <v>0.121650522078249</v>
      </c>
      <c r="X46" s="337">
        <v>0.140786452353617</v>
      </c>
      <c r="Y46" s="337">
        <v>0.846194608200305</v>
      </c>
      <c r="Z46" s="337">
        <v>0.086115107913669</v>
      </c>
      <c r="AA46" s="337">
        <v>0.455649806262436</v>
      </c>
      <c r="AB46" s="337">
        <v>-0.151501688288608</v>
      </c>
      <c r="AC46" s="337">
        <v>0.1254</v>
      </c>
      <c r="AD46" s="337" t="s">
        <v>129</v>
      </c>
      <c r="AE46" s="337" t="s">
        <v>129</v>
      </c>
      <c r="AF46" s="337" t="s">
        <v>129</v>
      </c>
      <c r="AG46" s="337" t="s">
        <v>129</v>
      </c>
      <c r="AH46" s="337" t="s">
        <v>129</v>
      </c>
      <c r="AI46" s="337" t="s">
        <v>129</v>
      </c>
      <c r="AJ46" s="337" t="s">
        <v>129</v>
      </c>
      <c r="AK46" s="337" t="s">
        <v>129</v>
      </c>
      <c r="AL46" s="337" t="s">
        <v>129</v>
      </c>
      <c r="AM46" s="347" t="s">
        <v>129</v>
      </c>
      <c r="AS46" s="361" t="s">
        <v>189</v>
      </c>
      <c r="AT46" s="364">
        <v>0.45</v>
      </c>
      <c r="AU46" s="365">
        <v>45716</v>
      </c>
      <c r="AV46" s="364">
        <v>52.8246</v>
      </c>
      <c r="AW46" s="369"/>
      <c r="AX46" s="376">
        <v>0.007072</v>
      </c>
      <c r="AY46" s="376">
        <v>0.01891</v>
      </c>
      <c r="AZ46" s="376">
        <v>0.035319</v>
      </c>
      <c r="BA46" s="376">
        <v>0.074483</v>
      </c>
      <c r="BB46" s="376" t="s">
        <v>129</v>
      </c>
      <c r="BC46" s="376" t="s">
        <v>129</v>
      </c>
      <c r="BD46" s="376" t="s">
        <v>129</v>
      </c>
      <c r="BE46" s="377"/>
      <c r="BF46" s="376">
        <v>0.01891</v>
      </c>
      <c r="BG46" s="376">
        <v>0.0740391439136445</v>
      </c>
      <c r="BH46" s="376">
        <v>0.0678020181071272</v>
      </c>
      <c r="BI46" s="376">
        <v>0.00291999999999994</v>
      </c>
      <c r="BJ46" s="376" t="s">
        <v>129</v>
      </c>
      <c r="BK46" s="376" t="s">
        <v>129</v>
      </c>
      <c r="BL46" s="376" t="s">
        <v>129</v>
      </c>
      <c r="BM46" s="376" t="s">
        <v>129</v>
      </c>
      <c r="BN46" s="376" t="s">
        <v>129</v>
      </c>
      <c r="BO46" s="376" t="s">
        <v>129</v>
      </c>
      <c r="BP46" s="376" t="s">
        <v>129</v>
      </c>
      <c r="BQ46" s="376" t="s">
        <v>129</v>
      </c>
      <c r="BR46" s="376" t="s">
        <v>129</v>
      </c>
      <c r="BS46" s="376" t="s">
        <v>129</v>
      </c>
      <c r="BT46" s="376" t="s">
        <v>129</v>
      </c>
      <c r="BU46" s="376" t="s">
        <v>129</v>
      </c>
    </row>
    <row r="47" spans="2:73">
      <c r="B47" s="298" t="s">
        <v>190</v>
      </c>
      <c r="C47" s="304">
        <v>1.71</v>
      </c>
      <c r="D47" s="305">
        <v>45838</v>
      </c>
      <c r="E47" s="306">
        <v>11816.3015</v>
      </c>
      <c r="F47" s="308">
        <v>-0.029309</v>
      </c>
      <c r="G47" s="308">
        <v>0.125195</v>
      </c>
      <c r="H47" s="308">
        <v>0.106496</v>
      </c>
      <c r="I47" s="308">
        <v>0.084857</v>
      </c>
      <c r="J47" s="308">
        <v>0.287255</v>
      </c>
      <c r="K47" s="308">
        <v>0.288825</v>
      </c>
      <c r="L47" s="338" t="s">
        <v>129</v>
      </c>
      <c r="M47" s="318"/>
      <c r="N47" s="336">
        <v>-0.037926</v>
      </c>
      <c r="O47" s="337">
        <v>0.461074045442323</v>
      </c>
      <c r="P47" s="337">
        <v>0.380475129918337</v>
      </c>
      <c r="Q47" s="337">
        <v>0.0165797976462818</v>
      </c>
      <c r="R47" s="337">
        <v>0.408156487662316</v>
      </c>
      <c r="S47" s="337">
        <v>0.125623820115512</v>
      </c>
      <c r="T47" s="337">
        <v>0.0700200000000001</v>
      </c>
      <c r="U47" s="337" t="s">
        <v>129</v>
      </c>
      <c r="V47" s="337" t="s">
        <v>129</v>
      </c>
      <c r="W47" s="337" t="s">
        <v>129</v>
      </c>
      <c r="X47" s="337" t="s">
        <v>129</v>
      </c>
      <c r="Y47" s="337" t="s">
        <v>129</v>
      </c>
      <c r="Z47" s="337" t="s">
        <v>129</v>
      </c>
      <c r="AA47" s="337" t="s">
        <v>129</v>
      </c>
      <c r="AB47" s="337" t="s">
        <v>129</v>
      </c>
      <c r="AC47" s="337" t="s">
        <v>129</v>
      </c>
      <c r="AD47" s="337" t="s">
        <v>129</v>
      </c>
      <c r="AE47" s="337" t="s">
        <v>129</v>
      </c>
      <c r="AF47" s="337" t="s">
        <v>129</v>
      </c>
      <c r="AG47" s="337" t="s">
        <v>129</v>
      </c>
      <c r="AH47" s="337" t="s">
        <v>129</v>
      </c>
      <c r="AI47" s="337" t="s">
        <v>129</v>
      </c>
      <c r="AJ47" s="337" t="s">
        <v>129</v>
      </c>
      <c r="AK47" s="337" t="s">
        <v>129</v>
      </c>
      <c r="AL47" s="337" t="s">
        <v>129</v>
      </c>
      <c r="AM47" s="347" t="s">
        <v>129</v>
      </c>
      <c r="AS47" s="361" t="s">
        <v>191</v>
      </c>
      <c r="AT47" s="364">
        <v>0.34</v>
      </c>
      <c r="AU47" s="365">
        <v>45716</v>
      </c>
      <c r="AV47" s="364">
        <v>9553.9426</v>
      </c>
      <c r="AW47" s="369"/>
      <c r="AX47" s="376">
        <v>0.007877</v>
      </c>
      <c r="AY47" s="376">
        <v>0.020445</v>
      </c>
      <c r="AZ47" s="376">
        <v>0.036915</v>
      </c>
      <c r="BA47" s="376">
        <v>0.078188</v>
      </c>
      <c r="BB47" s="376">
        <v>0.059025</v>
      </c>
      <c r="BC47" s="376" t="s">
        <v>129</v>
      </c>
      <c r="BD47" s="376" t="s">
        <v>129</v>
      </c>
      <c r="BE47" s="377"/>
      <c r="BF47" s="376">
        <v>0.020445</v>
      </c>
      <c r="BG47" s="376">
        <v>0.0770448692866958</v>
      </c>
      <c r="BH47" s="376">
        <v>0.0682368265015504</v>
      </c>
      <c r="BI47" s="376">
        <v>0.0207469291369833</v>
      </c>
      <c r="BJ47" s="376">
        <v>0.00785999999999998</v>
      </c>
      <c r="BK47" s="376" t="s">
        <v>129</v>
      </c>
      <c r="BL47" s="376" t="s">
        <v>129</v>
      </c>
      <c r="BM47" s="376" t="s">
        <v>129</v>
      </c>
      <c r="BN47" s="376" t="s">
        <v>129</v>
      </c>
      <c r="BO47" s="376" t="s">
        <v>129</v>
      </c>
      <c r="BP47" s="376" t="s">
        <v>129</v>
      </c>
      <c r="BQ47" s="376" t="s">
        <v>129</v>
      </c>
      <c r="BR47" s="376" t="s">
        <v>129</v>
      </c>
      <c r="BS47" s="376" t="s">
        <v>129</v>
      </c>
      <c r="BT47" s="376" t="s">
        <v>129</v>
      </c>
      <c r="BU47" s="376" t="s">
        <v>129</v>
      </c>
    </row>
    <row r="48" spans="2:73">
      <c r="B48" s="298" t="s">
        <v>192</v>
      </c>
      <c r="C48" s="304">
        <v>1.92</v>
      </c>
      <c r="D48" s="305">
        <v>45838</v>
      </c>
      <c r="E48" s="306">
        <v>6197.9854</v>
      </c>
      <c r="F48" s="308">
        <v>-0.019363</v>
      </c>
      <c r="G48" s="308">
        <v>0.041949</v>
      </c>
      <c r="H48" s="308">
        <v>0.070586</v>
      </c>
      <c r="I48" s="308">
        <v>0.010001</v>
      </c>
      <c r="J48" s="308">
        <v>0.21768</v>
      </c>
      <c r="K48" s="308">
        <v>0.249048</v>
      </c>
      <c r="L48" s="338">
        <v>0.123305</v>
      </c>
      <c r="M48" s="318"/>
      <c r="N48" s="336">
        <v>0.0201</v>
      </c>
      <c r="O48" s="337">
        <v>0.256417082491217</v>
      </c>
      <c r="P48" s="337">
        <v>0.342463086432363</v>
      </c>
      <c r="Q48" s="337">
        <v>0.0243338582631291</v>
      </c>
      <c r="R48" s="337">
        <v>0.337782018435386</v>
      </c>
      <c r="S48" s="337">
        <v>0.133262718804136</v>
      </c>
      <c r="T48" s="337">
        <v>0.055708241936822</v>
      </c>
      <c r="U48" s="337">
        <v>-0.169459288210257</v>
      </c>
      <c r="V48" s="337">
        <v>0.413906548998172</v>
      </c>
      <c r="W48" s="337">
        <v>0.0395420253931258</v>
      </c>
      <c r="X48" s="337">
        <v>-0.0223185685955494</v>
      </c>
      <c r="Y48" s="337">
        <v>0.604310413130545</v>
      </c>
      <c r="Z48" s="337">
        <v>-0.00307754950074652</v>
      </c>
      <c r="AA48" s="337">
        <v>0.299762327885335</v>
      </c>
      <c r="AB48" s="337">
        <v>-0.285450615425839</v>
      </c>
      <c r="AC48" s="337">
        <v>0.152611391945783</v>
      </c>
      <c r="AD48" s="337">
        <v>0.821258979490324</v>
      </c>
      <c r="AE48" s="337">
        <v>-0.519171243829521</v>
      </c>
      <c r="AF48" s="337">
        <v>0.566178472260032</v>
      </c>
      <c r="AG48" s="337">
        <v>0.458045566404699</v>
      </c>
      <c r="AH48" s="337">
        <v>0.534722222222222</v>
      </c>
      <c r="AI48" s="337">
        <v>0.198073273974602</v>
      </c>
      <c r="AJ48" s="337">
        <v>1.55158286778399</v>
      </c>
      <c r="AK48" s="337">
        <v>0.745773732119636</v>
      </c>
      <c r="AL48" s="337">
        <v>-0.161395856052345</v>
      </c>
      <c r="AM48" s="347">
        <v>-0.202261852979556</v>
      </c>
      <c r="AS48" s="361" t="s">
        <v>193</v>
      </c>
      <c r="AT48" s="364">
        <v>0.91</v>
      </c>
      <c r="AU48" s="365">
        <v>45716</v>
      </c>
      <c r="AV48" s="364">
        <v>6298.575897</v>
      </c>
      <c r="AW48" s="369"/>
      <c r="AX48" s="376">
        <v>0.012837</v>
      </c>
      <c r="AY48" s="376">
        <v>0.023696</v>
      </c>
      <c r="AZ48" s="376">
        <v>0.039576</v>
      </c>
      <c r="BA48" s="376">
        <v>0.083363</v>
      </c>
      <c r="BB48" s="376">
        <v>0.066278</v>
      </c>
      <c r="BC48" s="376">
        <v>0.066906</v>
      </c>
      <c r="BD48" s="376" t="s">
        <v>129</v>
      </c>
      <c r="BE48" s="377"/>
      <c r="BF48" s="376">
        <v>0.023696</v>
      </c>
      <c r="BG48" s="376">
        <v>0.0805475055208134</v>
      </c>
      <c r="BH48" s="376">
        <v>0.0678105327262298</v>
      </c>
      <c r="BI48" s="376">
        <v>0.036896440319549</v>
      </c>
      <c r="BJ48" s="376">
        <v>0.0367686241074282</v>
      </c>
      <c r="BK48" s="376">
        <v>0.115544006250212</v>
      </c>
      <c r="BL48" s="376">
        <v>0.0605495663451406</v>
      </c>
      <c r="BM48" s="376">
        <v>0.0786395694495718</v>
      </c>
      <c r="BN48" s="376">
        <v>0.0293799999999999</v>
      </c>
      <c r="BO48" s="376" t="s">
        <v>129</v>
      </c>
      <c r="BP48" s="376" t="s">
        <v>129</v>
      </c>
      <c r="BQ48" s="376" t="s">
        <v>129</v>
      </c>
      <c r="BR48" s="376" t="s">
        <v>129</v>
      </c>
      <c r="BS48" s="376" t="s">
        <v>129</v>
      </c>
      <c r="BT48" s="376" t="s">
        <v>129</v>
      </c>
      <c r="BU48" s="376" t="s">
        <v>129</v>
      </c>
    </row>
    <row r="49" spans="2:73">
      <c r="B49" s="298" t="s">
        <v>194</v>
      </c>
      <c r="C49" s="304">
        <v>1.88</v>
      </c>
      <c r="D49" s="305">
        <v>45838</v>
      </c>
      <c r="E49" s="306">
        <v>3840.481</v>
      </c>
      <c r="F49" s="308">
        <v>-0.037538</v>
      </c>
      <c r="G49" s="308">
        <v>0.022908</v>
      </c>
      <c r="H49" s="308">
        <v>0.008133</v>
      </c>
      <c r="I49" s="308">
        <v>-0.12968</v>
      </c>
      <c r="J49" s="308">
        <v>0.189612</v>
      </c>
      <c r="K49" s="308">
        <v>0.233129</v>
      </c>
      <c r="L49" s="338">
        <v>0.158011</v>
      </c>
      <c r="M49" s="318"/>
      <c r="N49" s="336">
        <v>-0.021805</v>
      </c>
      <c r="O49" s="337">
        <v>0.178497552387192</v>
      </c>
      <c r="P49" s="337">
        <v>0.322483054366213</v>
      </c>
      <c r="Q49" s="337">
        <v>0.129910272501267</v>
      </c>
      <c r="R49" s="337">
        <v>0.36843235209116</v>
      </c>
      <c r="S49" s="337">
        <v>0.288289390401523</v>
      </c>
      <c r="T49" s="337">
        <v>0.0326136507186756</v>
      </c>
      <c r="U49" s="337">
        <v>-0.0844906825427154</v>
      </c>
      <c r="V49" s="337">
        <v>0.331333951445814</v>
      </c>
      <c r="W49" s="337">
        <v>0.135093958252597</v>
      </c>
      <c r="X49" s="337">
        <v>0.187204272459506</v>
      </c>
      <c r="Y49" s="337">
        <v>0.646740301123829</v>
      </c>
      <c r="Z49" s="337">
        <v>-0.0283353181047237</v>
      </c>
      <c r="AA49" s="337">
        <v>0.244163284364786</v>
      </c>
      <c r="AB49" s="337">
        <v>-0.268727673881067</v>
      </c>
      <c r="AC49" s="337">
        <v>0.285553895374849</v>
      </c>
      <c r="AD49" s="337">
        <v>0.44469919631206</v>
      </c>
      <c r="AE49" s="337">
        <v>-0.442826468070071</v>
      </c>
      <c r="AF49" s="337">
        <v>0.47166</v>
      </c>
      <c r="AG49" s="337">
        <v>0</v>
      </c>
      <c r="AH49" s="337" t="s">
        <v>129</v>
      </c>
      <c r="AI49" s="337" t="s">
        <v>129</v>
      </c>
      <c r="AJ49" s="337" t="s">
        <v>129</v>
      </c>
      <c r="AK49" s="337" t="s">
        <v>129</v>
      </c>
      <c r="AL49" s="337" t="s">
        <v>129</v>
      </c>
      <c r="AM49" s="347" t="s">
        <v>129</v>
      </c>
      <c r="AS49" s="361" t="s">
        <v>195</v>
      </c>
      <c r="AT49" s="364">
        <v>0.29</v>
      </c>
      <c r="AU49" s="365">
        <v>45716</v>
      </c>
      <c r="AV49" s="364">
        <v>463.515</v>
      </c>
      <c r="AW49" s="369"/>
      <c r="AX49" s="376">
        <v>0.00586</v>
      </c>
      <c r="AY49" s="376">
        <v>0.017259</v>
      </c>
      <c r="AZ49" s="376">
        <v>0.034818</v>
      </c>
      <c r="BA49" s="376">
        <v>0.072467</v>
      </c>
      <c r="BB49" s="376">
        <v>0.056648</v>
      </c>
      <c r="BC49" s="376" t="s">
        <v>129</v>
      </c>
      <c r="BD49" s="376" t="s">
        <v>129</v>
      </c>
      <c r="BE49" s="377"/>
      <c r="BF49" s="376">
        <v>0.017259</v>
      </c>
      <c r="BG49" s="376">
        <v>0.0743228343562793</v>
      </c>
      <c r="BH49" s="376">
        <v>0.069031903190319</v>
      </c>
      <c r="BI49" s="376">
        <v>0.01808</v>
      </c>
      <c r="BJ49" s="376" t="s">
        <v>129</v>
      </c>
      <c r="BK49" s="376" t="s">
        <v>129</v>
      </c>
      <c r="BL49" s="376" t="s">
        <v>129</v>
      </c>
      <c r="BM49" s="376" t="s">
        <v>129</v>
      </c>
      <c r="BN49" s="376" t="s">
        <v>129</v>
      </c>
      <c r="BO49" s="376" t="s">
        <v>129</v>
      </c>
      <c r="BP49" s="376" t="s">
        <v>129</v>
      </c>
      <c r="BQ49" s="376" t="s">
        <v>129</v>
      </c>
      <c r="BR49" s="376" t="s">
        <v>129</v>
      </c>
      <c r="BS49" s="376" t="s">
        <v>129</v>
      </c>
      <c r="BT49" s="376" t="s">
        <v>129</v>
      </c>
      <c r="BU49" s="376" t="s">
        <v>129</v>
      </c>
    </row>
    <row r="50" spans="2:73">
      <c r="B50" s="298" t="s">
        <v>26</v>
      </c>
      <c r="C50" s="304">
        <v>1.58</v>
      </c>
      <c r="D50" s="305">
        <v>45838</v>
      </c>
      <c r="E50" s="306">
        <v>33031.1355</v>
      </c>
      <c r="F50" s="308">
        <v>-0.009427</v>
      </c>
      <c r="G50" s="308">
        <v>0.065682</v>
      </c>
      <c r="H50" s="308">
        <v>0.085126</v>
      </c>
      <c r="I50" s="308">
        <v>0.02127</v>
      </c>
      <c r="J50" s="308">
        <v>0.192237</v>
      </c>
      <c r="K50" s="308">
        <v>0.246868</v>
      </c>
      <c r="L50" s="338">
        <v>0.141788</v>
      </c>
      <c r="M50" s="318"/>
      <c r="N50" s="336">
        <v>0.049623</v>
      </c>
      <c r="O50" s="337">
        <v>0.180429945474413</v>
      </c>
      <c r="P50" s="337">
        <v>0.267927654028178</v>
      </c>
      <c r="Q50" s="337">
        <v>0.0727005482251813</v>
      </c>
      <c r="R50" s="337">
        <v>0.393453444860057</v>
      </c>
      <c r="S50" s="337">
        <v>0.157561874583203</v>
      </c>
      <c r="T50" s="337">
        <v>0.0682271555012597</v>
      </c>
      <c r="U50" s="337">
        <v>-0.0525042773477515</v>
      </c>
      <c r="V50" s="337">
        <v>0.404572440156693</v>
      </c>
      <c r="W50" s="337">
        <v>0.00423864258347235</v>
      </c>
      <c r="X50" s="337">
        <v>0.110530282768848</v>
      </c>
      <c r="Y50" s="337">
        <v>0.482552002068031</v>
      </c>
      <c r="Z50" s="337">
        <v>0.105385928961748</v>
      </c>
      <c r="AA50" s="337">
        <v>0.324687075855833</v>
      </c>
      <c r="AB50" s="337">
        <v>-0.257529951853097</v>
      </c>
      <c r="AC50" s="337">
        <v>0.19302698370291</v>
      </c>
      <c r="AD50" s="337">
        <v>0.875250501002009</v>
      </c>
      <c r="AE50" s="337">
        <v>-0.551913795038724</v>
      </c>
      <c r="AF50" s="337">
        <v>0.648898759948174</v>
      </c>
      <c r="AG50" s="337">
        <v>0.498336106489185</v>
      </c>
      <c r="AH50" s="337">
        <v>0.701746106654083</v>
      </c>
      <c r="AI50" s="337">
        <v>0.294292388350063</v>
      </c>
      <c r="AJ50" s="337">
        <v>1.17604790419161</v>
      </c>
      <c r="AK50" s="337">
        <v>-0.0222482435597142</v>
      </c>
      <c r="AL50" s="337">
        <v>-0.415868673050615</v>
      </c>
      <c r="AM50" s="347">
        <v>-0.512050487251184</v>
      </c>
      <c r="AN50" s="35">
        <v>0.82</v>
      </c>
      <c r="AO50" s="35">
        <v>0.86</v>
      </c>
      <c r="AP50" s="35">
        <v>24.05</v>
      </c>
      <c r="AQ50" s="35">
        <v>3.61</v>
      </c>
      <c r="AS50" s="361" t="s">
        <v>196</v>
      </c>
      <c r="AT50" s="364">
        <v>0.65</v>
      </c>
      <c r="AU50" s="365">
        <v>45716</v>
      </c>
      <c r="AV50" s="364">
        <v>13995.734</v>
      </c>
      <c r="AW50" s="369"/>
      <c r="AX50" s="376">
        <v>0.01226</v>
      </c>
      <c r="AY50" s="376">
        <v>0.022817</v>
      </c>
      <c r="AZ50" s="376">
        <v>0.038924</v>
      </c>
      <c r="BA50" s="376">
        <v>0.082463</v>
      </c>
      <c r="BB50" s="376">
        <v>0.061241</v>
      </c>
      <c r="BC50" s="376">
        <v>0.064145</v>
      </c>
      <c r="BD50" s="376" t="s">
        <v>129</v>
      </c>
      <c r="BE50" s="377"/>
      <c r="BF50" s="376">
        <v>0.022817</v>
      </c>
      <c r="BG50" s="376">
        <v>0.0767316587622227</v>
      </c>
      <c r="BH50" s="376">
        <v>0.0680115562114637</v>
      </c>
      <c r="BI50" s="376">
        <v>0.0262673195525635</v>
      </c>
      <c r="BJ50" s="376">
        <v>0.0366711241509158</v>
      </c>
      <c r="BK50" s="376">
        <v>0.11563126252505</v>
      </c>
      <c r="BL50" s="376">
        <v>0.0848088118070485</v>
      </c>
      <c r="BM50" s="376">
        <v>0.0633942102694512</v>
      </c>
      <c r="BN50" s="376">
        <v>0.0617062860779054</v>
      </c>
      <c r="BO50" s="376">
        <v>0.10005</v>
      </c>
      <c r="BP50" s="376" t="s">
        <v>129</v>
      </c>
      <c r="BQ50" s="376" t="s">
        <v>129</v>
      </c>
      <c r="BR50" s="376" t="s">
        <v>129</v>
      </c>
      <c r="BS50" s="376" t="s">
        <v>129</v>
      </c>
      <c r="BT50" s="376" t="s">
        <v>129</v>
      </c>
      <c r="BU50" s="376" t="s">
        <v>129</v>
      </c>
    </row>
    <row r="51" spans="2:73">
      <c r="B51" s="298" t="s">
        <v>197</v>
      </c>
      <c r="C51" s="304">
        <v>1.74</v>
      </c>
      <c r="D51" s="305">
        <v>45838</v>
      </c>
      <c r="E51" s="306">
        <v>8886.8832155222</v>
      </c>
      <c r="F51" s="308">
        <v>-0.013422</v>
      </c>
      <c r="G51" s="308">
        <v>0.048437</v>
      </c>
      <c r="H51" s="308">
        <v>0.075309</v>
      </c>
      <c r="I51" s="308">
        <v>-0.02183</v>
      </c>
      <c r="J51" s="308">
        <v>0.171726</v>
      </c>
      <c r="K51" s="308">
        <v>0.209077</v>
      </c>
      <c r="L51" s="338">
        <v>0.129751</v>
      </c>
      <c r="M51" s="318"/>
      <c r="N51" s="336">
        <v>0.02572</v>
      </c>
      <c r="O51" s="337">
        <v>0.15527193121227</v>
      </c>
      <c r="P51" s="337">
        <v>0.228834744621893</v>
      </c>
      <c r="Q51" s="337">
        <v>0.112055038417142</v>
      </c>
      <c r="R51" s="337">
        <v>0.285262549260671</v>
      </c>
      <c r="S51" s="337">
        <v>0.154870304051298</v>
      </c>
      <c r="T51" s="337">
        <v>0.138734288118166</v>
      </c>
      <c r="U51" s="337">
        <v>-0.0531525917509418</v>
      </c>
      <c r="V51" s="337">
        <v>0.319385178004649</v>
      </c>
      <c r="W51" s="337">
        <v>0.0152728541475344</v>
      </c>
      <c r="X51" s="337">
        <v>0.0657172483660316</v>
      </c>
      <c r="Y51" s="337">
        <v>0.485408674864028</v>
      </c>
      <c r="Z51" s="337">
        <v>0.0869366251825102</v>
      </c>
      <c r="AA51" s="337">
        <v>0.337189171340677</v>
      </c>
      <c r="AB51" s="337">
        <v>-0.230338519504683</v>
      </c>
      <c r="AC51" s="337">
        <v>0.0981492126120335</v>
      </c>
      <c r="AD51" s="337">
        <v>0.951212627613788</v>
      </c>
      <c r="AE51" s="337">
        <v>-0.609144554293045</v>
      </c>
      <c r="AF51" s="337">
        <v>0.763552871047779</v>
      </c>
      <c r="AG51" s="337">
        <v>0.379524039135299</v>
      </c>
      <c r="AH51" s="337">
        <v>0.511711245884098</v>
      </c>
      <c r="AI51" s="337">
        <v>0.298577823370325</v>
      </c>
      <c r="AJ51" s="337">
        <v>1.65086153617958</v>
      </c>
      <c r="AK51" s="337">
        <v>0.179535778853444</v>
      </c>
      <c r="AL51" s="337">
        <v>-0.297973387922211</v>
      </c>
      <c r="AM51" s="347">
        <v>-0.0111336032388665</v>
      </c>
      <c r="AS51" s="361" t="s">
        <v>198</v>
      </c>
      <c r="AT51" s="364">
        <v>0.58</v>
      </c>
      <c r="AU51" s="365">
        <v>45716</v>
      </c>
      <c r="AV51" s="364">
        <v>210.0986</v>
      </c>
      <c r="AW51" s="369"/>
      <c r="AX51" s="376">
        <v>0.014595</v>
      </c>
      <c r="AY51" s="376">
        <v>0.02542</v>
      </c>
      <c r="AZ51" s="376">
        <v>0.040426</v>
      </c>
      <c r="BA51" s="376">
        <v>0.085741</v>
      </c>
      <c r="BB51" s="376">
        <v>0.062594</v>
      </c>
      <c r="BC51" s="376">
        <v>0.058543</v>
      </c>
      <c r="BD51" s="376">
        <v>0.059602</v>
      </c>
      <c r="BE51" s="377"/>
      <c r="BF51" s="376">
        <v>0.02542</v>
      </c>
      <c r="BG51" s="376">
        <v>0.0830501670026033</v>
      </c>
      <c r="BH51" s="376">
        <v>0.0697325369803819</v>
      </c>
      <c r="BI51" s="376">
        <v>0.0159913273476439</v>
      </c>
      <c r="BJ51" s="376">
        <v>0.0220869501250551</v>
      </c>
      <c r="BK51" s="376">
        <v>0.0992878767202906</v>
      </c>
      <c r="BL51" s="376">
        <v>0.00860473770333031</v>
      </c>
      <c r="BM51" s="376">
        <v>0.0524985782193942</v>
      </c>
      <c r="BN51" s="376">
        <v>0.0667208461151047</v>
      </c>
      <c r="BO51" s="376">
        <v>0.107520679491649</v>
      </c>
      <c r="BP51" s="376">
        <v>0.0723194562446899</v>
      </c>
      <c r="BQ51" s="376">
        <v>0.10767713423127</v>
      </c>
      <c r="BR51" s="376">
        <v>0.0713951537443939</v>
      </c>
      <c r="BS51" s="376">
        <v>0.0950719465766856</v>
      </c>
      <c r="BT51" s="376">
        <v>0.0911500501195158</v>
      </c>
      <c r="BU51" s="376" t="s">
        <v>129</v>
      </c>
    </row>
    <row r="52" ht="15.15" spans="2:73">
      <c r="B52" s="298" t="s">
        <v>199</v>
      </c>
      <c r="C52" s="309">
        <v>1.92</v>
      </c>
      <c r="D52" s="310">
        <v>45838</v>
      </c>
      <c r="E52" s="311">
        <v>4866.1141</v>
      </c>
      <c r="F52" s="308">
        <v>-0.029695</v>
      </c>
      <c r="G52" s="308">
        <v>0.04598</v>
      </c>
      <c r="H52" s="308">
        <v>0.058835</v>
      </c>
      <c r="I52" s="308">
        <v>-0.006067</v>
      </c>
      <c r="J52" s="308">
        <v>0.222354</v>
      </c>
      <c r="K52" s="308">
        <v>0.260465</v>
      </c>
      <c r="L52" s="338">
        <v>0.133206</v>
      </c>
      <c r="M52" s="318"/>
      <c r="N52" s="336">
        <v>0.013978</v>
      </c>
      <c r="O52" s="337">
        <v>0.271976547698667</v>
      </c>
      <c r="P52" s="337">
        <v>0.344343449233229</v>
      </c>
      <c r="Q52" s="337">
        <v>0.0457529217676795</v>
      </c>
      <c r="R52" s="337">
        <v>0.407599113087138</v>
      </c>
      <c r="S52" s="337">
        <v>0.12803467599054</v>
      </c>
      <c r="T52" s="337">
        <v>0.0145094131112602</v>
      </c>
      <c r="U52" s="337">
        <v>-0.0794774368367671</v>
      </c>
      <c r="V52" s="337">
        <v>0.352265888238834</v>
      </c>
      <c r="W52" s="337">
        <v>0.0339407793087392</v>
      </c>
      <c r="X52" s="337">
        <v>0.00474225927186116</v>
      </c>
      <c r="Y52" s="337">
        <v>0.416987334982628</v>
      </c>
      <c r="Z52" s="337">
        <v>0.0626288824847902</v>
      </c>
      <c r="AA52" s="337">
        <v>0.226148409893993</v>
      </c>
      <c r="AB52" s="337">
        <v>-0.161619486504279</v>
      </c>
      <c r="AC52" s="337">
        <v>0.128948346339651</v>
      </c>
      <c r="AD52" s="337">
        <v>0.245833333333333</v>
      </c>
      <c r="AE52" s="337" t="s">
        <v>129</v>
      </c>
      <c r="AF52" s="337" t="s">
        <v>129</v>
      </c>
      <c r="AG52" s="337" t="s">
        <v>129</v>
      </c>
      <c r="AH52" s="337" t="s">
        <v>129</v>
      </c>
      <c r="AI52" s="337" t="s">
        <v>129</v>
      </c>
      <c r="AJ52" s="337" t="s">
        <v>129</v>
      </c>
      <c r="AK52" s="337" t="s">
        <v>129</v>
      </c>
      <c r="AL52" s="337" t="s">
        <v>129</v>
      </c>
      <c r="AM52" s="347" t="s">
        <v>129</v>
      </c>
      <c r="AS52" s="361" t="s">
        <v>200</v>
      </c>
      <c r="AT52" s="364">
        <v>1.03</v>
      </c>
      <c r="AU52" s="365">
        <v>45716</v>
      </c>
      <c r="AV52" s="364">
        <v>119.592</v>
      </c>
      <c r="AW52" s="369"/>
      <c r="AX52" s="376">
        <v>0.013939</v>
      </c>
      <c r="AY52" s="376">
        <v>0.021185</v>
      </c>
      <c r="AZ52" s="376">
        <v>0.035048</v>
      </c>
      <c r="BA52" s="376">
        <v>0.077088</v>
      </c>
      <c r="BB52" s="376">
        <v>0.059001</v>
      </c>
      <c r="BC52" s="376">
        <v>0.057425</v>
      </c>
      <c r="BD52" s="376">
        <v>0.065294</v>
      </c>
      <c r="BE52" s="377"/>
      <c r="BF52" s="376">
        <v>0.021185</v>
      </c>
      <c r="BG52" s="376">
        <v>0.0750628221401152</v>
      </c>
      <c r="BH52" s="376">
        <v>0.0601910116644602</v>
      </c>
      <c r="BI52" s="376">
        <v>0.0290178446289518</v>
      </c>
      <c r="BJ52" s="376">
        <v>0.0283413180211809</v>
      </c>
      <c r="BK52" s="376">
        <v>0.0958247256600269</v>
      </c>
      <c r="BL52" s="376">
        <v>0.0940930078243801</v>
      </c>
      <c r="BM52" s="376">
        <v>0.0529012350171388</v>
      </c>
      <c r="BN52" s="376">
        <v>0.0533953787890404</v>
      </c>
      <c r="BO52" s="376">
        <v>0.0956816826402131</v>
      </c>
      <c r="BP52" s="376">
        <v>0.0760213304410701</v>
      </c>
      <c r="BQ52" s="376">
        <v>0.1064</v>
      </c>
      <c r="BR52" s="376" t="s">
        <v>129</v>
      </c>
      <c r="BS52" s="376" t="s">
        <v>129</v>
      </c>
      <c r="BT52" s="376" t="s">
        <v>129</v>
      </c>
      <c r="BU52" s="376" t="s">
        <v>129</v>
      </c>
    </row>
    <row r="53" ht="15.15" spans="2:73">
      <c r="B53" s="315" t="s">
        <v>201</v>
      </c>
      <c r="F53" s="323">
        <v>-0.02971</v>
      </c>
      <c r="G53" s="324">
        <v>0.026524</v>
      </c>
      <c r="H53" s="324">
        <v>0.054662</v>
      </c>
      <c r="I53" s="324">
        <v>-0.02863</v>
      </c>
      <c r="J53" s="324">
        <v>0.145994</v>
      </c>
      <c r="K53" s="324">
        <v>0.192965</v>
      </c>
      <c r="L53" s="344">
        <v>0.120911</v>
      </c>
      <c r="M53" s="318"/>
      <c r="N53" s="316">
        <v>0.02902</v>
      </c>
      <c r="O53" s="317">
        <v>0.13404855498046</v>
      </c>
      <c r="P53" s="317">
        <v>0.227583071297849</v>
      </c>
      <c r="Q53" s="317">
        <v>0.0418381062193249</v>
      </c>
      <c r="R53" s="317">
        <v>0.275916009663324</v>
      </c>
      <c r="S53" s="317">
        <v>0.163126865730421</v>
      </c>
      <c r="T53" s="317">
        <v>0.0912740025098415</v>
      </c>
      <c r="U53" s="317">
        <v>-0.00538165279576636</v>
      </c>
      <c r="V53" s="317">
        <v>0.332609903020464</v>
      </c>
      <c r="W53" s="317">
        <v>0.0395380028482521</v>
      </c>
      <c r="X53" s="317">
        <v>-0.0147545717877885</v>
      </c>
      <c r="Y53" s="317">
        <v>0.354665728805254</v>
      </c>
      <c r="Z53" s="317">
        <v>0.0438050140654517</v>
      </c>
      <c r="AA53" s="317">
        <v>0.30984553377024</v>
      </c>
      <c r="AB53" s="317">
        <v>-0.269548916689688</v>
      </c>
      <c r="AC53" s="317">
        <v>0.162206169017315</v>
      </c>
      <c r="AD53" s="317">
        <v>0.88506730993697</v>
      </c>
      <c r="AE53" s="317">
        <v>-0.564622137232168</v>
      </c>
      <c r="AF53" s="317">
        <v>0.604430647323855</v>
      </c>
      <c r="AG53" s="317">
        <v>0.395800139939135</v>
      </c>
      <c r="AH53" s="317">
        <v>0.338029439963905</v>
      </c>
      <c r="AI53" s="317">
        <v>0.156907778836241</v>
      </c>
      <c r="AJ53" s="317">
        <v>0.944751801847528</v>
      </c>
      <c r="AK53" s="317">
        <v>0.154695970695971</v>
      </c>
      <c r="AL53" s="317">
        <v>-0.21937550040032</v>
      </c>
      <c r="AM53" s="343">
        <v>-0.262057090767906</v>
      </c>
      <c r="AS53" s="361" t="s">
        <v>202</v>
      </c>
      <c r="AT53" s="364">
        <v>0.55</v>
      </c>
      <c r="AU53" s="365">
        <v>45716</v>
      </c>
      <c r="AV53" s="364">
        <v>2762.5762</v>
      </c>
      <c r="AW53" s="369"/>
      <c r="AX53" s="376">
        <v>0.009715</v>
      </c>
      <c r="AY53" s="376">
        <v>0.020621</v>
      </c>
      <c r="AZ53" s="376">
        <v>0.03753</v>
      </c>
      <c r="BA53" s="376">
        <v>0.077875</v>
      </c>
      <c r="BB53" s="376">
        <v>0.057425</v>
      </c>
      <c r="BC53" s="376">
        <v>0.057625</v>
      </c>
      <c r="BD53" s="376" t="s">
        <v>129</v>
      </c>
      <c r="BE53" s="377"/>
      <c r="BF53" s="376">
        <v>0.020621</v>
      </c>
      <c r="BG53" s="376">
        <v>0.0767794747520289</v>
      </c>
      <c r="BH53" s="376">
        <v>0.0648742723399148</v>
      </c>
      <c r="BI53" s="376">
        <v>0.0208764110340179</v>
      </c>
      <c r="BJ53" s="376">
        <v>0.0339617860621274</v>
      </c>
      <c r="BK53" s="376">
        <v>0.0938753237304138</v>
      </c>
      <c r="BL53" s="376">
        <v>0.111045884979598</v>
      </c>
      <c r="BM53" s="376">
        <v>0.03912</v>
      </c>
      <c r="BN53" s="376" t="s">
        <v>129</v>
      </c>
      <c r="BO53" s="376" t="s">
        <v>129</v>
      </c>
      <c r="BP53" s="376" t="s">
        <v>129</v>
      </c>
      <c r="BQ53" s="376" t="s">
        <v>129</v>
      </c>
      <c r="BR53" s="376" t="s">
        <v>129</v>
      </c>
      <c r="BS53" s="376" t="s">
        <v>129</v>
      </c>
      <c r="BT53" s="376" t="s">
        <v>129</v>
      </c>
      <c r="BU53" s="376" t="s">
        <v>129</v>
      </c>
    </row>
    <row r="54" ht="15.15" spans="2:73">
      <c r="B54" s="315" t="s">
        <v>162</v>
      </c>
      <c r="F54" s="316">
        <f>AVERAGE(F34:F52)</f>
        <v>-0.0226610526315789</v>
      </c>
      <c r="G54" s="317">
        <f t="shared" ref="G54:P54" si="3">AVERAGE(G34:G52)</f>
        <v>0.0608525789473684</v>
      </c>
      <c r="H54" s="317">
        <f t="shared" si="3"/>
        <v>0.0743022105263158</v>
      </c>
      <c r="I54" s="317">
        <f t="shared" si="3"/>
        <v>-0.00265</v>
      </c>
      <c r="J54" s="317">
        <f t="shared" si="3"/>
        <v>0.201912684210526</v>
      </c>
      <c r="K54" s="317">
        <f t="shared" si="3"/>
        <v>0.239788684210526</v>
      </c>
      <c r="L54" s="343">
        <f t="shared" si="3"/>
        <v>0.1408164375</v>
      </c>
      <c r="M54" s="318"/>
      <c r="N54" s="323">
        <f t="shared" si="3"/>
        <v>0.0140521578947368</v>
      </c>
      <c r="O54" s="324">
        <f t="shared" si="3"/>
        <v>0.246973728618186</v>
      </c>
      <c r="P54" s="324">
        <f t="shared" si="3"/>
        <v>0.307449423225589</v>
      </c>
      <c r="Q54" s="324">
        <f t="shared" ref="Q54:AM54" si="4">(AVERAGE(Q34:Q52))</f>
        <v>0.0250915063236225</v>
      </c>
      <c r="R54" s="324">
        <f t="shared" si="4"/>
        <v>0.368596899930197</v>
      </c>
      <c r="S54" s="324">
        <f t="shared" si="4"/>
        <v>0.164756897253973</v>
      </c>
      <c r="T54" s="324">
        <f t="shared" si="4"/>
        <v>0.0819865917901624</v>
      </c>
      <c r="U54" s="324">
        <f t="shared" si="4"/>
        <v>-0.0641383062520541</v>
      </c>
      <c r="V54" s="324">
        <f t="shared" si="4"/>
        <v>0.37838695767439</v>
      </c>
      <c r="W54" s="324">
        <f t="shared" si="4"/>
        <v>0.0604727498066104</v>
      </c>
      <c r="X54" s="324">
        <f t="shared" si="4"/>
        <v>0.0528224664266097</v>
      </c>
      <c r="Y54" s="324">
        <f t="shared" si="4"/>
        <v>0.524045240376915</v>
      </c>
      <c r="Z54" s="324">
        <f t="shared" si="4"/>
        <v>0.0589933393052538</v>
      </c>
      <c r="AA54" s="324">
        <f t="shared" si="4"/>
        <v>0.323235700326142</v>
      </c>
      <c r="AB54" s="324">
        <f t="shared" si="4"/>
        <v>-0.235423281482961</v>
      </c>
      <c r="AC54" s="324">
        <f t="shared" si="4"/>
        <v>0.191252692014404</v>
      </c>
      <c r="AD54" s="324">
        <f t="shared" si="4"/>
        <v>0.764004123503429</v>
      </c>
      <c r="AE54" s="324">
        <f t="shared" si="4"/>
        <v>-0.545612908487045</v>
      </c>
      <c r="AF54" s="324">
        <f t="shared" si="4"/>
        <v>0.574416570330381</v>
      </c>
      <c r="AG54" s="324">
        <f t="shared" si="4"/>
        <v>0.354602944971433</v>
      </c>
      <c r="AH54" s="324">
        <f t="shared" si="4"/>
        <v>0.475405837864587</v>
      </c>
      <c r="AI54" s="324">
        <f t="shared" si="4"/>
        <v>0.247491306138273</v>
      </c>
      <c r="AJ54" s="324">
        <f t="shared" si="4"/>
        <v>1.23818033457373</v>
      </c>
      <c r="AK54" s="324">
        <f t="shared" si="4"/>
        <v>0.207239153708407</v>
      </c>
      <c r="AL54" s="324">
        <f t="shared" si="4"/>
        <v>-0.23249986433755</v>
      </c>
      <c r="AM54" s="344">
        <f t="shared" si="4"/>
        <v>-0.281541668639402</v>
      </c>
      <c r="AS54" s="361" t="s">
        <v>203</v>
      </c>
      <c r="AT54" s="364">
        <v>0.4</v>
      </c>
      <c r="AU54" s="365">
        <v>45716</v>
      </c>
      <c r="AV54" s="364">
        <v>811.1993</v>
      </c>
      <c r="AW54" s="369"/>
      <c r="AX54" s="376">
        <v>0.006477</v>
      </c>
      <c r="AY54" s="376">
        <v>0.017755</v>
      </c>
      <c r="AZ54" s="376">
        <v>0.034464</v>
      </c>
      <c r="BA54" s="376">
        <v>0.072948</v>
      </c>
      <c r="BB54" s="376">
        <v>0.057227</v>
      </c>
      <c r="BC54" s="376" t="s">
        <v>129</v>
      </c>
      <c r="BD54" s="376" t="s">
        <v>129</v>
      </c>
      <c r="BE54" s="377"/>
      <c r="BF54" s="376">
        <v>0.017755</v>
      </c>
      <c r="BG54" s="376">
        <v>0.0739441482750047</v>
      </c>
      <c r="BH54" s="376">
        <v>0.0683973400487921</v>
      </c>
      <c r="BI54" s="376">
        <v>0.01656</v>
      </c>
      <c r="BJ54" s="376" t="s">
        <v>129</v>
      </c>
      <c r="BK54" s="376" t="s">
        <v>129</v>
      </c>
      <c r="BL54" s="376" t="s">
        <v>129</v>
      </c>
      <c r="BM54" s="376" t="s">
        <v>129</v>
      </c>
      <c r="BN54" s="376" t="s">
        <v>129</v>
      </c>
      <c r="BO54" s="376" t="s">
        <v>129</v>
      </c>
      <c r="BP54" s="376" t="s">
        <v>129</v>
      </c>
      <c r="BQ54" s="376" t="s">
        <v>129</v>
      </c>
      <c r="BR54" s="376" t="s">
        <v>129</v>
      </c>
      <c r="BS54" s="376" t="s">
        <v>129</v>
      </c>
      <c r="BT54" s="376" t="s">
        <v>129</v>
      </c>
      <c r="BU54" s="376" t="s">
        <v>129</v>
      </c>
    </row>
    <row r="55" spans="13:73">
      <c r="M55" s="318"/>
      <c r="O55" s="281"/>
      <c r="AS55" s="361" t="s">
        <v>204</v>
      </c>
      <c r="AT55" s="364">
        <v>0.4</v>
      </c>
      <c r="AU55" s="365">
        <v>45716</v>
      </c>
      <c r="AV55" s="364">
        <v>7734.4343</v>
      </c>
      <c r="AW55" s="369"/>
      <c r="AX55" s="376">
        <v>0.007791</v>
      </c>
      <c r="AY55" s="376">
        <v>0.019552</v>
      </c>
      <c r="AZ55" s="376">
        <v>0.036498</v>
      </c>
      <c r="BA55" s="376">
        <v>0.075625</v>
      </c>
      <c r="BB55" s="376">
        <v>0.058029</v>
      </c>
      <c r="BC55" s="376" t="s">
        <v>129</v>
      </c>
      <c r="BD55" s="376" t="s">
        <v>129</v>
      </c>
      <c r="BE55" s="377"/>
      <c r="BF55" s="376">
        <v>0.019552</v>
      </c>
      <c r="BG55" s="376">
        <v>0.0750798170679091</v>
      </c>
      <c r="BH55" s="376">
        <v>0.0680121647774398</v>
      </c>
      <c r="BI55" s="376">
        <v>0.0205214054623431</v>
      </c>
      <c r="BJ55" s="376">
        <v>0.06328</v>
      </c>
      <c r="BK55" s="376" t="s">
        <v>129</v>
      </c>
      <c r="BL55" s="376" t="s">
        <v>129</v>
      </c>
      <c r="BM55" s="376" t="s">
        <v>129</v>
      </c>
      <c r="BN55" s="376" t="s">
        <v>129</v>
      </c>
      <c r="BO55" s="376" t="s">
        <v>129</v>
      </c>
      <c r="BP55" s="376" t="s">
        <v>129</v>
      </c>
      <c r="BQ55" s="376" t="s">
        <v>129</v>
      </c>
      <c r="BR55" s="376" t="s">
        <v>129</v>
      </c>
      <c r="BS55" s="376" t="s">
        <v>129</v>
      </c>
      <c r="BT55" s="376" t="s">
        <v>129</v>
      </c>
      <c r="BU55" s="376" t="s">
        <v>129</v>
      </c>
    </row>
    <row r="56" ht="15" customHeight="1" spans="13:73">
      <c r="M56" s="318"/>
      <c r="O56" s="281"/>
      <c r="AS56" s="361" t="s">
        <v>205</v>
      </c>
      <c r="AT56" s="364">
        <v>0.4</v>
      </c>
      <c r="AU56" s="365">
        <v>45716</v>
      </c>
      <c r="AV56" s="364">
        <v>2298.6091</v>
      </c>
      <c r="AW56" s="369"/>
      <c r="AX56" s="376">
        <v>0.009151</v>
      </c>
      <c r="AY56" s="376">
        <v>0.020833</v>
      </c>
      <c r="AZ56" s="376">
        <v>0.036937</v>
      </c>
      <c r="BA56" s="376">
        <v>0.080088</v>
      </c>
      <c r="BB56" s="376">
        <v>0.058804</v>
      </c>
      <c r="BC56" s="376" t="s">
        <v>129</v>
      </c>
      <c r="BD56" s="376" t="s">
        <v>129</v>
      </c>
      <c r="BE56" s="377"/>
      <c r="BF56" s="376">
        <v>0.020833</v>
      </c>
      <c r="BG56" s="376">
        <v>0.0790385822545283</v>
      </c>
      <c r="BH56" s="376">
        <v>0.0665314755879842</v>
      </c>
      <c r="BI56" s="376">
        <v>0.0231911682948137</v>
      </c>
      <c r="BJ56" s="376">
        <v>0.00728000000000009</v>
      </c>
      <c r="BK56" s="376" t="s">
        <v>129</v>
      </c>
      <c r="BL56" s="376" t="s">
        <v>129</v>
      </c>
      <c r="BM56" s="376" t="s">
        <v>129</v>
      </c>
      <c r="BN56" s="376" t="s">
        <v>129</v>
      </c>
      <c r="BO56" s="376" t="s">
        <v>129</v>
      </c>
      <c r="BP56" s="376" t="s">
        <v>129</v>
      </c>
      <c r="BQ56" s="376" t="s">
        <v>129</v>
      </c>
      <c r="BR56" s="376" t="s">
        <v>129</v>
      </c>
      <c r="BS56" s="376" t="s">
        <v>129</v>
      </c>
      <c r="BT56" s="376" t="s">
        <v>129</v>
      </c>
      <c r="BU56" s="376" t="s">
        <v>129</v>
      </c>
    </row>
    <row r="57" ht="15.75" customHeight="1" spans="2:73">
      <c r="B57" s="320" t="s">
        <v>206</v>
      </c>
      <c r="C57" s="320" t="s">
        <v>87</v>
      </c>
      <c r="D57" s="289" t="s">
        <v>110</v>
      </c>
      <c r="E57" s="290"/>
      <c r="F57" s="325" t="s">
        <v>82</v>
      </c>
      <c r="G57" s="326"/>
      <c r="H57" s="326"/>
      <c r="I57" s="326"/>
      <c r="J57" s="326"/>
      <c r="K57" s="326"/>
      <c r="L57" s="345"/>
      <c r="M57" s="318"/>
      <c r="N57" s="325" t="s">
        <v>111</v>
      </c>
      <c r="O57" s="326"/>
      <c r="P57" s="326"/>
      <c r="Q57" s="326"/>
      <c r="R57" s="326"/>
      <c r="S57" s="326"/>
      <c r="T57" s="326"/>
      <c r="U57" s="326"/>
      <c r="V57" s="326"/>
      <c r="W57" s="326"/>
      <c r="X57" s="326"/>
      <c r="Y57" s="326"/>
      <c r="Z57" s="326"/>
      <c r="AA57" s="326"/>
      <c r="AB57" s="326"/>
      <c r="AC57" s="326"/>
      <c r="AD57" s="326"/>
      <c r="AE57" s="326"/>
      <c r="AF57" s="326"/>
      <c r="AG57" s="326"/>
      <c r="AH57" s="326"/>
      <c r="AI57" s="326"/>
      <c r="AJ57" s="326"/>
      <c r="AK57" s="326"/>
      <c r="AL57" s="326"/>
      <c r="AM57" s="326"/>
      <c r="AN57" s="345"/>
      <c r="AS57" s="361" t="s">
        <v>207</v>
      </c>
      <c r="AT57" s="364">
        <v>0.83</v>
      </c>
      <c r="AU57" s="365">
        <v>45716</v>
      </c>
      <c r="AV57" s="364">
        <v>753.555223719</v>
      </c>
      <c r="AW57" s="369"/>
      <c r="AX57" s="376">
        <v>0.010832</v>
      </c>
      <c r="AY57" s="376">
        <v>0.020274</v>
      </c>
      <c r="AZ57" s="376">
        <v>0.038348</v>
      </c>
      <c r="BA57" s="376">
        <v>0.079153</v>
      </c>
      <c r="BB57" s="376">
        <v>0.061705</v>
      </c>
      <c r="BC57" s="376">
        <v>0.060674</v>
      </c>
      <c r="BD57" s="376">
        <v>0.070892</v>
      </c>
      <c r="BE57" s="377"/>
      <c r="BF57" s="376">
        <v>0.020274</v>
      </c>
      <c r="BG57" s="376">
        <v>0.0762760527556529</v>
      </c>
      <c r="BH57" s="376">
        <v>0.0654604723011148</v>
      </c>
      <c r="BI57" s="376">
        <v>0.0316854792664028</v>
      </c>
      <c r="BJ57" s="376">
        <v>0.0377899064563725</v>
      </c>
      <c r="BK57" s="376">
        <v>0.0902480995692263</v>
      </c>
      <c r="BL57" s="376">
        <v>0.0920900634649407</v>
      </c>
      <c r="BM57" s="376">
        <v>0.0749737891766384</v>
      </c>
      <c r="BN57" s="376">
        <v>0.0766658949827987</v>
      </c>
      <c r="BO57" s="376">
        <v>0.0898587857925207</v>
      </c>
      <c r="BP57" s="376">
        <v>0.084309242756497</v>
      </c>
      <c r="BQ57" s="376">
        <v>0.12982304807773</v>
      </c>
      <c r="BR57" s="376">
        <v>0.0753542901314093</v>
      </c>
      <c r="BS57" s="376">
        <v>0.119753948423804</v>
      </c>
      <c r="BT57" s="376">
        <v>0.0986173537634476</v>
      </c>
      <c r="BU57" s="376">
        <v>0.0483672119816434</v>
      </c>
    </row>
    <row r="58" ht="29.55" spans="2:73">
      <c r="B58" s="322"/>
      <c r="C58" s="327"/>
      <c r="D58" s="328" t="s">
        <v>115</v>
      </c>
      <c r="E58" s="290" t="s">
        <v>116</v>
      </c>
      <c r="F58" s="329" t="s">
        <v>88</v>
      </c>
      <c r="G58" s="330" t="s">
        <v>89</v>
      </c>
      <c r="H58" s="330" t="s">
        <v>90</v>
      </c>
      <c r="I58" s="330" t="s">
        <v>91</v>
      </c>
      <c r="J58" s="330" t="s">
        <v>93</v>
      </c>
      <c r="K58" s="330" t="s">
        <v>94</v>
      </c>
      <c r="L58" s="269" t="s">
        <v>95</v>
      </c>
      <c r="M58" s="318"/>
      <c r="N58" s="266" t="s">
        <v>96</v>
      </c>
      <c r="O58" s="267">
        <v>2024</v>
      </c>
      <c r="P58" s="267">
        <v>2023</v>
      </c>
      <c r="Q58" s="268">
        <v>2022</v>
      </c>
      <c r="R58" s="268">
        <v>2021</v>
      </c>
      <c r="S58" s="268">
        <v>2020</v>
      </c>
      <c r="T58" s="268">
        <v>2019</v>
      </c>
      <c r="U58" s="268">
        <v>2018</v>
      </c>
      <c r="V58" s="268">
        <v>2017</v>
      </c>
      <c r="W58" s="268">
        <v>2016</v>
      </c>
      <c r="X58" s="268">
        <v>2015</v>
      </c>
      <c r="Y58" s="268">
        <v>2014</v>
      </c>
      <c r="Z58" s="268">
        <v>2013</v>
      </c>
      <c r="AA58" s="268">
        <v>2012</v>
      </c>
      <c r="AB58" s="268">
        <v>2011</v>
      </c>
      <c r="AC58" s="268">
        <v>2010</v>
      </c>
      <c r="AD58" s="268">
        <v>2009</v>
      </c>
      <c r="AE58" s="268">
        <v>2008</v>
      </c>
      <c r="AF58" s="268">
        <v>2007</v>
      </c>
      <c r="AG58" s="268">
        <v>2006</v>
      </c>
      <c r="AH58" s="268">
        <v>2005</v>
      </c>
      <c r="AI58" s="268">
        <v>2004</v>
      </c>
      <c r="AJ58" s="268">
        <v>2003</v>
      </c>
      <c r="AK58" s="268">
        <v>2002</v>
      </c>
      <c r="AL58" s="268">
        <v>2001</v>
      </c>
      <c r="AM58" s="269">
        <v>2000</v>
      </c>
      <c r="AS58" s="361" t="s">
        <v>208</v>
      </c>
      <c r="AT58" s="364">
        <v>0.59</v>
      </c>
      <c r="AU58" s="365">
        <v>45716</v>
      </c>
      <c r="AV58" s="364">
        <v>32190.8978</v>
      </c>
      <c r="AW58" s="369"/>
      <c r="AX58" s="376">
        <v>0.013466</v>
      </c>
      <c r="AY58" s="376">
        <v>0.023216</v>
      </c>
      <c r="AZ58" s="376">
        <v>0.039394</v>
      </c>
      <c r="BA58" s="376">
        <v>0.086256</v>
      </c>
      <c r="BB58" s="376">
        <v>0.068271</v>
      </c>
      <c r="BC58" s="376">
        <v>0.068138</v>
      </c>
      <c r="BD58" s="376">
        <v>0.076814</v>
      </c>
      <c r="BE58" s="377"/>
      <c r="BF58" s="376">
        <v>0.023216</v>
      </c>
      <c r="BG58" s="376">
        <v>0.0855674810804781</v>
      </c>
      <c r="BH58" s="376">
        <v>0.0720376986203083</v>
      </c>
      <c r="BI58" s="376">
        <v>0.032674845347298</v>
      </c>
      <c r="BJ58" s="376">
        <v>0.0390471187813514</v>
      </c>
      <c r="BK58" s="376">
        <v>0.118114648996171</v>
      </c>
      <c r="BL58" s="376">
        <v>0.103232348213182</v>
      </c>
      <c r="BM58" s="376">
        <v>0.0649365014985752</v>
      </c>
      <c r="BN58" s="376">
        <v>0.0651320144974698</v>
      </c>
      <c r="BO58" s="376">
        <v>0.106346792464542</v>
      </c>
      <c r="BP58" s="376">
        <v>0.0861108863899899</v>
      </c>
      <c r="BQ58" s="376">
        <v>0.109472235519387</v>
      </c>
      <c r="BR58" s="376">
        <v>0.0755566997039516</v>
      </c>
      <c r="BS58" s="376">
        <v>0.104855697867688</v>
      </c>
      <c r="BT58" s="376">
        <v>0.0867826473344088</v>
      </c>
      <c r="BU58" s="376">
        <v>0.03523</v>
      </c>
    </row>
    <row r="59" spans="2:73">
      <c r="B59" s="298" t="s">
        <v>209</v>
      </c>
      <c r="C59" s="299">
        <v>1.66</v>
      </c>
      <c r="D59" s="305">
        <v>45838</v>
      </c>
      <c r="E59" s="306">
        <v>23606.242</v>
      </c>
      <c r="F59" s="307">
        <v>-0.025144</v>
      </c>
      <c r="G59" s="308">
        <v>0.03614</v>
      </c>
      <c r="H59" s="308">
        <v>0.080411</v>
      </c>
      <c r="I59" s="308">
        <v>0.017159</v>
      </c>
      <c r="J59" s="308">
        <v>0.177161</v>
      </c>
      <c r="K59" s="308">
        <v>0.209698</v>
      </c>
      <c r="L59" s="338">
        <v>0.133877</v>
      </c>
      <c r="M59" s="318"/>
      <c r="N59" s="339">
        <v>0.04068</v>
      </c>
      <c r="O59" s="337">
        <v>0.185205811306569</v>
      </c>
      <c r="P59" s="337">
        <v>0.259544059622972</v>
      </c>
      <c r="Q59" s="337">
        <v>-0.0110900120524759</v>
      </c>
      <c r="R59" s="337">
        <v>0.302755091666949</v>
      </c>
      <c r="S59" s="337">
        <v>0.160720607324077</v>
      </c>
      <c r="T59" s="337">
        <v>0.0853398224043716</v>
      </c>
      <c r="U59" s="337">
        <v>-0.0409171557253992</v>
      </c>
      <c r="V59" s="337">
        <v>0.335119080158166</v>
      </c>
      <c r="W59" s="337">
        <v>0.152145616392341</v>
      </c>
      <c r="X59" s="337">
        <v>0.0293246893571043</v>
      </c>
      <c r="Y59" s="337">
        <v>0.566095844050359</v>
      </c>
      <c r="Z59" s="337">
        <v>0.0711230334227507</v>
      </c>
      <c r="AA59" s="337">
        <v>0.357378339812036</v>
      </c>
      <c r="AB59" s="337">
        <v>-0.29377627966779</v>
      </c>
      <c r="AC59" s="337">
        <v>0.141582037448429</v>
      </c>
      <c r="AD59" s="337">
        <v>0.892492492492493</v>
      </c>
      <c r="AE59" s="337">
        <v>-0.566208558587898</v>
      </c>
      <c r="AF59" s="337">
        <v>0.699092518813634</v>
      </c>
      <c r="AG59" s="337">
        <v>0.428390768257983</v>
      </c>
      <c r="AH59" s="337">
        <v>0.542926829268293</v>
      </c>
      <c r="AI59" s="337">
        <v>0.441378098084022</v>
      </c>
      <c r="AJ59" s="337">
        <v>1.18723567858516</v>
      </c>
      <c r="AK59" s="337">
        <v>0.0887400586019255</v>
      </c>
      <c r="AL59" s="337">
        <v>-0.277374470659407</v>
      </c>
      <c r="AM59" s="347">
        <v>-0.177816463566277</v>
      </c>
      <c r="AS59" s="361" t="s">
        <v>210</v>
      </c>
      <c r="AT59" s="364">
        <v>0.64</v>
      </c>
      <c r="AU59" s="365">
        <v>45716</v>
      </c>
      <c r="AV59" s="364">
        <v>5875.9179</v>
      </c>
      <c r="AW59" s="369"/>
      <c r="AX59" s="376">
        <v>0.012565</v>
      </c>
      <c r="AY59" s="376">
        <v>0.022828</v>
      </c>
      <c r="AZ59" s="376">
        <v>0.037747</v>
      </c>
      <c r="BA59" s="376">
        <v>0.081889</v>
      </c>
      <c r="BB59" s="376">
        <v>0.061597</v>
      </c>
      <c r="BC59" s="376">
        <v>0.062108</v>
      </c>
      <c r="BD59" s="376">
        <v>0.069227</v>
      </c>
      <c r="BE59" s="377"/>
      <c r="BF59" s="376">
        <v>0.022828</v>
      </c>
      <c r="BG59" s="376">
        <v>0.0806670103587559</v>
      </c>
      <c r="BH59" s="376">
        <v>0.0644949175335204</v>
      </c>
      <c r="BI59" s="376">
        <v>0.0221944452399443</v>
      </c>
      <c r="BJ59" s="376">
        <v>0.0376395774047168</v>
      </c>
      <c r="BK59" s="376">
        <v>0.123879723236141</v>
      </c>
      <c r="BL59" s="376">
        <v>0.126181157672796</v>
      </c>
      <c r="BM59" s="376">
        <v>0.0600285649289278</v>
      </c>
      <c r="BN59" s="376">
        <v>0.0159348500985206</v>
      </c>
      <c r="BO59" s="376">
        <v>0.124453458216345</v>
      </c>
      <c r="BP59" s="376">
        <v>0.0447916608351481</v>
      </c>
      <c r="BQ59" s="376">
        <v>0.125837080829313</v>
      </c>
      <c r="BR59" s="376">
        <v>0.0393366807178206</v>
      </c>
      <c r="BS59" s="376">
        <v>0.101584655683762</v>
      </c>
      <c r="BT59" s="376">
        <v>0.0647351012458367</v>
      </c>
      <c r="BU59" s="376">
        <v>0.0366707951843695</v>
      </c>
    </row>
    <row r="60" spans="2:73">
      <c r="B60" s="298" t="s">
        <v>211</v>
      </c>
      <c r="C60" s="304">
        <v>1.72</v>
      </c>
      <c r="D60" s="305">
        <v>45838</v>
      </c>
      <c r="E60" s="306">
        <v>13316.498101</v>
      </c>
      <c r="F60" s="307">
        <v>-0.015096</v>
      </c>
      <c r="G60" s="308">
        <v>0.067438</v>
      </c>
      <c r="H60" s="308">
        <v>0.086957</v>
      </c>
      <c r="I60" s="308">
        <v>0.026477</v>
      </c>
      <c r="J60" s="308">
        <v>0.148445</v>
      </c>
      <c r="K60" s="308">
        <v>0.17536</v>
      </c>
      <c r="L60" s="338" t="s">
        <v>129</v>
      </c>
      <c r="M60" s="318"/>
      <c r="N60" s="336">
        <v>0.020992</v>
      </c>
      <c r="O60" s="337">
        <v>0.223155929038282</v>
      </c>
      <c r="P60" s="337">
        <v>0.202020202020202</v>
      </c>
      <c r="Q60" s="337">
        <v>-0.0870901639344262</v>
      </c>
      <c r="R60" s="337">
        <v>0.283366206443129</v>
      </c>
      <c r="S60" s="337">
        <v>0.192941176470588</v>
      </c>
      <c r="T60" s="337">
        <v>0.171875</v>
      </c>
      <c r="U60" s="337">
        <v>0.0708661417322835</v>
      </c>
      <c r="V60" s="337">
        <v>0.016</v>
      </c>
      <c r="W60" s="337" t="s">
        <v>129</v>
      </c>
      <c r="X60" s="337" t="s">
        <v>129</v>
      </c>
      <c r="Y60" s="337" t="s">
        <v>129</v>
      </c>
      <c r="Z60" s="337" t="s">
        <v>129</v>
      </c>
      <c r="AA60" s="337" t="s">
        <v>129</v>
      </c>
      <c r="AB60" s="337" t="s">
        <v>129</v>
      </c>
      <c r="AC60" s="337" t="s">
        <v>129</v>
      </c>
      <c r="AD60" s="337" t="s">
        <v>129</v>
      </c>
      <c r="AE60" s="337" t="s">
        <v>129</v>
      </c>
      <c r="AF60" s="337" t="s">
        <v>129</v>
      </c>
      <c r="AG60" s="337" t="s">
        <v>129</v>
      </c>
      <c r="AH60" s="337" t="s">
        <v>129</v>
      </c>
      <c r="AI60" s="337" t="s">
        <v>129</v>
      </c>
      <c r="AJ60" s="337" t="s">
        <v>129</v>
      </c>
      <c r="AK60" s="337" t="s">
        <v>129</v>
      </c>
      <c r="AL60" s="337" t="s">
        <v>129</v>
      </c>
      <c r="AM60" s="347" t="s">
        <v>129</v>
      </c>
      <c r="AS60" s="361" t="s">
        <v>212</v>
      </c>
      <c r="AT60" s="364">
        <v>0.58</v>
      </c>
      <c r="AU60" s="365">
        <v>45716</v>
      </c>
      <c r="AV60" s="364">
        <v>29545.4883029801</v>
      </c>
      <c r="AW60" s="369"/>
      <c r="AX60" s="376">
        <v>0.0117</v>
      </c>
      <c r="AY60" s="376">
        <v>0.022751</v>
      </c>
      <c r="AZ60" s="376">
        <v>0.041033</v>
      </c>
      <c r="BA60" s="376">
        <v>0.08302</v>
      </c>
      <c r="BB60" s="376">
        <v>0.072439</v>
      </c>
      <c r="BC60" s="376">
        <v>0.06977</v>
      </c>
      <c r="BD60" s="376">
        <v>0.075591</v>
      </c>
      <c r="BE60" s="377"/>
      <c r="BF60" s="376">
        <v>0.022751</v>
      </c>
      <c r="BG60" s="376">
        <v>0.0803124207306224</v>
      </c>
      <c r="BH60" s="376">
        <v>0.0760215097567931</v>
      </c>
      <c r="BI60" s="376">
        <v>0.0446509886031883</v>
      </c>
      <c r="BJ60" s="376">
        <v>0.0411722481678084</v>
      </c>
      <c r="BK60" s="376">
        <v>0.104468554705661</v>
      </c>
      <c r="BL60" s="376">
        <v>0.0989453643897796</v>
      </c>
      <c r="BM60" s="376">
        <v>0.0641983928939356</v>
      </c>
      <c r="BN60" s="376">
        <v>0.0625976853513023</v>
      </c>
      <c r="BO60" s="376">
        <v>0.0983154322966764</v>
      </c>
      <c r="BP60" s="376">
        <v>0.0880074417523002</v>
      </c>
      <c r="BQ60" s="376">
        <v>0.0940764888288144</v>
      </c>
      <c r="BR60" s="376">
        <v>0.0847571651587418</v>
      </c>
      <c r="BS60" s="376">
        <v>0.0904584998824359</v>
      </c>
      <c r="BT60" s="376">
        <v>-0.00863395213098238</v>
      </c>
      <c r="BU60" s="376">
        <v>0.0532254421541574</v>
      </c>
    </row>
    <row r="61" spans="2:73">
      <c r="B61" s="298" t="s">
        <v>213</v>
      </c>
      <c r="C61" s="304">
        <v>1.86</v>
      </c>
      <c r="D61" s="305">
        <v>45838</v>
      </c>
      <c r="E61" s="306">
        <v>7606.9856</v>
      </c>
      <c r="F61" s="307">
        <v>-0.019892</v>
      </c>
      <c r="G61" s="308">
        <v>0.043397</v>
      </c>
      <c r="H61" s="308">
        <v>0.07561</v>
      </c>
      <c r="I61" s="308">
        <v>0.003622</v>
      </c>
      <c r="J61" s="308">
        <v>0.158939</v>
      </c>
      <c r="K61" s="308">
        <v>0.196968</v>
      </c>
      <c r="L61" s="338">
        <v>0.104684</v>
      </c>
      <c r="M61" s="318"/>
      <c r="N61" s="336">
        <v>0.049205</v>
      </c>
      <c r="O61" s="337">
        <v>0.14931051156721</v>
      </c>
      <c r="P61" s="337">
        <v>0.244581886206922</v>
      </c>
      <c r="Q61" s="337">
        <v>-0.013892463892464</v>
      </c>
      <c r="R61" s="337">
        <v>0.322303110522833</v>
      </c>
      <c r="S61" s="337">
        <v>0.0982244834388952</v>
      </c>
      <c r="T61" s="337">
        <v>0.0758489722966935</v>
      </c>
      <c r="U61" s="337">
        <v>-0.08753339442266</v>
      </c>
      <c r="V61" s="337">
        <v>0.380431769670312</v>
      </c>
      <c r="W61" s="337">
        <v>-0.0269634185244462</v>
      </c>
      <c r="X61" s="337">
        <v>0.0828974445650303</v>
      </c>
      <c r="Y61" s="337">
        <v>0.589058910838605</v>
      </c>
      <c r="Z61" s="337">
        <v>0.0562470760379443</v>
      </c>
      <c r="AA61" s="337">
        <v>0.408400946289319</v>
      </c>
      <c r="AB61" s="337">
        <v>-0.17997332919476</v>
      </c>
      <c r="AC61" s="337">
        <v>0.320718764708562</v>
      </c>
      <c r="AD61" s="337">
        <v>1.02118991906095</v>
      </c>
      <c r="AE61" s="337">
        <v>-0.531424688952558</v>
      </c>
      <c r="AF61" s="337">
        <v>1.10474028676276</v>
      </c>
      <c r="AG61" s="337">
        <v>0.319011976047904</v>
      </c>
      <c r="AH61" s="337">
        <v>0.00199999999999996</v>
      </c>
      <c r="AI61" s="337" t="s">
        <v>129</v>
      </c>
      <c r="AJ61" s="337" t="s">
        <v>129</v>
      </c>
      <c r="AK61" s="337" t="s">
        <v>129</v>
      </c>
      <c r="AL61" s="337" t="s">
        <v>129</v>
      </c>
      <c r="AM61" s="347" t="s">
        <v>129</v>
      </c>
      <c r="AS61" s="361" t="s">
        <v>214</v>
      </c>
      <c r="AT61" s="364">
        <v>0.39</v>
      </c>
      <c r="AU61" s="365">
        <v>45716</v>
      </c>
      <c r="AV61" s="364">
        <v>8996.098575144</v>
      </c>
      <c r="AW61" s="369"/>
      <c r="AX61" s="376">
        <v>0.008397</v>
      </c>
      <c r="AY61" s="376">
        <v>0.021244</v>
      </c>
      <c r="AZ61" s="376">
        <v>0.036143</v>
      </c>
      <c r="BA61" s="376">
        <v>0.081541</v>
      </c>
      <c r="BB61" s="376">
        <v>0.059217</v>
      </c>
      <c r="BC61" s="376" t="s">
        <v>129</v>
      </c>
      <c r="BD61" s="376" t="s">
        <v>129</v>
      </c>
      <c r="BE61" s="377"/>
      <c r="BF61" s="376">
        <v>0.021244</v>
      </c>
      <c r="BG61" s="376">
        <v>0.0803605677023398</v>
      </c>
      <c r="BH61" s="376">
        <v>0.0663095875736477</v>
      </c>
      <c r="BI61" s="376">
        <v>0.0190946894135627</v>
      </c>
      <c r="BJ61" s="376">
        <v>0.00761000000000003</v>
      </c>
      <c r="BK61" s="376" t="s">
        <v>129</v>
      </c>
      <c r="BL61" s="376" t="s">
        <v>129</v>
      </c>
      <c r="BM61" s="376" t="s">
        <v>129</v>
      </c>
      <c r="BN61" s="376" t="s">
        <v>129</v>
      </c>
      <c r="BO61" s="376" t="s">
        <v>129</v>
      </c>
      <c r="BP61" s="376" t="s">
        <v>129</v>
      </c>
      <c r="BQ61" s="376" t="s">
        <v>129</v>
      </c>
      <c r="BR61" s="376" t="s">
        <v>129</v>
      </c>
      <c r="BS61" s="376" t="s">
        <v>129</v>
      </c>
      <c r="BT61" s="376" t="s">
        <v>129</v>
      </c>
      <c r="BU61" s="376" t="s">
        <v>129</v>
      </c>
    </row>
    <row r="62" spans="2:73">
      <c r="B62" s="298" t="s">
        <v>215</v>
      </c>
      <c r="C62" s="304">
        <v>1.69</v>
      </c>
      <c r="D62" s="305">
        <v>45838</v>
      </c>
      <c r="E62" s="306">
        <v>13588.0649</v>
      </c>
      <c r="F62" s="307">
        <v>-0.017894</v>
      </c>
      <c r="G62" s="308">
        <v>0.060958</v>
      </c>
      <c r="H62" s="308">
        <v>0.086959</v>
      </c>
      <c r="I62" s="308">
        <v>0.017704</v>
      </c>
      <c r="J62" s="308">
        <v>0.159507</v>
      </c>
      <c r="K62" s="308">
        <v>0.195921</v>
      </c>
      <c r="L62" s="338">
        <v>0.129733</v>
      </c>
      <c r="M62" s="318"/>
      <c r="N62" s="336">
        <v>0.040743</v>
      </c>
      <c r="O62" s="337">
        <v>0.178781641570072</v>
      </c>
      <c r="P62" s="337">
        <v>0.228397799858055</v>
      </c>
      <c r="Q62" s="337">
        <v>-0.0166623048067696</v>
      </c>
      <c r="R62" s="337">
        <v>0.326122165664044</v>
      </c>
      <c r="S62" s="337">
        <v>0.222285067873303</v>
      </c>
      <c r="T62" s="337">
        <v>0.12280701754386</v>
      </c>
      <c r="U62" s="337">
        <v>0.00880916152798906</v>
      </c>
      <c r="V62" s="337">
        <v>0.377647837599294</v>
      </c>
      <c r="W62" s="337">
        <v>-0.0196841877568678</v>
      </c>
      <c r="X62" s="337">
        <v>0.000757657755168234</v>
      </c>
      <c r="Y62" s="337">
        <v>0.397096627854227</v>
      </c>
      <c r="Z62" s="337">
        <v>0.0430599369085173</v>
      </c>
      <c r="AA62" s="337">
        <v>0.313173156586578</v>
      </c>
      <c r="AB62" s="337">
        <v>-0.158591843848031</v>
      </c>
      <c r="AC62" s="337">
        <v>0.206729758149317</v>
      </c>
      <c r="AD62" s="337">
        <v>0.929788961038961</v>
      </c>
      <c r="AE62" s="337">
        <v>-0.508379888268156</v>
      </c>
      <c r="AF62" s="337">
        <v>0.634170198891425</v>
      </c>
      <c r="AG62" s="337">
        <v>0.313490364025696</v>
      </c>
      <c r="AH62" s="337">
        <v>0.370305164319249</v>
      </c>
      <c r="AI62" s="337">
        <v>0.175983436853002</v>
      </c>
      <c r="AJ62" s="337">
        <v>0.449</v>
      </c>
      <c r="AK62" s="337" t="s">
        <v>129</v>
      </c>
      <c r="AL62" s="337" t="s">
        <v>129</v>
      </c>
      <c r="AM62" s="347" t="s">
        <v>129</v>
      </c>
      <c r="AS62" s="361" t="s">
        <v>216</v>
      </c>
      <c r="AT62" s="364">
        <v>0.68</v>
      </c>
      <c r="AU62" s="365">
        <v>45716</v>
      </c>
      <c r="AV62" s="364">
        <v>5903.2528</v>
      </c>
      <c r="AW62" s="369"/>
      <c r="AX62" s="376">
        <v>0.013233</v>
      </c>
      <c r="AY62" s="376">
        <v>0.023692</v>
      </c>
      <c r="AZ62" s="376">
        <v>0.038549</v>
      </c>
      <c r="BA62" s="376">
        <v>0.083595</v>
      </c>
      <c r="BB62" s="376">
        <v>0.063528</v>
      </c>
      <c r="BC62" s="376">
        <v>0.06275</v>
      </c>
      <c r="BD62" s="376">
        <v>0.065949</v>
      </c>
      <c r="BE62" s="377"/>
      <c r="BF62" s="376">
        <v>0.023692</v>
      </c>
      <c r="BG62" s="376">
        <v>0.0808606654307822</v>
      </c>
      <c r="BH62" s="376">
        <v>0.0668503914673338</v>
      </c>
      <c r="BI62" s="376">
        <v>0.028605135525978</v>
      </c>
      <c r="BJ62" s="376">
        <v>0.0336699186682672</v>
      </c>
      <c r="BK62" s="376">
        <v>0.101200995182317</v>
      </c>
      <c r="BL62" s="376">
        <v>0.110696027050842</v>
      </c>
      <c r="BM62" s="376">
        <v>0.0395821517791178</v>
      </c>
      <c r="BN62" s="376">
        <v>0.0184043197508568</v>
      </c>
      <c r="BO62" s="376">
        <v>0.141399352453647</v>
      </c>
      <c r="BP62" s="376">
        <v>0.0515164296295032</v>
      </c>
      <c r="BQ62" s="376">
        <v>0.0994370330267012</v>
      </c>
      <c r="BR62" s="376">
        <v>0.0559735567291933</v>
      </c>
      <c r="BS62" s="376">
        <v>0.104597830635038</v>
      </c>
      <c r="BT62" s="376">
        <v>0.0918931266858201</v>
      </c>
      <c r="BU62" s="376">
        <v>0.0613792138760667</v>
      </c>
    </row>
    <row r="63" spans="2:73">
      <c r="B63" s="298" t="s">
        <v>217</v>
      </c>
      <c r="C63" s="304">
        <v>1.72</v>
      </c>
      <c r="D63" s="305">
        <v>45838</v>
      </c>
      <c r="E63" s="306">
        <v>12187.7618</v>
      </c>
      <c r="F63" s="307">
        <v>-0.029292</v>
      </c>
      <c r="G63" s="308">
        <v>0.038066</v>
      </c>
      <c r="H63" s="308">
        <v>0.064362</v>
      </c>
      <c r="I63" s="308">
        <v>-0.013801</v>
      </c>
      <c r="J63" s="308">
        <v>0.173503</v>
      </c>
      <c r="K63" s="308">
        <v>0.206678</v>
      </c>
      <c r="L63" s="338">
        <v>0.133929</v>
      </c>
      <c r="M63" s="318"/>
      <c r="N63" s="336">
        <v>0.011937</v>
      </c>
      <c r="O63" s="337">
        <v>0.181610360227661</v>
      </c>
      <c r="P63" s="337">
        <v>0.32193594616487</v>
      </c>
      <c r="Q63" s="337">
        <v>-0.0453700536826922</v>
      </c>
      <c r="R63" s="337">
        <v>0.324307292384647</v>
      </c>
      <c r="S63" s="337">
        <v>0.187368470280129</v>
      </c>
      <c r="T63" s="337">
        <v>0.170420646432579</v>
      </c>
      <c r="U63" s="337">
        <v>-0.0748917639314378</v>
      </c>
      <c r="V63" s="337">
        <v>0.400404197986101</v>
      </c>
      <c r="W63" s="337">
        <v>0.0405076366856046</v>
      </c>
      <c r="X63" s="337">
        <v>-0.00743344684902411</v>
      </c>
      <c r="Y63" s="337">
        <v>0.530087404751233</v>
      </c>
      <c r="Z63" s="337">
        <v>0.00072890384076244</v>
      </c>
      <c r="AA63" s="337">
        <v>0.332561267184698</v>
      </c>
      <c r="AB63" s="337">
        <v>-0.238896787034404</v>
      </c>
      <c r="AC63" s="337">
        <v>0.198214772417553</v>
      </c>
      <c r="AD63" s="337">
        <v>0.906716902689359</v>
      </c>
      <c r="AE63" s="337">
        <v>-0.497158162931992</v>
      </c>
      <c r="AF63" s="337">
        <v>0.5307</v>
      </c>
      <c r="AG63" s="337" t="s">
        <v>129</v>
      </c>
      <c r="AH63" s="337" t="s">
        <v>129</v>
      </c>
      <c r="AI63" s="337" t="s">
        <v>129</v>
      </c>
      <c r="AJ63" s="337" t="s">
        <v>129</v>
      </c>
      <c r="AK63" s="337" t="s">
        <v>129</v>
      </c>
      <c r="AL63" s="337" t="s">
        <v>129</v>
      </c>
      <c r="AM63" s="347" t="s">
        <v>129</v>
      </c>
      <c r="AS63" s="361" t="s">
        <v>218</v>
      </c>
      <c r="AT63" s="364">
        <v>0.67</v>
      </c>
      <c r="AU63" s="365">
        <v>45716</v>
      </c>
      <c r="AV63" s="364">
        <v>14448.9011</v>
      </c>
      <c r="AW63" s="369"/>
      <c r="AX63" s="376">
        <v>0.012135</v>
      </c>
      <c r="AY63" s="376">
        <v>0.023207</v>
      </c>
      <c r="AZ63" s="376">
        <v>0.038869</v>
      </c>
      <c r="BA63" s="376">
        <v>0.084885</v>
      </c>
      <c r="BB63" s="376">
        <v>0.067231</v>
      </c>
      <c r="BC63" s="376">
        <v>0.065053</v>
      </c>
      <c r="BD63" s="376">
        <v>0.073557</v>
      </c>
      <c r="BE63" s="377"/>
      <c r="BF63" s="376">
        <v>0.023207</v>
      </c>
      <c r="BG63" s="376">
        <v>0.082762836185819</v>
      </c>
      <c r="BH63" s="376">
        <v>0.0686894746159528</v>
      </c>
      <c r="BI63" s="376">
        <v>0.0367272737800945</v>
      </c>
      <c r="BJ63" s="376">
        <v>0.0376403134850537</v>
      </c>
      <c r="BK63" s="376">
        <v>0.0965721758350029</v>
      </c>
      <c r="BL63" s="376">
        <v>0.096155634161183</v>
      </c>
      <c r="BM63" s="376">
        <v>0.0746702340110722</v>
      </c>
      <c r="BN63" s="376">
        <v>0.0689556518849153</v>
      </c>
      <c r="BO63" s="376">
        <v>0.0936618444341782</v>
      </c>
      <c r="BP63" s="376">
        <v>0.0882122825040743</v>
      </c>
      <c r="BQ63" s="376">
        <v>0.113057163006647</v>
      </c>
      <c r="BR63" s="376">
        <v>0.0622411602996563</v>
      </c>
      <c r="BS63" s="376">
        <v>0.0935513977547875</v>
      </c>
      <c r="BT63" s="376">
        <v>0.0893526548425</v>
      </c>
      <c r="BU63" s="376">
        <v>0.0541966143968183</v>
      </c>
    </row>
    <row r="64" spans="2:73">
      <c r="B64" s="298" t="s">
        <v>219</v>
      </c>
      <c r="C64" s="304">
        <v>1.92</v>
      </c>
      <c r="D64" s="305">
        <v>45838</v>
      </c>
      <c r="E64" s="306">
        <v>2801.601</v>
      </c>
      <c r="F64" s="307">
        <v>-0.031157</v>
      </c>
      <c r="G64" s="308">
        <v>0.036603</v>
      </c>
      <c r="H64" s="308">
        <v>0.051805</v>
      </c>
      <c r="I64" s="308">
        <v>-0.024848</v>
      </c>
      <c r="J64" s="308">
        <v>0.186493</v>
      </c>
      <c r="K64" s="308">
        <v>0.2223</v>
      </c>
      <c r="L64" s="338">
        <v>0.135288</v>
      </c>
      <c r="M64" s="318"/>
      <c r="N64" s="336">
        <v>-0.010754</v>
      </c>
      <c r="O64" s="337">
        <v>0.253801557064767</v>
      </c>
      <c r="P64" s="337">
        <v>0.29294097489934</v>
      </c>
      <c r="Q64" s="337">
        <v>0.0068138692427118</v>
      </c>
      <c r="R64" s="337">
        <v>0.346964856230032</v>
      </c>
      <c r="S64" s="337">
        <v>0.14370183364337</v>
      </c>
      <c r="T64" s="337">
        <v>0.0838133640552995</v>
      </c>
      <c r="U64" s="337">
        <v>-0.0491578803231549</v>
      </c>
      <c r="V64" s="337">
        <v>0.473716073050146</v>
      </c>
      <c r="W64" s="337">
        <v>0.003848880785982</v>
      </c>
      <c r="X64" s="337">
        <v>-0.0127000000000001</v>
      </c>
      <c r="Y64" s="337" t="s">
        <v>129</v>
      </c>
      <c r="Z64" s="337" t="s">
        <v>129</v>
      </c>
      <c r="AA64" s="337" t="s">
        <v>129</v>
      </c>
      <c r="AB64" s="337" t="s">
        <v>129</v>
      </c>
      <c r="AC64" s="337" t="s">
        <v>129</v>
      </c>
      <c r="AD64" s="337" t="s">
        <v>129</v>
      </c>
      <c r="AE64" s="337" t="s">
        <v>129</v>
      </c>
      <c r="AF64" s="337" t="s">
        <v>129</v>
      </c>
      <c r="AG64" s="337" t="s">
        <v>129</v>
      </c>
      <c r="AH64" s="337" t="s">
        <v>129</v>
      </c>
      <c r="AI64" s="337" t="s">
        <v>129</v>
      </c>
      <c r="AJ64" s="337" t="s">
        <v>129</v>
      </c>
      <c r="AK64" s="337" t="s">
        <v>129</v>
      </c>
      <c r="AL64" s="337" t="s">
        <v>129</v>
      </c>
      <c r="AM64" s="347" t="s">
        <v>129</v>
      </c>
      <c r="AS64" s="361" t="s">
        <v>220</v>
      </c>
      <c r="AT64" s="364">
        <v>0.23</v>
      </c>
      <c r="AU64" s="365">
        <v>45716</v>
      </c>
      <c r="AV64" s="364">
        <v>381.4238</v>
      </c>
      <c r="AW64" s="369"/>
      <c r="AX64" s="376">
        <v>0.006923</v>
      </c>
      <c r="AY64" s="376">
        <v>0.019301</v>
      </c>
      <c r="AZ64" s="376">
        <v>0.037709</v>
      </c>
      <c r="BA64" s="376">
        <v>0.075367</v>
      </c>
      <c r="BB64" s="376" t="s">
        <v>129</v>
      </c>
      <c r="BC64" s="376" t="s">
        <v>129</v>
      </c>
      <c r="BD64" s="376" t="s">
        <v>129</v>
      </c>
      <c r="BE64" s="377"/>
      <c r="BF64" s="376">
        <v>0.019301</v>
      </c>
      <c r="BG64" s="376">
        <v>0.05589</v>
      </c>
      <c r="BH64" s="376" t="s">
        <v>129</v>
      </c>
      <c r="BI64" s="376" t="s">
        <v>129</v>
      </c>
      <c r="BJ64" s="376" t="s">
        <v>129</v>
      </c>
      <c r="BK64" s="376" t="s">
        <v>129</v>
      </c>
      <c r="BL64" s="376" t="s">
        <v>129</v>
      </c>
      <c r="BM64" s="376" t="s">
        <v>129</v>
      </c>
      <c r="BN64" s="376" t="s">
        <v>129</v>
      </c>
      <c r="BO64" s="376" t="s">
        <v>129</v>
      </c>
      <c r="BP64" s="376" t="s">
        <v>129</v>
      </c>
      <c r="BQ64" s="376" t="s">
        <v>129</v>
      </c>
      <c r="BR64" s="376" t="s">
        <v>129</v>
      </c>
      <c r="BS64" s="376" t="s">
        <v>129</v>
      </c>
      <c r="BT64" s="376" t="s">
        <v>129</v>
      </c>
      <c r="BU64" s="376" t="s">
        <v>129</v>
      </c>
    </row>
    <row r="65" spans="2:73">
      <c r="B65" s="298" t="s">
        <v>221</v>
      </c>
      <c r="C65" s="304">
        <v>1.69</v>
      </c>
      <c r="D65" s="305">
        <v>45838</v>
      </c>
      <c r="E65" s="306">
        <v>19364.973399759</v>
      </c>
      <c r="F65" s="307">
        <v>-0.023703</v>
      </c>
      <c r="G65" s="308">
        <v>0.030195</v>
      </c>
      <c r="H65" s="308">
        <v>0.066194</v>
      </c>
      <c r="I65" s="308">
        <v>-0.001094</v>
      </c>
      <c r="J65" s="308">
        <v>0.203466</v>
      </c>
      <c r="K65" s="308">
        <v>0.251147</v>
      </c>
      <c r="L65" s="338">
        <v>0.134991</v>
      </c>
      <c r="M65" s="318"/>
      <c r="N65" s="336">
        <v>0.012143</v>
      </c>
      <c r="O65" s="337">
        <v>0.217527574822642</v>
      </c>
      <c r="P65" s="337">
        <v>0.307529352630022</v>
      </c>
      <c r="Q65" s="337">
        <v>0.0534389778564697</v>
      </c>
      <c r="R65" s="337">
        <v>0.403081491419778</v>
      </c>
      <c r="S65" s="337">
        <v>0.159783406164396</v>
      </c>
      <c r="T65" s="337">
        <v>0.0334370337221909</v>
      </c>
      <c r="U65" s="337">
        <v>-0.0437696654936028</v>
      </c>
      <c r="V65" s="337">
        <v>0.306339879536345</v>
      </c>
      <c r="W65" s="337">
        <v>0.0498195502417964</v>
      </c>
      <c r="X65" s="337">
        <v>0.0437796201012115</v>
      </c>
      <c r="Y65" s="337">
        <v>0.567912146004816</v>
      </c>
      <c r="Z65" s="337">
        <v>0.0554723357578035</v>
      </c>
      <c r="AA65" s="337">
        <v>0.310375196613037</v>
      </c>
      <c r="AB65" s="337">
        <v>-0.164213650263747</v>
      </c>
      <c r="AC65" s="337">
        <v>0.19481522927873</v>
      </c>
      <c r="AD65" s="337">
        <v>0.730984383218827</v>
      </c>
      <c r="AE65" s="337">
        <v>-0.477059405587381</v>
      </c>
      <c r="AF65" s="337">
        <v>0.54902348578492</v>
      </c>
      <c r="AG65" s="337">
        <v>0.493592528236316</v>
      </c>
      <c r="AH65" s="337">
        <v>0.476114139147162</v>
      </c>
      <c r="AI65" s="337">
        <v>0.27150428047289</v>
      </c>
      <c r="AJ65" s="337">
        <v>1.07266582171525</v>
      </c>
      <c r="AK65" s="337">
        <v>0.193645990922844</v>
      </c>
      <c r="AL65" s="337">
        <v>-0.0543633762517883</v>
      </c>
      <c r="AM65" s="347">
        <v>-0.318934719064631</v>
      </c>
      <c r="AS65" s="361" t="s">
        <v>222</v>
      </c>
      <c r="AT65" s="364">
        <v>0.35</v>
      </c>
      <c r="AU65" s="365">
        <v>45716</v>
      </c>
      <c r="AV65" s="364">
        <v>7712.2374</v>
      </c>
      <c r="AW65" s="369"/>
      <c r="AX65" s="376">
        <v>0.006611</v>
      </c>
      <c r="AY65" s="376">
        <v>0.020229</v>
      </c>
      <c r="AZ65" s="376">
        <v>0.036099</v>
      </c>
      <c r="BA65" s="376">
        <v>0.082662</v>
      </c>
      <c r="BB65" s="376">
        <v>0.060695</v>
      </c>
      <c r="BC65" s="376" t="s">
        <v>129</v>
      </c>
      <c r="BD65" s="376" t="s">
        <v>129</v>
      </c>
      <c r="BE65" s="377"/>
      <c r="BF65" s="376">
        <v>0.020229</v>
      </c>
      <c r="BG65" s="376">
        <v>0.0813898888714979</v>
      </c>
      <c r="BH65" s="376">
        <v>0.0692360700925379</v>
      </c>
      <c r="BI65" s="376">
        <v>0.0157999999999999</v>
      </c>
      <c r="BJ65" s="376" t="s">
        <v>129</v>
      </c>
      <c r="BK65" s="376" t="s">
        <v>129</v>
      </c>
      <c r="BL65" s="376" t="s">
        <v>129</v>
      </c>
      <c r="BM65" s="376" t="s">
        <v>129</v>
      </c>
      <c r="BN65" s="376" t="s">
        <v>129</v>
      </c>
      <c r="BO65" s="376" t="s">
        <v>129</v>
      </c>
      <c r="BP65" s="376" t="s">
        <v>129</v>
      </c>
      <c r="BQ65" s="376" t="s">
        <v>129</v>
      </c>
      <c r="BR65" s="376" t="s">
        <v>129</v>
      </c>
      <c r="BS65" s="376" t="s">
        <v>129</v>
      </c>
      <c r="BT65" s="376" t="s">
        <v>129</v>
      </c>
      <c r="BU65" s="376" t="s">
        <v>129</v>
      </c>
    </row>
    <row r="66" spans="2:73">
      <c r="B66" s="298" t="s">
        <v>223</v>
      </c>
      <c r="C66" s="304">
        <v>1.38</v>
      </c>
      <c r="D66" s="305">
        <v>45838</v>
      </c>
      <c r="E66" s="306">
        <v>79584.5355</v>
      </c>
      <c r="F66" s="307">
        <v>-0.014808</v>
      </c>
      <c r="G66" s="308">
        <v>0.025105</v>
      </c>
      <c r="H66" s="308">
        <v>0.085334</v>
      </c>
      <c r="I66" s="308">
        <v>0.057026</v>
      </c>
      <c r="J66" s="308">
        <v>0.233427</v>
      </c>
      <c r="K66" s="308">
        <v>0.286401</v>
      </c>
      <c r="L66" s="338">
        <v>0.151524</v>
      </c>
      <c r="M66" s="318"/>
      <c r="N66" s="336">
        <v>0.05882</v>
      </c>
      <c r="O66" s="337">
        <v>0.234792094498457</v>
      </c>
      <c r="P66" s="337">
        <v>0.306047927298269</v>
      </c>
      <c r="Q66" s="337">
        <v>0.18290660186626</v>
      </c>
      <c r="R66" s="337">
        <v>0.36173936607088</v>
      </c>
      <c r="S66" s="337">
        <v>0.0643802602685348</v>
      </c>
      <c r="T66" s="337">
        <v>0.0682857410592756</v>
      </c>
      <c r="U66" s="337">
        <v>-0.0353342597685546</v>
      </c>
      <c r="V66" s="337">
        <v>0.368570811499936</v>
      </c>
      <c r="W66" s="337">
        <v>0.0726411911562942</v>
      </c>
      <c r="X66" s="337">
        <v>-0.0508689498525955</v>
      </c>
      <c r="Y66" s="337">
        <v>0.537720922293128</v>
      </c>
      <c r="Z66" s="337">
        <v>0.0381972844757076</v>
      </c>
      <c r="AA66" s="337">
        <v>0.341446577396599</v>
      </c>
      <c r="AB66" s="337">
        <v>-0.26721518520876</v>
      </c>
      <c r="AC66" s="337">
        <v>0.292156183714991</v>
      </c>
      <c r="AD66" s="337">
        <v>1.05566975448713</v>
      </c>
      <c r="AE66" s="337">
        <v>-0.496798373663377</v>
      </c>
      <c r="AF66" s="337">
        <v>0.536076375992186</v>
      </c>
      <c r="AG66" s="337">
        <v>0.35863338597688</v>
      </c>
      <c r="AH66" s="337">
        <v>0.627043135823868</v>
      </c>
      <c r="AI66" s="337">
        <v>0.275260310627654</v>
      </c>
      <c r="AJ66" s="337">
        <v>1.26296621325143</v>
      </c>
      <c r="AK66" s="337">
        <v>0.241961852861035</v>
      </c>
      <c r="AL66" s="337">
        <v>-0.028072033898305</v>
      </c>
      <c r="AM66" s="347">
        <v>-0.2</v>
      </c>
      <c r="AS66" s="361" t="s">
        <v>224</v>
      </c>
      <c r="AT66" s="364">
        <v>0.36</v>
      </c>
      <c r="AU66" s="365">
        <v>45716</v>
      </c>
      <c r="AV66" s="364">
        <v>2919.2551</v>
      </c>
      <c r="AW66" s="369"/>
      <c r="AX66" s="376">
        <v>0.014651</v>
      </c>
      <c r="AY66" s="376">
        <v>0.02589</v>
      </c>
      <c r="AZ66" s="376">
        <v>0.041602</v>
      </c>
      <c r="BA66" s="376">
        <v>0.093918</v>
      </c>
      <c r="BB66" s="376">
        <v>0.074476</v>
      </c>
      <c r="BC66" s="376" t="s">
        <v>129</v>
      </c>
      <c r="BD66" s="376" t="s">
        <v>129</v>
      </c>
      <c r="BE66" s="377"/>
      <c r="BF66" s="376">
        <v>0.02589</v>
      </c>
      <c r="BG66" s="376">
        <v>0.0992393403385343</v>
      </c>
      <c r="BH66" s="376">
        <v>0.0715507023918238</v>
      </c>
      <c r="BI66" s="376">
        <v>0.02934</v>
      </c>
      <c r="BJ66" s="376" t="s">
        <v>129</v>
      </c>
      <c r="BK66" s="376" t="s">
        <v>129</v>
      </c>
      <c r="BL66" s="376" t="s">
        <v>129</v>
      </c>
      <c r="BM66" s="376" t="s">
        <v>129</v>
      </c>
      <c r="BN66" s="376" t="s">
        <v>129</v>
      </c>
      <c r="BO66" s="376" t="s">
        <v>129</v>
      </c>
      <c r="BP66" s="376" t="s">
        <v>129</v>
      </c>
      <c r="BQ66" s="376" t="s">
        <v>129</v>
      </c>
      <c r="BR66" s="376" t="s">
        <v>129</v>
      </c>
      <c r="BS66" s="376" t="s">
        <v>129</v>
      </c>
      <c r="BT66" s="376" t="s">
        <v>129</v>
      </c>
      <c r="BU66" s="376" t="s">
        <v>129</v>
      </c>
    </row>
    <row r="67" spans="2:73">
      <c r="B67" s="298" t="s">
        <v>225</v>
      </c>
      <c r="C67" s="304">
        <v>1.92</v>
      </c>
      <c r="D67" s="305">
        <v>45838</v>
      </c>
      <c r="E67" s="306">
        <v>5169.21</v>
      </c>
      <c r="F67" s="307">
        <v>-0.020644</v>
      </c>
      <c r="G67" s="308">
        <v>0.075081</v>
      </c>
      <c r="H67" s="308">
        <v>0.076128</v>
      </c>
      <c r="I67" s="308">
        <v>0.001079</v>
      </c>
      <c r="J67" s="308">
        <v>0.202881</v>
      </c>
      <c r="K67" s="308">
        <v>0.223342</v>
      </c>
      <c r="L67" s="338">
        <v>0.125926</v>
      </c>
      <c r="M67" s="318"/>
      <c r="N67" s="336">
        <v>-0.005231</v>
      </c>
      <c r="O67" s="337">
        <v>0.286204525026956</v>
      </c>
      <c r="P67" s="337">
        <v>0.31783046960596</v>
      </c>
      <c r="Q67" s="337">
        <v>-0.0461522814506477</v>
      </c>
      <c r="R67" s="337">
        <v>0.339363907369751</v>
      </c>
      <c r="S67" s="337">
        <v>0.159983511576247</v>
      </c>
      <c r="T67" s="337">
        <v>0.0617173187060602</v>
      </c>
      <c r="U67" s="337">
        <v>-0.106039808943156</v>
      </c>
      <c r="V67" s="337">
        <v>0.402698549655326</v>
      </c>
      <c r="W67" s="337">
        <v>0.0558250630132401</v>
      </c>
      <c r="X67" s="337">
        <v>-0.0209566071065573</v>
      </c>
      <c r="Y67" s="337">
        <v>0.547695639555444</v>
      </c>
      <c r="Z67" s="337">
        <v>0.0800217043727462</v>
      </c>
      <c r="AA67" s="337">
        <v>0.250356518273826</v>
      </c>
      <c r="AB67" s="337">
        <v>-0.186601730036138</v>
      </c>
      <c r="AC67" s="337">
        <v>0.157425236035533</v>
      </c>
      <c r="AD67" s="337">
        <v>0.600594549794786</v>
      </c>
      <c r="AE67" s="337">
        <v>-0.545644776866548</v>
      </c>
      <c r="AF67" s="337">
        <v>0.509931632778133</v>
      </c>
      <c r="AG67" s="337">
        <v>0.517125958831581</v>
      </c>
      <c r="AH67" s="337">
        <v>0.437305576384816</v>
      </c>
      <c r="AI67" s="337">
        <v>0.34693</v>
      </c>
      <c r="AJ67" s="337" t="s">
        <v>129</v>
      </c>
      <c r="AK67" s="337" t="s">
        <v>129</v>
      </c>
      <c r="AL67" s="337" t="s">
        <v>129</v>
      </c>
      <c r="AM67" s="347" t="s">
        <v>129</v>
      </c>
      <c r="AS67" s="361" t="s">
        <v>226</v>
      </c>
      <c r="AT67" s="364">
        <v>0.4</v>
      </c>
      <c r="AU67" s="365">
        <v>45716</v>
      </c>
      <c r="AV67" s="364">
        <v>586.4315</v>
      </c>
      <c r="AW67" s="369"/>
      <c r="AX67" s="376">
        <v>0.008086</v>
      </c>
      <c r="AY67" s="376">
        <v>0.021778</v>
      </c>
      <c r="AZ67" s="376">
        <v>0.036588</v>
      </c>
      <c r="BA67" s="376">
        <v>0.082668</v>
      </c>
      <c r="BB67" s="376" t="s">
        <v>129</v>
      </c>
      <c r="BC67" s="376" t="s">
        <v>129</v>
      </c>
      <c r="BD67" s="376" t="s">
        <v>129</v>
      </c>
      <c r="BE67" s="377"/>
      <c r="BF67" s="376">
        <v>0.021778</v>
      </c>
      <c r="BG67" s="376">
        <v>0.0814066571250321</v>
      </c>
      <c r="BH67" s="376">
        <v>0.0684520600315646</v>
      </c>
      <c r="BI67" s="376">
        <v>0.02013</v>
      </c>
      <c r="BJ67" s="376" t="s">
        <v>129</v>
      </c>
      <c r="BK67" s="376" t="s">
        <v>129</v>
      </c>
      <c r="BL67" s="376" t="s">
        <v>129</v>
      </c>
      <c r="BM67" s="376" t="s">
        <v>129</v>
      </c>
      <c r="BN67" s="376" t="s">
        <v>129</v>
      </c>
      <c r="BO67" s="376" t="s">
        <v>129</v>
      </c>
      <c r="BP67" s="376" t="s">
        <v>129</v>
      </c>
      <c r="BQ67" s="376" t="s">
        <v>129</v>
      </c>
      <c r="BR67" s="376" t="s">
        <v>129</v>
      </c>
      <c r="BS67" s="376" t="s">
        <v>129</v>
      </c>
      <c r="BT67" s="376" t="s">
        <v>129</v>
      </c>
      <c r="BU67" s="376" t="s">
        <v>129</v>
      </c>
    </row>
    <row r="68" spans="2:73">
      <c r="B68" s="298" t="s">
        <v>227</v>
      </c>
      <c r="C68" s="304">
        <v>1.69</v>
      </c>
      <c r="D68" s="305">
        <v>45838</v>
      </c>
      <c r="E68" s="306">
        <v>17945.8643116983</v>
      </c>
      <c r="F68" s="307">
        <v>-0.003215</v>
      </c>
      <c r="G68" s="308">
        <v>0.065903</v>
      </c>
      <c r="H68" s="308">
        <v>0.075145</v>
      </c>
      <c r="I68" s="308">
        <v>-0.004815</v>
      </c>
      <c r="J68" s="308">
        <v>0.187917</v>
      </c>
      <c r="K68" s="308" t="s">
        <v>129</v>
      </c>
      <c r="L68" s="338" t="s">
        <v>129</v>
      </c>
      <c r="M68" s="318"/>
      <c r="N68" s="336">
        <v>0.0299</v>
      </c>
      <c r="O68" s="337">
        <v>0.212080536912752</v>
      </c>
      <c r="P68" s="337">
        <v>0.278969957081545</v>
      </c>
      <c r="Q68" s="337">
        <v>0.0877684407096171</v>
      </c>
      <c r="R68" s="337">
        <v>0.0710000000000001</v>
      </c>
      <c r="S68" s="337" t="s">
        <v>129</v>
      </c>
      <c r="T68" s="337" t="s">
        <v>129</v>
      </c>
      <c r="U68" s="337" t="s">
        <v>129</v>
      </c>
      <c r="V68" s="337" t="s">
        <v>129</v>
      </c>
      <c r="W68" s="337" t="s">
        <v>129</v>
      </c>
      <c r="X68" s="337" t="s">
        <v>129</v>
      </c>
      <c r="Y68" s="337" t="s">
        <v>129</v>
      </c>
      <c r="Z68" s="337" t="s">
        <v>129</v>
      </c>
      <c r="AA68" s="337" t="s">
        <v>129</v>
      </c>
      <c r="AB68" s="337" t="s">
        <v>129</v>
      </c>
      <c r="AC68" s="337" t="s">
        <v>129</v>
      </c>
      <c r="AD68" s="337" t="s">
        <v>129</v>
      </c>
      <c r="AE68" s="337" t="s">
        <v>129</v>
      </c>
      <c r="AF68" s="337" t="s">
        <v>129</v>
      </c>
      <c r="AG68" s="337" t="s">
        <v>129</v>
      </c>
      <c r="AH68" s="337" t="s">
        <v>129</v>
      </c>
      <c r="AI68" s="337" t="s">
        <v>129</v>
      </c>
      <c r="AJ68" s="337" t="s">
        <v>129</v>
      </c>
      <c r="AK68" s="337" t="s">
        <v>129</v>
      </c>
      <c r="AL68" s="337" t="s">
        <v>129</v>
      </c>
      <c r="AM68" s="347" t="s">
        <v>129</v>
      </c>
      <c r="AS68" s="361" t="s">
        <v>228</v>
      </c>
      <c r="AT68" s="364">
        <v>0.63</v>
      </c>
      <c r="AU68" s="365">
        <v>45716</v>
      </c>
      <c r="AV68" s="364">
        <v>40.969871577</v>
      </c>
      <c r="AW68" s="369"/>
      <c r="AX68" s="376">
        <v>0.012749</v>
      </c>
      <c r="AY68" s="376">
        <v>0.022057</v>
      </c>
      <c r="AZ68" s="376">
        <v>0.039393</v>
      </c>
      <c r="BA68" s="376">
        <v>0.081465</v>
      </c>
      <c r="BB68" s="376">
        <v>0.06159</v>
      </c>
      <c r="BC68" s="376" t="s">
        <v>129</v>
      </c>
      <c r="BD68" s="376" t="s">
        <v>129</v>
      </c>
      <c r="BE68" s="377"/>
      <c r="BF68" s="376">
        <v>0.022057</v>
      </c>
      <c r="BG68" s="376">
        <v>0.0800693026421633</v>
      </c>
      <c r="BH68" s="376">
        <v>0.0627342671138291</v>
      </c>
      <c r="BI68" s="376">
        <v>0.0284629431030984</v>
      </c>
      <c r="BJ68" s="376">
        <v>0.0350300000000001</v>
      </c>
      <c r="BK68" s="376" t="s">
        <v>129</v>
      </c>
      <c r="BL68" s="376" t="s">
        <v>129</v>
      </c>
      <c r="BM68" s="376" t="s">
        <v>129</v>
      </c>
      <c r="BN68" s="376" t="s">
        <v>129</v>
      </c>
      <c r="BO68" s="376" t="s">
        <v>129</v>
      </c>
      <c r="BP68" s="376" t="s">
        <v>129</v>
      </c>
      <c r="BQ68" s="376" t="s">
        <v>129</v>
      </c>
      <c r="BR68" s="376" t="s">
        <v>129</v>
      </c>
      <c r="BS68" s="376" t="s">
        <v>129</v>
      </c>
      <c r="BT68" s="376" t="s">
        <v>129</v>
      </c>
      <c r="BU68" s="376" t="s">
        <v>129</v>
      </c>
    </row>
    <row r="69" spans="2:73">
      <c r="B69" s="298" t="s">
        <v>229</v>
      </c>
      <c r="C69" s="304">
        <v>1.92</v>
      </c>
      <c r="D69" s="305">
        <v>45838</v>
      </c>
      <c r="E69" s="306">
        <v>3266.8754</v>
      </c>
      <c r="F69" s="307">
        <v>-0.016079</v>
      </c>
      <c r="G69" s="308">
        <v>0.09023</v>
      </c>
      <c r="H69" s="308">
        <v>0.108708</v>
      </c>
      <c r="I69" s="308">
        <v>0.06573</v>
      </c>
      <c r="J69" s="308">
        <v>0.235139</v>
      </c>
      <c r="K69" s="308" t="s">
        <v>129</v>
      </c>
      <c r="L69" s="338" t="s">
        <v>129</v>
      </c>
      <c r="M69" s="318"/>
      <c r="N69" s="336">
        <v>0.004235</v>
      </c>
      <c r="O69" s="337">
        <v>0.344483985765125</v>
      </c>
      <c r="P69" s="337">
        <v>0.335551330798479</v>
      </c>
      <c r="Q69" s="337">
        <v>0.052</v>
      </c>
      <c r="R69" s="337" t="s">
        <v>129</v>
      </c>
      <c r="S69" s="337" t="s">
        <v>129</v>
      </c>
      <c r="T69" s="337" t="s">
        <v>129</v>
      </c>
      <c r="U69" s="337" t="s">
        <v>129</v>
      </c>
      <c r="V69" s="337" t="s">
        <v>129</v>
      </c>
      <c r="W69" s="337" t="s">
        <v>129</v>
      </c>
      <c r="X69" s="337" t="s">
        <v>129</v>
      </c>
      <c r="Y69" s="337" t="s">
        <v>129</v>
      </c>
      <c r="Z69" s="337" t="s">
        <v>129</v>
      </c>
      <c r="AA69" s="337" t="s">
        <v>129</v>
      </c>
      <c r="AB69" s="337" t="s">
        <v>129</v>
      </c>
      <c r="AC69" s="337" t="s">
        <v>129</v>
      </c>
      <c r="AD69" s="337" t="s">
        <v>129</v>
      </c>
      <c r="AE69" s="337" t="s">
        <v>129</v>
      </c>
      <c r="AF69" s="337" t="s">
        <v>129</v>
      </c>
      <c r="AG69" s="337" t="s">
        <v>129</v>
      </c>
      <c r="AH69" s="337" t="s">
        <v>129</v>
      </c>
      <c r="AI69" s="337" t="s">
        <v>129</v>
      </c>
      <c r="AJ69" s="337" t="s">
        <v>129</v>
      </c>
      <c r="AK69" s="337" t="s">
        <v>129</v>
      </c>
      <c r="AL69" s="337" t="s">
        <v>129</v>
      </c>
      <c r="AM69" s="347" t="s">
        <v>129</v>
      </c>
      <c r="AS69" s="361" t="s">
        <v>230</v>
      </c>
      <c r="AT69" s="364">
        <v>0.31</v>
      </c>
      <c r="AU69" s="365">
        <v>45716</v>
      </c>
      <c r="AV69" s="364">
        <v>94.163143925</v>
      </c>
      <c r="AW69" s="369"/>
      <c r="AX69" s="376">
        <v>0.007721</v>
      </c>
      <c r="AY69" s="376">
        <v>0.019679</v>
      </c>
      <c r="AZ69" s="376">
        <v>0.036516</v>
      </c>
      <c r="BA69" s="376">
        <v>0.07582</v>
      </c>
      <c r="BB69" s="376" t="s">
        <v>129</v>
      </c>
      <c r="BC69" s="376" t="s">
        <v>129</v>
      </c>
      <c r="BD69" s="376" t="s">
        <v>129</v>
      </c>
      <c r="BE69" s="377"/>
      <c r="BF69" s="376">
        <v>0.019679</v>
      </c>
      <c r="BG69" s="376">
        <v>0.0755968047282634</v>
      </c>
      <c r="BH69" s="376">
        <v>0.0673310071559524</v>
      </c>
      <c r="BI69" s="376">
        <v>0.01454</v>
      </c>
      <c r="BJ69" s="376" t="s">
        <v>129</v>
      </c>
      <c r="BK69" s="376" t="s">
        <v>129</v>
      </c>
      <c r="BL69" s="376" t="s">
        <v>129</v>
      </c>
      <c r="BM69" s="376" t="s">
        <v>129</v>
      </c>
      <c r="BN69" s="376" t="s">
        <v>129</v>
      </c>
      <c r="BO69" s="376" t="s">
        <v>129</v>
      </c>
      <c r="BP69" s="376" t="s">
        <v>129</v>
      </c>
      <c r="BQ69" s="376" t="s">
        <v>129</v>
      </c>
      <c r="BR69" s="376" t="s">
        <v>129</v>
      </c>
      <c r="BS69" s="376" t="s">
        <v>129</v>
      </c>
      <c r="BT69" s="376" t="s">
        <v>129</v>
      </c>
      <c r="BU69" s="376" t="s">
        <v>129</v>
      </c>
    </row>
    <row r="70" spans="2:73">
      <c r="B70" s="298" t="s">
        <v>231</v>
      </c>
      <c r="C70" s="304">
        <v>1.45</v>
      </c>
      <c r="D70" s="305">
        <v>45838</v>
      </c>
      <c r="E70" s="306">
        <v>54840.9766</v>
      </c>
      <c r="F70" s="307">
        <v>-0.028541</v>
      </c>
      <c r="G70" s="308">
        <v>0.056688</v>
      </c>
      <c r="H70" s="308">
        <v>0.091275</v>
      </c>
      <c r="I70" s="308">
        <v>0.003181</v>
      </c>
      <c r="J70" s="308">
        <v>0.178964</v>
      </c>
      <c r="K70" s="308">
        <v>0.199253</v>
      </c>
      <c r="L70" s="338">
        <v>0.133756</v>
      </c>
      <c r="M70" s="318"/>
      <c r="N70" s="336">
        <v>0.061932</v>
      </c>
      <c r="O70" s="337">
        <v>0.165034473672654</v>
      </c>
      <c r="P70" s="337">
        <v>0.242031963055217</v>
      </c>
      <c r="Q70" s="337">
        <v>0.0499780463127349</v>
      </c>
      <c r="R70" s="337">
        <v>0.253721698338998</v>
      </c>
      <c r="S70" s="337">
        <v>0.117883133561644</v>
      </c>
      <c r="T70" s="337">
        <v>0.12280701754386</v>
      </c>
      <c r="U70" s="337">
        <v>-0.00881372081943802</v>
      </c>
      <c r="V70" s="337">
        <v>0.343091381723655</v>
      </c>
      <c r="W70" s="337">
        <v>0.094406512605042</v>
      </c>
      <c r="X70" s="337">
        <v>0.0295602018745493</v>
      </c>
      <c r="Y70" s="337">
        <v>0.578715230845842</v>
      </c>
      <c r="Z70" s="337">
        <v>0.0613061532653833</v>
      </c>
      <c r="AA70" s="337">
        <v>0.334508816120907</v>
      </c>
      <c r="AB70" s="337">
        <v>-0.222909489508299</v>
      </c>
      <c r="AC70" s="337">
        <v>0.200488767741329</v>
      </c>
      <c r="AD70" s="337">
        <v>0.0638999999999999</v>
      </c>
      <c r="AE70" s="337" t="s">
        <v>129</v>
      </c>
      <c r="AF70" s="337" t="s">
        <v>129</v>
      </c>
      <c r="AG70" s="337" t="s">
        <v>129</v>
      </c>
      <c r="AH70" s="337" t="s">
        <v>129</v>
      </c>
      <c r="AI70" s="337" t="s">
        <v>129</v>
      </c>
      <c r="AJ70" s="337" t="s">
        <v>129</v>
      </c>
      <c r="AK70" s="337" t="s">
        <v>129</v>
      </c>
      <c r="AL70" s="337" t="s">
        <v>129</v>
      </c>
      <c r="AM70" s="347" t="s">
        <v>129</v>
      </c>
      <c r="AS70" s="361" t="s">
        <v>232</v>
      </c>
      <c r="AT70" s="364">
        <v>0.74</v>
      </c>
      <c r="AU70" s="365">
        <v>45716</v>
      </c>
      <c r="AV70" s="364">
        <v>6497.7632</v>
      </c>
      <c r="AW70" s="369"/>
      <c r="AX70" s="376">
        <v>0.013364</v>
      </c>
      <c r="AY70" s="376">
        <v>0.023977</v>
      </c>
      <c r="AZ70" s="376">
        <v>0.040005</v>
      </c>
      <c r="BA70" s="376">
        <v>0.085928</v>
      </c>
      <c r="BB70" s="376">
        <v>0.0706</v>
      </c>
      <c r="BC70" s="376">
        <v>0.068045</v>
      </c>
      <c r="BD70" s="376">
        <v>0.073243</v>
      </c>
      <c r="BE70" s="377"/>
      <c r="BF70" s="376">
        <v>0.023977</v>
      </c>
      <c r="BG70" s="376">
        <v>0.084402793981727</v>
      </c>
      <c r="BH70" s="376">
        <v>0.0714884376934238</v>
      </c>
      <c r="BI70" s="376">
        <v>0.0432244870307485</v>
      </c>
      <c r="BJ70" s="376">
        <v>0.047116565505194</v>
      </c>
      <c r="BK70" s="376">
        <v>0.0951967058686426</v>
      </c>
      <c r="BL70" s="376">
        <v>0.0777930420902514</v>
      </c>
      <c r="BM70" s="376">
        <v>0.0688992565492472</v>
      </c>
      <c r="BN70" s="376">
        <v>0.0661509696158216</v>
      </c>
      <c r="BO70" s="376">
        <v>0.0912856994090236</v>
      </c>
      <c r="BP70" s="376">
        <v>0.0868794765231231</v>
      </c>
      <c r="BQ70" s="376">
        <v>0.0925598883963937</v>
      </c>
      <c r="BR70" s="376">
        <v>0.0845700873865756</v>
      </c>
      <c r="BS70" s="376">
        <v>0.097780926921962</v>
      </c>
      <c r="BT70" s="376">
        <v>0.0916108747733586</v>
      </c>
      <c r="BU70" s="376">
        <v>0.0554710319711194</v>
      </c>
    </row>
    <row r="71" spans="2:73">
      <c r="B71" s="298" t="s">
        <v>233</v>
      </c>
      <c r="C71" s="304">
        <v>1.71</v>
      </c>
      <c r="D71" s="305">
        <v>45838</v>
      </c>
      <c r="E71" s="306">
        <v>13893.7643</v>
      </c>
      <c r="F71" s="307">
        <v>-0.028643</v>
      </c>
      <c r="G71" s="308">
        <v>0.0799</v>
      </c>
      <c r="H71" s="308">
        <v>0.090446</v>
      </c>
      <c r="I71" s="308">
        <v>0.067212</v>
      </c>
      <c r="J71" s="308">
        <v>0.24413</v>
      </c>
      <c r="K71" s="308">
        <v>0.198776</v>
      </c>
      <c r="L71" s="338">
        <v>0.128169</v>
      </c>
      <c r="M71" s="318"/>
      <c r="N71" s="336">
        <v>-0.033758</v>
      </c>
      <c r="O71" s="337">
        <v>0.456909864391701</v>
      </c>
      <c r="P71" s="337">
        <v>0.309861721961947</v>
      </c>
      <c r="Q71" s="337">
        <v>-0.0297801780491127</v>
      </c>
      <c r="R71" s="337">
        <v>0.153044716452633</v>
      </c>
      <c r="S71" s="337">
        <v>0.102990351682465</v>
      </c>
      <c r="T71" s="337">
        <v>0.0792317547726856</v>
      </c>
      <c r="U71" s="337">
        <v>-0.0784839273863257</v>
      </c>
      <c r="V71" s="337">
        <v>0.43052488578607</v>
      </c>
      <c r="W71" s="337">
        <v>0.0845260307636298</v>
      </c>
      <c r="X71" s="337">
        <v>0.145986257969465</v>
      </c>
      <c r="Y71" s="337">
        <v>0.53398</v>
      </c>
      <c r="Z71" s="337" t="s">
        <v>129</v>
      </c>
      <c r="AA71" s="337" t="s">
        <v>129</v>
      </c>
      <c r="AB71" s="337" t="s">
        <v>129</v>
      </c>
      <c r="AC71" s="337" t="s">
        <v>129</v>
      </c>
      <c r="AD71" s="337" t="s">
        <v>129</v>
      </c>
      <c r="AE71" s="337" t="s">
        <v>129</v>
      </c>
      <c r="AF71" s="337" t="s">
        <v>129</v>
      </c>
      <c r="AG71" s="337" t="s">
        <v>129</v>
      </c>
      <c r="AH71" s="337" t="s">
        <v>129</v>
      </c>
      <c r="AI71" s="337" t="s">
        <v>129</v>
      </c>
      <c r="AJ71" s="337" t="s">
        <v>129</v>
      </c>
      <c r="AK71" s="337" t="s">
        <v>129</v>
      </c>
      <c r="AL71" s="337" t="s">
        <v>129</v>
      </c>
      <c r="AM71" s="347" t="s">
        <v>129</v>
      </c>
      <c r="AS71" s="361" t="s">
        <v>234</v>
      </c>
      <c r="AT71" s="364">
        <v>0.32</v>
      </c>
      <c r="AU71" s="365">
        <v>45716</v>
      </c>
      <c r="AV71" s="364">
        <v>71.794</v>
      </c>
      <c r="AW71" s="369"/>
      <c r="AX71" s="376">
        <v>0.00851</v>
      </c>
      <c r="AY71" s="376">
        <v>0.019745</v>
      </c>
      <c r="AZ71" s="376" t="s">
        <v>129</v>
      </c>
      <c r="BA71" s="376" t="s">
        <v>129</v>
      </c>
      <c r="BB71" s="376" t="s">
        <v>129</v>
      </c>
      <c r="BC71" s="376" t="s">
        <v>129</v>
      </c>
      <c r="BD71" s="376" t="s">
        <v>129</v>
      </c>
      <c r="BE71" s="377"/>
      <c r="BF71" s="376">
        <v>0.019745</v>
      </c>
      <c r="BG71" s="376">
        <v>0.01343</v>
      </c>
      <c r="BH71" s="376" t="s">
        <v>129</v>
      </c>
      <c r="BI71" s="376" t="s">
        <v>129</v>
      </c>
      <c r="BJ71" s="376" t="s">
        <v>129</v>
      </c>
      <c r="BK71" s="376" t="s">
        <v>129</v>
      </c>
      <c r="BL71" s="376" t="s">
        <v>129</v>
      </c>
      <c r="BM71" s="376" t="s">
        <v>129</v>
      </c>
      <c r="BN71" s="376" t="s">
        <v>129</v>
      </c>
      <c r="BO71" s="376" t="s">
        <v>129</v>
      </c>
      <c r="BP71" s="376" t="s">
        <v>129</v>
      </c>
      <c r="BQ71" s="376" t="s">
        <v>129</v>
      </c>
      <c r="BR71" s="376" t="s">
        <v>129</v>
      </c>
      <c r="BS71" s="376" t="s">
        <v>129</v>
      </c>
      <c r="BT71" s="376" t="s">
        <v>129</v>
      </c>
      <c r="BU71" s="376" t="s">
        <v>129</v>
      </c>
    </row>
    <row r="72" spans="2:73">
      <c r="B72" s="298" t="s">
        <v>235</v>
      </c>
      <c r="C72" s="304">
        <v>1.72</v>
      </c>
      <c r="D72" s="305">
        <v>45838</v>
      </c>
      <c r="E72" s="306">
        <v>9299.746</v>
      </c>
      <c r="F72" s="307">
        <v>-0.02066</v>
      </c>
      <c r="G72" s="308">
        <v>0.0462</v>
      </c>
      <c r="H72" s="308">
        <v>0.058224</v>
      </c>
      <c r="I72" s="308">
        <v>-0.042921</v>
      </c>
      <c r="J72" s="308">
        <v>0.161616</v>
      </c>
      <c r="K72" s="308" t="s">
        <v>129</v>
      </c>
      <c r="L72" s="338" t="s">
        <v>129</v>
      </c>
      <c r="M72" s="318"/>
      <c r="N72" s="336">
        <v>-0.000801</v>
      </c>
      <c r="O72" s="337">
        <v>0.154224987039917</v>
      </c>
      <c r="P72" s="337">
        <v>0.331089145841104</v>
      </c>
      <c r="Q72" s="337">
        <v>-0.0086250728000517</v>
      </c>
      <c r="R72" s="337">
        <v>0.0817299999999999</v>
      </c>
      <c r="S72" s="337" t="s">
        <v>129</v>
      </c>
      <c r="T72" s="337" t="s">
        <v>129</v>
      </c>
      <c r="U72" s="337" t="s">
        <v>129</v>
      </c>
      <c r="V72" s="337" t="s">
        <v>129</v>
      </c>
      <c r="W72" s="337" t="s">
        <v>129</v>
      </c>
      <c r="X72" s="337" t="s">
        <v>129</v>
      </c>
      <c r="Y72" s="337" t="s">
        <v>129</v>
      </c>
      <c r="Z72" s="337" t="s">
        <v>129</v>
      </c>
      <c r="AA72" s="337" t="s">
        <v>129</v>
      </c>
      <c r="AB72" s="337" t="s">
        <v>129</v>
      </c>
      <c r="AC72" s="337" t="s">
        <v>129</v>
      </c>
      <c r="AD72" s="337" t="s">
        <v>129</v>
      </c>
      <c r="AE72" s="337" t="s">
        <v>129</v>
      </c>
      <c r="AF72" s="337" t="s">
        <v>129</v>
      </c>
      <c r="AG72" s="337" t="s">
        <v>129</v>
      </c>
      <c r="AH72" s="337" t="s">
        <v>129</v>
      </c>
      <c r="AI72" s="337" t="s">
        <v>129</v>
      </c>
      <c r="AJ72" s="337" t="s">
        <v>129</v>
      </c>
      <c r="AK72" s="337" t="s">
        <v>129</v>
      </c>
      <c r="AL72" s="337" t="s">
        <v>129</v>
      </c>
      <c r="AM72" s="347" t="s">
        <v>129</v>
      </c>
      <c r="AS72" s="361" t="s">
        <v>236</v>
      </c>
      <c r="AT72" s="364">
        <v>0.35</v>
      </c>
      <c r="AU72" s="365">
        <v>45716</v>
      </c>
      <c r="AV72" s="364">
        <v>139.0506</v>
      </c>
      <c r="AW72" s="369"/>
      <c r="AX72" s="376">
        <v>0.009253</v>
      </c>
      <c r="AY72" s="376">
        <v>0.021313</v>
      </c>
      <c r="AZ72" s="376" t="s">
        <v>129</v>
      </c>
      <c r="BA72" s="376" t="s">
        <v>129</v>
      </c>
      <c r="BB72" s="376" t="s">
        <v>129</v>
      </c>
      <c r="BC72" s="376" t="s">
        <v>129</v>
      </c>
      <c r="BD72" s="376" t="s">
        <v>129</v>
      </c>
      <c r="BE72" s="377"/>
      <c r="BF72" s="376">
        <v>0.021313</v>
      </c>
      <c r="BG72" s="376">
        <v>0.01347</v>
      </c>
      <c r="BH72" s="376" t="s">
        <v>129</v>
      </c>
      <c r="BI72" s="376" t="s">
        <v>129</v>
      </c>
      <c r="BJ72" s="376" t="s">
        <v>129</v>
      </c>
      <c r="BK72" s="376" t="s">
        <v>129</v>
      </c>
      <c r="BL72" s="376" t="s">
        <v>129</v>
      </c>
      <c r="BM72" s="376" t="s">
        <v>129</v>
      </c>
      <c r="BN72" s="376" t="s">
        <v>129</v>
      </c>
      <c r="BO72" s="376" t="s">
        <v>129</v>
      </c>
      <c r="BP72" s="376" t="s">
        <v>129</v>
      </c>
      <c r="BQ72" s="376" t="s">
        <v>129</v>
      </c>
      <c r="BR72" s="376" t="s">
        <v>129</v>
      </c>
      <c r="BS72" s="376" t="s">
        <v>129</v>
      </c>
      <c r="BT72" s="376" t="s">
        <v>129</v>
      </c>
      <c r="BU72" s="376" t="s">
        <v>129</v>
      </c>
    </row>
    <row r="73" spans="2:73">
      <c r="B73" s="298" t="s">
        <v>34</v>
      </c>
      <c r="C73" s="304">
        <v>1.52</v>
      </c>
      <c r="D73" s="305">
        <v>45838</v>
      </c>
      <c r="E73" s="306">
        <v>45366.0891</v>
      </c>
      <c r="F73" s="307">
        <v>-0.011124</v>
      </c>
      <c r="G73" s="308">
        <v>0.084613</v>
      </c>
      <c r="H73" s="308">
        <v>0.105766</v>
      </c>
      <c r="I73" s="308">
        <v>0.008236</v>
      </c>
      <c r="J73" s="308">
        <v>0.246716</v>
      </c>
      <c r="K73" s="308">
        <v>0.318071</v>
      </c>
      <c r="L73" s="338">
        <v>0.145514</v>
      </c>
      <c r="M73" s="318"/>
      <c r="N73" s="336">
        <v>0.03611</v>
      </c>
      <c r="O73" s="337">
        <v>0.258220184493071</v>
      </c>
      <c r="P73" s="337">
        <v>0.381302970275588</v>
      </c>
      <c r="Q73" s="337">
        <v>0.141225713175538</v>
      </c>
      <c r="R73" s="337">
        <v>0.489133490562662</v>
      </c>
      <c r="S73" s="337">
        <v>0.000377370068110724</v>
      </c>
      <c r="T73" s="337">
        <v>0.0219808129065029</v>
      </c>
      <c r="U73" s="337">
        <v>-0.0219441536775649</v>
      </c>
      <c r="V73" s="337">
        <v>0.408669256711027</v>
      </c>
      <c r="W73" s="337">
        <v>-0.0666831525486142</v>
      </c>
      <c r="X73" s="337">
        <v>0.00510474245297797</v>
      </c>
      <c r="Y73" s="337">
        <v>0.596723263277772</v>
      </c>
      <c r="Z73" s="337">
        <v>0.0455844246638055</v>
      </c>
      <c r="AA73" s="337">
        <v>0.47353467011385</v>
      </c>
      <c r="AB73" s="337">
        <v>-0.216320386680764</v>
      </c>
      <c r="AC73" s="337">
        <v>0.304517395898095</v>
      </c>
      <c r="AD73" s="337">
        <v>1.08752171908798</v>
      </c>
      <c r="AE73" s="337">
        <v>-0.558726423213297</v>
      </c>
      <c r="AF73" s="337">
        <v>0.473224865029345</v>
      </c>
      <c r="AG73" s="337">
        <v>0.512798515790649</v>
      </c>
      <c r="AH73" s="337">
        <v>0.43376</v>
      </c>
      <c r="AI73" s="337" t="s">
        <v>129</v>
      </c>
      <c r="AJ73" s="337" t="s">
        <v>129</v>
      </c>
      <c r="AK73" s="337" t="s">
        <v>129</v>
      </c>
      <c r="AL73" s="337" t="s">
        <v>129</v>
      </c>
      <c r="AM73" s="347" t="s">
        <v>129</v>
      </c>
      <c r="AN73" s="37">
        <v>1.1</v>
      </c>
      <c r="AO73" s="37">
        <v>0.87</v>
      </c>
      <c r="AP73" s="37">
        <v>28.9</v>
      </c>
      <c r="AQ73" s="37">
        <v>3.97</v>
      </c>
      <c r="AS73" s="361" t="s">
        <v>237</v>
      </c>
      <c r="AT73" s="364">
        <v>0.31</v>
      </c>
      <c r="AU73" s="365">
        <v>45716</v>
      </c>
      <c r="AV73" s="364">
        <v>3451.0384</v>
      </c>
      <c r="AW73" s="369"/>
      <c r="AX73" s="376">
        <v>0.008818</v>
      </c>
      <c r="AY73" s="376">
        <v>0.020747</v>
      </c>
      <c r="AZ73" s="376">
        <v>0.037443</v>
      </c>
      <c r="BA73" s="376">
        <v>0.079188</v>
      </c>
      <c r="BB73" s="376">
        <v>0.057972</v>
      </c>
      <c r="BC73" s="376" t="s">
        <v>129</v>
      </c>
      <c r="BD73" s="376" t="s">
        <v>129</v>
      </c>
      <c r="BE73" s="377"/>
      <c r="BF73" s="376">
        <v>0.020747</v>
      </c>
      <c r="BG73" s="376">
        <v>0.078630974434976</v>
      </c>
      <c r="BH73" s="376">
        <v>0.0660083929893853</v>
      </c>
      <c r="BI73" s="376">
        <v>0.0106881960799967</v>
      </c>
      <c r="BJ73" s="376" t="s">
        <v>129</v>
      </c>
      <c r="BK73" s="376" t="s">
        <v>129</v>
      </c>
      <c r="BL73" s="376" t="s">
        <v>129</v>
      </c>
      <c r="BM73" s="376" t="s">
        <v>129</v>
      </c>
      <c r="BN73" s="376" t="s">
        <v>129</v>
      </c>
      <c r="BO73" s="376" t="s">
        <v>129</v>
      </c>
      <c r="BP73" s="376" t="s">
        <v>129</v>
      </c>
      <c r="BQ73" s="376" t="s">
        <v>129</v>
      </c>
      <c r="BR73" s="376" t="s">
        <v>129</v>
      </c>
      <c r="BS73" s="376" t="s">
        <v>129</v>
      </c>
      <c r="BT73" s="376" t="s">
        <v>129</v>
      </c>
      <c r="BU73" s="376" t="s">
        <v>129</v>
      </c>
    </row>
    <row r="74" spans="2:73">
      <c r="B74" s="298" t="s">
        <v>38</v>
      </c>
      <c r="C74" s="304">
        <v>1.28</v>
      </c>
      <c r="D74" s="305">
        <v>45838</v>
      </c>
      <c r="E74" s="306">
        <v>110392.3159</v>
      </c>
      <c r="F74" s="307">
        <v>-0.008539</v>
      </c>
      <c r="G74" s="308">
        <v>0.052609</v>
      </c>
      <c r="H74" s="308">
        <v>0.050593</v>
      </c>
      <c r="I74" s="308">
        <v>0.078166</v>
      </c>
      <c r="J74" s="308">
        <v>0.216301</v>
      </c>
      <c r="K74" s="308">
        <v>0.236511</v>
      </c>
      <c r="L74" s="338">
        <v>0.173728</v>
      </c>
      <c r="M74" s="318"/>
      <c r="N74" s="336">
        <v>0.047122</v>
      </c>
      <c r="O74" s="337">
        <v>0.239162796693667</v>
      </c>
      <c r="P74" s="337">
        <v>0.365727184887248</v>
      </c>
      <c r="Q74" s="337">
        <v>-0.0722924598375223</v>
      </c>
      <c r="R74" s="337">
        <v>0.455120079675864</v>
      </c>
      <c r="S74" s="337">
        <v>0.322947352660441</v>
      </c>
      <c r="T74" s="337">
        <v>0.144338596235725</v>
      </c>
      <c r="U74" s="337">
        <v>-0.00430337744757255</v>
      </c>
      <c r="V74" s="337">
        <v>0.293646721288863</v>
      </c>
      <c r="W74" s="337">
        <v>0.0327526966272928</v>
      </c>
      <c r="X74" s="337">
        <v>0.089393901772856</v>
      </c>
      <c r="Y74" s="337">
        <v>0.448210144015534</v>
      </c>
      <c r="Z74" s="337">
        <v>0.112480123211089</v>
      </c>
      <c r="AA74" s="337" t="s">
        <v>129</v>
      </c>
      <c r="AB74" s="337" t="s">
        <v>129</v>
      </c>
      <c r="AC74" s="337" t="s">
        <v>129</v>
      </c>
      <c r="AD74" s="337" t="s">
        <v>129</v>
      </c>
      <c r="AE74" s="337" t="s">
        <v>129</v>
      </c>
      <c r="AF74" s="337" t="s">
        <v>129</v>
      </c>
      <c r="AG74" s="337" t="s">
        <v>129</v>
      </c>
      <c r="AH74" s="337" t="s">
        <v>129</v>
      </c>
      <c r="AI74" s="337" t="s">
        <v>129</v>
      </c>
      <c r="AJ74" s="337" t="s">
        <v>129</v>
      </c>
      <c r="AK74" s="337" t="s">
        <v>129</v>
      </c>
      <c r="AL74" s="337" t="s">
        <v>129</v>
      </c>
      <c r="AM74" s="347" t="s">
        <v>129</v>
      </c>
      <c r="AN74" s="37">
        <v>1.22</v>
      </c>
      <c r="AO74" s="37">
        <v>0.62</v>
      </c>
      <c r="AP74" s="37">
        <v>17.67</v>
      </c>
      <c r="AQ74" s="37">
        <v>3.29</v>
      </c>
      <c r="AS74" s="361" t="s">
        <v>238</v>
      </c>
      <c r="AT74" s="364">
        <v>0.38</v>
      </c>
      <c r="AU74" s="365">
        <v>45716</v>
      </c>
      <c r="AV74" s="364">
        <v>426.3721</v>
      </c>
      <c r="AW74" s="369"/>
      <c r="AX74" s="376">
        <v>0.007969</v>
      </c>
      <c r="AY74" s="376">
        <v>0.019587</v>
      </c>
      <c r="AZ74" s="376">
        <v>0.036285</v>
      </c>
      <c r="BA74" s="376">
        <v>0.076558</v>
      </c>
      <c r="BB74" s="376" t="s">
        <v>129</v>
      </c>
      <c r="BC74" s="376" t="s">
        <v>129</v>
      </c>
      <c r="BD74" s="376" t="s">
        <v>129</v>
      </c>
      <c r="BE74" s="377"/>
      <c r="BF74" s="376">
        <v>0.019587</v>
      </c>
      <c r="BG74" s="376">
        <v>0.0768207884311715</v>
      </c>
      <c r="BH74" s="376">
        <v>0.066601660609284</v>
      </c>
      <c r="BI74" s="376">
        <v>0.0152900000000001</v>
      </c>
      <c r="BJ74" s="376" t="s">
        <v>129</v>
      </c>
      <c r="BK74" s="376" t="s">
        <v>129</v>
      </c>
      <c r="BL74" s="376" t="s">
        <v>129</v>
      </c>
      <c r="BM74" s="376" t="s">
        <v>129</v>
      </c>
      <c r="BN74" s="376" t="s">
        <v>129</v>
      </c>
      <c r="BO74" s="376" t="s">
        <v>129</v>
      </c>
      <c r="BP74" s="376" t="s">
        <v>129</v>
      </c>
      <c r="BQ74" s="376" t="s">
        <v>129</v>
      </c>
      <c r="BR74" s="376" t="s">
        <v>129</v>
      </c>
      <c r="BS74" s="376" t="s">
        <v>129</v>
      </c>
      <c r="BT74" s="376" t="s">
        <v>129</v>
      </c>
      <c r="BU74" s="376" t="s">
        <v>129</v>
      </c>
    </row>
    <row r="75" spans="2:73">
      <c r="B75" s="298" t="s">
        <v>239</v>
      </c>
      <c r="C75" s="304">
        <v>1.73</v>
      </c>
      <c r="D75" s="305">
        <v>45838</v>
      </c>
      <c r="E75" s="306">
        <v>10129.7832</v>
      </c>
      <c r="F75" s="307">
        <v>-0.038543</v>
      </c>
      <c r="G75" s="308">
        <v>0.037258</v>
      </c>
      <c r="H75" s="308">
        <v>0.008661</v>
      </c>
      <c r="I75" s="308">
        <v>-0.155413</v>
      </c>
      <c r="J75" s="308">
        <v>0.145087</v>
      </c>
      <c r="K75" s="308">
        <v>0.24625</v>
      </c>
      <c r="L75" s="338">
        <v>0.168725</v>
      </c>
      <c r="M75" s="318"/>
      <c r="N75" s="336">
        <v>-0.035649</v>
      </c>
      <c r="O75" s="337">
        <v>0.118419993332436</v>
      </c>
      <c r="P75" s="337">
        <v>0.248804948437061</v>
      </c>
      <c r="Q75" s="337">
        <v>0.104373087823268</v>
      </c>
      <c r="R75" s="337">
        <v>0.556435859574703</v>
      </c>
      <c r="S75" s="337">
        <v>0.435539689057049</v>
      </c>
      <c r="T75" s="337">
        <v>0.0397210301629842</v>
      </c>
      <c r="U75" s="337">
        <v>-0.012779312714245</v>
      </c>
      <c r="V75" s="337">
        <v>0.382445696413054</v>
      </c>
      <c r="W75" s="337">
        <v>-0.0151652794364044</v>
      </c>
      <c r="X75" s="337">
        <v>0.127917342767789</v>
      </c>
      <c r="Y75" s="337">
        <v>0.670567213583992</v>
      </c>
      <c r="Z75" s="337">
        <v>-0.0184907539276338</v>
      </c>
      <c r="AA75" s="337">
        <v>0.379796851641825</v>
      </c>
      <c r="AB75" s="337">
        <v>-0.350576209591488</v>
      </c>
      <c r="AC75" s="337">
        <v>0.173659044601732</v>
      </c>
      <c r="AD75" s="337">
        <v>0.722254410979333</v>
      </c>
      <c r="AE75" s="337">
        <v>-0.591584856198082</v>
      </c>
      <c r="AF75" s="337">
        <v>0.78751632183908</v>
      </c>
      <c r="AG75" s="337">
        <v>0.295216453000615</v>
      </c>
      <c r="AH75" s="337">
        <v>0.550009968764538</v>
      </c>
      <c r="AI75" s="337">
        <v>0.218594355285003</v>
      </c>
      <c r="AJ75" s="337">
        <v>0.782351384511752</v>
      </c>
      <c r="AK75" s="337">
        <v>0.184785087219245</v>
      </c>
      <c r="AL75" s="337">
        <v>0.05252</v>
      </c>
      <c r="AM75" s="347" t="s">
        <v>129</v>
      </c>
      <c r="AS75" s="361" t="s">
        <v>240</v>
      </c>
      <c r="AT75" s="364">
        <v>1.01</v>
      </c>
      <c r="AU75" s="365">
        <v>45716</v>
      </c>
      <c r="AV75" s="364">
        <v>94.8665</v>
      </c>
      <c r="AW75" s="369"/>
      <c r="AX75" s="376">
        <v>0.012393</v>
      </c>
      <c r="AY75" s="376">
        <v>0.022383</v>
      </c>
      <c r="AZ75" s="376">
        <v>0.036813</v>
      </c>
      <c r="BA75" s="376">
        <v>0.078543</v>
      </c>
      <c r="BB75" s="376">
        <v>0.061706</v>
      </c>
      <c r="BC75" s="376">
        <v>0.061715</v>
      </c>
      <c r="BD75" s="376">
        <v>0.064706</v>
      </c>
      <c r="BE75" s="377"/>
      <c r="BF75" s="376">
        <v>0.022383</v>
      </c>
      <c r="BG75" s="376">
        <v>0.0761426743492117</v>
      </c>
      <c r="BH75" s="376">
        <v>0.0640934628161969</v>
      </c>
      <c r="BI75" s="376">
        <v>0.0310474474989636</v>
      </c>
      <c r="BJ75" s="376">
        <v>0.0406742341967061</v>
      </c>
      <c r="BK75" s="376">
        <v>0.095942451485833</v>
      </c>
      <c r="BL75" s="376">
        <v>0.0894896153818825</v>
      </c>
      <c r="BM75" s="376">
        <v>0.0429211901144911</v>
      </c>
      <c r="BN75" s="376">
        <v>0.0463853973620341</v>
      </c>
      <c r="BO75" s="376">
        <v>0.0897759825585817</v>
      </c>
      <c r="BP75" s="376">
        <v>0.072115166834271</v>
      </c>
      <c r="BQ75" s="376">
        <v>0.0969777680603454</v>
      </c>
      <c r="BR75" s="376">
        <v>0.054340650704668</v>
      </c>
      <c r="BS75" s="376">
        <v>0.0900690466536075</v>
      </c>
      <c r="BT75" s="376">
        <v>0.0675075902600806</v>
      </c>
      <c r="BU75" s="376">
        <v>0.0690259719099292</v>
      </c>
    </row>
    <row r="76" spans="2:73">
      <c r="B76" s="298" t="s">
        <v>241</v>
      </c>
      <c r="C76" s="304">
        <v>1.77</v>
      </c>
      <c r="D76" s="305">
        <v>45838</v>
      </c>
      <c r="E76" s="306">
        <v>7326.1647</v>
      </c>
      <c r="F76" s="307">
        <v>-0.029319</v>
      </c>
      <c r="G76" s="308">
        <v>0.021985</v>
      </c>
      <c r="H76" s="308">
        <v>0.040058</v>
      </c>
      <c r="I76" s="308">
        <v>-0.126913</v>
      </c>
      <c r="J76" s="308">
        <v>0.194879</v>
      </c>
      <c r="K76" s="308">
        <v>0.290521</v>
      </c>
      <c r="L76" s="338">
        <v>0.18157</v>
      </c>
      <c r="M76" s="318"/>
      <c r="N76" s="336">
        <v>0.005567</v>
      </c>
      <c r="O76" s="337">
        <v>0.152762214388427</v>
      </c>
      <c r="P76" s="337">
        <v>0.297794421689097</v>
      </c>
      <c r="Q76" s="337">
        <v>0.110965688560369</v>
      </c>
      <c r="R76" s="337">
        <v>0.579053547281576</v>
      </c>
      <c r="S76" s="337">
        <v>0.474273400108153</v>
      </c>
      <c r="T76" s="337">
        <v>-0.0303914855320564</v>
      </c>
      <c r="U76" s="337">
        <v>-0.100563456618064</v>
      </c>
      <c r="V76" s="337">
        <v>0.444794166700566</v>
      </c>
      <c r="W76" s="337">
        <v>0.0815222173339198</v>
      </c>
      <c r="X76" s="337">
        <v>0.0203806787574072</v>
      </c>
      <c r="Y76" s="337">
        <v>0.681651757067905</v>
      </c>
      <c r="Z76" s="337">
        <v>-0.0796407913706553</v>
      </c>
      <c r="AA76" s="337">
        <v>0.205713268479638</v>
      </c>
      <c r="AB76" s="337">
        <v>-0.45728006365083</v>
      </c>
      <c r="AC76" s="337">
        <v>0.0278697813527738</v>
      </c>
      <c r="AD76" s="337">
        <v>0.69157419393089</v>
      </c>
      <c r="AE76" s="337">
        <v>0.0120100000000001</v>
      </c>
      <c r="AF76" s="337" t="s">
        <v>129</v>
      </c>
      <c r="AG76" s="337" t="s">
        <v>129</v>
      </c>
      <c r="AH76" s="337" t="s">
        <v>129</v>
      </c>
      <c r="AI76" s="337" t="s">
        <v>129</v>
      </c>
      <c r="AJ76" s="337" t="s">
        <v>129</v>
      </c>
      <c r="AK76" s="337" t="s">
        <v>129</v>
      </c>
      <c r="AL76" s="337" t="s">
        <v>129</v>
      </c>
      <c r="AM76" s="347" t="s">
        <v>129</v>
      </c>
      <c r="AS76" s="361" t="s">
        <v>242</v>
      </c>
      <c r="AT76" s="364">
        <v>0.76</v>
      </c>
      <c r="AU76" s="365">
        <v>45716</v>
      </c>
      <c r="AV76" s="364">
        <v>20671.63</v>
      </c>
      <c r="AW76" s="369"/>
      <c r="AX76" s="376">
        <v>0.013128</v>
      </c>
      <c r="AY76" s="376">
        <v>0.023757</v>
      </c>
      <c r="AZ76" s="376">
        <v>0.039669</v>
      </c>
      <c r="BA76" s="376">
        <v>0.082955</v>
      </c>
      <c r="BB76" s="376">
        <v>0.06421</v>
      </c>
      <c r="BC76" s="376">
        <v>0.062085</v>
      </c>
      <c r="BD76" s="376" t="s">
        <v>129</v>
      </c>
      <c r="BE76" s="377"/>
      <c r="BF76" s="376">
        <v>0.023757</v>
      </c>
      <c r="BG76" s="376">
        <v>0.0791962347181138</v>
      </c>
      <c r="BH76" s="376">
        <v>0.0662658090177434</v>
      </c>
      <c r="BI76" s="376">
        <v>0.0329984271177736</v>
      </c>
      <c r="BJ76" s="376">
        <v>0.0288733847995707</v>
      </c>
      <c r="BK76" s="376">
        <v>0.105114284410785</v>
      </c>
      <c r="BL76" s="376">
        <v>0.09595</v>
      </c>
      <c r="BM76" s="376" t="s">
        <v>129</v>
      </c>
      <c r="BN76" s="376" t="s">
        <v>129</v>
      </c>
      <c r="BO76" s="376" t="s">
        <v>129</v>
      </c>
      <c r="BP76" s="376" t="s">
        <v>129</v>
      </c>
      <c r="BQ76" s="376" t="s">
        <v>129</v>
      </c>
      <c r="BR76" s="376" t="s">
        <v>129</v>
      </c>
      <c r="BS76" s="376" t="s">
        <v>129</v>
      </c>
      <c r="BT76" s="376" t="s">
        <v>129</v>
      </c>
      <c r="BU76" s="376" t="s">
        <v>129</v>
      </c>
    </row>
    <row r="77" spans="2:73">
      <c r="B77" s="298" t="s">
        <v>243</v>
      </c>
      <c r="C77" s="304">
        <v>1.67</v>
      </c>
      <c r="D77" s="305">
        <v>45838</v>
      </c>
      <c r="E77" s="306">
        <v>22499.7363</v>
      </c>
      <c r="F77" s="307">
        <v>-0.021484</v>
      </c>
      <c r="G77" s="308">
        <v>0.026544</v>
      </c>
      <c r="H77" s="308">
        <v>0.025685</v>
      </c>
      <c r="I77" s="308">
        <v>-0.032438</v>
      </c>
      <c r="J77" s="308">
        <v>0.132381</v>
      </c>
      <c r="K77" s="308">
        <v>0.187915</v>
      </c>
      <c r="L77" s="338">
        <v>0.121057</v>
      </c>
      <c r="M77" s="318"/>
      <c r="N77" s="336">
        <v>-0.000122</v>
      </c>
      <c r="O77" s="337">
        <v>0.142228593659236</v>
      </c>
      <c r="P77" s="337">
        <v>0.228134592602774</v>
      </c>
      <c r="Q77" s="337">
        <v>0.00684289673842128</v>
      </c>
      <c r="R77" s="337">
        <v>0.307740169667387</v>
      </c>
      <c r="S77" s="337">
        <v>0.135964757709251</v>
      </c>
      <c r="T77" s="337">
        <v>0.109698865858428</v>
      </c>
      <c r="U77" s="337">
        <v>-0.0551035616843323</v>
      </c>
      <c r="V77" s="337">
        <v>0.369831154806632</v>
      </c>
      <c r="W77" s="337">
        <v>0.0581552095081371</v>
      </c>
      <c r="X77" s="337">
        <v>0.0980845140377477</v>
      </c>
      <c r="Y77" s="337">
        <v>0.559819976859993</v>
      </c>
      <c r="Z77" s="337">
        <v>0.0519946380697053</v>
      </c>
      <c r="AA77" s="337">
        <v>0.38353115727003</v>
      </c>
      <c r="AB77" s="337">
        <v>-0.30694087403599</v>
      </c>
      <c r="AC77" s="337">
        <v>0.0976297968397292</v>
      </c>
      <c r="AD77" s="337">
        <v>0.808163265306122</v>
      </c>
      <c r="AE77" s="337">
        <v>-0.575389948006932</v>
      </c>
      <c r="AF77" s="337">
        <v>0.45615141955836</v>
      </c>
      <c r="AG77" s="337">
        <v>0.426642664266427</v>
      </c>
      <c r="AH77" s="337">
        <v>0.111</v>
      </c>
      <c r="AI77" s="337" t="s">
        <v>129</v>
      </c>
      <c r="AJ77" s="337" t="s">
        <v>129</v>
      </c>
      <c r="AK77" s="337" t="s">
        <v>129</v>
      </c>
      <c r="AL77" s="337" t="s">
        <v>129</v>
      </c>
      <c r="AM77" s="347" t="s">
        <v>129</v>
      </c>
      <c r="AS77" s="361" t="s">
        <v>244</v>
      </c>
      <c r="AT77" s="364">
        <v>0.34</v>
      </c>
      <c r="AU77" s="365">
        <v>45716</v>
      </c>
      <c r="AV77" s="364">
        <v>9296.5896</v>
      </c>
      <c r="AW77" s="369"/>
      <c r="AX77" s="376">
        <v>0.008043</v>
      </c>
      <c r="AY77" s="376">
        <v>0.020076</v>
      </c>
      <c r="AZ77" s="376">
        <v>0.036526</v>
      </c>
      <c r="BA77" s="376">
        <v>0.077436</v>
      </c>
      <c r="BB77" s="376">
        <v>0.057782</v>
      </c>
      <c r="BC77" s="376" t="s">
        <v>129</v>
      </c>
      <c r="BD77" s="376" t="s">
        <v>129</v>
      </c>
      <c r="BE77" s="377"/>
      <c r="BF77" s="376">
        <v>0.020076</v>
      </c>
      <c r="BG77" s="376">
        <v>0.0770161844940626</v>
      </c>
      <c r="BH77" s="376">
        <v>0.067492169146437</v>
      </c>
      <c r="BI77" s="376">
        <v>0.0215999999999999</v>
      </c>
      <c r="BJ77" s="376" t="s">
        <v>129</v>
      </c>
      <c r="BK77" s="376" t="s">
        <v>129</v>
      </c>
      <c r="BL77" s="376" t="s">
        <v>129</v>
      </c>
      <c r="BM77" s="376" t="s">
        <v>129</v>
      </c>
      <c r="BN77" s="376" t="s">
        <v>129</v>
      </c>
      <c r="BO77" s="376" t="s">
        <v>129</v>
      </c>
      <c r="BP77" s="376" t="s">
        <v>129</v>
      </c>
      <c r="BQ77" s="376" t="s">
        <v>129</v>
      </c>
      <c r="BR77" s="376" t="s">
        <v>129</v>
      </c>
      <c r="BS77" s="376" t="s">
        <v>129</v>
      </c>
      <c r="BT77" s="376" t="s">
        <v>129</v>
      </c>
      <c r="BU77" s="376" t="s">
        <v>129</v>
      </c>
    </row>
    <row r="78" spans="2:73">
      <c r="B78" s="298" t="s">
        <v>245</v>
      </c>
      <c r="C78" s="304">
        <v>1.89</v>
      </c>
      <c r="D78" s="305">
        <v>45838</v>
      </c>
      <c r="E78" s="306">
        <v>3418.7625209062</v>
      </c>
      <c r="F78" s="307">
        <v>-0.026757</v>
      </c>
      <c r="G78" s="308">
        <v>0.03884</v>
      </c>
      <c r="H78" s="308">
        <v>0.078756</v>
      </c>
      <c r="I78" s="308">
        <v>0.020189</v>
      </c>
      <c r="J78" s="308">
        <v>0.16424</v>
      </c>
      <c r="K78" s="308">
        <v>0.18151</v>
      </c>
      <c r="L78" s="338" t="s">
        <v>129</v>
      </c>
      <c r="M78" s="318"/>
      <c r="N78" s="336">
        <v>0.068894</v>
      </c>
      <c r="O78" s="337">
        <v>0.125751308248193</v>
      </c>
      <c r="P78" s="337">
        <v>0.278359316764251</v>
      </c>
      <c r="Q78" s="337">
        <v>-0.0349121048715852</v>
      </c>
      <c r="R78" s="337">
        <v>0.2657068368419</v>
      </c>
      <c r="S78" s="337">
        <v>0.143132928847215</v>
      </c>
      <c r="T78" s="337">
        <v>0.105096543316686</v>
      </c>
      <c r="U78" s="337">
        <v>0.01716</v>
      </c>
      <c r="V78" s="337" t="s">
        <v>129</v>
      </c>
      <c r="W78" s="337" t="s">
        <v>129</v>
      </c>
      <c r="X78" s="337" t="s">
        <v>129</v>
      </c>
      <c r="Y78" s="337" t="s">
        <v>129</v>
      </c>
      <c r="Z78" s="337" t="s">
        <v>129</v>
      </c>
      <c r="AA78" s="337" t="s">
        <v>129</v>
      </c>
      <c r="AB78" s="337" t="s">
        <v>129</v>
      </c>
      <c r="AC78" s="337" t="s">
        <v>129</v>
      </c>
      <c r="AD78" s="337" t="s">
        <v>129</v>
      </c>
      <c r="AE78" s="337" t="s">
        <v>129</v>
      </c>
      <c r="AF78" s="337" t="s">
        <v>129</v>
      </c>
      <c r="AG78" s="337" t="s">
        <v>129</v>
      </c>
      <c r="AH78" s="337" t="s">
        <v>129</v>
      </c>
      <c r="AI78" s="337" t="s">
        <v>129</v>
      </c>
      <c r="AJ78" s="337" t="s">
        <v>129</v>
      </c>
      <c r="AK78" s="337" t="s">
        <v>129</v>
      </c>
      <c r="AL78" s="337" t="s">
        <v>129</v>
      </c>
      <c r="AM78" s="347" t="s">
        <v>129</v>
      </c>
      <c r="AS78" s="361" t="s">
        <v>246</v>
      </c>
      <c r="AT78" s="364">
        <v>0.51</v>
      </c>
      <c r="AU78" s="365">
        <v>45716</v>
      </c>
      <c r="AV78" s="364">
        <v>704.660331</v>
      </c>
      <c r="AW78" s="369"/>
      <c r="AX78" s="376">
        <v>0.013979</v>
      </c>
      <c r="AY78" s="376">
        <v>0.023433</v>
      </c>
      <c r="AZ78" s="376">
        <v>0.038145</v>
      </c>
      <c r="BA78" s="376">
        <v>0.083524</v>
      </c>
      <c r="BB78" s="376">
        <v>0.064137</v>
      </c>
      <c r="BC78" s="376">
        <v>0.064289</v>
      </c>
      <c r="BD78" s="376">
        <v>0.072847</v>
      </c>
      <c r="BE78" s="377"/>
      <c r="BF78" s="376">
        <v>0.023433</v>
      </c>
      <c r="BG78" s="376">
        <v>0.0798056319492484</v>
      </c>
      <c r="BH78" s="376">
        <v>0.0626445540116538</v>
      </c>
      <c r="BI78" s="376">
        <v>0.0366136976117462</v>
      </c>
      <c r="BJ78" s="376">
        <v>0.0349769171582457</v>
      </c>
      <c r="BK78" s="376">
        <v>0.109834158213278</v>
      </c>
      <c r="BL78" s="376">
        <v>0.113148211958825</v>
      </c>
      <c r="BM78" s="376">
        <v>0.0480038851393421</v>
      </c>
      <c r="BN78" s="376">
        <v>0.0544103358630287</v>
      </c>
      <c r="BO78" s="376">
        <v>0.11713799577564</v>
      </c>
      <c r="BP78" s="376">
        <v>0.086608651302158</v>
      </c>
      <c r="BQ78" s="376">
        <v>0.149177004981928</v>
      </c>
      <c r="BR78" s="376">
        <v>-0.00253337230829186</v>
      </c>
      <c r="BS78" s="376">
        <v>0.0867792661619103</v>
      </c>
      <c r="BT78" s="376">
        <v>0.0573399952414942</v>
      </c>
      <c r="BU78" s="376">
        <v>0.0430955196426226</v>
      </c>
    </row>
    <row r="79" ht="15.15" spans="2:73">
      <c r="B79" s="298" t="s">
        <v>40</v>
      </c>
      <c r="C79" s="304">
        <v>1.66</v>
      </c>
      <c r="D79" s="305">
        <v>45838</v>
      </c>
      <c r="E79" s="306">
        <v>26324.5938</v>
      </c>
      <c r="F79" s="307">
        <v>-0.01965</v>
      </c>
      <c r="G79" s="308">
        <v>0.040314</v>
      </c>
      <c r="H79" s="308">
        <v>0.054485</v>
      </c>
      <c r="I79" s="308">
        <v>0.030152</v>
      </c>
      <c r="J79" s="308">
        <v>0.109698</v>
      </c>
      <c r="K79" s="308">
        <v>0.170372</v>
      </c>
      <c r="L79" s="338">
        <v>0.11867</v>
      </c>
      <c r="M79" s="318"/>
      <c r="N79" s="336">
        <v>0.018382</v>
      </c>
      <c r="O79" s="337">
        <v>0.143219422202219</v>
      </c>
      <c r="P79" s="337">
        <v>0.198103033594538</v>
      </c>
      <c r="Q79" s="337">
        <v>-0.134182946312715</v>
      </c>
      <c r="R79" s="337">
        <v>0.33977243238946</v>
      </c>
      <c r="S79" s="337">
        <v>0.315462307796532</v>
      </c>
      <c r="T79" s="337">
        <v>0.117282004589957</v>
      </c>
      <c r="U79" s="337">
        <v>0.0352422873975253</v>
      </c>
      <c r="V79" s="337">
        <v>0.300898425824943</v>
      </c>
      <c r="W79" s="337">
        <v>0.0113998868919819</v>
      </c>
      <c r="X79" s="337">
        <v>0.00910374614153878</v>
      </c>
      <c r="Y79" s="337">
        <v>0.467585928825865</v>
      </c>
      <c r="Z79" s="337">
        <v>0.0755723852040817</v>
      </c>
      <c r="AA79" s="337">
        <v>0.321533923303835</v>
      </c>
      <c r="AB79" s="337">
        <v>-0.190930787589499</v>
      </c>
      <c r="AC79" s="337">
        <v>0.205012325390304</v>
      </c>
      <c r="AD79" s="337">
        <v>0.851654621529099</v>
      </c>
      <c r="AE79" s="337">
        <v>-0.452519783423574</v>
      </c>
      <c r="AF79" s="337">
        <v>0.474815724815725</v>
      </c>
      <c r="AG79" s="337">
        <v>0.227752639517346</v>
      </c>
      <c r="AH79" s="337">
        <v>0.227777777777778</v>
      </c>
      <c r="AI79" s="337" t="s">
        <v>129</v>
      </c>
      <c r="AJ79" s="337" t="s">
        <v>129</v>
      </c>
      <c r="AK79" s="337" t="s">
        <v>129</v>
      </c>
      <c r="AL79" s="337" t="s">
        <v>129</v>
      </c>
      <c r="AM79" s="347" t="s">
        <v>129</v>
      </c>
      <c r="AN79" s="44">
        <v>0.29</v>
      </c>
      <c r="AO79" s="44">
        <v>0.9</v>
      </c>
      <c r="AP79" s="44">
        <v>40.07</v>
      </c>
      <c r="AQ79" s="44">
        <v>5.79</v>
      </c>
      <c r="AS79" s="361" t="s">
        <v>247</v>
      </c>
      <c r="AT79" s="364">
        <v>0.87</v>
      </c>
      <c r="AU79" s="365">
        <v>45716</v>
      </c>
      <c r="AV79" s="364">
        <v>3274.5857066439</v>
      </c>
      <c r="AW79" s="369"/>
      <c r="AX79" s="376">
        <v>0.013893</v>
      </c>
      <c r="AY79" s="376">
        <v>0.023251</v>
      </c>
      <c r="AZ79" s="376">
        <v>0.038993</v>
      </c>
      <c r="BA79" s="376">
        <v>0.084137</v>
      </c>
      <c r="BB79" s="376">
        <v>0.063266</v>
      </c>
      <c r="BC79" s="376" t="s">
        <v>129</v>
      </c>
      <c r="BD79" s="376" t="s">
        <v>129</v>
      </c>
      <c r="BE79" s="377"/>
      <c r="BF79" s="376">
        <v>0.023251</v>
      </c>
      <c r="BG79" s="376">
        <v>0.0826011507900266</v>
      </c>
      <c r="BH79" s="376">
        <v>0.0691338736451519</v>
      </c>
      <c r="BI79" s="376">
        <v>0.0224742659171916</v>
      </c>
      <c r="BJ79" s="376">
        <v>0.00159000000000002</v>
      </c>
      <c r="BK79" s="376" t="s">
        <v>129</v>
      </c>
      <c r="BL79" s="376" t="s">
        <v>129</v>
      </c>
      <c r="BM79" s="376" t="s">
        <v>129</v>
      </c>
      <c r="BN79" s="376" t="s">
        <v>129</v>
      </c>
      <c r="BO79" s="376" t="s">
        <v>129</v>
      </c>
      <c r="BP79" s="376" t="s">
        <v>129</v>
      </c>
      <c r="BQ79" s="376" t="s">
        <v>129</v>
      </c>
      <c r="BR79" s="376" t="s">
        <v>129</v>
      </c>
      <c r="BS79" s="376" t="s">
        <v>129</v>
      </c>
      <c r="BT79" s="376" t="s">
        <v>129</v>
      </c>
      <c r="BU79" s="376" t="s">
        <v>129</v>
      </c>
    </row>
    <row r="80" ht="15.15" spans="2:73">
      <c r="B80" s="298" t="s">
        <v>248</v>
      </c>
      <c r="C80" s="309">
        <v>1.8</v>
      </c>
      <c r="D80" s="310">
        <v>45838</v>
      </c>
      <c r="E80" s="311">
        <v>5446.0488</v>
      </c>
      <c r="F80" s="307">
        <v>-0.018897</v>
      </c>
      <c r="G80" s="308">
        <v>0.055201</v>
      </c>
      <c r="H80" s="308">
        <v>0.077159</v>
      </c>
      <c r="I80" s="308">
        <v>0.044681</v>
      </c>
      <c r="J80" s="308" t="s">
        <v>129</v>
      </c>
      <c r="K80" s="308" t="s">
        <v>129</v>
      </c>
      <c r="L80" s="338" t="s">
        <v>129</v>
      </c>
      <c r="M80" s="318"/>
      <c r="N80" s="336">
        <v>0.014762</v>
      </c>
      <c r="O80" s="337">
        <v>0.23667299547247</v>
      </c>
      <c r="P80" s="337">
        <v>0.311560195383584</v>
      </c>
      <c r="Q80" s="337">
        <v>0.0441000000000001</v>
      </c>
      <c r="R80" s="337" t="s">
        <v>129</v>
      </c>
      <c r="S80" s="337" t="s">
        <v>129</v>
      </c>
      <c r="T80" s="337" t="s">
        <v>129</v>
      </c>
      <c r="U80" s="337" t="s">
        <v>129</v>
      </c>
      <c r="V80" s="337" t="s">
        <v>129</v>
      </c>
      <c r="W80" s="337" t="s">
        <v>129</v>
      </c>
      <c r="X80" s="337" t="s">
        <v>129</v>
      </c>
      <c r="Y80" s="337" t="s">
        <v>129</v>
      </c>
      <c r="Z80" s="337" t="s">
        <v>129</v>
      </c>
      <c r="AA80" s="337" t="s">
        <v>129</v>
      </c>
      <c r="AB80" s="337" t="s">
        <v>129</v>
      </c>
      <c r="AC80" s="337" t="s">
        <v>129</v>
      </c>
      <c r="AD80" s="337" t="s">
        <v>129</v>
      </c>
      <c r="AE80" s="337" t="s">
        <v>129</v>
      </c>
      <c r="AF80" s="337" t="s">
        <v>129</v>
      </c>
      <c r="AG80" s="337" t="s">
        <v>129</v>
      </c>
      <c r="AH80" s="337" t="s">
        <v>129</v>
      </c>
      <c r="AI80" s="337" t="s">
        <v>129</v>
      </c>
      <c r="AJ80" s="337" t="s">
        <v>129</v>
      </c>
      <c r="AK80" s="337" t="s">
        <v>129</v>
      </c>
      <c r="AL80" s="337" t="s">
        <v>129</v>
      </c>
      <c r="AM80" s="347" t="s">
        <v>129</v>
      </c>
      <c r="AS80" s="361" t="s">
        <v>249</v>
      </c>
      <c r="AT80" s="364">
        <v>0.47</v>
      </c>
      <c r="AU80" s="365">
        <v>45716</v>
      </c>
      <c r="AV80" s="364">
        <v>854.601608235</v>
      </c>
      <c r="AW80" s="369"/>
      <c r="AX80" s="376">
        <v>0.008531</v>
      </c>
      <c r="AY80" s="376">
        <v>0.021305</v>
      </c>
      <c r="AZ80" s="376">
        <v>0.035933</v>
      </c>
      <c r="BA80" s="376">
        <v>0.081535</v>
      </c>
      <c r="BB80" s="376">
        <v>0.064623</v>
      </c>
      <c r="BC80" s="376" t="s">
        <v>129</v>
      </c>
      <c r="BD80" s="376" t="s">
        <v>129</v>
      </c>
      <c r="BE80" s="377"/>
      <c r="BF80" s="376">
        <v>0.021305</v>
      </c>
      <c r="BG80" s="376">
        <v>0.0798834138898281</v>
      </c>
      <c r="BH80" s="376">
        <v>0.0682654485471386</v>
      </c>
      <c r="BI80" s="376">
        <v>0.02453</v>
      </c>
      <c r="BJ80" s="376" t="s">
        <v>129</v>
      </c>
      <c r="BK80" s="376" t="s">
        <v>129</v>
      </c>
      <c r="BL80" s="376" t="s">
        <v>129</v>
      </c>
      <c r="BM80" s="376" t="s">
        <v>129</v>
      </c>
      <c r="BN80" s="376" t="s">
        <v>129</v>
      </c>
      <c r="BO80" s="376" t="s">
        <v>129</v>
      </c>
      <c r="BP80" s="376" t="s">
        <v>129</v>
      </c>
      <c r="BQ80" s="376" t="s">
        <v>129</v>
      </c>
      <c r="BR80" s="376" t="s">
        <v>129</v>
      </c>
      <c r="BS80" s="376" t="s">
        <v>129</v>
      </c>
      <c r="BT80" s="376" t="s">
        <v>129</v>
      </c>
      <c r="BU80" s="376" t="s">
        <v>129</v>
      </c>
    </row>
    <row r="81" ht="15.15" spans="2:73">
      <c r="B81" s="315" t="s">
        <v>250</v>
      </c>
      <c r="F81" s="323">
        <v>-0.028654</v>
      </c>
      <c r="G81" s="324">
        <v>0.038723</v>
      </c>
      <c r="H81" s="324">
        <v>0.05945</v>
      </c>
      <c r="I81" s="324">
        <v>-0.032041</v>
      </c>
      <c r="J81" s="324">
        <v>0.154431</v>
      </c>
      <c r="K81" s="324">
        <v>0.201781</v>
      </c>
      <c r="L81" s="344">
        <v>0.123351</v>
      </c>
      <c r="M81" s="318"/>
      <c r="N81" s="316">
        <v>0.022527</v>
      </c>
      <c r="O81" s="317">
        <v>0.145465796535709</v>
      </c>
      <c r="P81" s="317">
        <v>0.248498523517645</v>
      </c>
      <c r="Q81" s="317">
        <v>0.0333786905211876</v>
      </c>
      <c r="R81" s="317">
        <v>0.301140430926607</v>
      </c>
      <c r="S81" s="317">
        <v>0.168033833223551</v>
      </c>
      <c r="T81" s="317">
        <v>0.077511676096721</v>
      </c>
      <c r="U81" s="317">
        <v>-0.0308170579621176</v>
      </c>
      <c r="V81" s="317">
        <v>0.359381285994397</v>
      </c>
      <c r="W81" s="317">
        <v>0.037823178380737</v>
      </c>
      <c r="X81" s="317">
        <v>-0.00815175318655217</v>
      </c>
      <c r="Y81" s="317">
        <v>0.369590487893985</v>
      </c>
      <c r="Z81" s="317">
        <v>0.0325486673604544</v>
      </c>
      <c r="AA81" s="317">
        <v>0.311989935417777</v>
      </c>
      <c r="AB81" s="317">
        <v>-0.274131836715211</v>
      </c>
      <c r="AC81" s="317">
        <v>0.163514925645804</v>
      </c>
      <c r="AD81" s="317">
        <v>0.902289503315401</v>
      </c>
      <c r="AE81" s="317">
        <v>-0.581393156534298</v>
      </c>
      <c r="AF81" s="317">
        <v>0.63020702896736</v>
      </c>
      <c r="AG81" s="317">
        <v>0.388518319476496</v>
      </c>
      <c r="AH81" s="317">
        <v>0.365625168636339</v>
      </c>
      <c r="AI81" s="317">
        <v>0.17465220845518</v>
      </c>
      <c r="AJ81" s="317">
        <v>1.0109625827505</v>
      </c>
      <c r="AK81" s="317">
        <v>0.169921059434094</v>
      </c>
      <c r="AL81" s="317">
        <v>-0.229055845967532</v>
      </c>
      <c r="AM81" s="343">
        <v>-0.27172553923101</v>
      </c>
      <c r="AS81" s="361" t="s">
        <v>251</v>
      </c>
      <c r="AT81" s="364">
        <v>0.65</v>
      </c>
      <c r="AU81" s="365">
        <v>45716</v>
      </c>
      <c r="AV81" s="364">
        <v>59.255953534</v>
      </c>
      <c r="AW81" s="369"/>
      <c r="AX81" s="376">
        <v>0.009749</v>
      </c>
      <c r="AY81" s="376">
        <v>0.017246</v>
      </c>
      <c r="AZ81" s="376">
        <v>0.030754</v>
      </c>
      <c r="BA81" s="376">
        <v>0.073871</v>
      </c>
      <c r="BB81" s="376" t="s">
        <v>129</v>
      </c>
      <c r="BC81" s="376" t="s">
        <v>129</v>
      </c>
      <c r="BD81" s="376" t="s">
        <v>129</v>
      </c>
      <c r="BE81" s="377"/>
      <c r="BF81" s="376">
        <v>0.017246</v>
      </c>
      <c r="BG81" s="376">
        <v>0.0757991079856123</v>
      </c>
      <c r="BH81" s="376">
        <v>0.0626286</v>
      </c>
      <c r="BI81" s="376" t="s">
        <v>129</v>
      </c>
      <c r="BJ81" s="376" t="s">
        <v>129</v>
      </c>
      <c r="BK81" s="376" t="s">
        <v>129</v>
      </c>
      <c r="BL81" s="376" t="s">
        <v>129</v>
      </c>
      <c r="BM81" s="376" t="s">
        <v>129</v>
      </c>
      <c r="BN81" s="376" t="s">
        <v>129</v>
      </c>
      <c r="BO81" s="376" t="s">
        <v>129</v>
      </c>
      <c r="BP81" s="376" t="s">
        <v>129</v>
      </c>
      <c r="BQ81" s="376" t="s">
        <v>129</v>
      </c>
      <c r="BR81" s="376" t="s">
        <v>129</v>
      </c>
      <c r="BS81" s="376" t="s">
        <v>129</v>
      </c>
      <c r="BT81" s="376" t="s">
        <v>129</v>
      </c>
      <c r="BU81" s="376" t="s">
        <v>129</v>
      </c>
    </row>
    <row r="82" ht="15.15" spans="2:73">
      <c r="B82" s="315" t="s">
        <v>162</v>
      </c>
      <c r="F82" s="316">
        <f>AVERAGE(F59:F80)</f>
        <v>-0.0213218636363636</v>
      </c>
      <c r="G82" s="317">
        <f t="shared" ref="G82:L82" si="5">AVERAGE(G59:G80)</f>
        <v>0.0504212727272727</v>
      </c>
      <c r="H82" s="317">
        <f t="shared" si="5"/>
        <v>0.0699418636363636</v>
      </c>
      <c r="I82" s="317">
        <f t="shared" si="5"/>
        <v>0.00174413636363636</v>
      </c>
      <c r="J82" s="317">
        <f t="shared" si="5"/>
        <v>0.183851904761905</v>
      </c>
      <c r="K82" s="317">
        <f t="shared" si="5"/>
        <v>0.222055222222222</v>
      </c>
      <c r="L82" s="343">
        <f t="shared" si="5"/>
        <v>0.1388213125</v>
      </c>
      <c r="M82" s="318"/>
      <c r="N82" s="323">
        <f t="shared" ref="N82:AM82" si="6">AVERAGE(N59:N80)</f>
        <v>0.0197776818181818</v>
      </c>
      <c r="O82" s="324">
        <f t="shared" si="6"/>
        <v>0.211798243699749</v>
      </c>
      <c r="P82" s="324">
        <f t="shared" si="6"/>
        <v>0.285823609121775</v>
      </c>
      <c r="Q82" s="324">
        <f t="shared" si="6"/>
        <v>0.0154710582088603</v>
      </c>
      <c r="R82" s="324">
        <f t="shared" si="6"/>
        <v>0.328123115927861</v>
      </c>
      <c r="S82" s="324">
        <f t="shared" si="6"/>
        <v>0.190997783807244</v>
      </c>
      <c r="T82" s="324">
        <f t="shared" si="6"/>
        <v>0.0879616697819501</v>
      </c>
      <c r="U82" s="324">
        <f t="shared" si="6"/>
        <v>-0.0326421026832061</v>
      </c>
      <c r="V82" s="324">
        <f t="shared" si="6"/>
        <v>0.354989993435908</v>
      </c>
      <c r="W82" s="324">
        <f t="shared" si="6"/>
        <v>0.0380659033586831</v>
      </c>
      <c r="X82" s="324">
        <f t="shared" si="6"/>
        <v>0.0368957371090418</v>
      </c>
      <c r="Y82" s="324">
        <f t="shared" si="6"/>
        <v>0.551528067321648</v>
      </c>
      <c r="Z82" s="324">
        <f t="shared" si="6"/>
        <v>0.0424040324237148</v>
      </c>
      <c r="AA82" s="324">
        <f t="shared" si="6"/>
        <v>0.339408514545091</v>
      </c>
      <c r="AB82" s="324">
        <f t="shared" si="6"/>
        <v>-0.248786662793115</v>
      </c>
      <c r="AC82" s="324">
        <f t="shared" si="6"/>
        <v>0.193909161044391</v>
      </c>
      <c r="AD82" s="324">
        <f t="shared" si="6"/>
        <v>0.797115782585841</v>
      </c>
      <c r="AE82" s="324">
        <f t="shared" si="6"/>
        <v>-0.48240707214165</v>
      </c>
      <c r="AF82" s="324">
        <f t="shared" si="6"/>
        <v>0.614131166387779</v>
      </c>
      <c r="AG82" s="324">
        <f t="shared" si="6"/>
        <v>0.38926552539514</v>
      </c>
      <c r="AH82" s="324">
        <f t="shared" si="6"/>
        <v>0.37782425914857</v>
      </c>
      <c r="AI82" s="324">
        <f t="shared" si="6"/>
        <v>0.288275080220428</v>
      </c>
      <c r="AJ82" s="324">
        <f t="shared" si="6"/>
        <v>0.950843819612718</v>
      </c>
      <c r="AK82" s="324">
        <f t="shared" si="6"/>
        <v>0.177283247401262</v>
      </c>
      <c r="AL82" s="324">
        <f t="shared" si="6"/>
        <v>-0.0768224702023751</v>
      </c>
      <c r="AM82" s="344">
        <f t="shared" si="6"/>
        <v>-0.232250394210303</v>
      </c>
      <c r="AS82" s="361" t="s">
        <v>252</v>
      </c>
      <c r="AT82" s="364">
        <v>0.71</v>
      </c>
      <c r="AU82" s="365">
        <v>45716</v>
      </c>
      <c r="AV82" s="364">
        <v>328.8168</v>
      </c>
      <c r="AW82" s="369"/>
      <c r="AX82" s="376">
        <v>0.013663</v>
      </c>
      <c r="AY82" s="376">
        <v>0.023238</v>
      </c>
      <c r="AZ82" s="376">
        <v>0.038061</v>
      </c>
      <c r="BA82" s="376">
        <v>0.08231</v>
      </c>
      <c r="BB82" s="376">
        <v>0.060646</v>
      </c>
      <c r="BC82" s="376">
        <v>0.060214</v>
      </c>
      <c r="BD82" s="376" t="s">
        <v>129</v>
      </c>
      <c r="BE82" s="377"/>
      <c r="BF82" s="376">
        <v>0.023238</v>
      </c>
      <c r="BG82" s="376">
        <v>0.0798087314393995</v>
      </c>
      <c r="BH82" s="376">
        <v>0.0643504293705192</v>
      </c>
      <c r="BI82" s="376">
        <v>0.0240336907326282</v>
      </c>
      <c r="BJ82" s="376">
        <v>0.0290830897980871</v>
      </c>
      <c r="BK82" s="376">
        <v>0.106763822142995</v>
      </c>
      <c r="BL82" s="376">
        <v>0.0432427768937286</v>
      </c>
      <c r="BM82" s="376">
        <v>0.0431800000000001</v>
      </c>
      <c r="BN82" s="376" t="s">
        <v>129</v>
      </c>
      <c r="BO82" s="376" t="s">
        <v>129</v>
      </c>
      <c r="BP82" s="376" t="s">
        <v>129</v>
      </c>
      <c r="BQ82" s="376" t="s">
        <v>129</v>
      </c>
      <c r="BR82" s="376" t="s">
        <v>129</v>
      </c>
      <c r="BS82" s="376" t="s">
        <v>129</v>
      </c>
      <c r="BT82" s="376" t="s">
        <v>129</v>
      </c>
      <c r="BU82" s="376" t="s">
        <v>129</v>
      </c>
    </row>
    <row r="83" ht="15.15" spans="6:73">
      <c r="F83" s="384"/>
      <c r="G83" s="384"/>
      <c r="H83" s="384"/>
      <c r="I83" s="384"/>
      <c r="J83" s="384"/>
      <c r="K83" s="384"/>
      <c r="L83" s="384"/>
      <c r="M83" s="318"/>
      <c r="O83" s="281"/>
      <c r="AS83" s="361" t="s">
        <v>253</v>
      </c>
      <c r="AT83" s="364">
        <v>0.59</v>
      </c>
      <c r="AU83" s="365">
        <v>45716</v>
      </c>
      <c r="AV83" s="364">
        <v>4848.0574</v>
      </c>
      <c r="AW83" s="387"/>
      <c r="AX83" s="376">
        <v>0.013121</v>
      </c>
      <c r="AY83" s="376">
        <v>0.023765</v>
      </c>
      <c r="AZ83" s="376">
        <v>0.039431</v>
      </c>
      <c r="BA83" s="376">
        <v>0.082385</v>
      </c>
      <c r="BB83" s="376">
        <v>0.065507</v>
      </c>
      <c r="BC83" s="376">
        <v>0.063958</v>
      </c>
      <c r="BD83" s="376" t="s">
        <v>129</v>
      </c>
      <c r="BE83" s="388"/>
      <c r="BF83" s="376">
        <v>0.023765</v>
      </c>
      <c r="BG83" s="376">
        <v>0.0789256084451917</v>
      </c>
      <c r="BH83" s="376">
        <v>0.0687857184940788</v>
      </c>
      <c r="BI83" s="376">
        <v>0.0339224390652484</v>
      </c>
      <c r="BJ83" s="376">
        <v>0.0343227981192555</v>
      </c>
      <c r="BK83" s="376">
        <v>0.110245446516793</v>
      </c>
      <c r="BL83" s="376">
        <v>0.114160455940377</v>
      </c>
      <c r="BM83" s="376">
        <v>0.02645</v>
      </c>
      <c r="BN83" s="376" t="s">
        <v>129</v>
      </c>
      <c r="BO83" s="376" t="s">
        <v>129</v>
      </c>
      <c r="BP83" s="376" t="s">
        <v>129</v>
      </c>
      <c r="BQ83" s="376" t="s">
        <v>129</v>
      </c>
      <c r="BR83" s="376" t="s">
        <v>129</v>
      </c>
      <c r="BS83" s="376" t="s">
        <v>129</v>
      </c>
      <c r="BT83" s="376" t="s">
        <v>129</v>
      </c>
      <c r="BU83" s="376" t="s">
        <v>129</v>
      </c>
    </row>
    <row r="84" ht="15.75" customHeight="1" spans="2:73">
      <c r="B84" s="320" t="s">
        <v>254</v>
      </c>
      <c r="C84" s="320" t="s">
        <v>87</v>
      </c>
      <c r="D84" s="289" t="s">
        <v>110</v>
      </c>
      <c r="E84" s="290"/>
      <c r="F84" s="291" t="s">
        <v>82</v>
      </c>
      <c r="G84" s="292"/>
      <c r="H84" s="292"/>
      <c r="I84" s="292"/>
      <c r="J84" s="292"/>
      <c r="K84" s="292"/>
      <c r="L84" s="331"/>
      <c r="M84" s="318"/>
      <c r="N84" s="332" t="s">
        <v>111</v>
      </c>
      <c r="O84" s="333"/>
      <c r="P84" s="333"/>
      <c r="Q84" s="333"/>
      <c r="R84" s="333"/>
      <c r="S84" s="333"/>
      <c r="T84" s="333"/>
      <c r="U84" s="333"/>
      <c r="V84" s="333"/>
      <c r="W84" s="333"/>
      <c r="X84" s="333"/>
      <c r="Y84" s="333"/>
      <c r="Z84" s="333"/>
      <c r="AA84" s="333"/>
      <c r="AB84" s="333"/>
      <c r="AC84" s="333"/>
      <c r="AD84" s="333"/>
      <c r="AE84" s="333"/>
      <c r="AF84" s="333"/>
      <c r="AG84" s="333"/>
      <c r="AH84" s="333"/>
      <c r="AI84" s="333"/>
      <c r="AJ84" s="333"/>
      <c r="AK84" s="333"/>
      <c r="AL84" s="333"/>
      <c r="AM84" s="333"/>
      <c r="AN84" s="346"/>
      <c r="AS84" s="312" t="s">
        <v>162</v>
      </c>
      <c r="AT84"/>
      <c r="AU84"/>
      <c r="AV84"/>
      <c r="AW84" s="377"/>
      <c r="AX84" s="378">
        <f t="shared" ref="AX84:BD84" si="7">AVERAGE(AX43:AX83)</f>
        <v>0.0104316341463415</v>
      </c>
      <c r="AY84" s="378">
        <f t="shared" si="7"/>
        <v>0.0214473414634146</v>
      </c>
      <c r="AZ84" s="378">
        <f t="shared" si="7"/>
        <v>0.0375023076923077</v>
      </c>
      <c r="BA84" s="378">
        <f t="shared" si="7"/>
        <v>0.0804588717948718</v>
      </c>
      <c r="BB84" s="378">
        <f t="shared" si="7"/>
        <v>0.0625509696969697</v>
      </c>
      <c r="BC84" s="378">
        <f t="shared" si="7"/>
        <v>0.0636162222222222</v>
      </c>
      <c r="BD84" s="378">
        <f t="shared" si="7"/>
        <v>0.07044975</v>
      </c>
      <c r="BE84" s="377"/>
      <c r="BF84" s="378">
        <f t="shared" ref="BF84:BU84" si="8">AVERAGE(BF43:BF83)</f>
        <v>0.0214473414634146</v>
      </c>
      <c r="BG84" s="378">
        <f t="shared" si="8"/>
        <v>0.0755588511778874</v>
      </c>
      <c r="BH84" s="378">
        <f t="shared" si="8"/>
        <v>0.0675391941857506</v>
      </c>
      <c r="BI84" s="378">
        <f t="shared" si="8"/>
        <v>0.0248061598184698</v>
      </c>
      <c r="BJ84" s="378">
        <f t="shared" si="8"/>
        <v>0.0317862850220989</v>
      </c>
      <c r="BK84" s="378">
        <f t="shared" si="8"/>
        <v>0.105368772732736</v>
      </c>
      <c r="BL84" s="378">
        <f t="shared" si="8"/>
        <v>0.0897880746289734</v>
      </c>
      <c r="BM84" s="378">
        <f t="shared" si="8"/>
        <v>0.0567300879628608</v>
      </c>
      <c r="BN84" s="378">
        <f t="shared" si="8"/>
        <v>0.053641995884683</v>
      </c>
      <c r="BO84" s="378">
        <f t="shared" si="8"/>
        <v>0.104455879358641</v>
      </c>
      <c r="BP84" s="378">
        <f t="shared" si="8"/>
        <v>0.0771488736744631</v>
      </c>
      <c r="BQ84" s="378">
        <f t="shared" si="8"/>
        <v>0.111130112600289</v>
      </c>
      <c r="BR84" s="378">
        <f t="shared" si="8"/>
        <v>0.0622875852977374</v>
      </c>
      <c r="BS84" s="378">
        <f t="shared" si="8"/>
        <v>0.0990942313511298</v>
      </c>
      <c r="BT84" s="378">
        <f t="shared" si="8"/>
        <v>0.0750558092582284</v>
      </c>
      <c r="BU84" s="378">
        <f t="shared" si="8"/>
        <v>0.0494961096880951</v>
      </c>
    </row>
    <row r="85" ht="15" customHeight="1" spans="2:73">
      <c r="B85" s="322"/>
      <c r="C85" s="385"/>
      <c r="D85" s="294" t="s">
        <v>115</v>
      </c>
      <c r="E85" s="386" t="s">
        <v>116</v>
      </c>
      <c r="F85" s="296" t="s">
        <v>88</v>
      </c>
      <c r="G85" s="297" t="s">
        <v>89</v>
      </c>
      <c r="H85" s="297" t="s">
        <v>90</v>
      </c>
      <c r="I85" s="297" t="s">
        <v>91</v>
      </c>
      <c r="J85" s="297" t="s">
        <v>93</v>
      </c>
      <c r="K85" s="297" t="s">
        <v>94</v>
      </c>
      <c r="L85" s="334" t="s">
        <v>95</v>
      </c>
      <c r="M85" s="318"/>
      <c r="N85" s="266" t="s">
        <v>96</v>
      </c>
      <c r="O85" s="267">
        <v>2024</v>
      </c>
      <c r="P85" s="267">
        <v>2023</v>
      </c>
      <c r="Q85" s="268">
        <v>2022</v>
      </c>
      <c r="R85" s="268">
        <v>2021</v>
      </c>
      <c r="S85" s="268">
        <v>2020</v>
      </c>
      <c r="T85" s="268">
        <v>2019</v>
      </c>
      <c r="U85" s="268">
        <v>2018</v>
      </c>
      <c r="V85" s="268">
        <v>2017</v>
      </c>
      <c r="W85" s="268">
        <v>2016</v>
      </c>
      <c r="X85" s="268">
        <v>2015</v>
      </c>
      <c r="Y85" s="268">
        <v>2014</v>
      </c>
      <c r="Z85" s="268">
        <v>2013</v>
      </c>
      <c r="AA85" s="268">
        <v>2012</v>
      </c>
      <c r="AB85" s="268">
        <v>2011</v>
      </c>
      <c r="AC85" s="268">
        <v>2010</v>
      </c>
      <c r="AD85" s="268">
        <v>2009</v>
      </c>
      <c r="AE85" s="268">
        <v>2008</v>
      </c>
      <c r="AF85" s="268">
        <v>2007</v>
      </c>
      <c r="AG85" s="268">
        <v>2006</v>
      </c>
      <c r="AH85" s="268">
        <v>2005</v>
      </c>
      <c r="AI85" s="268">
        <v>2004</v>
      </c>
      <c r="AJ85" s="268">
        <v>2003</v>
      </c>
      <c r="AK85" s="268">
        <v>2002</v>
      </c>
      <c r="AL85" s="268">
        <v>2001</v>
      </c>
      <c r="AM85" s="269">
        <v>2000</v>
      </c>
      <c r="AS85" s="312" t="s">
        <v>178</v>
      </c>
      <c r="AT85"/>
      <c r="AU85"/>
      <c r="AV85"/>
      <c r="AW85"/>
      <c r="AX85" s="379">
        <v>0.0087263867959253</v>
      </c>
      <c r="AY85" s="379">
        <v>0.0207643930788102</v>
      </c>
      <c r="AZ85" s="379">
        <v>0.0377184412193585</v>
      </c>
      <c r="BA85" s="379">
        <v>0.080280059411505</v>
      </c>
      <c r="BB85" s="379">
        <v>0.0659301709109001</v>
      </c>
      <c r="BC85" s="379">
        <v>0.0655149768088614</v>
      </c>
      <c r="BD85" s="379">
        <v>0.0738047315298365</v>
      </c>
      <c r="BE85" s="382"/>
      <c r="BF85" s="379">
        <v>0.0207643930788102</v>
      </c>
      <c r="BG85" s="379">
        <v>0.0797029257152309</v>
      </c>
      <c r="BH85" s="379">
        <v>0.0725988870220093</v>
      </c>
      <c r="BI85" s="379">
        <v>0.0358682288812193</v>
      </c>
      <c r="BJ85" s="379">
        <v>0.0437965988907254</v>
      </c>
      <c r="BK85" s="379">
        <v>0.104161972570555</v>
      </c>
      <c r="BL85" s="379">
        <v>0.0953364838894115</v>
      </c>
      <c r="BM85" s="379">
        <v>0.0665068187794211</v>
      </c>
      <c r="BN85" s="379">
        <v>0.0602957159773323</v>
      </c>
      <c r="BO85" s="379">
        <v>0.0986738756953636</v>
      </c>
      <c r="BP85" s="379">
        <v>0.0865549936165921</v>
      </c>
      <c r="BQ85" s="379">
        <v>0.104681934209951</v>
      </c>
      <c r="BR85" s="379">
        <v>0.0827206164504672</v>
      </c>
      <c r="BS85" s="379">
        <v>0.0912371315059957</v>
      </c>
      <c r="BT85" s="379">
        <v>0.0786771029274067</v>
      </c>
      <c r="BU85" s="379">
        <v>0.0470040326565153</v>
      </c>
    </row>
    <row r="86" ht="15.15" spans="2:73">
      <c r="B86" s="298" t="s">
        <v>255</v>
      </c>
      <c r="C86" s="299">
        <v>1.87</v>
      </c>
      <c r="D86" s="300">
        <v>45838</v>
      </c>
      <c r="E86" s="301">
        <v>6371.3812</v>
      </c>
      <c r="F86" s="308">
        <v>-0.041049</v>
      </c>
      <c r="G86" s="308">
        <v>0.052683</v>
      </c>
      <c r="H86" s="308">
        <v>0.030642</v>
      </c>
      <c r="I86" s="308">
        <v>-0.06854</v>
      </c>
      <c r="J86" s="308">
        <v>0.206111</v>
      </c>
      <c r="K86" s="308">
        <v>0.245838</v>
      </c>
      <c r="L86" s="338">
        <v>0.117086</v>
      </c>
      <c r="M86" s="318"/>
      <c r="N86" s="339">
        <v>-0.029936</v>
      </c>
      <c r="O86" s="340">
        <v>0.184705016466206</v>
      </c>
      <c r="P86" s="340">
        <v>0.430150706541805</v>
      </c>
      <c r="Q86" s="340">
        <v>0.0348528635340539</v>
      </c>
      <c r="R86" s="340">
        <v>0.344526826461627</v>
      </c>
      <c r="S86" s="337">
        <v>0.156036945775574</v>
      </c>
      <c r="T86" s="337">
        <v>-0.106933049438575</v>
      </c>
      <c r="U86" s="337">
        <v>-0.234737612685743</v>
      </c>
      <c r="V86" s="337">
        <v>0.560386718192245</v>
      </c>
      <c r="W86" s="337">
        <v>0.0899347120527925</v>
      </c>
      <c r="X86" s="337">
        <v>0.0415126401924134</v>
      </c>
      <c r="Y86" s="337">
        <v>0.990011185391359</v>
      </c>
      <c r="Z86" s="337">
        <v>0.0542148850984478</v>
      </c>
      <c r="AA86" s="337">
        <v>0.333874696397741</v>
      </c>
      <c r="AB86" s="337">
        <v>-0.240422765311906</v>
      </c>
      <c r="AC86" s="337">
        <v>0.23719887801122</v>
      </c>
      <c r="AD86" s="337">
        <v>0.913743651816962</v>
      </c>
      <c r="AE86" s="337">
        <v>-0.23994</v>
      </c>
      <c r="AF86" s="337" t="s">
        <v>129</v>
      </c>
      <c r="AG86" s="337" t="s">
        <v>129</v>
      </c>
      <c r="AH86" s="337" t="s">
        <v>129</v>
      </c>
      <c r="AI86" s="337" t="s">
        <v>129</v>
      </c>
      <c r="AJ86" s="337" t="s">
        <v>129</v>
      </c>
      <c r="AK86" s="337" t="s">
        <v>129</v>
      </c>
      <c r="AL86" s="337" t="s">
        <v>129</v>
      </c>
      <c r="AM86" s="347" t="s">
        <v>129</v>
      </c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  <c r="BS86"/>
      <c r="BT86"/>
      <c r="BU86"/>
    </row>
    <row r="87" ht="15.15" spans="2:73">
      <c r="B87" s="298" t="s">
        <v>256</v>
      </c>
      <c r="C87" s="304">
        <v>1.84</v>
      </c>
      <c r="D87" s="305">
        <v>45838</v>
      </c>
      <c r="E87" s="306">
        <v>7443.4495</v>
      </c>
      <c r="F87" s="308">
        <v>-0.019414</v>
      </c>
      <c r="G87" s="308">
        <v>0.050191</v>
      </c>
      <c r="H87" s="308">
        <v>0.083942</v>
      </c>
      <c r="I87" s="308">
        <v>0.005225</v>
      </c>
      <c r="J87" s="308">
        <v>0.206401</v>
      </c>
      <c r="K87" s="308">
        <v>0.234983</v>
      </c>
      <c r="L87" s="338">
        <v>0.13521</v>
      </c>
      <c r="M87" s="318"/>
      <c r="N87" s="336">
        <v>0.039684</v>
      </c>
      <c r="O87" s="337">
        <v>0.207079068407651</v>
      </c>
      <c r="P87" s="337">
        <v>0.295940754577335</v>
      </c>
      <c r="Q87" s="337">
        <v>0.0360869446143453</v>
      </c>
      <c r="R87" s="337">
        <v>0.355827100822784</v>
      </c>
      <c r="S87" s="337">
        <v>0.129411723590817</v>
      </c>
      <c r="T87" s="337">
        <v>-6.2902092892316e-5</v>
      </c>
      <c r="U87" s="337">
        <v>-0.0547447907720361</v>
      </c>
      <c r="V87" s="337">
        <v>0.423121039468983</v>
      </c>
      <c r="W87" s="337">
        <v>0.0382756903973994</v>
      </c>
      <c r="X87" s="337">
        <v>0.0461489757153653</v>
      </c>
      <c r="Y87" s="337">
        <v>0.519548738002684</v>
      </c>
      <c r="Z87" s="337">
        <v>0.103677125436734</v>
      </c>
      <c r="AA87" s="337">
        <v>0.284155889856602</v>
      </c>
      <c r="AB87" s="337">
        <v>-0.236403026308055</v>
      </c>
      <c r="AC87" s="337">
        <v>0.284380021785787</v>
      </c>
      <c r="AD87" s="337">
        <v>0.92911534620506</v>
      </c>
      <c r="AE87" s="337">
        <v>-0.548855807317577</v>
      </c>
      <c r="AF87" s="337">
        <v>0.686501717560273</v>
      </c>
      <c r="AG87" s="337">
        <v>0.215762124711316</v>
      </c>
      <c r="AH87" s="337">
        <v>0.475298126064736</v>
      </c>
      <c r="AI87" s="337">
        <v>0.47778290605463</v>
      </c>
      <c r="AJ87" s="337">
        <v>1.21908752327747</v>
      </c>
      <c r="AK87" s="337">
        <v>0.162337662337662</v>
      </c>
      <c r="AL87" s="337">
        <v>-0.230641132389675</v>
      </c>
      <c r="AM87" s="347">
        <v>-0.171724137931034</v>
      </c>
      <c r="AS87" s="366" t="s">
        <v>257</v>
      </c>
      <c r="AT87" s="351" t="s">
        <v>87</v>
      </c>
      <c r="AU87" s="352" t="s">
        <v>110</v>
      </c>
      <c r="AV87" s="353"/>
      <c r="AW87" s="368"/>
      <c r="AX87" s="332" t="s">
        <v>113</v>
      </c>
      <c r="AY87" s="333"/>
      <c r="AZ87" s="333"/>
      <c r="BA87" s="333"/>
      <c r="BB87" s="333"/>
      <c r="BC87" s="333"/>
      <c r="BD87" s="346"/>
      <c r="BE87" s="368"/>
      <c r="BF87" s="380" t="s">
        <v>114</v>
      </c>
      <c r="BG87" s="381"/>
      <c r="BH87" s="381"/>
      <c r="BI87" s="381"/>
      <c r="BJ87" s="381"/>
      <c r="BK87" s="381"/>
      <c r="BL87" s="381"/>
      <c r="BM87" s="381"/>
      <c r="BN87" s="381"/>
      <c r="BO87" s="381"/>
      <c r="BP87" s="381"/>
      <c r="BQ87" s="381"/>
      <c r="BR87" s="381"/>
      <c r="BS87" s="381"/>
      <c r="BT87" s="381"/>
      <c r="BU87" s="383"/>
    </row>
    <row r="88" ht="15.15" spans="2:73">
      <c r="B88" s="298" t="s">
        <v>258</v>
      </c>
      <c r="C88" s="304">
        <v>1.71</v>
      </c>
      <c r="D88" s="305">
        <v>45838</v>
      </c>
      <c r="E88" s="306">
        <v>14053.516</v>
      </c>
      <c r="F88" s="308">
        <v>-0.021093</v>
      </c>
      <c r="G88" s="308">
        <v>0.08057</v>
      </c>
      <c r="H88" s="308">
        <v>0.088355</v>
      </c>
      <c r="I88" s="308">
        <v>-0.00389</v>
      </c>
      <c r="J88" s="308">
        <v>0.254177</v>
      </c>
      <c r="K88" s="308">
        <v>0.271801</v>
      </c>
      <c r="L88" s="338">
        <v>0.156125</v>
      </c>
      <c r="M88" s="318"/>
      <c r="N88" s="336">
        <v>0.026615</v>
      </c>
      <c r="O88" s="337">
        <v>0.259159271806534</v>
      </c>
      <c r="P88" s="337">
        <v>0.393552286594082</v>
      </c>
      <c r="Q88" s="337">
        <v>0.0523732572332342</v>
      </c>
      <c r="R88" s="337">
        <v>0.40325187561817</v>
      </c>
      <c r="S88" s="337">
        <v>0.146123645211237</v>
      </c>
      <c r="T88" s="337">
        <v>0.0459829949678986</v>
      </c>
      <c r="U88" s="337">
        <v>-0.114383772154492</v>
      </c>
      <c r="V88" s="337">
        <v>0.41264155721987</v>
      </c>
      <c r="W88" s="337">
        <v>0.0812957239544619</v>
      </c>
      <c r="X88" s="337">
        <v>0.128770147935527</v>
      </c>
      <c r="Y88" s="337">
        <v>0.740584166026134</v>
      </c>
      <c r="Z88" s="337">
        <v>0.0663934426229509</v>
      </c>
      <c r="AA88" s="337">
        <v>0.398120559248223</v>
      </c>
      <c r="AB88" s="337">
        <v>-0.270889037433155</v>
      </c>
      <c r="AC88" s="337">
        <v>0.1968</v>
      </c>
      <c r="AD88" s="337" t="s">
        <v>129</v>
      </c>
      <c r="AE88" s="337" t="s">
        <v>129</v>
      </c>
      <c r="AF88" s="337" t="s">
        <v>129</v>
      </c>
      <c r="AG88" s="337" t="s">
        <v>129</v>
      </c>
      <c r="AH88" s="337" t="s">
        <v>129</v>
      </c>
      <c r="AI88" s="337" t="s">
        <v>129</v>
      </c>
      <c r="AJ88" s="337" t="s">
        <v>129</v>
      </c>
      <c r="AK88" s="337" t="s">
        <v>129</v>
      </c>
      <c r="AL88" s="337" t="s">
        <v>129</v>
      </c>
      <c r="AM88" s="347" t="s">
        <v>129</v>
      </c>
      <c r="AS88" s="367"/>
      <c r="AT88" s="355" t="s">
        <v>121</v>
      </c>
      <c r="AU88" s="356" t="s">
        <v>115</v>
      </c>
      <c r="AV88" s="357" t="s">
        <v>116</v>
      </c>
      <c r="AW88" s="369"/>
      <c r="AX88" s="266" t="s">
        <v>122</v>
      </c>
      <c r="AY88" s="268" t="s">
        <v>123</v>
      </c>
      <c r="AZ88" s="268" t="s">
        <v>124</v>
      </c>
      <c r="BA88" s="268" t="s">
        <v>91</v>
      </c>
      <c r="BB88" s="268" t="s">
        <v>125</v>
      </c>
      <c r="BC88" s="268" t="s">
        <v>126</v>
      </c>
      <c r="BD88" s="269" t="s">
        <v>127</v>
      </c>
      <c r="BE88" s="369"/>
      <c r="BF88" s="266">
        <v>2025</v>
      </c>
      <c r="BG88" s="266">
        <v>2024</v>
      </c>
      <c r="BH88" s="266">
        <v>2023</v>
      </c>
      <c r="BI88" s="268">
        <v>2022</v>
      </c>
      <c r="BJ88" s="268">
        <v>2021</v>
      </c>
      <c r="BK88" s="268">
        <v>2020</v>
      </c>
      <c r="BL88" s="268">
        <v>2019</v>
      </c>
      <c r="BM88" s="268">
        <v>2018</v>
      </c>
      <c r="BN88" s="268">
        <v>2017</v>
      </c>
      <c r="BO88" s="268">
        <v>2016</v>
      </c>
      <c r="BP88" s="268">
        <v>2015</v>
      </c>
      <c r="BQ88" s="268">
        <v>2014</v>
      </c>
      <c r="BR88" s="268">
        <v>2013</v>
      </c>
      <c r="BS88" s="268">
        <v>2012</v>
      </c>
      <c r="BT88" s="268">
        <v>2011</v>
      </c>
      <c r="BU88" s="269">
        <v>2010</v>
      </c>
    </row>
    <row r="89" spans="2:73">
      <c r="B89" s="298" t="s">
        <v>259</v>
      </c>
      <c r="C89" s="304">
        <v>1.51</v>
      </c>
      <c r="D89" s="305">
        <v>45838</v>
      </c>
      <c r="E89" s="306">
        <v>54096.4226268883</v>
      </c>
      <c r="F89" s="308">
        <v>-0.014375</v>
      </c>
      <c r="G89" s="308">
        <v>0.033215</v>
      </c>
      <c r="H89" s="308">
        <v>0.070475</v>
      </c>
      <c r="I89" s="308">
        <v>0.021841</v>
      </c>
      <c r="J89" s="308">
        <v>0.223314</v>
      </c>
      <c r="K89" s="308">
        <v>0.263948</v>
      </c>
      <c r="L89" s="338">
        <v>0.146958</v>
      </c>
      <c r="M89" s="318"/>
      <c r="N89" s="336">
        <v>0.065346</v>
      </c>
      <c r="O89" s="337">
        <v>0.199846692947876</v>
      </c>
      <c r="P89" s="337">
        <v>0.313956834532374</v>
      </c>
      <c r="Q89" s="337">
        <v>0.14952034402911</v>
      </c>
      <c r="R89" s="337">
        <v>0.385188155106249</v>
      </c>
      <c r="S89" s="337">
        <v>0.228728270814273</v>
      </c>
      <c r="T89" s="337">
        <v>0.00594690265486728</v>
      </c>
      <c r="U89" s="337">
        <v>-0.0422430160021697</v>
      </c>
      <c r="V89" s="337">
        <v>0.238183192007388</v>
      </c>
      <c r="W89" s="337">
        <v>0.0461092569822589</v>
      </c>
      <c r="X89" s="337">
        <v>0.0543568848967497</v>
      </c>
      <c r="Y89" s="337">
        <v>0.737570394207562</v>
      </c>
      <c r="Z89" s="337">
        <v>0.083130010456605</v>
      </c>
      <c r="AA89" s="337">
        <v>0.460050890585242</v>
      </c>
      <c r="AB89" s="337">
        <v>-0.237337473316515</v>
      </c>
      <c r="AC89" s="337">
        <v>0.277075588599752</v>
      </c>
      <c r="AD89" s="337">
        <v>1.34320557491289</v>
      </c>
      <c r="AE89" s="337">
        <v>-0.545646437994723</v>
      </c>
      <c r="AF89" s="337">
        <v>0.396462785556374</v>
      </c>
      <c r="AG89" s="337">
        <v>0.286865813181603</v>
      </c>
      <c r="AH89" s="337">
        <v>0.637422360248447</v>
      </c>
      <c r="AI89" s="337">
        <v>0.288</v>
      </c>
      <c r="AJ89" s="337" t="s">
        <v>129</v>
      </c>
      <c r="AK89" s="337" t="s">
        <v>129</v>
      </c>
      <c r="AL89" s="337" t="s">
        <v>129</v>
      </c>
      <c r="AM89" s="347" t="s">
        <v>129</v>
      </c>
      <c r="AS89" s="361" t="s">
        <v>260</v>
      </c>
      <c r="AT89" s="364">
        <v>1.54</v>
      </c>
      <c r="AU89" s="365">
        <v>45716</v>
      </c>
      <c r="AV89" s="364">
        <v>963.5658</v>
      </c>
      <c r="AW89" s="3"/>
      <c r="AX89" s="376">
        <v>0.010542</v>
      </c>
      <c r="AY89" s="376">
        <v>0.057891</v>
      </c>
      <c r="AZ89" s="376">
        <v>0.101141</v>
      </c>
      <c r="BA89" s="376">
        <v>0.160628</v>
      </c>
      <c r="BB89" s="376">
        <v>0.102093</v>
      </c>
      <c r="BC89" s="376">
        <v>0.091084</v>
      </c>
      <c r="BD89" s="376" t="s">
        <v>129</v>
      </c>
      <c r="BE89" s="4"/>
      <c r="BF89" s="376">
        <v>0.057891</v>
      </c>
      <c r="BG89" s="376">
        <v>0.119156497141269</v>
      </c>
      <c r="BH89" s="376">
        <v>0.0688909862043252</v>
      </c>
      <c r="BI89" s="376">
        <v>0.0709659707750477</v>
      </c>
      <c r="BJ89" s="376">
        <v>0.0636148863877682</v>
      </c>
      <c r="BK89" s="376">
        <v>0.0936379603152714</v>
      </c>
      <c r="BL89" s="376">
        <v>0.0208563321009699</v>
      </c>
      <c r="BM89" s="376">
        <v>0.0660037594578798</v>
      </c>
      <c r="BN89" s="376">
        <v>0.08089603715276</v>
      </c>
      <c r="BO89" s="376">
        <v>0.102952807803849</v>
      </c>
      <c r="BP89" s="376">
        <v>0.0602375960866528</v>
      </c>
      <c r="BQ89" s="376" t="s">
        <v>129</v>
      </c>
      <c r="BR89" s="376" t="s">
        <v>129</v>
      </c>
      <c r="BS89" s="376" t="s">
        <v>129</v>
      </c>
      <c r="BT89" s="376" t="s">
        <v>129</v>
      </c>
      <c r="BU89" s="376" t="s">
        <v>129</v>
      </c>
    </row>
    <row r="90" spans="2:73">
      <c r="B90" s="298" t="s">
        <v>261</v>
      </c>
      <c r="C90" s="304">
        <v>1.64</v>
      </c>
      <c r="D90" s="305">
        <v>45838</v>
      </c>
      <c r="E90" s="306">
        <v>19257.3967</v>
      </c>
      <c r="F90" s="308">
        <v>-0.009413</v>
      </c>
      <c r="G90" s="308">
        <v>0.058392</v>
      </c>
      <c r="H90" s="308">
        <v>0.081064</v>
      </c>
      <c r="I90" s="308">
        <v>0.017081</v>
      </c>
      <c r="J90" s="308">
        <v>0.214411</v>
      </c>
      <c r="K90" s="308">
        <v>0.229464</v>
      </c>
      <c r="L90" s="338">
        <v>0.154051</v>
      </c>
      <c r="M90" s="318"/>
      <c r="N90" s="336">
        <v>0.012908</v>
      </c>
      <c r="O90" s="337">
        <v>0.301388484318866</v>
      </c>
      <c r="P90" s="337">
        <v>0.288180112570356</v>
      </c>
      <c r="Q90" s="337">
        <v>0.0379073088407114</v>
      </c>
      <c r="R90" s="337">
        <v>0.295710681244743</v>
      </c>
      <c r="S90" s="337">
        <v>0.21178149205055</v>
      </c>
      <c r="T90" s="337">
        <v>0.0593824228028504</v>
      </c>
      <c r="U90" s="337">
        <v>-0.0325882598704825</v>
      </c>
      <c r="V90" s="337">
        <v>0.456343170063888</v>
      </c>
      <c r="W90" s="337">
        <v>0.0672077922077921</v>
      </c>
      <c r="X90" s="337">
        <v>0.0401891252955083</v>
      </c>
      <c r="Y90" s="337">
        <v>0.629609246009906</v>
      </c>
      <c r="Z90" s="337">
        <v>0.0466589861751153</v>
      </c>
      <c r="AA90" s="337">
        <v>0.307228915662651</v>
      </c>
      <c r="AB90" s="337">
        <v>-0.220657276995305</v>
      </c>
      <c r="AC90" s="337">
        <v>0.129224652087475</v>
      </c>
      <c r="AD90" s="337">
        <v>1.04748982360923</v>
      </c>
      <c r="AE90" s="337">
        <v>-0.489612188365651</v>
      </c>
      <c r="AF90" s="337">
        <v>0.444</v>
      </c>
      <c r="AG90" s="337" t="s">
        <v>129</v>
      </c>
      <c r="AH90" s="337" t="s">
        <v>129</v>
      </c>
      <c r="AI90" s="337" t="s">
        <v>129</v>
      </c>
      <c r="AJ90" s="337" t="s">
        <v>129</v>
      </c>
      <c r="AK90" s="337" t="s">
        <v>129</v>
      </c>
      <c r="AL90" s="337" t="s">
        <v>129</v>
      </c>
      <c r="AM90" s="347" t="s">
        <v>129</v>
      </c>
      <c r="AS90" s="361" t="s">
        <v>262</v>
      </c>
      <c r="AT90" s="364">
        <v>1.57</v>
      </c>
      <c r="AU90" s="365">
        <v>45716</v>
      </c>
      <c r="AV90" s="364">
        <v>380.539602</v>
      </c>
      <c r="AW90" s="3"/>
      <c r="AX90" s="376">
        <v>0.010409</v>
      </c>
      <c r="AY90" s="376">
        <v>0.021017</v>
      </c>
      <c r="AZ90" s="376">
        <v>0.038479</v>
      </c>
      <c r="BA90" s="376">
        <v>0.081446</v>
      </c>
      <c r="BB90" s="376">
        <v>0.066685</v>
      </c>
      <c r="BC90" s="376">
        <v>0.0662</v>
      </c>
      <c r="BD90" s="376">
        <v>0.067971</v>
      </c>
      <c r="BE90" s="4"/>
      <c r="BF90" s="376">
        <v>0.021017</v>
      </c>
      <c r="BG90" s="376">
        <v>0.080487315646675</v>
      </c>
      <c r="BH90" s="376">
        <v>0.0700806037087873</v>
      </c>
      <c r="BI90" s="376">
        <v>0.0402126972002703</v>
      </c>
      <c r="BJ90" s="376">
        <v>0.0598040986107565</v>
      </c>
      <c r="BK90" s="376">
        <v>0.0821058447771654</v>
      </c>
      <c r="BL90" s="376">
        <v>0.0435326793938754</v>
      </c>
      <c r="BM90" s="376">
        <v>0.0588879126770212</v>
      </c>
      <c r="BN90" s="376">
        <v>0.0643241486975885</v>
      </c>
      <c r="BO90" s="376">
        <v>0.0979066610983503</v>
      </c>
      <c r="BP90" s="376">
        <v>0.0870091548762957</v>
      </c>
      <c r="BQ90" s="376">
        <v>0.0573600000000001</v>
      </c>
      <c r="BR90" s="376" t="s">
        <v>129</v>
      </c>
      <c r="BS90" s="376" t="s">
        <v>129</v>
      </c>
      <c r="BT90" s="376" t="s">
        <v>129</v>
      </c>
      <c r="BU90" s="376" t="s">
        <v>129</v>
      </c>
    </row>
    <row r="91" spans="2:73">
      <c r="B91" s="298" t="s">
        <v>263</v>
      </c>
      <c r="C91" s="304">
        <v>1.87</v>
      </c>
      <c r="D91" s="305">
        <v>45838</v>
      </c>
      <c r="E91" s="306">
        <v>4502.483</v>
      </c>
      <c r="F91" s="308">
        <v>-0.018827</v>
      </c>
      <c r="G91" s="308">
        <v>0.063214</v>
      </c>
      <c r="H91" s="308">
        <v>0.074125</v>
      </c>
      <c r="I91" s="308">
        <v>-0.025721</v>
      </c>
      <c r="J91" s="308">
        <v>0.219105</v>
      </c>
      <c r="K91" s="308">
        <v>0.239011</v>
      </c>
      <c r="L91" s="338">
        <v>0.150219</v>
      </c>
      <c r="M91" s="318"/>
      <c r="N91" s="336">
        <v>0.020387</v>
      </c>
      <c r="O91" s="337">
        <v>0.221017612197304</v>
      </c>
      <c r="P91" s="337">
        <v>0.350137685084868</v>
      </c>
      <c r="Q91" s="337">
        <v>0.0736719658782474</v>
      </c>
      <c r="R91" s="337">
        <v>0.301703470031546</v>
      </c>
      <c r="S91" s="337">
        <v>0.151722133410841</v>
      </c>
      <c r="T91" s="337">
        <v>0.100211855937962</v>
      </c>
      <c r="U91" s="337">
        <v>0.0255811093346451</v>
      </c>
      <c r="V91" s="337">
        <v>0.353925568229123</v>
      </c>
      <c r="W91" s="337">
        <v>0.070562719115812</v>
      </c>
      <c r="X91" s="337">
        <v>-0.0335659115054411</v>
      </c>
      <c r="Y91" s="337">
        <v>0.39308</v>
      </c>
      <c r="Z91" s="337">
        <v>0.0744369950146123</v>
      </c>
      <c r="AA91" s="337">
        <v>0.332035722463934</v>
      </c>
      <c r="AB91" s="337">
        <v>-0.238136775994417</v>
      </c>
      <c r="AC91" s="337">
        <v>0.156169633402249</v>
      </c>
      <c r="AD91" s="337">
        <v>0.803802073858468</v>
      </c>
      <c r="AE91" s="337">
        <v>-0.507348987273705</v>
      </c>
      <c r="AF91" s="337">
        <v>0.517888722622772</v>
      </c>
      <c r="AG91" s="337">
        <v>0.260459533607682</v>
      </c>
      <c r="AH91" s="337">
        <v>0.1664</v>
      </c>
      <c r="AI91" s="337" t="s">
        <v>129</v>
      </c>
      <c r="AJ91" s="337" t="s">
        <v>129</v>
      </c>
      <c r="AK91" s="337" t="s">
        <v>129</v>
      </c>
      <c r="AL91" s="337" t="s">
        <v>129</v>
      </c>
      <c r="AM91" s="347" t="s">
        <v>129</v>
      </c>
      <c r="AS91" s="361" t="s">
        <v>264</v>
      </c>
      <c r="AT91" s="364">
        <v>1.68</v>
      </c>
      <c r="AU91" s="365">
        <v>45716</v>
      </c>
      <c r="AV91" s="364">
        <v>289.4598</v>
      </c>
      <c r="AW91" s="3"/>
      <c r="AX91" s="376">
        <v>0.010393</v>
      </c>
      <c r="AY91" s="376">
        <v>0.019447</v>
      </c>
      <c r="AZ91" s="376">
        <v>0.034558</v>
      </c>
      <c r="BA91" s="376">
        <v>0.074206</v>
      </c>
      <c r="BB91" s="376">
        <v>0.058184</v>
      </c>
      <c r="BC91" s="376">
        <v>0.054745</v>
      </c>
      <c r="BD91" s="376" t="s">
        <v>129</v>
      </c>
      <c r="BE91" s="4"/>
      <c r="BF91" s="376">
        <v>0.019447</v>
      </c>
      <c r="BG91" s="376">
        <v>0.0736897894286239</v>
      </c>
      <c r="BH91" s="376">
        <v>0.0578100741762981</v>
      </c>
      <c r="BI91" s="376">
        <v>0.0305319763566064</v>
      </c>
      <c r="BJ91" s="376">
        <v>0.0396913409111912</v>
      </c>
      <c r="BK91" s="376">
        <v>0.0744001323845772</v>
      </c>
      <c r="BL91" s="376">
        <v>0.0914739323224752</v>
      </c>
      <c r="BM91" s="376">
        <v>0.0499511677081061</v>
      </c>
      <c r="BN91" s="376">
        <v>0.05463</v>
      </c>
      <c r="BO91" s="376" t="s">
        <v>129</v>
      </c>
      <c r="BP91" s="376" t="s">
        <v>129</v>
      </c>
      <c r="BQ91" s="376" t="s">
        <v>129</v>
      </c>
      <c r="BR91" s="376" t="s">
        <v>129</v>
      </c>
      <c r="BS91" s="376" t="s">
        <v>129</v>
      </c>
      <c r="BT91" s="376" t="s">
        <v>129</v>
      </c>
      <c r="BU91" s="376" t="s">
        <v>129</v>
      </c>
    </row>
    <row r="92" spans="2:73">
      <c r="B92" s="298" t="s">
        <v>265</v>
      </c>
      <c r="C92" s="304">
        <v>1.82</v>
      </c>
      <c r="D92" s="305">
        <v>45838</v>
      </c>
      <c r="E92" s="306">
        <v>8954.7991</v>
      </c>
      <c r="F92" s="308">
        <v>-0.02258</v>
      </c>
      <c r="G92" s="308">
        <v>0.041111</v>
      </c>
      <c r="H92" s="308">
        <v>0.059082</v>
      </c>
      <c r="I92" s="308">
        <v>-0.010922</v>
      </c>
      <c r="J92" s="308">
        <v>0.229195</v>
      </c>
      <c r="K92" s="308">
        <v>0.267763</v>
      </c>
      <c r="L92" s="338">
        <v>0.14678</v>
      </c>
      <c r="M92" s="318"/>
      <c r="N92" s="336">
        <v>0.006485</v>
      </c>
      <c r="O92" s="337">
        <v>0.223303463864945</v>
      </c>
      <c r="P92" s="337">
        <v>0.42379002300841</v>
      </c>
      <c r="Q92" s="337">
        <v>0.04776017054743</v>
      </c>
      <c r="R92" s="337">
        <v>0.394048439899512</v>
      </c>
      <c r="S92" s="337">
        <v>0.163026088483006</v>
      </c>
      <c r="T92" s="337">
        <v>0.0569267163404978</v>
      </c>
      <c r="U92" s="337">
        <v>-0.0843945499261922</v>
      </c>
      <c r="V92" s="337">
        <v>0.457074438560435</v>
      </c>
      <c r="W92" s="337">
        <v>-0.0162539684882205</v>
      </c>
      <c r="X92" s="337">
        <v>0.0612078298098928</v>
      </c>
      <c r="Y92" s="337">
        <v>0.561482074733444</v>
      </c>
      <c r="Z92" s="337">
        <v>-0.0373483056134279</v>
      </c>
      <c r="AA92" s="337">
        <v>0.460062127012361</v>
      </c>
      <c r="AB92" s="337">
        <v>-0.299830334097432</v>
      </c>
      <c r="AC92" s="337">
        <v>0.196113919723656</v>
      </c>
      <c r="AD92" s="337">
        <v>1.02879877358835</v>
      </c>
      <c r="AE92" s="337">
        <v>-0.546115716718687</v>
      </c>
      <c r="AF92" s="337">
        <v>0.929841612901163</v>
      </c>
      <c r="AG92" s="337">
        <v>0.559492231906025</v>
      </c>
      <c r="AH92" s="337">
        <v>0.00282</v>
      </c>
      <c r="AI92" s="337" t="s">
        <v>129</v>
      </c>
      <c r="AJ92" s="337" t="s">
        <v>129</v>
      </c>
      <c r="AK92" s="337" t="s">
        <v>129</v>
      </c>
      <c r="AL92" s="337" t="s">
        <v>129</v>
      </c>
      <c r="AM92" s="347" t="s">
        <v>129</v>
      </c>
      <c r="AS92" s="361" t="s">
        <v>266</v>
      </c>
      <c r="AT92" s="364">
        <v>1.38</v>
      </c>
      <c r="AU92" s="365">
        <v>45716</v>
      </c>
      <c r="AV92" s="364">
        <v>113.5433</v>
      </c>
      <c r="AW92" s="3"/>
      <c r="AX92" s="376">
        <v>0.009338</v>
      </c>
      <c r="AY92" s="376">
        <v>0.017971</v>
      </c>
      <c r="AZ92" s="376">
        <v>0.031285</v>
      </c>
      <c r="BA92" s="376">
        <v>0.052776</v>
      </c>
      <c r="BB92" s="376">
        <v>0.053276</v>
      </c>
      <c r="BC92" s="376">
        <v>0.096312</v>
      </c>
      <c r="BD92" s="376">
        <v>0.017767</v>
      </c>
      <c r="BE92" s="4"/>
      <c r="BF92" s="376">
        <v>0.017971</v>
      </c>
      <c r="BG92" s="376">
        <v>0.0600916606757728</v>
      </c>
      <c r="BH92" s="376">
        <v>0.0555571364882427</v>
      </c>
      <c r="BI92" s="376">
        <v>1.43134225092251</v>
      </c>
      <c r="BJ92" s="376">
        <v>0.0936514742603476</v>
      </c>
      <c r="BK92" s="376">
        <v>-0.444299610349564</v>
      </c>
      <c r="BL92" s="376">
        <v>-0.452263235474757</v>
      </c>
      <c r="BM92" s="376">
        <v>-0.00287068153807287</v>
      </c>
      <c r="BN92" s="376">
        <v>0.0932287787364739</v>
      </c>
      <c r="BO92" s="376">
        <v>0.112175280857044</v>
      </c>
      <c r="BP92" s="376">
        <v>0.07439</v>
      </c>
      <c r="BQ92" s="376" t="s">
        <v>129</v>
      </c>
      <c r="BR92" s="376" t="s">
        <v>129</v>
      </c>
      <c r="BS92" s="376" t="s">
        <v>129</v>
      </c>
      <c r="BT92" s="376" t="s">
        <v>129</v>
      </c>
      <c r="BU92" s="376" t="s">
        <v>129</v>
      </c>
    </row>
    <row r="93" spans="2:73">
      <c r="B93" s="298" t="s">
        <v>267</v>
      </c>
      <c r="C93" s="304">
        <v>2.01</v>
      </c>
      <c r="D93" s="305">
        <v>45838</v>
      </c>
      <c r="E93" s="306">
        <v>1829.7896</v>
      </c>
      <c r="F93" s="308">
        <v>-0.019806</v>
      </c>
      <c r="G93" s="308">
        <v>0.063272</v>
      </c>
      <c r="H93" s="308">
        <v>0.045217</v>
      </c>
      <c r="I93" s="308">
        <v>-0.124541</v>
      </c>
      <c r="J93" s="308">
        <v>0.250253</v>
      </c>
      <c r="K93" s="308" t="s">
        <v>129</v>
      </c>
      <c r="L93" s="338" t="s">
        <v>129</v>
      </c>
      <c r="M93" s="318"/>
      <c r="N93" s="336">
        <v>-0.018356</v>
      </c>
      <c r="O93" s="337">
        <v>0.240698752317482</v>
      </c>
      <c r="P93" s="337">
        <v>0.368546472257224</v>
      </c>
      <c r="Q93" s="337">
        <v>0.150525651393519</v>
      </c>
      <c r="R93" s="337">
        <v>0.0139799999999999</v>
      </c>
      <c r="S93" s="337" t="s">
        <v>129</v>
      </c>
      <c r="T93" s="337" t="s">
        <v>129</v>
      </c>
      <c r="U93" s="337" t="s">
        <v>129</v>
      </c>
      <c r="V93" s="337" t="s">
        <v>129</v>
      </c>
      <c r="W93" s="337" t="s">
        <v>129</v>
      </c>
      <c r="X93" s="337" t="s">
        <v>129</v>
      </c>
      <c r="Y93" s="337" t="s">
        <v>129</v>
      </c>
      <c r="Z93" s="337" t="s">
        <v>129</v>
      </c>
      <c r="AA93" s="337" t="s">
        <v>129</v>
      </c>
      <c r="AB93" s="337" t="s">
        <v>129</v>
      </c>
      <c r="AC93" s="337" t="s">
        <v>129</v>
      </c>
      <c r="AD93" s="337" t="s">
        <v>129</v>
      </c>
      <c r="AE93" s="337" t="s">
        <v>129</v>
      </c>
      <c r="AF93" s="337" t="s">
        <v>129</v>
      </c>
      <c r="AG93" s="337" t="s">
        <v>129</v>
      </c>
      <c r="AH93" s="337" t="s">
        <v>129</v>
      </c>
      <c r="AI93" s="337" t="s">
        <v>129</v>
      </c>
      <c r="AJ93" s="337" t="s">
        <v>129</v>
      </c>
      <c r="AK93" s="337" t="s">
        <v>129</v>
      </c>
      <c r="AL93" s="337" t="s">
        <v>129</v>
      </c>
      <c r="AM93" s="347" t="s">
        <v>129</v>
      </c>
      <c r="AS93" s="361" t="s">
        <v>268</v>
      </c>
      <c r="AT93" s="364">
        <v>1.6</v>
      </c>
      <c r="AU93" s="365">
        <v>45716</v>
      </c>
      <c r="AV93" s="364">
        <v>175.9341</v>
      </c>
      <c r="AW93" s="3"/>
      <c r="AX93" s="376">
        <v>0.009167</v>
      </c>
      <c r="AY93" s="376">
        <v>0.021297</v>
      </c>
      <c r="AZ93" s="376">
        <v>0.037834</v>
      </c>
      <c r="BA93" s="376">
        <v>0.082403</v>
      </c>
      <c r="BB93" s="376">
        <v>0.069408</v>
      </c>
      <c r="BC93" s="376">
        <v>0.088459</v>
      </c>
      <c r="BD93" s="376">
        <v>0.077824</v>
      </c>
      <c r="BE93" s="4"/>
      <c r="BF93" s="376">
        <v>0.021297</v>
      </c>
      <c r="BG93" s="376">
        <v>0.0817363560375935</v>
      </c>
      <c r="BH93" s="376">
        <v>0.0735080894462408</v>
      </c>
      <c r="BI93" s="376">
        <v>0.0456909424829646</v>
      </c>
      <c r="BJ93" s="376">
        <v>0.192390607305126</v>
      </c>
      <c r="BK93" s="376">
        <v>0.0239820047642667</v>
      </c>
      <c r="BL93" s="376">
        <v>0.0208522018185059</v>
      </c>
      <c r="BM93" s="376">
        <v>0.0593652496468153</v>
      </c>
      <c r="BN93" s="376">
        <v>0.0843088265410609</v>
      </c>
      <c r="BO93" s="376">
        <v>0.112990280994147</v>
      </c>
      <c r="BP93" s="376">
        <v>0.09682</v>
      </c>
      <c r="BQ93" s="376" t="s">
        <v>129</v>
      </c>
      <c r="BR93" s="376" t="s">
        <v>129</v>
      </c>
      <c r="BS93" s="376" t="s">
        <v>129</v>
      </c>
      <c r="BT93" s="376" t="s">
        <v>129</v>
      </c>
      <c r="BU93" s="376" t="s">
        <v>129</v>
      </c>
    </row>
    <row r="94" spans="2:73">
      <c r="B94" s="298" t="s">
        <v>35</v>
      </c>
      <c r="C94" s="304">
        <v>1.49</v>
      </c>
      <c r="D94" s="305">
        <v>45838</v>
      </c>
      <c r="E94" s="306">
        <v>47389.6202</v>
      </c>
      <c r="F94" s="308">
        <v>-0.024044</v>
      </c>
      <c r="G94" s="308">
        <v>0.027091</v>
      </c>
      <c r="H94" s="308">
        <v>0.041015</v>
      </c>
      <c r="I94" s="308">
        <v>-0.040405</v>
      </c>
      <c r="J94" s="308">
        <v>0.217907</v>
      </c>
      <c r="K94" s="308">
        <v>0.30947</v>
      </c>
      <c r="L94" s="338">
        <v>0.154169</v>
      </c>
      <c r="M94" s="318"/>
      <c r="N94" s="336">
        <v>0.008711</v>
      </c>
      <c r="O94" s="337">
        <v>0.187993035281564</v>
      </c>
      <c r="P94" s="337">
        <v>0.382195158391559</v>
      </c>
      <c r="Q94" s="337">
        <v>0.127585999667005</v>
      </c>
      <c r="R94" s="337">
        <v>0.499210539919798</v>
      </c>
      <c r="S94" s="337">
        <v>0.306015566979486</v>
      </c>
      <c r="T94" s="337">
        <v>-0.0102921748161506</v>
      </c>
      <c r="U94" s="337">
        <v>-0.143345915570353</v>
      </c>
      <c r="V94" s="337">
        <v>0.402289966917602</v>
      </c>
      <c r="W94" s="337">
        <v>0.0239807336885697</v>
      </c>
      <c r="X94" s="337">
        <v>-0.000977154755269862</v>
      </c>
      <c r="Y94" s="337">
        <v>0.476576735743034</v>
      </c>
      <c r="Z94" s="337">
        <v>-0.0174744724302226</v>
      </c>
      <c r="AA94" s="337">
        <v>0.341858871888563</v>
      </c>
      <c r="AB94" s="337">
        <v>-0.282366437233698</v>
      </c>
      <c r="AC94" s="337">
        <v>0.0959051724137964</v>
      </c>
      <c r="AD94" s="337">
        <v>0.905544147843941</v>
      </c>
      <c r="AE94" s="337">
        <v>-0.531430404105195</v>
      </c>
      <c r="AF94" s="337">
        <v>0.662933333333329</v>
      </c>
      <c r="AG94" s="337">
        <v>0.50481540930979</v>
      </c>
      <c r="AH94" s="337">
        <v>0.709190672153636</v>
      </c>
      <c r="AI94" s="337">
        <v>0.644869060721046</v>
      </c>
      <c r="AJ94" s="337">
        <v>1.14431424782622</v>
      </c>
      <c r="AK94" s="337">
        <v>0.32741116751269</v>
      </c>
      <c r="AL94" s="337">
        <v>-0.0548045436553155</v>
      </c>
      <c r="AM94" s="347">
        <v>-0.350774454299798</v>
      </c>
      <c r="AN94" s="37">
        <v>1.15</v>
      </c>
      <c r="AO94" s="37">
        <v>0.86</v>
      </c>
      <c r="AP94" s="37">
        <v>18.56</v>
      </c>
      <c r="AQ94" s="37">
        <v>2.59</v>
      </c>
      <c r="AS94" s="361" t="s">
        <v>269</v>
      </c>
      <c r="AT94" s="364">
        <v>1.16</v>
      </c>
      <c r="AU94" s="365">
        <v>45716</v>
      </c>
      <c r="AV94" s="364">
        <v>191.6104</v>
      </c>
      <c r="AW94" s="3"/>
      <c r="AX94" s="376">
        <v>0.086455</v>
      </c>
      <c r="AY94" s="376">
        <v>0.14982</v>
      </c>
      <c r="AZ94" s="376">
        <v>0.169395</v>
      </c>
      <c r="BA94" s="376">
        <v>0.215552</v>
      </c>
      <c r="BB94" s="376">
        <v>0.134665</v>
      </c>
      <c r="BC94" s="376">
        <v>0.105583</v>
      </c>
      <c r="BD94" s="376">
        <v>0.079789</v>
      </c>
      <c r="BE94" s="4"/>
      <c r="BF94" s="376">
        <v>0.14982</v>
      </c>
      <c r="BG94" s="376">
        <v>0.0779796371666645</v>
      </c>
      <c r="BH94" s="376">
        <v>0.155929617514886</v>
      </c>
      <c r="BI94" s="376">
        <v>0.0925358420323834</v>
      </c>
      <c r="BJ94" s="376">
        <v>0.0286855167996584</v>
      </c>
      <c r="BK94" s="376">
        <v>0.0483487967881711</v>
      </c>
      <c r="BL94" s="376">
        <v>0.0439495445501178</v>
      </c>
      <c r="BM94" s="376">
        <v>-0.0262817368058074</v>
      </c>
      <c r="BN94" s="376">
        <v>0.0642891194297519</v>
      </c>
      <c r="BO94" s="376">
        <v>0.105998535411654</v>
      </c>
      <c r="BP94" s="376">
        <v>0.0964167737199487</v>
      </c>
      <c r="BQ94" s="376">
        <v>0.107638518337831</v>
      </c>
      <c r="BR94" s="376">
        <v>0.0813518340431378</v>
      </c>
      <c r="BS94" s="376">
        <v>0.0883737342926694</v>
      </c>
      <c r="BT94" s="376">
        <v>0.0848483668781873</v>
      </c>
      <c r="BU94" s="376">
        <v>0.0524870933377039</v>
      </c>
    </row>
    <row r="95" spans="2:73">
      <c r="B95" s="298" t="s">
        <v>270</v>
      </c>
      <c r="C95" s="304">
        <v>1.77</v>
      </c>
      <c r="D95" s="305">
        <v>45838</v>
      </c>
      <c r="E95" s="306">
        <v>8839.9966747011</v>
      </c>
      <c r="F95" s="308">
        <v>-0.025851</v>
      </c>
      <c r="G95" s="308">
        <v>0.045127</v>
      </c>
      <c r="H95" s="308">
        <v>0.050863</v>
      </c>
      <c r="I95" s="308">
        <v>-0.06581</v>
      </c>
      <c r="J95" s="308">
        <v>0.208595</v>
      </c>
      <c r="K95" s="308">
        <v>0.217145</v>
      </c>
      <c r="L95" s="338">
        <v>0.141669</v>
      </c>
      <c r="M95" s="318"/>
      <c r="N95" s="336">
        <v>-0.019328</v>
      </c>
      <c r="O95" s="337">
        <v>0.216966945095314</v>
      </c>
      <c r="P95" s="337">
        <v>0.369906958468879</v>
      </c>
      <c r="Q95" s="337">
        <v>0.059430539958695</v>
      </c>
      <c r="R95" s="337">
        <v>0.279962709693547</v>
      </c>
      <c r="S95" s="337">
        <v>0.125038597081263</v>
      </c>
      <c r="T95" s="337">
        <v>0.0530036414482447</v>
      </c>
      <c r="U95" s="337">
        <v>-0.0706447144143053</v>
      </c>
      <c r="V95" s="337">
        <v>0.393804246703056</v>
      </c>
      <c r="W95" s="337">
        <v>0.161844538635606</v>
      </c>
      <c r="X95" s="337">
        <v>0.00308217007817764</v>
      </c>
      <c r="Y95" s="337">
        <v>0.695422002129301</v>
      </c>
      <c r="Z95" s="337">
        <v>0.0175298060371388</v>
      </c>
      <c r="AA95" s="337">
        <v>0.295274728952809</v>
      </c>
      <c r="AB95" s="337">
        <v>-0.237583278697535</v>
      </c>
      <c r="AC95" s="337">
        <v>0.168343535207359</v>
      </c>
      <c r="AD95" s="337">
        <v>1.03594875003502</v>
      </c>
      <c r="AE95" s="337">
        <v>-0.53843435007403</v>
      </c>
      <c r="AF95" s="337">
        <v>0.836012836289822</v>
      </c>
      <c r="AG95" s="337">
        <v>0.290288159130825</v>
      </c>
      <c r="AH95" s="337">
        <v>0.399728435646395</v>
      </c>
      <c r="AI95" s="337">
        <v>0.3993</v>
      </c>
      <c r="AJ95" s="337" t="s">
        <v>129</v>
      </c>
      <c r="AK95" s="337" t="s">
        <v>129</v>
      </c>
      <c r="AL95" s="337" t="s">
        <v>129</v>
      </c>
      <c r="AM95" s="347" t="s">
        <v>129</v>
      </c>
      <c r="AS95" s="361" t="s">
        <v>271</v>
      </c>
      <c r="AT95" s="364">
        <v>1.59</v>
      </c>
      <c r="AU95" s="365">
        <v>45716</v>
      </c>
      <c r="AV95" s="364">
        <v>7252.4194</v>
      </c>
      <c r="AW95" s="3"/>
      <c r="AX95" s="376">
        <v>0.008665</v>
      </c>
      <c r="AY95" s="376">
        <v>0.020088</v>
      </c>
      <c r="AZ95" s="376">
        <v>0.03444</v>
      </c>
      <c r="BA95" s="376">
        <v>0.078153</v>
      </c>
      <c r="BB95" s="376">
        <v>0.064542</v>
      </c>
      <c r="BC95" s="376">
        <v>0.071275</v>
      </c>
      <c r="BD95" s="376">
        <v>0.076352</v>
      </c>
      <c r="BE95" s="4"/>
      <c r="BF95" s="376">
        <v>0.020088</v>
      </c>
      <c r="BG95" s="376">
        <v>0.0819383301306597</v>
      </c>
      <c r="BH95" s="376">
        <v>0.0662088104755895</v>
      </c>
      <c r="BI95" s="376">
        <v>0.0371151588200454</v>
      </c>
      <c r="BJ95" s="376">
        <v>0.0697545170092982</v>
      </c>
      <c r="BK95" s="376">
        <v>0.109137869392083</v>
      </c>
      <c r="BL95" s="376">
        <v>0.0864754812006911</v>
      </c>
      <c r="BM95" s="376">
        <v>0.0535919672027039</v>
      </c>
      <c r="BN95" s="376">
        <v>0.0656926073257485</v>
      </c>
      <c r="BO95" s="376">
        <v>0.109578639966625</v>
      </c>
      <c r="BP95" s="376">
        <v>0.0900904997953521</v>
      </c>
      <c r="BQ95" s="376">
        <v>0.09945</v>
      </c>
      <c r="BR95" s="376" t="s">
        <v>129</v>
      </c>
      <c r="BS95" s="376" t="s">
        <v>129</v>
      </c>
      <c r="BT95" s="376" t="s">
        <v>129</v>
      </c>
      <c r="BU95" s="376" t="s">
        <v>129</v>
      </c>
    </row>
    <row r="96" spans="2:73">
      <c r="B96" s="298" t="s">
        <v>272</v>
      </c>
      <c r="C96" s="304">
        <v>2.04</v>
      </c>
      <c r="D96" s="305">
        <v>45838</v>
      </c>
      <c r="E96" s="306">
        <v>2298.636972153</v>
      </c>
      <c r="F96" s="308">
        <v>-0.027209</v>
      </c>
      <c r="G96" s="308">
        <v>0.021432</v>
      </c>
      <c r="H96" s="308">
        <v>0.047538</v>
      </c>
      <c r="I96" s="308">
        <v>-0.065496</v>
      </c>
      <c r="J96" s="308">
        <v>0.199174</v>
      </c>
      <c r="K96" s="308">
        <v>0.282066</v>
      </c>
      <c r="L96" s="338">
        <v>0.137029</v>
      </c>
      <c r="M96" s="318"/>
      <c r="N96" s="336">
        <v>0.018433</v>
      </c>
      <c r="O96" s="337">
        <v>0.151887921998345</v>
      </c>
      <c r="P96" s="337">
        <v>0.337247702031147</v>
      </c>
      <c r="Q96" s="337">
        <v>0.154628783467512</v>
      </c>
      <c r="R96" s="337">
        <v>0.44544927746322</v>
      </c>
      <c r="S96" s="337">
        <v>0.11503003483447</v>
      </c>
      <c r="T96" s="337">
        <v>-0.00309284961450365</v>
      </c>
      <c r="U96" s="337">
        <v>-0.128229128740858</v>
      </c>
      <c r="V96" s="337">
        <v>0.376457334072564</v>
      </c>
      <c r="W96" s="337">
        <v>0.0946108288793875</v>
      </c>
      <c r="X96" s="337">
        <v>0.000527786871342109</v>
      </c>
      <c r="Y96" s="337">
        <v>0.491520425429055</v>
      </c>
      <c r="Z96" s="337">
        <v>-0.00604573422955535</v>
      </c>
      <c r="AA96" s="337">
        <v>0.359023448383951</v>
      </c>
      <c r="AB96" s="337">
        <v>-0.295716196586602</v>
      </c>
      <c r="AC96" s="337">
        <v>0.219584361678259</v>
      </c>
      <c r="AD96" s="337">
        <v>1.04699547038528</v>
      </c>
      <c r="AE96" s="337">
        <v>-0.510042717412502</v>
      </c>
      <c r="AF96" s="337">
        <v>0.631050619360758</v>
      </c>
      <c r="AG96" s="337">
        <v>0.305189620758483</v>
      </c>
      <c r="AH96" s="337">
        <v>0.349313223808241</v>
      </c>
      <c r="AI96" s="337">
        <v>0.197741935483871</v>
      </c>
      <c r="AJ96" s="337">
        <v>0.505585235551238</v>
      </c>
      <c r="AK96" s="337" t="s">
        <v>129</v>
      </c>
      <c r="AL96" s="337" t="s">
        <v>129</v>
      </c>
      <c r="AM96" s="347" t="s">
        <v>129</v>
      </c>
      <c r="AS96" s="361" t="s">
        <v>273</v>
      </c>
      <c r="AT96" s="364">
        <v>1.68</v>
      </c>
      <c r="AU96" s="365">
        <v>45716</v>
      </c>
      <c r="AV96" s="364">
        <v>581.6123</v>
      </c>
      <c r="AW96" s="3"/>
      <c r="AX96" s="376">
        <v>0.021703</v>
      </c>
      <c r="AY96" s="376">
        <v>0.032296</v>
      </c>
      <c r="AZ96" s="376">
        <v>0.047483</v>
      </c>
      <c r="BA96" s="376">
        <v>0.087314</v>
      </c>
      <c r="BB96" s="376">
        <v>0.064656</v>
      </c>
      <c r="BC96" s="376">
        <v>0.056545</v>
      </c>
      <c r="BD96" s="376">
        <v>0.062281</v>
      </c>
      <c r="BE96" s="4"/>
      <c r="BF96" s="376">
        <v>0.032296</v>
      </c>
      <c r="BG96" s="376">
        <v>0.0715425686826521</v>
      </c>
      <c r="BH96" s="376">
        <v>0.0646280158087081</v>
      </c>
      <c r="BI96" s="376">
        <v>0.031927237978226</v>
      </c>
      <c r="BJ96" s="376">
        <v>0.0566867869072681</v>
      </c>
      <c r="BK96" s="376">
        <v>0.0498435880568478</v>
      </c>
      <c r="BL96" s="376">
        <v>0.0226402675403997</v>
      </c>
      <c r="BM96" s="376">
        <v>0.0557718642058577</v>
      </c>
      <c r="BN96" s="376">
        <v>0.0720260299410053</v>
      </c>
      <c r="BO96" s="376">
        <v>0.100548589341693</v>
      </c>
      <c r="BP96" s="376">
        <v>0.0941086457536344</v>
      </c>
      <c r="BQ96" s="376">
        <v>0.114187868365742</v>
      </c>
      <c r="BR96" s="376">
        <v>0.0582087114760983</v>
      </c>
      <c r="BS96" s="376">
        <v>0.0948776458968377</v>
      </c>
      <c r="BT96" s="376">
        <v>0.0969700366136143</v>
      </c>
      <c r="BU96" s="376">
        <v>0.0583106805713439</v>
      </c>
    </row>
    <row r="97" ht="15.15" spans="2:73">
      <c r="B97" s="298" t="s">
        <v>274</v>
      </c>
      <c r="C97" s="309">
        <v>1.82</v>
      </c>
      <c r="D97" s="310">
        <v>45838</v>
      </c>
      <c r="E97" s="311">
        <v>10117.3196</v>
      </c>
      <c r="F97" s="308">
        <v>-0.020084</v>
      </c>
      <c r="G97" s="308">
        <v>0.04248</v>
      </c>
      <c r="H97" s="308">
        <v>0.054995</v>
      </c>
      <c r="I97" s="308">
        <v>-5e-6</v>
      </c>
      <c r="J97" s="308">
        <v>0.192292</v>
      </c>
      <c r="K97" s="308">
        <v>0.226054</v>
      </c>
      <c r="L97" s="338">
        <v>0.13074</v>
      </c>
      <c r="M97" s="318"/>
      <c r="N97" s="336">
        <v>0.024006</v>
      </c>
      <c r="O97" s="337">
        <v>0.234127545222139</v>
      </c>
      <c r="P97" s="337">
        <v>0.267191290716971</v>
      </c>
      <c r="Q97" s="337">
        <v>0.0427170420576434</v>
      </c>
      <c r="R97" s="337">
        <v>0.304181043019608</v>
      </c>
      <c r="S97" s="337">
        <v>0.190191432080692</v>
      </c>
      <c r="T97" s="337">
        <v>0.103965430458587</v>
      </c>
      <c r="U97" s="337">
        <v>-0.0244302476095036</v>
      </c>
      <c r="V97" s="337">
        <v>0.290917597747295</v>
      </c>
      <c r="W97" s="337">
        <v>0.0260336703316152</v>
      </c>
      <c r="X97" s="337">
        <v>-0.0594112971355564</v>
      </c>
      <c r="Y97" s="337">
        <v>0.412168138342418</v>
      </c>
      <c r="Z97" s="337">
        <v>0.0585225505443236</v>
      </c>
      <c r="AA97" s="337">
        <v>0.272763262074426</v>
      </c>
      <c r="AB97" s="337">
        <v>-0.121085594989561</v>
      </c>
      <c r="AC97" s="337">
        <v>0.194017449106772</v>
      </c>
      <c r="AD97" s="337">
        <v>0.976190476190476</v>
      </c>
      <c r="AE97" s="337">
        <v>-0.490376569037657</v>
      </c>
      <c r="AF97" s="337">
        <v>0.71326164874552</v>
      </c>
      <c r="AG97" s="337">
        <v>0.108903020667726</v>
      </c>
      <c r="AH97" s="337">
        <v>0.258</v>
      </c>
      <c r="AI97" s="337" t="s">
        <v>129</v>
      </c>
      <c r="AJ97" s="337" t="s">
        <v>129</v>
      </c>
      <c r="AK97" s="337" t="s">
        <v>129</v>
      </c>
      <c r="AL97" s="337" t="s">
        <v>129</v>
      </c>
      <c r="AM97" s="347" t="s">
        <v>129</v>
      </c>
      <c r="AS97" s="361" t="s">
        <v>275</v>
      </c>
      <c r="AT97" s="364">
        <v>1.41</v>
      </c>
      <c r="AU97" s="365">
        <v>45716</v>
      </c>
      <c r="AV97" s="364">
        <v>6187.431008843</v>
      </c>
      <c r="AW97" s="3"/>
      <c r="AX97" s="376">
        <v>0.008885</v>
      </c>
      <c r="AY97" s="376">
        <v>0.021544</v>
      </c>
      <c r="AZ97" s="376">
        <v>0.037276</v>
      </c>
      <c r="BA97" s="376">
        <v>0.08264</v>
      </c>
      <c r="BB97" s="376">
        <v>0.071351</v>
      </c>
      <c r="BC97" s="376">
        <v>0.073173</v>
      </c>
      <c r="BD97" s="376">
        <v>0.077521</v>
      </c>
      <c r="BE97" s="4"/>
      <c r="BF97" s="376">
        <v>0.021544</v>
      </c>
      <c r="BG97" s="376">
        <v>0.0846254316437352</v>
      </c>
      <c r="BH97" s="376">
        <v>0.0723646089555904</v>
      </c>
      <c r="BI97" s="376">
        <v>0.0505359568815734</v>
      </c>
      <c r="BJ97" s="376">
        <v>0.0623278959517274</v>
      </c>
      <c r="BK97" s="376">
        <v>0.0979006511977808</v>
      </c>
      <c r="BL97" s="376">
        <v>0.0947625788186849</v>
      </c>
      <c r="BM97" s="376">
        <v>0.066443067228044</v>
      </c>
      <c r="BN97" s="376">
        <v>0.0677377003059538</v>
      </c>
      <c r="BO97" s="376">
        <v>0.0954349919743178</v>
      </c>
      <c r="BP97" s="376">
        <v>0.0899916719737422</v>
      </c>
      <c r="BQ97" s="376">
        <v>0.10965201792329</v>
      </c>
      <c r="BR97" s="376">
        <v>0.0749908171102281</v>
      </c>
      <c r="BS97" s="376">
        <v>0.0943241095164575</v>
      </c>
      <c r="BT97" s="376">
        <v>0.088620813111624</v>
      </c>
      <c r="BU97" s="376">
        <v>0.00551999999999993</v>
      </c>
    </row>
    <row r="98" ht="15" customHeight="1" spans="2:73">
      <c r="B98" s="315" t="s">
        <v>250</v>
      </c>
      <c r="F98" s="323">
        <v>-0.028654</v>
      </c>
      <c r="G98" s="324">
        <v>0.038723</v>
      </c>
      <c r="H98" s="324">
        <v>0.05945</v>
      </c>
      <c r="I98" s="324">
        <v>-0.032041</v>
      </c>
      <c r="J98" s="324">
        <v>0.154431</v>
      </c>
      <c r="K98" s="324">
        <v>0.201781</v>
      </c>
      <c r="L98" s="344">
        <v>0.123351</v>
      </c>
      <c r="M98" s="318"/>
      <c r="N98" s="316">
        <v>0.022527</v>
      </c>
      <c r="O98" s="317">
        <v>0.145465796535709</v>
      </c>
      <c r="P98" s="317">
        <v>0.248498523517645</v>
      </c>
      <c r="Q98" s="317">
        <v>0.0333786905211876</v>
      </c>
      <c r="R98" s="317">
        <v>0.301140430926607</v>
      </c>
      <c r="S98" s="317">
        <v>0.168033833223551</v>
      </c>
      <c r="T98" s="317">
        <v>0.077511676096721</v>
      </c>
      <c r="U98" s="317">
        <v>-0.0308170579621176</v>
      </c>
      <c r="V98" s="317">
        <v>0.359381285994397</v>
      </c>
      <c r="W98" s="317">
        <v>0.037823178380737</v>
      </c>
      <c r="X98" s="317">
        <v>-0.00815175318655217</v>
      </c>
      <c r="Y98" s="317">
        <v>0.369590487893985</v>
      </c>
      <c r="Z98" s="317">
        <v>0.0325486673604544</v>
      </c>
      <c r="AA98" s="317">
        <v>0.311989935417777</v>
      </c>
      <c r="AB98" s="317">
        <v>-0.274131836715211</v>
      </c>
      <c r="AC98" s="317">
        <v>0.163514925645804</v>
      </c>
      <c r="AD98" s="317">
        <v>0.902289503315401</v>
      </c>
      <c r="AE98" s="317">
        <v>-0.581393156534298</v>
      </c>
      <c r="AF98" s="317">
        <v>0.63020702896736</v>
      </c>
      <c r="AG98" s="317">
        <v>0.388518319476496</v>
      </c>
      <c r="AH98" s="317">
        <v>0.365625168636339</v>
      </c>
      <c r="AI98" s="317">
        <v>0.17465220845518</v>
      </c>
      <c r="AJ98" s="317">
        <v>1.0109625827505</v>
      </c>
      <c r="AK98" s="317">
        <v>0.169921059434094</v>
      </c>
      <c r="AL98" s="317">
        <v>-0.229055845967532</v>
      </c>
      <c r="AM98" s="343">
        <v>-0.27172553923101</v>
      </c>
      <c r="AS98" s="361" t="s">
        <v>276</v>
      </c>
      <c r="AT98" s="364">
        <v>1.45</v>
      </c>
      <c r="AU98" s="365">
        <v>45716</v>
      </c>
      <c r="AV98" s="364">
        <v>140.3174</v>
      </c>
      <c r="AW98" s="3"/>
      <c r="AX98" s="376">
        <v>0.026429</v>
      </c>
      <c r="AY98" s="376">
        <v>0.041645</v>
      </c>
      <c r="AZ98" s="376">
        <v>0.055298</v>
      </c>
      <c r="BA98" s="376">
        <v>0.096236</v>
      </c>
      <c r="BB98" s="376">
        <v>0.082395</v>
      </c>
      <c r="BC98" s="376">
        <v>0.068712</v>
      </c>
      <c r="BD98" s="376">
        <v>0.059125</v>
      </c>
      <c r="BE98" s="4"/>
      <c r="BF98" s="376">
        <v>0.041645</v>
      </c>
      <c r="BG98" s="376">
        <v>0.0728560027892374</v>
      </c>
      <c r="BH98" s="376">
        <v>0.116225638663578</v>
      </c>
      <c r="BI98" s="376">
        <v>0.022324768739377</v>
      </c>
      <c r="BJ98" s="376">
        <v>0.0278887369596298</v>
      </c>
      <c r="BK98" s="376">
        <v>0.0797847888294456</v>
      </c>
      <c r="BL98" s="376">
        <v>-0.0452708723425172</v>
      </c>
      <c r="BM98" s="376">
        <v>0.0408897538571258</v>
      </c>
      <c r="BN98" s="376">
        <v>0.0708501888878608</v>
      </c>
      <c r="BO98" s="376">
        <v>0.109228650977281</v>
      </c>
      <c r="BP98" s="376">
        <v>0.0909017059301381</v>
      </c>
      <c r="BQ98" s="376">
        <v>0.0377329999999999</v>
      </c>
      <c r="BR98" s="376" t="s">
        <v>129</v>
      </c>
      <c r="BS98" s="376" t="s">
        <v>129</v>
      </c>
      <c r="BT98" s="376" t="s">
        <v>129</v>
      </c>
      <c r="BU98" s="376" t="s">
        <v>129</v>
      </c>
    </row>
    <row r="99" ht="15.15" spans="2:73">
      <c r="B99" s="315" t="s">
        <v>162</v>
      </c>
      <c r="F99" s="316">
        <f>AVERAGE(F86:F97)</f>
        <v>-0.02197875</v>
      </c>
      <c r="G99" s="317">
        <f t="shared" ref="G99:L99" si="9">AVERAGE(G86:G97)</f>
        <v>0.0482315</v>
      </c>
      <c r="H99" s="317">
        <f t="shared" si="9"/>
        <v>0.0606094166666667</v>
      </c>
      <c r="I99" s="317">
        <f t="shared" si="9"/>
        <v>-0.0300985833333333</v>
      </c>
      <c r="J99" s="317">
        <f t="shared" si="9"/>
        <v>0.21841125</v>
      </c>
      <c r="K99" s="317">
        <f t="shared" si="9"/>
        <v>0.253413</v>
      </c>
      <c r="L99" s="343">
        <f t="shared" si="9"/>
        <v>0.142730545454545</v>
      </c>
      <c r="M99" s="318"/>
      <c r="N99" s="323">
        <f t="shared" ref="N99:AM99" si="10">AVERAGE(N86:N97)</f>
        <v>0.0129129166666667</v>
      </c>
      <c r="O99" s="324">
        <f t="shared" si="10"/>
        <v>0.219014484160352</v>
      </c>
      <c r="P99" s="324">
        <f t="shared" si="10"/>
        <v>0.351732998731251</v>
      </c>
      <c r="Q99" s="324">
        <f t="shared" si="10"/>
        <v>0.0805884059351255</v>
      </c>
      <c r="R99" s="324">
        <f t="shared" si="10"/>
        <v>0.3352533432734</v>
      </c>
      <c r="S99" s="324">
        <f t="shared" si="10"/>
        <v>0.174827811846564</v>
      </c>
      <c r="T99" s="324">
        <f t="shared" si="10"/>
        <v>0.0277308171498897</v>
      </c>
      <c r="U99" s="324">
        <f t="shared" si="10"/>
        <v>-0.0821964453101355</v>
      </c>
      <c r="V99" s="324">
        <f t="shared" si="10"/>
        <v>0.396831348107495</v>
      </c>
      <c r="W99" s="324">
        <f t="shared" si="10"/>
        <v>0.0621456088870432</v>
      </c>
      <c r="X99" s="324">
        <f t="shared" si="10"/>
        <v>0.0256219270362463</v>
      </c>
      <c r="Y99" s="324">
        <f t="shared" si="10"/>
        <v>0.604324827819536</v>
      </c>
      <c r="Z99" s="324">
        <f t="shared" si="10"/>
        <v>0.0403359353738838</v>
      </c>
      <c r="AA99" s="324">
        <f t="shared" si="10"/>
        <v>0.349495373866046</v>
      </c>
      <c r="AB99" s="324">
        <f t="shared" si="10"/>
        <v>-0.243675290633107</v>
      </c>
      <c r="AC99" s="324">
        <f t="shared" si="10"/>
        <v>0.195892110183302</v>
      </c>
      <c r="AD99" s="324">
        <f t="shared" si="10"/>
        <v>1.00308340884457</v>
      </c>
      <c r="AE99" s="324">
        <f t="shared" si="10"/>
        <v>-0.494780317829973</v>
      </c>
      <c r="AF99" s="324">
        <f t="shared" si="10"/>
        <v>0.646439252930001</v>
      </c>
      <c r="AG99" s="324">
        <f t="shared" si="10"/>
        <v>0.316471989159181</v>
      </c>
      <c r="AH99" s="324">
        <f t="shared" si="10"/>
        <v>0.374771602240182</v>
      </c>
      <c r="AI99" s="324">
        <f t="shared" si="10"/>
        <v>0.401538780451909</v>
      </c>
      <c r="AJ99" s="324">
        <f t="shared" si="10"/>
        <v>0.956329002218309</v>
      </c>
      <c r="AK99" s="324">
        <f t="shared" si="10"/>
        <v>0.244874414925176</v>
      </c>
      <c r="AL99" s="324">
        <f t="shared" si="10"/>
        <v>-0.142722838022495</v>
      </c>
      <c r="AM99" s="344">
        <f t="shared" si="10"/>
        <v>-0.261249296115416</v>
      </c>
      <c r="AS99" s="361" t="s">
        <v>277</v>
      </c>
      <c r="AT99" s="364">
        <v>1.71</v>
      </c>
      <c r="AU99" s="365">
        <v>45716</v>
      </c>
      <c r="AV99" s="364">
        <v>728.0749</v>
      </c>
      <c r="AW99" s="3"/>
      <c r="AX99" s="376">
        <v>0.007209</v>
      </c>
      <c r="AY99" s="376">
        <v>0.021272</v>
      </c>
      <c r="AZ99" s="376">
        <v>0.032671</v>
      </c>
      <c r="BA99" s="376">
        <v>0.064304</v>
      </c>
      <c r="BB99" s="376">
        <v>0.050866</v>
      </c>
      <c r="BC99" s="376">
        <v>0.054635</v>
      </c>
      <c r="BD99" s="376">
        <v>0.067128</v>
      </c>
      <c r="BE99" s="4"/>
      <c r="BF99" s="376">
        <v>0.021272</v>
      </c>
      <c r="BG99" s="376">
        <v>0.0711882273409542</v>
      </c>
      <c r="BH99" s="376">
        <v>0.0642898081793091</v>
      </c>
      <c r="BI99" s="376">
        <v>0.00902752143062215</v>
      </c>
      <c r="BJ99" s="376">
        <v>0.0529702649592952</v>
      </c>
      <c r="BK99" s="376">
        <v>0.0661383822710089</v>
      </c>
      <c r="BL99" s="376">
        <v>0.0897354200013046</v>
      </c>
      <c r="BM99" s="376">
        <v>0.0620733390532323</v>
      </c>
      <c r="BN99" s="376">
        <v>0.0655941577984986</v>
      </c>
      <c r="BO99" s="376">
        <v>0.104332720853375</v>
      </c>
      <c r="BP99" s="376">
        <v>0.0909432981227081</v>
      </c>
      <c r="BQ99" s="376">
        <v>0.111307098108388</v>
      </c>
      <c r="BR99" s="376">
        <v>0.0734438377853405</v>
      </c>
      <c r="BS99" s="376">
        <v>0.097585882563712</v>
      </c>
      <c r="BT99" s="376">
        <v>0.0886546263067562</v>
      </c>
      <c r="BU99" s="376">
        <v>0.02544</v>
      </c>
    </row>
    <row r="100" ht="15.15" spans="6:73">
      <c r="F100" s="384"/>
      <c r="G100" s="384"/>
      <c r="H100" s="384"/>
      <c r="I100" s="384"/>
      <c r="J100" s="384"/>
      <c r="K100" s="384"/>
      <c r="L100" s="384"/>
      <c r="M100" s="318"/>
      <c r="O100" s="281"/>
      <c r="AS100" s="361" t="s">
        <v>278</v>
      </c>
      <c r="AT100" s="364">
        <v>1.55</v>
      </c>
      <c r="AU100" s="365">
        <v>45716</v>
      </c>
      <c r="AV100" s="364">
        <v>2259.2892</v>
      </c>
      <c r="AW100" s="3"/>
      <c r="AX100" s="376">
        <v>0.011704</v>
      </c>
      <c r="AY100" s="376">
        <v>0.02233</v>
      </c>
      <c r="AZ100" s="376">
        <v>0.041045</v>
      </c>
      <c r="BA100" s="376">
        <v>0.083844</v>
      </c>
      <c r="BB100" s="376">
        <v>0.072619</v>
      </c>
      <c r="BC100" s="376">
        <v>0.07073</v>
      </c>
      <c r="BD100" s="376">
        <v>0.074168</v>
      </c>
      <c r="BE100" s="4"/>
      <c r="BF100" s="376">
        <v>0.02233</v>
      </c>
      <c r="BG100" s="376">
        <v>0.080811481964729</v>
      </c>
      <c r="BH100" s="376">
        <v>0.0831692992571536</v>
      </c>
      <c r="BI100" s="376">
        <v>0.0424861543278733</v>
      </c>
      <c r="BJ100" s="376">
        <v>0.049519388761091</v>
      </c>
      <c r="BK100" s="376">
        <v>0.097766883654413</v>
      </c>
      <c r="BL100" s="376">
        <v>0.0650275979650574</v>
      </c>
      <c r="BM100" s="376">
        <v>0.0618595756306347</v>
      </c>
      <c r="BN100" s="376">
        <v>0.0689226863533003</v>
      </c>
      <c r="BO100" s="376">
        <v>0.104823687821834</v>
      </c>
      <c r="BP100" s="376">
        <v>0.0970800473837469</v>
      </c>
      <c r="BQ100" s="376">
        <v>0.10615916304711</v>
      </c>
      <c r="BR100" s="376">
        <v>0.100784994310803</v>
      </c>
      <c r="BS100" s="376">
        <v>0.0979771083881226</v>
      </c>
      <c r="BT100" s="376">
        <v>0.0944712235680841</v>
      </c>
      <c r="BU100" s="376">
        <v>0.0562148520412258</v>
      </c>
    </row>
    <row r="101" ht="15" customHeight="1" spans="2:73">
      <c r="B101" s="319" t="s">
        <v>279</v>
      </c>
      <c r="C101" s="320" t="s">
        <v>87</v>
      </c>
      <c r="D101" s="289" t="s">
        <v>110</v>
      </c>
      <c r="E101" s="290"/>
      <c r="F101" s="332" t="s">
        <v>82</v>
      </c>
      <c r="G101" s="333"/>
      <c r="H101" s="333"/>
      <c r="I101" s="333"/>
      <c r="J101" s="333"/>
      <c r="K101" s="333"/>
      <c r="L101" s="346"/>
      <c r="M101" s="318"/>
      <c r="N101" s="332" t="s">
        <v>111</v>
      </c>
      <c r="O101" s="333"/>
      <c r="P101" s="333"/>
      <c r="Q101" s="333"/>
      <c r="R101" s="333"/>
      <c r="S101" s="333"/>
      <c r="T101" s="333"/>
      <c r="U101" s="333"/>
      <c r="V101" s="333"/>
      <c r="W101" s="333"/>
      <c r="X101" s="333"/>
      <c r="Y101" s="333"/>
      <c r="Z101" s="333"/>
      <c r="AA101" s="333"/>
      <c r="AB101" s="333"/>
      <c r="AC101" s="333"/>
      <c r="AD101" s="333"/>
      <c r="AE101" s="333"/>
      <c r="AF101" s="333"/>
      <c r="AG101" s="333"/>
      <c r="AH101" s="333"/>
      <c r="AI101" s="333"/>
      <c r="AJ101" s="333"/>
      <c r="AK101" s="333"/>
      <c r="AL101" s="333"/>
      <c r="AM101" s="333"/>
      <c r="AN101" s="346"/>
      <c r="AS101" s="361" t="s">
        <v>280</v>
      </c>
      <c r="AT101" s="364">
        <v>1.68</v>
      </c>
      <c r="AU101" s="365">
        <v>45716</v>
      </c>
      <c r="AV101" s="364">
        <v>296.9326</v>
      </c>
      <c r="AW101" s="3"/>
      <c r="AX101" s="376">
        <v>0.008496</v>
      </c>
      <c r="AY101" s="376">
        <v>0.020222</v>
      </c>
      <c r="AZ101" s="376">
        <v>0.036368</v>
      </c>
      <c r="BA101" s="376">
        <v>0.079632</v>
      </c>
      <c r="BB101" s="376">
        <v>0.064455</v>
      </c>
      <c r="BC101" s="376">
        <v>0.072783</v>
      </c>
      <c r="BD101" s="376">
        <v>0.030044</v>
      </c>
      <c r="BE101" s="4"/>
      <c r="BF101" s="376">
        <v>0.020222</v>
      </c>
      <c r="BG101" s="376">
        <v>0.0789106512925815</v>
      </c>
      <c r="BH101" s="376">
        <v>0.06593707250342</v>
      </c>
      <c r="BI101" s="376">
        <v>0.0386170716601697</v>
      </c>
      <c r="BJ101" s="376">
        <v>0.214826289001992</v>
      </c>
      <c r="BK101" s="376">
        <v>-0.277847381138058</v>
      </c>
      <c r="BL101" s="376">
        <v>-0.0478908898369556</v>
      </c>
      <c r="BM101" s="376">
        <v>0.0547969828277965</v>
      </c>
      <c r="BN101" s="376">
        <v>0.0689948600407628</v>
      </c>
      <c r="BO101" s="376">
        <v>0.103027779880403</v>
      </c>
      <c r="BP101" s="376">
        <v>0.0886063432682087</v>
      </c>
      <c r="BQ101" s="376">
        <v>0.114594048493755</v>
      </c>
      <c r="BR101" s="376">
        <v>0.0770493911426339</v>
      </c>
      <c r="BS101" s="376">
        <v>0.01091</v>
      </c>
      <c r="BT101" s="376" t="s">
        <v>129</v>
      </c>
      <c r="BU101" s="376" t="s">
        <v>129</v>
      </c>
    </row>
    <row r="102" ht="15" customHeight="1" spans="2:73">
      <c r="B102" s="321"/>
      <c r="C102" s="322"/>
      <c r="D102" s="294" t="s">
        <v>115</v>
      </c>
      <c r="E102" s="295" t="s">
        <v>116</v>
      </c>
      <c r="F102" s="296" t="s">
        <v>88</v>
      </c>
      <c r="G102" s="297" t="s">
        <v>89</v>
      </c>
      <c r="H102" s="297" t="s">
        <v>90</v>
      </c>
      <c r="I102" s="297" t="s">
        <v>91</v>
      </c>
      <c r="J102" s="297" t="s">
        <v>93</v>
      </c>
      <c r="K102" s="297" t="s">
        <v>94</v>
      </c>
      <c r="L102" s="334" t="s">
        <v>95</v>
      </c>
      <c r="M102" s="318"/>
      <c r="N102" s="266" t="s">
        <v>96</v>
      </c>
      <c r="O102" s="267">
        <v>2024</v>
      </c>
      <c r="P102" s="267">
        <v>2023</v>
      </c>
      <c r="Q102" s="268">
        <v>2022</v>
      </c>
      <c r="R102" s="268">
        <v>2021</v>
      </c>
      <c r="S102" s="268">
        <v>2020</v>
      </c>
      <c r="T102" s="268">
        <v>2019</v>
      </c>
      <c r="U102" s="268">
        <v>2018</v>
      </c>
      <c r="V102" s="268">
        <v>2017</v>
      </c>
      <c r="W102" s="268">
        <v>2016</v>
      </c>
      <c r="X102" s="268">
        <v>2015</v>
      </c>
      <c r="Y102" s="268">
        <v>2014</v>
      </c>
      <c r="Z102" s="268">
        <v>2013</v>
      </c>
      <c r="AA102" s="268">
        <v>2012</v>
      </c>
      <c r="AB102" s="268">
        <v>2011</v>
      </c>
      <c r="AC102" s="268">
        <v>2010</v>
      </c>
      <c r="AD102" s="268">
        <v>2009</v>
      </c>
      <c r="AE102" s="268">
        <v>2008</v>
      </c>
      <c r="AF102" s="268">
        <v>2007</v>
      </c>
      <c r="AG102" s="268">
        <v>2006</v>
      </c>
      <c r="AH102" s="268">
        <v>2005</v>
      </c>
      <c r="AI102" s="268">
        <v>2004</v>
      </c>
      <c r="AJ102" s="268">
        <v>2003</v>
      </c>
      <c r="AK102" s="268">
        <v>2002</v>
      </c>
      <c r="AL102" s="268">
        <v>2001</v>
      </c>
      <c r="AM102" s="269">
        <v>2000</v>
      </c>
      <c r="AS102" s="312" t="s">
        <v>162</v>
      </c>
      <c r="AT102"/>
      <c r="AU102"/>
      <c r="AV102"/>
      <c r="AW102" s="377"/>
      <c r="AX102" s="378">
        <f t="shared" ref="AX102:BD102" si="11">AVERAGE(AX89:AX101)</f>
        <v>0.0176457692307692</v>
      </c>
      <c r="AY102" s="378">
        <f t="shared" si="11"/>
        <v>0.0359107692307692</v>
      </c>
      <c r="AZ102" s="378">
        <f t="shared" si="11"/>
        <v>0.0536363846153846</v>
      </c>
      <c r="BA102" s="378">
        <f t="shared" si="11"/>
        <v>0.095318</v>
      </c>
      <c r="BB102" s="378">
        <f t="shared" si="11"/>
        <v>0.0734765384615385</v>
      </c>
      <c r="BC102" s="378">
        <f t="shared" si="11"/>
        <v>0.0746335384615385</v>
      </c>
      <c r="BD102" s="378">
        <f t="shared" si="11"/>
        <v>0.0627245454545454</v>
      </c>
      <c r="BE102" s="377"/>
      <c r="BF102" s="378">
        <f t="shared" ref="BF102:BU102" si="12">AVERAGE(BF89:BF101)</f>
        <v>0.0359107692307692</v>
      </c>
      <c r="BG102" s="378">
        <f t="shared" si="12"/>
        <v>0.0796164576877806</v>
      </c>
      <c r="BH102" s="378">
        <f t="shared" si="12"/>
        <v>0.078046135490933</v>
      </c>
      <c r="BI102" s="378">
        <f t="shared" si="12"/>
        <v>0.149485657662128</v>
      </c>
      <c r="BJ102" s="378">
        <f t="shared" si="12"/>
        <v>0.0778316772173192</v>
      </c>
      <c r="BK102" s="378">
        <f t="shared" si="12"/>
        <v>0.00776153161103146</v>
      </c>
      <c r="BL102" s="378">
        <f t="shared" si="12"/>
        <v>0.00260623369675785</v>
      </c>
      <c r="BM102" s="378">
        <f t="shared" si="12"/>
        <v>0.0461909400885644</v>
      </c>
      <c r="BN102" s="378">
        <f t="shared" si="12"/>
        <v>0.0708842416315973</v>
      </c>
      <c r="BO102" s="378">
        <f t="shared" si="12"/>
        <v>0.104916552248381</v>
      </c>
      <c r="BP102" s="378">
        <f t="shared" si="12"/>
        <v>0.0880496447425356</v>
      </c>
      <c r="BQ102" s="378">
        <f t="shared" si="12"/>
        <v>0.0953424126973462</v>
      </c>
      <c r="BR102" s="378">
        <f t="shared" si="12"/>
        <v>0.0776382643113736</v>
      </c>
      <c r="BS102" s="378">
        <f t="shared" si="12"/>
        <v>0.0806747467762999</v>
      </c>
      <c r="BT102" s="378">
        <f t="shared" si="12"/>
        <v>0.0907130132956532</v>
      </c>
      <c r="BU102" s="378">
        <f t="shared" si="12"/>
        <v>0.0395945251900547</v>
      </c>
    </row>
    <row r="103" spans="2:73">
      <c r="B103" s="298" t="s">
        <v>281</v>
      </c>
      <c r="C103" s="299">
        <v>1.87</v>
      </c>
      <c r="D103" s="300">
        <v>45838</v>
      </c>
      <c r="E103" s="301">
        <v>6204.5691</v>
      </c>
      <c r="F103" s="308">
        <v>-0.018316</v>
      </c>
      <c r="G103" s="308">
        <v>0.076584</v>
      </c>
      <c r="H103" s="308">
        <v>0.090645</v>
      </c>
      <c r="I103" s="308">
        <v>-0.012841</v>
      </c>
      <c r="J103" s="308">
        <v>0.198428</v>
      </c>
      <c r="K103" s="308">
        <v>0.263315</v>
      </c>
      <c r="L103" s="338">
        <v>0.13102</v>
      </c>
      <c r="M103" s="318"/>
      <c r="N103" s="336">
        <v>0.017611</v>
      </c>
      <c r="O103" s="337">
        <v>0.219858156028369</v>
      </c>
      <c r="P103" s="337">
        <v>0.398728991829233</v>
      </c>
      <c r="Q103" s="337">
        <v>-0.05334758730558</v>
      </c>
      <c r="R103" s="337">
        <v>0.503830028685812</v>
      </c>
      <c r="S103" s="337">
        <v>0.155412296037296</v>
      </c>
      <c r="T103" s="337">
        <v>-0.0374421539755995</v>
      </c>
      <c r="U103" s="340">
        <v>-0.160416789309472</v>
      </c>
      <c r="V103" s="337">
        <v>0.448475804732466</v>
      </c>
      <c r="W103" s="337">
        <v>0.0566267231282098</v>
      </c>
      <c r="X103" s="337">
        <v>0.103664296723512</v>
      </c>
      <c r="Y103" s="337">
        <v>0.725845203363652</v>
      </c>
      <c r="Z103" s="337">
        <v>-0.0201782411299814</v>
      </c>
      <c r="AA103" s="337">
        <v>0.361492673992674</v>
      </c>
      <c r="AB103" s="337">
        <v>-0.264522646910254</v>
      </c>
      <c r="AC103" s="337">
        <v>0.132964517359786</v>
      </c>
      <c r="AD103" s="337">
        <v>1.1979035639413</v>
      </c>
      <c r="AE103" s="337">
        <v>-0.584132519616391</v>
      </c>
      <c r="AF103" s="337">
        <v>0.780779382083528</v>
      </c>
      <c r="AG103" s="337">
        <v>0.350880872483221</v>
      </c>
      <c r="AH103" s="337">
        <v>0.549561260968476</v>
      </c>
      <c r="AI103" s="337">
        <v>0.329732065687122</v>
      </c>
      <c r="AJ103" s="337">
        <v>1.13665743305633</v>
      </c>
      <c r="AK103" s="337">
        <v>0.083</v>
      </c>
      <c r="AL103" s="337" t="s">
        <v>129</v>
      </c>
      <c r="AM103" s="347" t="s">
        <v>129</v>
      </c>
      <c r="AS103" s="312" t="s">
        <v>178</v>
      </c>
      <c r="AT103"/>
      <c r="AU103"/>
      <c r="AV103"/>
      <c r="AW103"/>
      <c r="AX103" s="379">
        <v>0.0087263867959253</v>
      </c>
      <c r="AY103" s="379">
        <v>0.0207643930788102</v>
      </c>
      <c r="AZ103" s="379">
        <v>0.0377184412193585</v>
      </c>
      <c r="BA103" s="379">
        <v>0.080280059411505</v>
      </c>
      <c r="BB103" s="379">
        <v>0.0659301709109001</v>
      </c>
      <c r="BC103" s="379">
        <v>0.0655149768088614</v>
      </c>
      <c r="BD103" s="379">
        <v>0.0738047315298365</v>
      </c>
      <c r="BE103" s="382"/>
      <c r="BF103" s="379">
        <v>0.0207643930788102</v>
      </c>
      <c r="BG103" s="379">
        <v>0.0797029257152309</v>
      </c>
      <c r="BH103" s="379">
        <v>0.0725988870220093</v>
      </c>
      <c r="BI103" s="379">
        <v>0.0358682288812193</v>
      </c>
      <c r="BJ103" s="379">
        <v>0.0437965988907254</v>
      </c>
      <c r="BK103" s="379">
        <v>0.104161972570555</v>
      </c>
      <c r="BL103" s="379">
        <v>0.0953364838894115</v>
      </c>
      <c r="BM103" s="379">
        <v>0.0665068187794211</v>
      </c>
      <c r="BN103" s="379">
        <v>0.0602957159773323</v>
      </c>
      <c r="BO103" s="379">
        <v>0.0986738756953636</v>
      </c>
      <c r="BP103" s="379">
        <v>0.0865549936165921</v>
      </c>
      <c r="BQ103" s="379">
        <v>0.104681934209951</v>
      </c>
      <c r="BR103" s="379">
        <v>0.0827206164504672</v>
      </c>
      <c r="BS103" s="379">
        <v>0.0912371315059957</v>
      </c>
      <c r="BT103" s="379">
        <v>0.0786771029274067</v>
      </c>
      <c r="BU103" s="379">
        <v>0.0470040326565153</v>
      </c>
    </row>
    <row r="104" ht="15.15" spans="2:73">
      <c r="B104" s="298" t="s">
        <v>282</v>
      </c>
      <c r="C104" s="304">
        <v>1.56</v>
      </c>
      <c r="D104" s="305">
        <v>45838</v>
      </c>
      <c r="E104" s="306">
        <v>32068.524303</v>
      </c>
      <c r="F104" s="308">
        <v>-0.022849</v>
      </c>
      <c r="G104" s="308">
        <v>0.088088</v>
      </c>
      <c r="H104" s="308">
        <v>0.098035</v>
      </c>
      <c r="I104" s="308">
        <v>0.009658</v>
      </c>
      <c r="J104" s="308">
        <v>0.193335</v>
      </c>
      <c r="K104" s="308">
        <v>0.235846</v>
      </c>
      <c r="L104" s="338">
        <v>0.151516</v>
      </c>
      <c r="M104" s="318"/>
      <c r="N104" s="336">
        <v>0.008126</v>
      </c>
      <c r="O104" s="337">
        <v>0.300092872068725</v>
      </c>
      <c r="P104" s="337">
        <v>0.295922972769671</v>
      </c>
      <c r="Q104" s="337">
        <v>-0.0506998000571265</v>
      </c>
      <c r="R104" s="337">
        <v>0.399280575539568</v>
      </c>
      <c r="S104" s="337">
        <v>0.260135985897759</v>
      </c>
      <c r="T104" s="337">
        <v>0.113260442949257</v>
      </c>
      <c r="U104" s="337">
        <v>0.0351131746952989</v>
      </c>
      <c r="V104" s="337">
        <v>0.419859909353111</v>
      </c>
      <c r="W104" s="337">
        <v>-0.0311377245508982</v>
      </c>
      <c r="X104" s="337">
        <v>0.00845410628019327</v>
      </c>
      <c r="Y104" s="337">
        <v>0.76545842217484</v>
      </c>
      <c r="Z104" s="337">
        <v>0.0406804733727811</v>
      </c>
      <c r="AA104" s="337">
        <v>0.525959367945824</v>
      </c>
      <c r="AB104" s="337">
        <v>-0.114</v>
      </c>
      <c r="AC104" s="337" t="s">
        <v>129</v>
      </c>
      <c r="AD104" s="337" t="s">
        <v>129</v>
      </c>
      <c r="AE104" s="337" t="s">
        <v>129</v>
      </c>
      <c r="AF104" s="337" t="s">
        <v>129</v>
      </c>
      <c r="AG104" s="337" t="s">
        <v>129</v>
      </c>
      <c r="AH104" s="337" t="s">
        <v>129</v>
      </c>
      <c r="AI104" s="337" t="s">
        <v>129</v>
      </c>
      <c r="AJ104" s="337" t="s">
        <v>129</v>
      </c>
      <c r="AK104" s="337" t="s">
        <v>129</v>
      </c>
      <c r="AL104" s="337" t="s">
        <v>129</v>
      </c>
      <c r="AM104" s="347" t="s">
        <v>129</v>
      </c>
      <c r="AS104"/>
      <c r="AT104"/>
      <c r="AU104"/>
      <c r="AV104"/>
      <c r="AW104"/>
      <c r="AX104"/>
      <c r="AY104"/>
      <c r="AZ104"/>
      <c r="BA104"/>
      <c r="BB104"/>
      <c r="BC104"/>
      <c r="BD104"/>
      <c r="BE104"/>
      <c r="BF104"/>
      <c r="BG104"/>
      <c r="BH104"/>
      <c r="BI104"/>
      <c r="BJ104"/>
      <c r="BK104"/>
      <c r="BL104"/>
      <c r="BM104"/>
      <c r="BN104"/>
      <c r="BO104"/>
      <c r="BP104"/>
      <c r="BQ104"/>
      <c r="BR104"/>
      <c r="BS104"/>
      <c r="BT104"/>
      <c r="BU104"/>
    </row>
    <row r="105" ht="15.15" spans="2:73">
      <c r="B105" s="298" t="s">
        <v>283</v>
      </c>
      <c r="C105" s="304">
        <v>1.67</v>
      </c>
      <c r="D105" s="305">
        <v>45838</v>
      </c>
      <c r="E105" s="306">
        <v>19559.228</v>
      </c>
      <c r="F105" s="308">
        <v>-0.011352</v>
      </c>
      <c r="G105" s="308">
        <v>0.097988</v>
      </c>
      <c r="H105" s="308">
        <v>0.09033</v>
      </c>
      <c r="I105" s="308">
        <v>-0.017592</v>
      </c>
      <c r="J105" s="308">
        <v>0.197189</v>
      </c>
      <c r="K105" s="308">
        <v>0.209807</v>
      </c>
      <c r="L105" s="338">
        <v>0.142482</v>
      </c>
      <c r="M105" s="318"/>
      <c r="N105" s="336">
        <v>0.003247</v>
      </c>
      <c r="O105" s="337">
        <v>0.22445298145983</v>
      </c>
      <c r="P105" s="337">
        <v>0.384421500502942</v>
      </c>
      <c r="Q105" s="337">
        <v>-0.0492882660071448</v>
      </c>
      <c r="R105" s="337">
        <v>0.28316337324927</v>
      </c>
      <c r="S105" s="337">
        <v>0.236423563879879</v>
      </c>
      <c r="T105" s="337">
        <v>0.0921245595657556</v>
      </c>
      <c r="U105" s="337">
        <v>-0.101541778606752</v>
      </c>
      <c r="V105" s="337">
        <v>0.3979618687654</v>
      </c>
      <c r="W105" s="337">
        <v>0.114479191660668</v>
      </c>
      <c r="X105" s="337">
        <v>0.0725744188041521</v>
      </c>
      <c r="Y105" s="337">
        <v>0.705320134588189</v>
      </c>
      <c r="Z105" s="337">
        <v>0.0165063943689899</v>
      </c>
      <c r="AA105" s="337">
        <v>0.450010781283691</v>
      </c>
      <c r="AB105" s="337">
        <v>-0.272142296625687</v>
      </c>
      <c r="AC105" s="337">
        <v>0.29619583644131</v>
      </c>
      <c r="AD105" s="337">
        <v>1.19058229352347</v>
      </c>
      <c r="AE105" s="337">
        <v>-0.584598296927064</v>
      </c>
      <c r="AF105" s="337">
        <v>0.544605413648494</v>
      </c>
      <c r="AG105" s="337">
        <v>0.0492000000000001</v>
      </c>
      <c r="AH105" s="337" t="s">
        <v>129</v>
      </c>
      <c r="AI105" s="337" t="s">
        <v>129</v>
      </c>
      <c r="AJ105" s="337" t="s">
        <v>129</v>
      </c>
      <c r="AK105" s="337" t="s">
        <v>129</v>
      </c>
      <c r="AL105" s="337" t="s">
        <v>129</v>
      </c>
      <c r="AM105" s="347" t="s">
        <v>129</v>
      </c>
      <c r="AS105" s="366" t="s">
        <v>284</v>
      </c>
      <c r="AT105" s="351" t="s">
        <v>87</v>
      </c>
      <c r="AU105" s="352" t="s">
        <v>110</v>
      </c>
      <c r="AV105" s="353"/>
      <c r="AW105" s="368"/>
      <c r="AX105" s="332" t="s">
        <v>113</v>
      </c>
      <c r="AY105" s="333"/>
      <c r="AZ105" s="333"/>
      <c r="BA105" s="333"/>
      <c r="BB105" s="333"/>
      <c r="BC105" s="333"/>
      <c r="BD105" s="346"/>
      <c r="BE105" s="368"/>
      <c r="BF105" s="380" t="s">
        <v>114</v>
      </c>
      <c r="BG105" s="381"/>
      <c r="BH105" s="381"/>
      <c r="BI105" s="381"/>
      <c r="BJ105" s="381"/>
      <c r="BK105" s="381"/>
      <c r="BL105" s="381"/>
      <c r="BM105" s="381"/>
      <c r="BN105" s="381"/>
      <c r="BO105" s="381"/>
      <c r="BP105" s="381"/>
      <c r="BQ105" s="381"/>
      <c r="BR105" s="381"/>
      <c r="BS105" s="381"/>
      <c r="BT105" s="381"/>
      <c r="BU105" s="383"/>
    </row>
    <row r="106" ht="15.15" spans="2:73">
      <c r="B106" s="298" t="s">
        <v>285</v>
      </c>
      <c r="C106" s="304">
        <v>1.69</v>
      </c>
      <c r="D106" s="305">
        <v>45838</v>
      </c>
      <c r="E106" s="306">
        <v>10988.162</v>
      </c>
      <c r="F106" s="308">
        <v>-0.04037</v>
      </c>
      <c r="G106" s="308">
        <v>0.070286</v>
      </c>
      <c r="H106" s="308">
        <v>0.079011</v>
      </c>
      <c r="I106" s="308">
        <v>0.033263</v>
      </c>
      <c r="J106" s="308">
        <v>0.256162</v>
      </c>
      <c r="K106" s="308">
        <v>0.311428</v>
      </c>
      <c r="L106" s="338">
        <v>0.171302</v>
      </c>
      <c r="M106" s="318"/>
      <c r="N106" s="336">
        <v>-0.012129</v>
      </c>
      <c r="O106" s="337">
        <v>0.388946330838055</v>
      </c>
      <c r="P106" s="337">
        <v>0.38421464419976</v>
      </c>
      <c r="Q106" s="337">
        <v>0.0236360439903893</v>
      </c>
      <c r="R106" s="337">
        <v>0.502627021632569</v>
      </c>
      <c r="S106" s="337">
        <v>0.264343501818452</v>
      </c>
      <c r="T106" s="337">
        <v>0.0515101849683915</v>
      </c>
      <c r="U106" s="337">
        <v>-0.156956278580123</v>
      </c>
      <c r="V106" s="337">
        <v>0.522514400200351</v>
      </c>
      <c r="W106" s="337">
        <v>0.0249499460957955</v>
      </c>
      <c r="X106" s="337">
        <v>0.0938342318059299</v>
      </c>
      <c r="Y106" s="337">
        <v>0.833607907742998</v>
      </c>
      <c r="Z106" s="337">
        <v>0.0680743429011327</v>
      </c>
      <c r="AA106" s="337">
        <v>0.446547884187083</v>
      </c>
      <c r="AB106" s="337">
        <v>-0.247816201986359</v>
      </c>
      <c r="AC106" s="337">
        <v>0.26124358587383</v>
      </c>
      <c r="AD106" s="337">
        <v>0.886674259681093</v>
      </c>
      <c r="AE106" s="337">
        <v>-0.65949195268567</v>
      </c>
      <c r="AF106" s="337">
        <v>0.0314</v>
      </c>
      <c r="AG106" s="337" t="s">
        <v>129</v>
      </c>
      <c r="AH106" s="337" t="s">
        <v>129</v>
      </c>
      <c r="AI106" s="337" t="s">
        <v>129</v>
      </c>
      <c r="AJ106" s="337" t="s">
        <v>129</v>
      </c>
      <c r="AK106" s="337" t="s">
        <v>129</v>
      </c>
      <c r="AL106" s="337" t="s">
        <v>129</v>
      </c>
      <c r="AM106" s="347" t="s">
        <v>129</v>
      </c>
      <c r="AS106" s="367"/>
      <c r="AT106" s="355" t="s">
        <v>121</v>
      </c>
      <c r="AU106" s="356" t="s">
        <v>115</v>
      </c>
      <c r="AV106" s="357" t="s">
        <v>116</v>
      </c>
      <c r="AW106" s="369"/>
      <c r="AX106" s="266" t="s">
        <v>122</v>
      </c>
      <c r="AY106" s="268" t="s">
        <v>123</v>
      </c>
      <c r="AZ106" s="268" t="s">
        <v>124</v>
      </c>
      <c r="BA106" s="268" t="s">
        <v>91</v>
      </c>
      <c r="BB106" s="268" t="s">
        <v>125</v>
      </c>
      <c r="BC106" s="268" t="s">
        <v>126</v>
      </c>
      <c r="BD106" s="269" t="s">
        <v>127</v>
      </c>
      <c r="BE106" s="369"/>
      <c r="BF106" s="266">
        <v>2025</v>
      </c>
      <c r="BG106" s="266">
        <v>2024</v>
      </c>
      <c r="BH106" s="266">
        <v>2023</v>
      </c>
      <c r="BI106" s="268">
        <v>2022</v>
      </c>
      <c r="BJ106" s="268">
        <v>2021</v>
      </c>
      <c r="BK106" s="268">
        <v>2020</v>
      </c>
      <c r="BL106" s="268">
        <v>2019</v>
      </c>
      <c r="BM106" s="268">
        <v>2018</v>
      </c>
      <c r="BN106" s="268">
        <v>2017</v>
      </c>
      <c r="BO106" s="268">
        <v>2016</v>
      </c>
      <c r="BP106" s="268">
        <v>2015</v>
      </c>
      <c r="BQ106" s="268">
        <v>2014</v>
      </c>
      <c r="BR106" s="268">
        <v>2013</v>
      </c>
      <c r="BS106" s="268">
        <v>2012</v>
      </c>
      <c r="BT106" s="268">
        <v>2011</v>
      </c>
      <c r="BU106" s="269">
        <v>2010</v>
      </c>
    </row>
    <row r="107" spans="2:73">
      <c r="B107" s="298" t="s">
        <v>286</v>
      </c>
      <c r="C107" s="304">
        <v>1.76</v>
      </c>
      <c r="D107" s="305">
        <v>45838</v>
      </c>
      <c r="E107" s="306">
        <v>12784.807552444</v>
      </c>
      <c r="F107" s="308">
        <v>-0.022641</v>
      </c>
      <c r="G107" s="308">
        <v>0.068047</v>
      </c>
      <c r="H107" s="308">
        <v>0.074587</v>
      </c>
      <c r="I107" s="308">
        <v>0.007311</v>
      </c>
      <c r="J107" s="308">
        <v>0.240182</v>
      </c>
      <c r="K107" s="308">
        <v>0.265035</v>
      </c>
      <c r="L107" s="338">
        <v>0.148034</v>
      </c>
      <c r="M107" s="318"/>
      <c r="N107" s="336">
        <v>-0.003739</v>
      </c>
      <c r="O107" s="337">
        <v>0.318250201782713</v>
      </c>
      <c r="P107" s="337">
        <v>0.367527515691457</v>
      </c>
      <c r="Q107" s="337">
        <v>0.0217143736647208</v>
      </c>
      <c r="R107" s="337">
        <v>0.326186648667517</v>
      </c>
      <c r="S107" s="337">
        <v>0.17778890235713</v>
      </c>
      <c r="T107" s="337">
        <v>0.0353360865042357</v>
      </c>
      <c r="U107" s="337">
        <v>-0.0939445448490855</v>
      </c>
      <c r="V107" s="337">
        <v>0.396987795980406</v>
      </c>
      <c r="W107" s="337">
        <v>0.0845480440986604</v>
      </c>
      <c r="X107" s="337">
        <v>0.0681057953611432</v>
      </c>
      <c r="Y107" s="337">
        <v>0.781443857708899</v>
      </c>
      <c r="Z107" s="337">
        <v>0.0740133191178837</v>
      </c>
      <c r="AA107" s="337">
        <v>0.444233158964554</v>
      </c>
      <c r="AB107" s="337">
        <v>-0.220580492546148</v>
      </c>
      <c r="AC107" s="337">
        <v>0.191109557039586</v>
      </c>
      <c r="AD107" s="337">
        <v>1.07460104133618</v>
      </c>
      <c r="AE107" s="337">
        <v>-0.624560273841894</v>
      </c>
      <c r="AF107" s="337">
        <v>0.476505877962306</v>
      </c>
      <c r="AG107" s="337">
        <v>0.231741653737861</v>
      </c>
      <c r="AH107" s="337">
        <v>0.583098335304284</v>
      </c>
      <c r="AI107" s="337">
        <v>0.364065020474004</v>
      </c>
      <c r="AJ107" s="337">
        <v>1.77132049518569</v>
      </c>
      <c r="AK107" s="337">
        <v>0.457644110275689</v>
      </c>
      <c r="AL107" s="337">
        <v>0.0157841140529531</v>
      </c>
      <c r="AM107" s="347">
        <v>-0.44877911872018</v>
      </c>
      <c r="AS107" s="361" t="s">
        <v>287</v>
      </c>
      <c r="AT107" s="364">
        <v>0.52</v>
      </c>
      <c r="AU107" s="365">
        <v>45716</v>
      </c>
      <c r="AV107" s="364">
        <v>714.741580435375</v>
      </c>
      <c r="AW107" s="3"/>
      <c r="AX107" s="376">
        <v>0.013018</v>
      </c>
      <c r="AY107" s="376">
        <v>0.025195</v>
      </c>
      <c r="AZ107" s="376">
        <v>0.037703</v>
      </c>
      <c r="BA107" s="376">
        <v>0.090404</v>
      </c>
      <c r="BB107" s="376">
        <v>0.069252</v>
      </c>
      <c r="BC107" s="376">
        <v>0.067707</v>
      </c>
      <c r="BD107" s="376">
        <v>0.067626</v>
      </c>
      <c r="BE107" s="4"/>
      <c r="BF107" s="376">
        <v>0.025195</v>
      </c>
      <c r="BG107" s="376">
        <v>0.0955497115365012</v>
      </c>
      <c r="BH107" s="376">
        <v>0.0677681093170947</v>
      </c>
      <c r="BI107" s="376">
        <v>0.0355478413759292</v>
      </c>
      <c r="BJ107" s="376">
        <v>0.0560987948221992</v>
      </c>
      <c r="BK107" s="376">
        <v>0.0816456592550629</v>
      </c>
      <c r="BL107" s="376">
        <v>0.0776263943615073</v>
      </c>
      <c r="BM107" s="376">
        <v>0.0516133268163149</v>
      </c>
      <c r="BN107" s="376">
        <v>0.0744648330028141</v>
      </c>
      <c r="BO107" s="376">
        <v>0.0783372355442105</v>
      </c>
      <c r="BP107" s="376">
        <v>0.0634038919599118</v>
      </c>
      <c r="BQ107" s="376">
        <v>0.153140547263682</v>
      </c>
      <c r="BR107" s="376">
        <v>-0.0352</v>
      </c>
      <c r="BS107" s="376" t="s">
        <v>129</v>
      </c>
      <c r="BT107" s="376" t="s">
        <v>129</v>
      </c>
      <c r="BU107" s="376" t="s">
        <v>129</v>
      </c>
    </row>
    <row r="108" spans="2:73">
      <c r="B108" s="298" t="s">
        <v>288</v>
      </c>
      <c r="C108" s="304">
        <v>1.38</v>
      </c>
      <c r="D108" s="305">
        <v>45838</v>
      </c>
      <c r="E108" s="306">
        <v>84061.4276</v>
      </c>
      <c r="F108" s="308">
        <v>-0.014066</v>
      </c>
      <c r="G108" s="308">
        <v>0.090842</v>
      </c>
      <c r="H108" s="308">
        <v>0.090106</v>
      </c>
      <c r="I108" s="308">
        <v>0.016559</v>
      </c>
      <c r="J108" s="308">
        <v>0.276427</v>
      </c>
      <c r="K108" s="308">
        <v>0.313366</v>
      </c>
      <c r="L108" s="338">
        <v>0.173633</v>
      </c>
      <c r="M108" s="318"/>
      <c r="N108" s="336">
        <v>0.01777</v>
      </c>
      <c r="O108" s="337">
        <v>0.286179213115197</v>
      </c>
      <c r="P108" s="337">
        <v>0.444681805766905</v>
      </c>
      <c r="Q108" s="337">
        <v>0.122860053231689</v>
      </c>
      <c r="R108" s="337">
        <v>0.399089738874586</v>
      </c>
      <c r="S108" s="337">
        <v>0.217485400847031</v>
      </c>
      <c r="T108" s="337">
        <v>0.00203776406805</v>
      </c>
      <c r="U108" s="337">
        <v>-0.112022311497726</v>
      </c>
      <c r="V108" s="337">
        <v>0.416564763427711</v>
      </c>
      <c r="W108" s="337">
        <v>0.113485205551191</v>
      </c>
      <c r="X108" s="337">
        <v>0.0580999085695285</v>
      </c>
      <c r="Y108" s="337">
        <v>0.766320837819321</v>
      </c>
      <c r="Z108" s="337">
        <v>0.0964210978161722</v>
      </c>
      <c r="AA108" s="337">
        <v>0.396239136949356</v>
      </c>
      <c r="AB108" s="337">
        <v>-0.183058938735541</v>
      </c>
      <c r="AC108" s="337">
        <v>0.321284166262332</v>
      </c>
      <c r="AD108" s="337">
        <v>0.944033956925012</v>
      </c>
      <c r="AE108" s="337">
        <v>-0.515130726427319</v>
      </c>
      <c r="AF108" s="337">
        <v>0.3119</v>
      </c>
      <c r="AG108" s="337" t="s">
        <v>129</v>
      </c>
      <c r="AH108" s="337" t="s">
        <v>129</v>
      </c>
      <c r="AI108" s="337" t="s">
        <v>129</v>
      </c>
      <c r="AJ108" s="337" t="s">
        <v>129</v>
      </c>
      <c r="AK108" s="337" t="s">
        <v>129</v>
      </c>
      <c r="AL108" s="337" t="s">
        <v>129</v>
      </c>
      <c r="AM108" s="347" t="s">
        <v>129</v>
      </c>
      <c r="AS108" s="361" t="s">
        <v>289</v>
      </c>
      <c r="AT108" s="364">
        <v>1.23</v>
      </c>
      <c r="AU108" s="365">
        <v>45716</v>
      </c>
      <c r="AV108" s="364">
        <v>1737.5376</v>
      </c>
      <c r="AW108" s="3"/>
      <c r="AX108" s="376">
        <v>0.021731</v>
      </c>
      <c r="AY108" s="376">
        <v>0.027734</v>
      </c>
      <c r="AZ108" s="376">
        <v>0.037409</v>
      </c>
      <c r="BA108" s="376">
        <v>0.091871</v>
      </c>
      <c r="BB108" s="376">
        <v>0.079865</v>
      </c>
      <c r="BC108" s="376">
        <v>0.073808</v>
      </c>
      <c r="BD108" s="376">
        <v>0.064053</v>
      </c>
      <c r="BE108" s="4"/>
      <c r="BF108" s="376">
        <v>0.027734</v>
      </c>
      <c r="BG108" s="376">
        <v>0.0881457248266555</v>
      </c>
      <c r="BH108" s="376">
        <v>0.0688326222651899</v>
      </c>
      <c r="BI108" s="376">
        <v>0.0595747760587453</v>
      </c>
      <c r="BJ108" s="376">
        <v>0.0494848191827804</v>
      </c>
      <c r="BK108" s="376">
        <v>0.0973382957783954</v>
      </c>
      <c r="BL108" s="376">
        <v>-0.00861266220248975</v>
      </c>
      <c r="BM108" s="376">
        <v>0.0566342498690343</v>
      </c>
      <c r="BN108" s="376">
        <v>0.0215816972387366</v>
      </c>
      <c r="BO108" s="376">
        <v>0.140410865117152</v>
      </c>
      <c r="BP108" s="376">
        <v>0.0743897876919326</v>
      </c>
      <c r="BQ108" s="376">
        <v>0.1484644274308</v>
      </c>
      <c r="BR108" s="376">
        <v>0.0679472506624598</v>
      </c>
      <c r="BS108" s="376">
        <v>0.105290149063226</v>
      </c>
      <c r="BT108" s="376">
        <v>0.0923916764704052</v>
      </c>
      <c r="BU108" s="376">
        <v>0.0555457000374509</v>
      </c>
    </row>
    <row r="109" spans="2:73">
      <c r="B109" s="298" t="s">
        <v>290</v>
      </c>
      <c r="C109" s="304">
        <v>1.71</v>
      </c>
      <c r="D109" s="305">
        <v>45838</v>
      </c>
      <c r="E109" s="306">
        <v>12146.017</v>
      </c>
      <c r="F109" s="308">
        <v>-0.025677</v>
      </c>
      <c r="G109" s="308">
        <v>0.103011</v>
      </c>
      <c r="H109" s="308">
        <v>0.095459</v>
      </c>
      <c r="I109" s="308">
        <v>-0.007012</v>
      </c>
      <c r="J109" s="308">
        <v>0.240341</v>
      </c>
      <c r="K109" s="308">
        <v>0.253485</v>
      </c>
      <c r="L109" s="338">
        <v>0.153364</v>
      </c>
      <c r="M109" s="318"/>
      <c r="N109" s="336">
        <v>-0.054533</v>
      </c>
      <c r="O109" s="337">
        <v>0.397293127509653</v>
      </c>
      <c r="P109" s="337">
        <v>0.400146633050073</v>
      </c>
      <c r="Q109" s="337">
        <v>0.0106508359583232</v>
      </c>
      <c r="R109" s="337">
        <v>0.303949447077409</v>
      </c>
      <c r="S109" s="337">
        <v>0.19047619047619</v>
      </c>
      <c r="T109" s="337">
        <v>-0.00150229099376541</v>
      </c>
      <c r="U109" s="337">
        <v>-0.120325095810757</v>
      </c>
      <c r="V109" s="337">
        <v>0.523301459486663</v>
      </c>
      <c r="W109" s="337">
        <v>0.0979113714222566</v>
      </c>
      <c r="X109" s="337">
        <v>0.107724323662627</v>
      </c>
      <c r="Y109" s="337">
        <v>0.816140506891952</v>
      </c>
      <c r="Z109" s="337">
        <v>0.0558685446009389</v>
      </c>
      <c r="AA109" s="337">
        <v>0.381322957198444</v>
      </c>
      <c r="AB109" s="337">
        <v>-0.293632615666514</v>
      </c>
      <c r="AC109" s="337">
        <v>0.220575901593514</v>
      </c>
      <c r="AD109" s="337">
        <v>1.11281748375665</v>
      </c>
      <c r="AE109" s="337">
        <v>-0.614175022789426</v>
      </c>
      <c r="AF109" s="337">
        <v>0.645911477869467</v>
      </c>
      <c r="AG109" s="337">
        <v>0.251055842327546</v>
      </c>
      <c r="AH109" s="337">
        <v>0.533093525179856</v>
      </c>
      <c r="AI109" s="337">
        <v>0.39</v>
      </c>
      <c r="AJ109" s="337" t="s">
        <v>129</v>
      </c>
      <c r="AK109" s="337" t="s">
        <v>129</v>
      </c>
      <c r="AL109" s="337" t="s">
        <v>129</v>
      </c>
      <c r="AM109" s="347" t="s">
        <v>129</v>
      </c>
      <c r="AS109" s="361" t="s">
        <v>291</v>
      </c>
      <c r="AT109" s="364">
        <v>0.64</v>
      </c>
      <c r="AU109" s="365">
        <v>45716</v>
      </c>
      <c r="AV109" s="364">
        <v>1360.226001</v>
      </c>
      <c r="AW109" s="3"/>
      <c r="AX109" s="376">
        <v>0.022985</v>
      </c>
      <c r="AY109" s="376">
        <v>0.026913</v>
      </c>
      <c r="AZ109" s="376">
        <v>0.035404</v>
      </c>
      <c r="BA109" s="376">
        <v>0.087631</v>
      </c>
      <c r="BB109" s="376">
        <v>0.065504</v>
      </c>
      <c r="BC109" s="376">
        <v>0.063955</v>
      </c>
      <c r="BD109" s="376">
        <v>0.073697</v>
      </c>
      <c r="BE109" s="4"/>
      <c r="BF109" s="376">
        <v>0.026913</v>
      </c>
      <c r="BG109" s="376">
        <v>0.0857161499312981</v>
      </c>
      <c r="BH109" s="376">
        <v>0.0656670388685064</v>
      </c>
      <c r="BI109" s="376">
        <v>0.0210652044084912</v>
      </c>
      <c r="BJ109" s="376">
        <v>0.0389508395886667</v>
      </c>
      <c r="BK109" s="376">
        <v>0.123372603687871</v>
      </c>
      <c r="BL109" s="376">
        <v>0.109657354571761</v>
      </c>
      <c r="BM109" s="376">
        <v>0.0621911984373204</v>
      </c>
      <c r="BN109" s="376">
        <v>0.0338130393723235</v>
      </c>
      <c r="BO109" s="376">
        <v>0.134028881644529</v>
      </c>
      <c r="BP109" s="376">
        <v>0.0674776931760172</v>
      </c>
      <c r="BQ109" s="376">
        <v>0.140576180283908</v>
      </c>
      <c r="BR109" s="376">
        <v>0.049225606608157</v>
      </c>
      <c r="BS109" s="376">
        <v>0.108134135527608</v>
      </c>
      <c r="BT109" s="376">
        <v>0.04879</v>
      </c>
      <c r="BU109" s="376" t="s">
        <v>129</v>
      </c>
    </row>
    <row r="110" spans="2:73">
      <c r="B110" s="298" t="s">
        <v>292</v>
      </c>
      <c r="C110" s="304">
        <v>1.86</v>
      </c>
      <c r="D110" s="305">
        <v>45838</v>
      </c>
      <c r="E110" s="306">
        <v>6824.4417662422</v>
      </c>
      <c r="F110" s="308">
        <v>-0.026185</v>
      </c>
      <c r="G110" s="308">
        <v>0.120225</v>
      </c>
      <c r="H110" s="308">
        <v>0.10913</v>
      </c>
      <c r="I110" s="308">
        <v>0.001891</v>
      </c>
      <c r="J110" s="308">
        <v>0.226218</v>
      </c>
      <c r="K110" s="308">
        <v>0.283868</v>
      </c>
      <c r="L110" s="338">
        <v>0.147617</v>
      </c>
      <c r="M110" s="318"/>
      <c r="N110" s="336">
        <v>0.045333</v>
      </c>
      <c r="O110" s="337">
        <v>0.270246085011186</v>
      </c>
      <c r="P110" s="337">
        <v>0.327512473271561</v>
      </c>
      <c r="Q110" s="337">
        <v>0.0311121999020089</v>
      </c>
      <c r="R110" s="337">
        <v>0.448159645232816</v>
      </c>
      <c r="S110" s="337">
        <v>0.191105007394887</v>
      </c>
      <c r="T110" s="337">
        <v>-0.00608987820243593</v>
      </c>
      <c r="U110" s="337">
        <v>-0.107822014051522</v>
      </c>
      <c r="V110" s="337">
        <v>0.42904953145917</v>
      </c>
      <c r="W110" s="337">
        <v>0.0482739264664608</v>
      </c>
      <c r="X110" s="337">
        <v>0.0508774517032886</v>
      </c>
      <c r="Y110" s="337">
        <v>0.869589192169837</v>
      </c>
      <c r="Z110" s="337">
        <v>0.0749851807943095</v>
      </c>
      <c r="AA110" s="337">
        <v>0.40466278101582</v>
      </c>
      <c r="AB110" s="337">
        <v>-0.326038159371493</v>
      </c>
      <c r="AC110" s="337">
        <v>0.195571955719557</v>
      </c>
      <c r="AD110" s="337">
        <v>1.00740740740741</v>
      </c>
      <c r="AE110" s="337">
        <v>-0.678013876843018</v>
      </c>
      <c r="AF110" s="337">
        <v>0.623372052094333</v>
      </c>
      <c r="AG110" s="337">
        <v>0.402962962962963</v>
      </c>
      <c r="AH110" s="337">
        <v>0.697401508801341</v>
      </c>
      <c r="AI110" s="337">
        <v>0.193</v>
      </c>
      <c r="AJ110" s="337" t="s">
        <v>129</v>
      </c>
      <c r="AK110" s="337" t="s">
        <v>129</v>
      </c>
      <c r="AL110" s="337" t="s">
        <v>129</v>
      </c>
      <c r="AM110" s="347" t="s">
        <v>129</v>
      </c>
      <c r="AS110" s="361" t="s">
        <v>293</v>
      </c>
      <c r="AT110" s="364">
        <v>1.57</v>
      </c>
      <c r="AU110" s="365">
        <v>45716</v>
      </c>
      <c r="AV110" s="364">
        <v>3029.8473</v>
      </c>
      <c r="AW110" s="3"/>
      <c r="AX110" s="376">
        <v>0.030244</v>
      </c>
      <c r="AY110" s="376">
        <v>0.026492</v>
      </c>
      <c r="AZ110" s="376">
        <v>0.024693</v>
      </c>
      <c r="BA110" s="376">
        <v>0.082192</v>
      </c>
      <c r="BB110" s="376">
        <v>0.063155</v>
      </c>
      <c r="BC110" s="376">
        <v>0.060609</v>
      </c>
      <c r="BD110" s="376">
        <v>0.071308</v>
      </c>
      <c r="BE110" s="4"/>
      <c r="BF110" s="376">
        <v>0.026492</v>
      </c>
      <c r="BG110" s="376">
        <v>0.0999021124337255</v>
      </c>
      <c r="BH110" s="376">
        <v>0.0636620138730954</v>
      </c>
      <c r="BI110" s="376">
        <v>0.00989047270430491</v>
      </c>
      <c r="BJ110" s="376">
        <v>0.0175165689872378</v>
      </c>
      <c r="BK110" s="376">
        <v>0.129485275921802</v>
      </c>
      <c r="BL110" s="376">
        <v>0.109798967373393</v>
      </c>
      <c r="BM110" s="376">
        <v>0.0680354916770551</v>
      </c>
      <c r="BN110" s="376">
        <v>0.0347679606640969</v>
      </c>
      <c r="BO110" s="376">
        <v>0.131331051770119</v>
      </c>
      <c r="BP110" s="376">
        <v>0.0610581798529261</v>
      </c>
      <c r="BQ110" s="376">
        <v>0.158226779761151</v>
      </c>
      <c r="BR110" s="376">
        <v>0.0471806504831487</v>
      </c>
      <c r="BS110" s="376">
        <v>0.112462105694388</v>
      </c>
      <c r="BT110" s="376">
        <v>0.113066793127348</v>
      </c>
      <c r="BU110" s="376">
        <v>0.0388335717601583</v>
      </c>
    </row>
    <row r="111" spans="2:73">
      <c r="B111" s="298" t="s">
        <v>294</v>
      </c>
      <c r="C111" s="304">
        <v>1.78</v>
      </c>
      <c r="D111" s="305">
        <v>45838</v>
      </c>
      <c r="E111" s="306">
        <v>7405.9153</v>
      </c>
      <c r="F111" s="308">
        <v>-0.010426</v>
      </c>
      <c r="G111" s="308">
        <v>0.13884</v>
      </c>
      <c r="H111" s="308">
        <v>0.159</v>
      </c>
      <c r="I111" s="308">
        <v>0.116512</v>
      </c>
      <c r="J111" s="308">
        <v>0.286986</v>
      </c>
      <c r="K111" s="308">
        <v>0.29348</v>
      </c>
      <c r="L111" s="338">
        <v>0.173545</v>
      </c>
      <c r="M111" s="318"/>
      <c r="N111" s="336">
        <v>0.039882</v>
      </c>
      <c r="O111" s="337">
        <v>0.431499460625674</v>
      </c>
      <c r="P111" s="337">
        <v>0.341235392320534</v>
      </c>
      <c r="Q111" s="337">
        <v>0.00514598948428229</v>
      </c>
      <c r="R111" s="337">
        <v>0.431385108086469</v>
      </c>
      <c r="S111" s="337">
        <v>0.243776140211113</v>
      </c>
      <c r="T111" s="337">
        <v>0.0380401075046517</v>
      </c>
      <c r="U111" s="337">
        <v>-0.0526831179005093</v>
      </c>
      <c r="V111" s="337">
        <v>0.443188241944601</v>
      </c>
      <c r="W111" s="337">
        <v>0.0105684090259927</v>
      </c>
      <c r="X111" s="337">
        <v>0.0638103919781222</v>
      </c>
      <c r="Y111" s="337">
        <v>0.770306616460462</v>
      </c>
      <c r="Z111" s="337">
        <v>0.0622857142857143</v>
      </c>
      <c r="AA111" s="337">
        <v>0.417004048582996</v>
      </c>
      <c r="AB111" s="337">
        <v>-0.1750167000668</v>
      </c>
      <c r="AC111" s="337">
        <v>0.256926952141058</v>
      </c>
      <c r="AD111" s="337">
        <v>1.05344827586207</v>
      </c>
      <c r="AE111" s="337">
        <v>-0.641754169240272</v>
      </c>
      <c r="AF111" s="337">
        <v>0.619</v>
      </c>
      <c r="AG111" s="337" t="s">
        <v>129</v>
      </c>
      <c r="AH111" s="337" t="s">
        <v>129</v>
      </c>
      <c r="AI111" s="337" t="s">
        <v>129</v>
      </c>
      <c r="AJ111" s="337" t="s">
        <v>129</v>
      </c>
      <c r="AK111" s="337" t="s">
        <v>129</v>
      </c>
      <c r="AL111" s="337" t="s">
        <v>129</v>
      </c>
      <c r="AM111" s="347" t="s">
        <v>129</v>
      </c>
      <c r="AS111" s="361" t="s">
        <v>295</v>
      </c>
      <c r="AT111" s="364">
        <v>1.69</v>
      </c>
      <c r="AU111" s="365">
        <v>45716</v>
      </c>
      <c r="AV111" s="364">
        <v>178.1811</v>
      </c>
      <c r="AW111" s="3"/>
      <c r="AX111" s="376">
        <v>0.017074</v>
      </c>
      <c r="AY111" s="376">
        <v>0.025564</v>
      </c>
      <c r="AZ111" s="376">
        <v>0.033963</v>
      </c>
      <c r="BA111" s="376">
        <v>0.084082</v>
      </c>
      <c r="BB111" s="376">
        <v>0.068055</v>
      </c>
      <c r="BC111" s="376">
        <v>0.055845</v>
      </c>
      <c r="BD111" s="376">
        <v>0.064406</v>
      </c>
      <c r="BE111" s="4"/>
      <c r="BF111" s="376">
        <v>0.025564</v>
      </c>
      <c r="BG111" s="376">
        <v>0.0827747651059578</v>
      </c>
      <c r="BH111" s="376">
        <v>0.0693468315512947</v>
      </c>
      <c r="BI111" s="376">
        <v>0.0319610144077189</v>
      </c>
      <c r="BJ111" s="376">
        <v>0.0136712457767828</v>
      </c>
      <c r="BK111" s="376">
        <v>0.0941390197756114</v>
      </c>
      <c r="BL111" s="376">
        <v>0.0793363813141002</v>
      </c>
      <c r="BM111" s="376">
        <v>0.0472784980401372</v>
      </c>
      <c r="BN111" s="376">
        <v>0.0343840046216385</v>
      </c>
      <c r="BO111" s="376">
        <v>0.137160963143074</v>
      </c>
      <c r="BP111" s="376">
        <v>0.0642449407642035</v>
      </c>
      <c r="BQ111" s="376">
        <v>0.142866191144372</v>
      </c>
      <c r="BR111" s="376">
        <v>0.0741413327332387</v>
      </c>
      <c r="BS111" s="376">
        <v>0.102939733444158</v>
      </c>
      <c r="BT111" s="376">
        <v>0.0619984920279771</v>
      </c>
      <c r="BU111" s="376">
        <v>0.0379332065075619</v>
      </c>
    </row>
    <row r="112" spans="2:73">
      <c r="B112" s="298" t="s">
        <v>296</v>
      </c>
      <c r="C112" s="304">
        <v>1.4</v>
      </c>
      <c r="D112" s="305">
        <v>45838</v>
      </c>
      <c r="E112" s="306">
        <v>57101.9619</v>
      </c>
      <c r="F112" s="308">
        <v>-0.005472</v>
      </c>
      <c r="G112" s="308">
        <v>0.127071</v>
      </c>
      <c r="H112" s="308">
        <v>0.110793</v>
      </c>
      <c r="I112" s="308">
        <v>0.025832</v>
      </c>
      <c r="J112" s="308">
        <v>0.230646</v>
      </c>
      <c r="K112" s="308">
        <v>0.293672</v>
      </c>
      <c r="L112" s="338">
        <v>0.17394</v>
      </c>
      <c r="M112" s="318"/>
      <c r="N112" s="336">
        <v>0.015032</v>
      </c>
      <c r="O112" s="337">
        <v>0.335514130369839</v>
      </c>
      <c r="P112" s="337">
        <v>0.314957639880056</v>
      </c>
      <c r="Q112" s="337">
        <v>0.0512774626947854</v>
      </c>
      <c r="R112" s="337">
        <v>0.473060934806854</v>
      </c>
      <c r="S112" s="337">
        <v>0.218888257248078</v>
      </c>
      <c r="T112" s="337">
        <v>0.0885731966529449</v>
      </c>
      <c r="U112" s="337">
        <v>-0.1172153341884</v>
      </c>
      <c r="V112" s="337">
        <v>0.430046533745457</v>
      </c>
      <c r="W112" s="337">
        <v>0.103568483394557</v>
      </c>
      <c r="X112" s="337">
        <v>0.0842071039583841</v>
      </c>
      <c r="Y112" s="337">
        <v>0.873172959805116</v>
      </c>
      <c r="Z112" s="337">
        <v>-0.0506612705066128</v>
      </c>
      <c r="AA112" s="337">
        <v>0.479893048128342</v>
      </c>
      <c r="AB112" s="337">
        <v>-0.266436529107171</v>
      </c>
      <c r="AC112" s="337">
        <v>0.211712139937256</v>
      </c>
      <c r="AD112" s="337">
        <v>0.776558013849012</v>
      </c>
      <c r="AE112" s="337">
        <v>-0.652176467132703</v>
      </c>
      <c r="AF112" s="337">
        <v>0.7023</v>
      </c>
      <c r="AG112" s="337" t="s">
        <v>129</v>
      </c>
      <c r="AH112" s="337" t="s">
        <v>129</v>
      </c>
      <c r="AI112" s="337" t="s">
        <v>129</v>
      </c>
      <c r="AJ112" s="337" t="s">
        <v>129</v>
      </c>
      <c r="AK112" s="337" t="s">
        <v>129</v>
      </c>
      <c r="AL112" s="337" t="s">
        <v>129</v>
      </c>
      <c r="AM112" s="347" t="s">
        <v>129</v>
      </c>
      <c r="AS112" s="361" t="s">
        <v>297</v>
      </c>
      <c r="AT112" s="364">
        <v>1.75</v>
      </c>
      <c r="AU112" s="365">
        <v>45716</v>
      </c>
      <c r="AV112" s="364">
        <v>123.1905</v>
      </c>
      <c r="AW112" s="3"/>
      <c r="AX112" s="376">
        <v>0.026295</v>
      </c>
      <c r="AY112" s="376">
        <v>0.026527</v>
      </c>
      <c r="AZ112" s="376">
        <v>0.028862</v>
      </c>
      <c r="BA112" s="376">
        <v>0.075494</v>
      </c>
      <c r="BB112" s="376">
        <v>0.060876</v>
      </c>
      <c r="BC112" s="376">
        <v>0.052154</v>
      </c>
      <c r="BD112" s="376">
        <v>0.06247</v>
      </c>
      <c r="BE112" s="4"/>
      <c r="BF112" s="376">
        <v>0.026527</v>
      </c>
      <c r="BG112" s="376">
        <v>0.0769814845046146</v>
      </c>
      <c r="BH112" s="376">
        <v>0.0566132344918328</v>
      </c>
      <c r="BI112" s="376">
        <v>0.0248348386619362</v>
      </c>
      <c r="BJ112" s="376">
        <v>0.0120069395617425</v>
      </c>
      <c r="BK112" s="376">
        <v>0.0961923482115576</v>
      </c>
      <c r="BL112" s="376">
        <v>0.0893297166249355</v>
      </c>
      <c r="BM112" s="376">
        <v>0.0415183376107293</v>
      </c>
      <c r="BN112" s="376">
        <v>0.0327352007609358</v>
      </c>
      <c r="BO112" s="376">
        <v>0.148445219056269</v>
      </c>
      <c r="BP112" s="376">
        <v>0.0583371761481356</v>
      </c>
      <c r="BQ112" s="376">
        <v>0.143307987049633</v>
      </c>
      <c r="BR112" s="376">
        <v>0.0759323767217409</v>
      </c>
      <c r="BS112" s="376">
        <v>0.0948182358909767</v>
      </c>
      <c r="BT112" s="376">
        <v>0.0849355628523165</v>
      </c>
      <c r="BU112" s="376">
        <v>0.0296965847461768</v>
      </c>
    </row>
    <row r="113" spans="2:73">
      <c r="B113" s="298" t="s">
        <v>298</v>
      </c>
      <c r="C113" s="304">
        <v>1.56</v>
      </c>
      <c r="D113" s="305">
        <v>45838</v>
      </c>
      <c r="E113" s="306">
        <v>33053.1257</v>
      </c>
      <c r="F113" s="308">
        <v>-0.025866</v>
      </c>
      <c r="G113" s="308">
        <v>0.077367</v>
      </c>
      <c r="H113" s="308">
        <v>0.060307</v>
      </c>
      <c r="I113" s="308">
        <v>0.015928</v>
      </c>
      <c r="J113" s="308">
        <v>0.294017</v>
      </c>
      <c r="K113" s="308">
        <v>0.349839</v>
      </c>
      <c r="L113" s="338">
        <v>0.169498</v>
      </c>
      <c r="M113" s="318"/>
      <c r="N113" s="336">
        <v>-0.094323</v>
      </c>
      <c r="O113" s="337">
        <v>0.571301328649948</v>
      </c>
      <c r="P113" s="337">
        <v>0.416798860691892</v>
      </c>
      <c r="Q113" s="337">
        <v>0.107052844326784</v>
      </c>
      <c r="R113" s="337">
        <v>0.558329750424831</v>
      </c>
      <c r="S113" s="337">
        <v>0.0931614462685065</v>
      </c>
      <c r="T113" s="337">
        <v>0.0971764638473595</v>
      </c>
      <c r="U113" s="337">
        <v>-0.127036470689113</v>
      </c>
      <c r="V113" s="337">
        <v>0.307839674040016</v>
      </c>
      <c r="W113" s="337">
        <v>0.0518312461910471</v>
      </c>
      <c r="X113" s="337">
        <v>0.164797545239608</v>
      </c>
      <c r="Y113" s="337">
        <v>0.74681</v>
      </c>
      <c r="Z113" s="337" t="s">
        <v>129</v>
      </c>
      <c r="AA113" s="337" t="s">
        <v>129</v>
      </c>
      <c r="AB113" s="337" t="s">
        <v>129</v>
      </c>
      <c r="AC113" s="337" t="s">
        <v>129</v>
      </c>
      <c r="AD113" s="337" t="s">
        <v>129</v>
      </c>
      <c r="AE113" s="337" t="s">
        <v>129</v>
      </c>
      <c r="AF113" s="337" t="s">
        <v>129</v>
      </c>
      <c r="AG113" s="337" t="s">
        <v>129</v>
      </c>
      <c r="AH113" s="337" t="s">
        <v>129</v>
      </c>
      <c r="AI113" s="337" t="s">
        <v>129</v>
      </c>
      <c r="AJ113" s="337" t="s">
        <v>129</v>
      </c>
      <c r="AK113" s="337" t="s">
        <v>129</v>
      </c>
      <c r="AL113" s="337" t="s">
        <v>129</v>
      </c>
      <c r="AM113" s="347" t="s">
        <v>129</v>
      </c>
      <c r="AS113" s="361" t="s">
        <v>299</v>
      </c>
      <c r="AT113" s="364">
        <v>1.2</v>
      </c>
      <c r="AU113" s="365">
        <v>45716</v>
      </c>
      <c r="AV113" s="364">
        <v>1678.4808</v>
      </c>
      <c r="AW113" s="3"/>
      <c r="AX113" s="376">
        <v>0.028812</v>
      </c>
      <c r="AY113" s="376">
        <v>0.026934</v>
      </c>
      <c r="AZ113" s="376">
        <v>0.03062</v>
      </c>
      <c r="BA113" s="376">
        <v>0.089267</v>
      </c>
      <c r="BB113" s="376">
        <v>0.072496</v>
      </c>
      <c r="BC113" s="376">
        <v>0.064898</v>
      </c>
      <c r="BD113" s="376">
        <v>0.071612</v>
      </c>
      <c r="BE113" s="4"/>
      <c r="BF113" s="376">
        <v>0.026934</v>
      </c>
      <c r="BG113" s="376">
        <v>0.0992842867356173</v>
      </c>
      <c r="BH113" s="376">
        <v>0.0792369781129136</v>
      </c>
      <c r="BI113" s="376">
        <v>0.0159853651373751</v>
      </c>
      <c r="BJ113" s="376">
        <v>0.0236199671269282</v>
      </c>
      <c r="BK113" s="376">
        <v>0.123245176156962</v>
      </c>
      <c r="BL113" s="376">
        <v>0.103014451278054</v>
      </c>
      <c r="BM113" s="376">
        <v>0.0652838023132246</v>
      </c>
      <c r="BN113" s="376">
        <v>0.0182289664819843</v>
      </c>
      <c r="BO113" s="376">
        <v>0.130008132547673</v>
      </c>
      <c r="BP113" s="376">
        <v>0.0685787061412207</v>
      </c>
      <c r="BQ113" s="376">
        <v>0.145422979682177</v>
      </c>
      <c r="BR113" s="376">
        <v>0.0626037177976293</v>
      </c>
      <c r="BS113" s="376">
        <v>0.099835870743387</v>
      </c>
      <c r="BT113" s="376">
        <v>0.0906070317188636</v>
      </c>
      <c r="BU113" s="376">
        <v>0.0476713025660349</v>
      </c>
    </row>
    <row r="114" spans="2:73">
      <c r="B114" s="298" t="s">
        <v>300</v>
      </c>
      <c r="C114" s="304">
        <v>1.55</v>
      </c>
      <c r="D114" s="305">
        <v>45838</v>
      </c>
      <c r="E114" s="306">
        <v>39065.5498</v>
      </c>
      <c r="F114" s="308">
        <v>-0.027448</v>
      </c>
      <c r="G114" s="308">
        <v>0.073108</v>
      </c>
      <c r="H114" s="308">
        <v>0.093228</v>
      </c>
      <c r="I114" s="308">
        <v>0.007485</v>
      </c>
      <c r="J114" s="308">
        <v>0.264815</v>
      </c>
      <c r="K114" s="308">
        <v>0.310133</v>
      </c>
      <c r="L114" s="338">
        <v>0.169852</v>
      </c>
      <c r="M114" s="318"/>
      <c r="N114" s="336">
        <v>0.009463</v>
      </c>
      <c r="O114" s="337">
        <v>0.268985814880924</v>
      </c>
      <c r="P114" s="337">
        <v>0.486128838977084</v>
      </c>
      <c r="Q114" s="337">
        <v>0.058108604655271</v>
      </c>
      <c r="R114" s="337">
        <v>0.464622736167595</v>
      </c>
      <c r="S114" s="337">
        <v>0.220528308515084</v>
      </c>
      <c r="T114" s="337">
        <v>0.0678394691666459</v>
      </c>
      <c r="U114" s="337">
        <v>-0.108985202218153</v>
      </c>
      <c r="V114" s="337">
        <v>0.442194903375096</v>
      </c>
      <c r="W114" s="337">
        <v>0.0351132400999246</v>
      </c>
      <c r="X114" s="337">
        <v>0.0634861740404676</v>
      </c>
      <c r="Y114" s="337">
        <v>0.548714771031787</v>
      </c>
      <c r="Z114" s="337">
        <v>-0.0246957612345904</v>
      </c>
      <c r="AA114" s="337">
        <v>0.378175997817088</v>
      </c>
      <c r="AB114" s="337">
        <v>-0.274033357022945</v>
      </c>
      <c r="AC114" s="337">
        <v>0.171825253268849</v>
      </c>
      <c r="AD114" s="337">
        <v>0.973993400193634</v>
      </c>
      <c r="AE114" s="337">
        <v>-0.541069679689653</v>
      </c>
      <c r="AF114" s="337">
        <v>0.7685011621804</v>
      </c>
      <c r="AG114" s="337">
        <v>0.409979913310075</v>
      </c>
      <c r="AH114" s="337">
        <v>0.687299322154834</v>
      </c>
      <c r="AI114" s="337">
        <v>0.425737538148525</v>
      </c>
      <c r="AJ114" s="337">
        <v>1.55656697009103</v>
      </c>
      <c r="AK114" s="337">
        <v>0.55746835443038</v>
      </c>
      <c r="AL114" s="337">
        <v>-0.183884297520661</v>
      </c>
      <c r="AM114" s="347">
        <v>-0.402616637867193</v>
      </c>
      <c r="AS114" s="361" t="s">
        <v>301</v>
      </c>
      <c r="AT114" s="364">
        <v>1.45</v>
      </c>
      <c r="AU114" s="365">
        <v>45716</v>
      </c>
      <c r="AV114" s="364">
        <v>60.853876887</v>
      </c>
      <c r="AW114" s="3"/>
      <c r="AX114" s="376">
        <v>0.023669</v>
      </c>
      <c r="AY114" s="376">
        <v>0.023201</v>
      </c>
      <c r="AZ114" s="376">
        <v>0.031587</v>
      </c>
      <c r="BA114" s="376">
        <v>0.074263</v>
      </c>
      <c r="BB114" s="376">
        <v>0.05565</v>
      </c>
      <c r="BC114" s="376">
        <v>0.053332</v>
      </c>
      <c r="BD114" s="376" t="s">
        <v>129</v>
      </c>
      <c r="BE114" s="4"/>
      <c r="BF114" s="376">
        <v>0.023201</v>
      </c>
      <c r="BG114" s="376">
        <v>0.0682349375865773</v>
      </c>
      <c r="BH114" s="376">
        <v>0.0546810061743821</v>
      </c>
      <c r="BI114" s="376">
        <v>0.0274071005027867</v>
      </c>
      <c r="BJ114" s="376">
        <v>0.0352751364647812</v>
      </c>
      <c r="BK114" s="376">
        <v>0.0728346186739955</v>
      </c>
      <c r="BL114" s="376">
        <v>0.0955005215362017</v>
      </c>
      <c r="BM114" s="376">
        <v>0.00510760000000005</v>
      </c>
      <c r="BN114" s="376" t="s">
        <v>129</v>
      </c>
      <c r="BO114" s="376" t="s">
        <v>129</v>
      </c>
      <c r="BP114" s="376" t="s">
        <v>129</v>
      </c>
      <c r="BQ114" s="376" t="s">
        <v>129</v>
      </c>
      <c r="BR114" s="376" t="s">
        <v>129</v>
      </c>
      <c r="BS114" s="376" t="s">
        <v>129</v>
      </c>
      <c r="BT114" s="376" t="s">
        <v>129</v>
      </c>
      <c r="BU114" s="376" t="s">
        <v>129</v>
      </c>
    </row>
    <row r="115" spans="2:73">
      <c r="B115" s="298" t="s">
        <v>302</v>
      </c>
      <c r="C115" s="304">
        <v>1.74</v>
      </c>
      <c r="D115" s="305">
        <v>45838</v>
      </c>
      <c r="E115" s="306">
        <v>9140.4137</v>
      </c>
      <c r="F115" s="308">
        <v>-0.031842</v>
      </c>
      <c r="G115" s="308">
        <v>0.013009</v>
      </c>
      <c r="H115" s="308">
        <v>0.000348</v>
      </c>
      <c r="I115" s="308">
        <v>-0.146075</v>
      </c>
      <c r="J115" s="308">
        <v>0.20074</v>
      </c>
      <c r="K115" s="308">
        <v>0.296029</v>
      </c>
      <c r="L115" s="338">
        <v>0.163498</v>
      </c>
      <c r="M115" s="318"/>
      <c r="N115" s="336">
        <v>-0.032039</v>
      </c>
      <c r="O115" s="337">
        <v>0.189406378445846</v>
      </c>
      <c r="P115" s="337">
        <v>0.346058450666997</v>
      </c>
      <c r="Q115" s="337">
        <v>0.17129680679796</v>
      </c>
      <c r="R115" s="337">
        <v>0.503863806250973</v>
      </c>
      <c r="S115" s="337">
        <v>0.420269690035817</v>
      </c>
      <c r="T115" s="337">
        <v>-0.0259858512457362</v>
      </c>
      <c r="U115" s="337">
        <v>-0.0165865221925863</v>
      </c>
      <c r="V115" s="337">
        <v>0.308367863589406</v>
      </c>
      <c r="W115" s="337">
        <v>-0.0255992177094994</v>
      </c>
      <c r="X115" s="337">
        <v>0.0802944480294448</v>
      </c>
      <c r="Y115" s="337">
        <v>0.262472806490838</v>
      </c>
      <c r="Z115" s="337">
        <v>0.0861953126792321</v>
      </c>
      <c r="AA115" s="337">
        <v>0.194599419772372</v>
      </c>
      <c r="AB115" s="337">
        <v>-0.0990613789722083</v>
      </c>
      <c r="AC115" s="337">
        <v>0.0918750914706947</v>
      </c>
      <c r="AD115" s="337">
        <v>0.0868578795793985</v>
      </c>
      <c r="AE115" s="337">
        <v>-0.323736974854144</v>
      </c>
      <c r="AF115" s="337">
        <v>0.40161007467128</v>
      </c>
      <c r="AG115" s="337">
        <v>0.154083557704636</v>
      </c>
      <c r="AH115" s="337">
        <v>0.146423790650673</v>
      </c>
      <c r="AI115" s="337">
        <v>0.107889778067278</v>
      </c>
      <c r="AJ115" s="337">
        <v>0.41306027185615</v>
      </c>
      <c r="AK115" s="337">
        <v>0.167773512476008</v>
      </c>
      <c r="AL115" s="337">
        <v>0.042</v>
      </c>
      <c r="AM115" s="347" t="s">
        <v>129</v>
      </c>
      <c r="AS115" s="361" t="s">
        <v>303</v>
      </c>
      <c r="AT115" s="364">
        <v>1.52</v>
      </c>
      <c r="AU115" s="365">
        <v>45716</v>
      </c>
      <c r="AV115" s="364">
        <v>803.6263</v>
      </c>
      <c r="AW115" s="3"/>
      <c r="AX115" s="376">
        <v>0.018705</v>
      </c>
      <c r="AY115" s="376">
        <v>0.024968</v>
      </c>
      <c r="AZ115" s="376">
        <v>0.031337</v>
      </c>
      <c r="BA115" s="376">
        <v>0.083665</v>
      </c>
      <c r="BB115" s="376">
        <v>0.065603</v>
      </c>
      <c r="BC115" s="376">
        <v>0.067766</v>
      </c>
      <c r="BD115" s="376">
        <v>0.062417</v>
      </c>
      <c r="BE115" s="4"/>
      <c r="BF115" s="376">
        <v>0.024968</v>
      </c>
      <c r="BG115" s="376">
        <v>0.0854904310586824</v>
      </c>
      <c r="BH115" s="376">
        <v>0.0672017948063464</v>
      </c>
      <c r="BI115" s="376">
        <v>0.0157360835546191</v>
      </c>
      <c r="BJ115" s="376">
        <v>0.0743251365559461</v>
      </c>
      <c r="BK115" s="376">
        <v>0.0894963137114602</v>
      </c>
      <c r="BL115" s="376">
        <v>0.0323486978243485</v>
      </c>
      <c r="BM115" s="376">
        <v>0.041136643766244</v>
      </c>
      <c r="BN115" s="376">
        <v>0.0269373565427101</v>
      </c>
      <c r="BO115" s="376">
        <v>0.147371274151267</v>
      </c>
      <c r="BP115" s="376">
        <v>0.0551022803666515</v>
      </c>
      <c r="BQ115" s="376">
        <v>0.161418493860332</v>
      </c>
      <c r="BR115" s="376">
        <v>0.0533403653149248</v>
      </c>
      <c r="BS115" s="376">
        <v>0.106235739248477</v>
      </c>
      <c r="BT115" s="376">
        <v>0.0618337279340505</v>
      </c>
      <c r="BU115" s="376">
        <v>0.0567341409506031</v>
      </c>
    </row>
    <row r="116" spans="2:73">
      <c r="B116" s="298" t="s">
        <v>304</v>
      </c>
      <c r="C116" s="304">
        <v>1.66</v>
      </c>
      <c r="D116" s="305">
        <v>45838</v>
      </c>
      <c r="E116" s="306">
        <v>23269.0012</v>
      </c>
      <c r="F116" s="308">
        <v>-0.038342</v>
      </c>
      <c r="G116" s="308">
        <v>0.03073</v>
      </c>
      <c r="H116" s="308">
        <v>0.022948</v>
      </c>
      <c r="I116" s="308">
        <v>-0.036897</v>
      </c>
      <c r="J116" s="308">
        <v>0.177255</v>
      </c>
      <c r="K116" s="308">
        <v>0.272802</v>
      </c>
      <c r="L116" s="338">
        <v>0.140184</v>
      </c>
      <c r="M116" s="318"/>
      <c r="N116" s="336">
        <v>-0.016885</v>
      </c>
      <c r="O116" s="337">
        <v>0.203429409546074</v>
      </c>
      <c r="P116" s="337">
        <v>0.34456881419517</v>
      </c>
      <c r="Q116" s="337">
        <v>0.030422383818216</v>
      </c>
      <c r="R116" s="337">
        <v>0.52249890970642</v>
      </c>
      <c r="S116" s="337">
        <v>0.304489747637401</v>
      </c>
      <c r="T116" s="337">
        <v>0.000717285307629416</v>
      </c>
      <c r="U116" s="337">
        <v>-0.179796943049738</v>
      </c>
      <c r="V116" s="337">
        <v>0.334888586478555</v>
      </c>
      <c r="W116" s="337">
        <v>0.0498296788113315</v>
      </c>
      <c r="X116" s="337">
        <v>0.149195942763857</v>
      </c>
      <c r="Y116" s="337">
        <v>0.719433740029958</v>
      </c>
      <c r="Z116" s="337">
        <v>0.135717920756089</v>
      </c>
      <c r="AA116" s="337">
        <v>0.479827864443249</v>
      </c>
      <c r="AB116" s="337">
        <v>-0.257884231536926</v>
      </c>
      <c r="AC116" s="337">
        <v>0.146978021978022</v>
      </c>
      <c r="AD116" s="337">
        <v>1.0411214953271</v>
      </c>
      <c r="AE116" s="337">
        <v>-0.717379820390914</v>
      </c>
      <c r="AF116" s="337">
        <v>0.706943192064923</v>
      </c>
      <c r="AG116" s="337">
        <v>0.466931216931217</v>
      </c>
      <c r="AH116" s="337">
        <v>0.512</v>
      </c>
      <c r="AI116" s="337" t="s">
        <v>129</v>
      </c>
      <c r="AJ116" s="337" t="s">
        <v>129</v>
      </c>
      <c r="AK116" s="337" t="s">
        <v>129</v>
      </c>
      <c r="AL116" s="337" t="s">
        <v>129</v>
      </c>
      <c r="AM116" s="347" t="s">
        <v>129</v>
      </c>
      <c r="AS116" s="361" t="s">
        <v>305</v>
      </c>
      <c r="AT116" s="364">
        <v>0.76</v>
      </c>
      <c r="AU116" s="365">
        <v>45716</v>
      </c>
      <c r="AV116" s="364">
        <v>151.5412</v>
      </c>
      <c r="AW116" s="3"/>
      <c r="AX116" s="376">
        <v>0.022908</v>
      </c>
      <c r="AY116" s="376">
        <v>0.028452</v>
      </c>
      <c r="AZ116" s="376">
        <v>0.036068</v>
      </c>
      <c r="BA116" s="376">
        <v>0.090392</v>
      </c>
      <c r="BB116" s="376">
        <v>0.068935</v>
      </c>
      <c r="BC116" s="376">
        <v>0.057956</v>
      </c>
      <c r="BD116" s="376">
        <v>0.069116</v>
      </c>
      <c r="BE116" s="4"/>
      <c r="BF116" s="376">
        <v>0.028452</v>
      </c>
      <c r="BG116" s="376">
        <v>0.0871897232747292</v>
      </c>
      <c r="BH116" s="376">
        <v>0.065388555778234</v>
      </c>
      <c r="BI116" s="376">
        <v>0.0258388952626599</v>
      </c>
      <c r="BJ116" s="376">
        <v>0.010497366138484</v>
      </c>
      <c r="BK116" s="376">
        <v>0.108009151172494</v>
      </c>
      <c r="BL116" s="376">
        <v>0.0950112424152198</v>
      </c>
      <c r="BM116" s="376">
        <v>0.0606388944849479</v>
      </c>
      <c r="BN116" s="376">
        <v>0.0285155878119942</v>
      </c>
      <c r="BO116" s="376">
        <v>0.148235551325909</v>
      </c>
      <c r="BP116" s="376">
        <v>0.074718045112782</v>
      </c>
      <c r="BQ116" s="376">
        <v>0.140047901172318</v>
      </c>
      <c r="BR116" s="376">
        <v>0.0561139585968182</v>
      </c>
      <c r="BS116" s="376">
        <v>0.106676857061299</v>
      </c>
      <c r="BT116" s="376">
        <v>0.0729960182193635</v>
      </c>
      <c r="BU116" s="376">
        <v>0.01211</v>
      </c>
    </row>
    <row r="117" spans="2:73">
      <c r="B117" s="298" t="s">
        <v>306</v>
      </c>
      <c r="C117" s="304">
        <v>1.73</v>
      </c>
      <c r="D117" s="305">
        <v>45838</v>
      </c>
      <c r="E117" s="306">
        <v>12818.0990967133</v>
      </c>
      <c r="F117" s="308">
        <v>-0.015017</v>
      </c>
      <c r="G117" s="308">
        <v>0.078763</v>
      </c>
      <c r="H117" s="308">
        <v>0.080249</v>
      </c>
      <c r="I117" s="308">
        <v>0.014235</v>
      </c>
      <c r="J117" s="308">
        <v>0.246984</v>
      </c>
      <c r="K117" s="308">
        <v>0.28224</v>
      </c>
      <c r="L117" s="338">
        <v>0.142524</v>
      </c>
      <c r="M117" s="318"/>
      <c r="N117" s="336">
        <v>-0.005188</v>
      </c>
      <c r="O117" s="337">
        <v>0.320110060838101</v>
      </c>
      <c r="P117" s="337">
        <v>0.403519651499444</v>
      </c>
      <c r="Q117" s="337">
        <v>0.0483911386623974</v>
      </c>
      <c r="R117" s="337">
        <v>0.374888047748228</v>
      </c>
      <c r="S117" s="337">
        <v>0.117901871167011</v>
      </c>
      <c r="T117" s="337">
        <v>-0.00299894612964215</v>
      </c>
      <c r="U117" s="337">
        <v>-0.154052633010142</v>
      </c>
      <c r="V117" s="337">
        <v>0.407710817001625</v>
      </c>
      <c r="W117" s="337">
        <v>0.113293470445194</v>
      </c>
      <c r="X117" s="337">
        <v>0.111508213794546</v>
      </c>
      <c r="Y117" s="337">
        <v>0.750344720133993</v>
      </c>
      <c r="Z117" s="337">
        <v>0.0463949040135552</v>
      </c>
      <c r="AA117" s="337">
        <v>0.380192407065266</v>
      </c>
      <c r="AB117" s="337">
        <v>-0.236691461261666</v>
      </c>
      <c r="AC117" s="337">
        <v>0.207596731432076</v>
      </c>
      <c r="AD117" s="337">
        <v>1.14626472234235</v>
      </c>
      <c r="AE117" s="337">
        <v>-0.583443602469499</v>
      </c>
      <c r="AF117" s="337">
        <v>0.63131158167675</v>
      </c>
      <c r="AG117" s="337">
        <v>0.632451499118166</v>
      </c>
      <c r="AH117" s="337">
        <v>0.589147829986407</v>
      </c>
      <c r="AI117" s="337">
        <v>0.35724909750039</v>
      </c>
      <c r="AJ117" s="337">
        <v>1.57726470588235</v>
      </c>
      <c r="AK117" s="337">
        <v>0.0199999999999999</v>
      </c>
      <c r="AL117" s="337" t="s">
        <v>129</v>
      </c>
      <c r="AM117" s="347" t="s">
        <v>129</v>
      </c>
      <c r="AS117" s="361" t="s">
        <v>307</v>
      </c>
      <c r="AT117" s="364">
        <v>1.29</v>
      </c>
      <c r="AU117" s="365">
        <v>45716</v>
      </c>
      <c r="AV117" s="364">
        <v>13643.9310374665</v>
      </c>
      <c r="AW117" s="3"/>
      <c r="AX117" s="376">
        <v>0.014947</v>
      </c>
      <c r="AY117" s="376">
        <v>0.025313</v>
      </c>
      <c r="AZ117" s="376">
        <v>0.041661</v>
      </c>
      <c r="BA117" s="376">
        <v>0.087239</v>
      </c>
      <c r="BB117" s="376">
        <v>0.074723</v>
      </c>
      <c r="BC117" s="376">
        <v>0.071427</v>
      </c>
      <c r="BD117" s="376">
        <v>0.079543</v>
      </c>
      <c r="BE117" s="4"/>
      <c r="BF117" s="376">
        <v>0.025313</v>
      </c>
      <c r="BG117" s="376">
        <v>0.0821345423354982</v>
      </c>
      <c r="BH117" s="376">
        <v>0.0758187942023636</v>
      </c>
      <c r="BI117" s="376">
        <v>0.0454949522792268</v>
      </c>
      <c r="BJ117" s="376">
        <v>0.0428674092705714</v>
      </c>
      <c r="BK117" s="376">
        <v>0.117742505542525</v>
      </c>
      <c r="BL117" s="376">
        <v>0.1016211241682</v>
      </c>
      <c r="BM117" s="376">
        <v>0.0622150786265498</v>
      </c>
      <c r="BN117" s="376">
        <v>0.0510306401181542</v>
      </c>
      <c r="BO117" s="376">
        <v>0.168639924263853</v>
      </c>
      <c r="BP117" s="376">
        <v>0.0573884063455635</v>
      </c>
      <c r="BQ117" s="376">
        <v>0.193877253581683</v>
      </c>
      <c r="BR117" s="376">
        <v>0.0963170088679396</v>
      </c>
      <c r="BS117" s="376">
        <v>0.0994290733421168</v>
      </c>
      <c r="BT117" s="376">
        <v>0.0890151515151515</v>
      </c>
      <c r="BU117" s="376">
        <v>0.04544</v>
      </c>
    </row>
    <row r="118" spans="2:73">
      <c r="B118" s="298" t="s">
        <v>308</v>
      </c>
      <c r="C118" s="304">
        <v>1.85</v>
      </c>
      <c r="D118" s="305">
        <v>45838</v>
      </c>
      <c r="E118" s="306">
        <v>4985.200206577</v>
      </c>
      <c r="F118" s="308">
        <v>-0.011692</v>
      </c>
      <c r="G118" s="308">
        <v>0.075573</v>
      </c>
      <c r="H118" s="308">
        <v>0.067996</v>
      </c>
      <c r="I118" s="308">
        <v>-0.052983</v>
      </c>
      <c r="J118" s="308">
        <v>0.216404</v>
      </c>
      <c r="K118" s="308">
        <v>0.264669</v>
      </c>
      <c r="L118" s="338">
        <v>0.149132</v>
      </c>
      <c r="M118" s="318"/>
      <c r="N118" s="336">
        <v>0.008076</v>
      </c>
      <c r="O118" s="337">
        <v>0.226994426475493</v>
      </c>
      <c r="P118" s="337">
        <v>0.405441665099367</v>
      </c>
      <c r="Q118" s="337">
        <v>0.00604668480129556</v>
      </c>
      <c r="R118" s="337">
        <v>0.400150979945305</v>
      </c>
      <c r="S118" s="337">
        <v>0.242553492734899</v>
      </c>
      <c r="T118" s="337">
        <v>0.0650542036682665</v>
      </c>
      <c r="U118" s="337">
        <v>-0.130128464531734</v>
      </c>
      <c r="V118" s="337">
        <v>0.497837288235497</v>
      </c>
      <c r="W118" s="337">
        <v>-0.0221622161639799</v>
      </c>
      <c r="X118" s="337">
        <v>0.108297383964807</v>
      </c>
      <c r="Y118" s="337">
        <v>0.800363797369848</v>
      </c>
      <c r="Z118" s="337">
        <v>0.0655350662029161</v>
      </c>
      <c r="AA118" s="337">
        <v>0.376872481447424</v>
      </c>
      <c r="AB118" s="337">
        <v>-0.226949414143171</v>
      </c>
      <c r="AC118" s="337">
        <v>0.166714856015299</v>
      </c>
      <c r="AD118" s="337">
        <v>0.916454822512674</v>
      </c>
      <c r="AE118" s="337">
        <v>-0.602338423950966</v>
      </c>
      <c r="AF118" s="337">
        <v>0.650235243457042</v>
      </c>
      <c r="AG118" s="337">
        <v>0.27002228073729</v>
      </c>
      <c r="AH118" s="337">
        <v>0.423340829152972</v>
      </c>
      <c r="AI118" s="337">
        <v>0.296314290626145</v>
      </c>
      <c r="AJ118" s="337">
        <v>1.08157518048295</v>
      </c>
      <c r="AK118" s="337">
        <v>0.143752001993095</v>
      </c>
      <c r="AL118" s="337">
        <v>-0.0936451612903226</v>
      </c>
      <c r="AM118" s="347">
        <v>0.208576998050682</v>
      </c>
      <c r="AS118" s="361" t="s">
        <v>309</v>
      </c>
      <c r="AT118" s="364">
        <v>1.2</v>
      </c>
      <c r="AU118" s="365">
        <v>45716</v>
      </c>
      <c r="AV118" s="364">
        <v>44.1815</v>
      </c>
      <c r="AW118" s="3"/>
      <c r="AX118" s="376">
        <v>0.014126</v>
      </c>
      <c r="AY118" s="376">
        <v>0.024915</v>
      </c>
      <c r="AZ118" s="376">
        <v>0.036264</v>
      </c>
      <c r="BA118" s="376">
        <v>0.078861</v>
      </c>
      <c r="BB118" s="376">
        <v>0.067026</v>
      </c>
      <c r="BC118" s="376" t="s">
        <v>129</v>
      </c>
      <c r="BD118" s="376" t="s">
        <v>129</v>
      </c>
      <c r="BE118" s="4"/>
      <c r="BF118" s="376">
        <v>0.024915</v>
      </c>
      <c r="BG118" s="376">
        <v>0.0865353596903115</v>
      </c>
      <c r="BH118" s="376">
        <v>0.0569104151079204</v>
      </c>
      <c r="BI118" s="376">
        <v>0.0371290775683401</v>
      </c>
      <c r="BJ118" s="376">
        <v>0.01807</v>
      </c>
      <c r="BK118" s="376" t="s">
        <v>129</v>
      </c>
      <c r="BL118" s="376" t="s">
        <v>129</v>
      </c>
      <c r="BM118" s="376" t="s">
        <v>129</v>
      </c>
      <c r="BN118" s="376" t="s">
        <v>129</v>
      </c>
      <c r="BO118" s="376" t="s">
        <v>129</v>
      </c>
      <c r="BP118" s="376" t="s">
        <v>129</v>
      </c>
      <c r="BQ118" s="376" t="s">
        <v>129</v>
      </c>
      <c r="BR118" s="376" t="s">
        <v>129</v>
      </c>
      <c r="BS118" s="376" t="s">
        <v>129</v>
      </c>
      <c r="BT118" s="376" t="s">
        <v>129</v>
      </c>
      <c r="BU118" s="376" t="s">
        <v>129</v>
      </c>
    </row>
    <row r="119" ht="15.15" spans="2:73">
      <c r="B119" s="298" t="s">
        <v>310</v>
      </c>
      <c r="C119" s="309">
        <v>1.75</v>
      </c>
      <c r="D119" s="310">
        <v>45838</v>
      </c>
      <c r="E119" s="311">
        <v>12224.2714</v>
      </c>
      <c r="F119" s="308">
        <v>-0.031632</v>
      </c>
      <c r="G119" s="308">
        <v>0.084987</v>
      </c>
      <c r="H119" s="308">
        <v>0.062859</v>
      </c>
      <c r="I119" s="308">
        <v>-0.048763</v>
      </c>
      <c r="J119" s="308">
        <v>0.178245</v>
      </c>
      <c r="K119" s="308">
        <v>0.247023</v>
      </c>
      <c r="L119" s="338">
        <v>0.136419</v>
      </c>
      <c r="M119" s="318"/>
      <c r="N119" s="336">
        <v>-0.015412</v>
      </c>
      <c r="O119" s="337">
        <v>0.232814304927263</v>
      </c>
      <c r="P119" s="337">
        <v>0.305422687626072</v>
      </c>
      <c r="Q119" s="337">
        <v>-0.00750633539119727</v>
      </c>
      <c r="R119" s="337">
        <v>0.430654739984398</v>
      </c>
      <c r="S119" s="337">
        <v>0.326771472958501</v>
      </c>
      <c r="T119" s="337">
        <v>-0.00194462689834988</v>
      </c>
      <c r="U119" s="337">
        <v>-0.149494810988972</v>
      </c>
      <c r="V119" s="337">
        <v>0.419881043519227</v>
      </c>
      <c r="W119" s="337">
        <v>0.0347919954532623</v>
      </c>
      <c r="X119" s="337">
        <v>0.0659584960587959</v>
      </c>
      <c r="Y119" s="337">
        <v>0.904417834935206</v>
      </c>
      <c r="Z119" s="337">
        <v>0.0969232899473831</v>
      </c>
      <c r="AA119" s="337">
        <v>0.415523324186593</v>
      </c>
      <c r="AB119" s="337">
        <v>-0.239188786161646</v>
      </c>
      <c r="AC119" s="337">
        <v>0.189428875487762</v>
      </c>
      <c r="AD119" s="337">
        <v>1.10687593423019</v>
      </c>
      <c r="AE119" s="337">
        <v>-0.611159546643418</v>
      </c>
      <c r="AF119" s="337">
        <v>0.52797513321492</v>
      </c>
      <c r="AG119" s="337">
        <v>0.117617866004963</v>
      </c>
      <c r="AH119" s="337">
        <v>0.28099173553719</v>
      </c>
      <c r="AI119" s="337" t="s">
        <v>129</v>
      </c>
      <c r="AJ119" s="337" t="s">
        <v>129</v>
      </c>
      <c r="AK119" s="337" t="s">
        <v>129</v>
      </c>
      <c r="AL119" s="337" t="s">
        <v>129</v>
      </c>
      <c r="AM119" s="347" t="s">
        <v>129</v>
      </c>
      <c r="AS119" s="361" t="s">
        <v>311</v>
      </c>
      <c r="AT119" s="364">
        <v>0.92</v>
      </c>
      <c r="AU119" s="365">
        <v>45716</v>
      </c>
      <c r="AV119" s="364">
        <v>44.028268712</v>
      </c>
      <c r="AW119" s="3"/>
      <c r="AX119" s="376">
        <v>0.018962</v>
      </c>
      <c r="AY119" s="376">
        <v>0.029127</v>
      </c>
      <c r="AZ119" s="376">
        <v>0.038294</v>
      </c>
      <c r="BA119" s="376">
        <v>0.086607</v>
      </c>
      <c r="BB119" s="376">
        <v>0.067949</v>
      </c>
      <c r="BC119" s="376">
        <v>0.060803</v>
      </c>
      <c r="BD119" s="376">
        <v>0.067597</v>
      </c>
      <c r="BE119" s="4"/>
      <c r="BF119" s="376">
        <v>0.029127</v>
      </c>
      <c r="BG119" s="376">
        <v>0.0803651947896261</v>
      </c>
      <c r="BH119" s="376">
        <v>0.0629048839465415</v>
      </c>
      <c r="BI119" s="376">
        <v>0.0382915388778639</v>
      </c>
      <c r="BJ119" s="376">
        <v>0.0268935066539044</v>
      </c>
      <c r="BK119" s="376">
        <v>0.0777703826955075</v>
      </c>
      <c r="BL119" s="376">
        <v>0.0616873940079142</v>
      </c>
      <c r="BM119" s="376">
        <v>0.0744369493339812</v>
      </c>
      <c r="BN119" s="376">
        <v>0.0749916344968863</v>
      </c>
      <c r="BO119" s="376">
        <v>0.0832552382636372</v>
      </c>
      <c r="BP119" s="376">
        <v>0.0897389578546276</v>
      </c>
      <c r="BQ119" s="376">
        <v>0.0881913538505088</v>
      </c>
      <c r="BR119" s="376">
        <v>0.0816969930652816</v>
      </c>
      <c r="BS119" s="376">
        <v>0.0793546847172154</v>
      </c>
      <c r="BT119" s="376">
        <v>0.0812780009397066</v>
      </c>
      <c r="BU119" s="376">
        <v>0.0524296051761003</v>
      </c>
    </row>
    <row r="120" spans="2:73">
      <c r="B120" s="312" t="s">
        <v>312</v>
      </c>
      <c r="F120" s="302">
        <v>-0.022897</v>
      </c>
      <c r="G120" s="303">
        <v>0.067576</v>
      </c>
      <c r="H120" s="303">
        <v>0.062307</v>
      </c>
      <c r="I120" s="303">
        <v>-0.058658</v>
      </c>
      <c r="J120" s="303">
        <v>0.238603</v>
      </c>
      <c r="K120" s="303">
        <v>0.271637</v>
      </c>
      <c r="L120" s="335">
        <v>0.150311</v>
      </c>
      <c r="M120" s="318"/>
      <c r="N120" s="339">
        <v>-0.014275</v>
      </c>
      <c r="O120" s="340">
        <v>0.260739505342404</v>
      </c>
      <c r="P120" s="340">
        <v>0.455261608959292</v>
      </c>
      <c r="Q120" s="340">
        <v>0.0137933078308118</v>
      </c>
      <c r="R120" s="340">
        <v>0.391755283720417</v>
      </c>
      <c r="S120" s="340">
        <v>0.198666072503496</v>
      </c>
      <c r="T120" s="340">
        <v>-0.0304836301571726</v>
      </c>
      <c r="U120" s="340">
        <v>-0.133761446269863</v>
      </c>
      <c r="V120" s="340">
        <v>0.481331256535016</v>
      </c>
      <c r="W120" s="340">
        <v>0.0797140467447062</v>
      </c>
      <c r="X120" s="340">
        <v>0.0742823868314344</v>
      </c>
      <c r="Y120" s="340">
        <v>0.546862603570768</v>
      </c>
      <c r="Z120" s="340">
        <v>-0.0572664556881942</v>
      </c>
      <c r="AA120" s="340">
        <v>0.385164701414787</v>
      </c>
      <c r="AB120" s="340">
        <v>-0.341888907828178</v>
      </c>
      <c r="AC120" s="340">
        <v>0.161494353823115</v>
      </c>
      <c r="AD120" s="340">
        <v>1.0765737778396</v>
      </c>
      <c r="AE120" s="340">
        <v>-0.66953845399505</v>
      </c>
      <c r="AF120" s="340">
        <v>0.686337030031799</v>
      </c>
      <c r="AG120" s="340">
        <v>0.31130351499764</v>
      </c>
      <c r="AH120" s="340">
        <v>0.466316678535349</v>
      </c>
      <c r="AI120" s="340">
        <v>0.255530881447843</v>
      </c>
      <c r="AJ120" s="340" t="s">
        <v>129</v>
      </c>
      <c r="AK120" s="340" t="s">
        <v>129</v>
      </c>
      <c r="AL120" s="340" t="s">
        <v>129</v>
      </c>
      <c r="AM120" s="348" t="s">
        <v>129</v>
      </c>
      <c r="AS120" s="361" t="s">
        <v>313</v>
      </c>
      <c r="AT120" s="364">
        <v>1.33</v>
      </c>
      <c r="AU120" s="365">
        <v>45716</v>
      </c>
      <c r="AV120" s="364">
        <v>3001.1309</v>
      </c>
      <c r="AW120" s="3"/>
      <c r="AX120" s="376">
        <v>0.020264</v>
      </c>
      <c r="AY120" s="376">
        <v>0.024921</v>
      </c>
      <c r="AZ120" s="376">
        <v>0.027881</v>
      </c>
      <c r="BA120" s="376">
        <v>0.084927</v>
      </c>
      <c r="BB120" s="376">
        <v>0.067004</v>
      </c>
      <c r="BC120" s="376">
        <v>0.065272</v>
      </c>
      <c r="BD120" s="376">
        <v>0.077794</v>
      </c>
      <c r="BE120" s="4"/>
      <c r="BF120" s="376">
        <v>0.024921</v>
      </c>
      <c r="BG120" s="376">
        <v>0.0927197176339083</v>
      </c>
      <c r="BH120" s="376">
        <v>0.0651477601413216</v>
      </c>
      <c r="BI120" s="376">
        <v>0.0250116070836374</v>
      </c>
      <c r="BJ120" s="376">
        <v>0.0318408130442965</v>
      </c>
      <c r="BK120" s="376">
        <v>0.117084918101718</v>
      </c>
      <c r="BL120" s="376">
        <v>0.110764357713635</v>
      </c>
      <c r="BM120" s="376">
        <v>0.0730482720914869</v>
      </c>
      <c r="BN120" s="376">
        <v>0.0561048959461085</v>
      </c>
      <c r="BO120" s="376">
        <v>0.133648622111671</v>
      </c>
      <c r="BP120" s="376">
        <v>0.074590120692384</v>
      </c>
      <c r="BQ120" s="376">
        <v>0.104858556551474</v>
      </c>
      <c r="BR120" s="376">
        <v>0.0882769605942925</v>
      </c>
      <c r="BS120" s="376">
        <v>0.0965869568577745</v>
      </c>
      <c r="BT120" s="376">
        <v>0.0929256240233137</v>
      </c>
      <c r="BU120" s="376">
        <v>0.0574621266256967</v>
      </c>
    </row>
    <row r="121" spans="2:73">
      <c r="B121" s="313" t="s">
        <v>314</v>
      </c>
      <c r="F121" s="307">
        <v>-0.03918</v>
      </c>
      <c r="G121" s="308">
        <v>0.06052</v>
      </c>
      <c r="H121" s="308">
        <v>0.068669</v>
      </c>
      <c r="I121" s="308">
        <v>-0.026959</v>
      </c>
      <c r="J121" s="308">
        <v>0.245793</v>
      </c>
      <c r="K121" s="308">
        <v>0.299617</v>
      </c>
      <c r="L121" s="338">
        <v>0.15366</v>
      </c>
      <c r="M121" s="318"/>
      <c r="N121" s="336">
        <v>0.003516</v>
      </c>
      <c r="O121" s="337">
        <v>0.238575320181802</v>
      </c>
      <c r="P121" s="337">
        <v>0.465660664300155</v>
      </c>
      <c r="Q121" s="337">
        <v>0.0350229445946344</v>
      </c>
      <c r="R121" s="337">
        <v>0.46061652872736</v>
      </c>
      <c r="S121" s="337">
        <v>0.21868147931589</v>
      </c>
      <c r="T121" s="337">
        <v>-0.0432435456350871</v>
      </c>
      <c r="U121" s="337">
        <v>-0.154162822059763</v>
      </c>
      <c r="V121" s="337">
        <v>0.472568973866752</v>
      </c>
      <c r="W121" s="337">
        <v>0.0712675509640434</v>
      </c>
      <c r="X121" s="337">
        <v>0.0645946987607132</v>
      </c>
      <c r="Y121" s="337">
        <v>0.559085896943491</v>
      </c>
      <c r="Z121" s="337">
        <v>-0.0510046913028654</v>
      </c>
      <c r="AA121" s="337">
        <v>0.391575382249237</v>
      </c>
      <c r="AB121" s="337">
        <v>-0.309956871245992</v>
      </c>
      <c r="AC121" s="337">
        <v>0.191637068130449</v>
      </c>
      <c r="AD121" s="337">
        <v>0.989720526823</v>
      </c>
      <c r="AE121" s="337">
        <v>-0.593949901357087</v>
      </c>
      <c r="AF121" s="337">
        <v>0.7692869849512</v>
      </c>
      <c r="AG121" s="337">
        <v>0.290116488233324</v>
      </c>
      <c r="AH121" s="337">
        <v>0.3503883189375</v>
      </c>
      <c r="AI121" s="337">
        <v>0.249648300117233</v>
      </c>
      <c r="AJ121" s="337">
        <v>1.38258648896692</v>
      </c>
      <c r="AK121" s="337">
        <v>0.242180916976456</v>
      </c>
      <c r="AL121" s="337" t="s">
        <v>129</v>
      </c>
      <c r="AM121" s="347" t="s">
        <v>129</v>
      </c>
      <c r="AS121" s="361" t="s">
        <v>315</v>
      </c>
      <c r="AT121" s="364">
        <v>1.57</v>
      </c>
      <c r="AU121" s="365">
        <v>45716</v>
      </c>
      <c r="AV121" s="364">
        <v>75.9761</v>
      </c>
      <c r="AW121" s="3"/>
      <c r="AX121" s="376">
        <v>0.02144</v>
      </c>
      <c r="AY121" s="376">
        <v>0.024927</v>
      </c>
      <c r="AZ121" s="376">
        <v>0.030263</v>
      </c>
      <c r="BA121" s="376">
        <v>0.081794</v>
      </c>
      <c r="BB121" s="376">
        <v>0.059381</v>
      </c>
      <c r="BC121" s="376">
        <v>0.047019</v>
      </c>
      <c r="BD121" s="376" t="s">
        <v>129</v>
      </c>
      <c r="BE121" s="4"/>
      <c r="BF121" s="376">
        <v>0.024927</v>
      </c>
      <c r="BG121" s="376">
        <v>0.083301722775407</v>
      </c>
      <c r="BH121" s="376">
        <v>0.0587615150982705</v>
      </c>
      <c r="BI121" s="376">
        <v>0.00862483649099117</v>
      </c>
      <c r="BJ121" s="376">
        <v>0.0243343706777318</v>
      </c>
      <c r="BK121" s="376">
        <v>0.0570465199155678</v>
      </c>
      <c r="BL121" s="376">
        <v>0.0731432269705229</v>
      </c>
      <c r="BM121" s="376">
        <v>0.0197800000000001</v>
      </c>
      <c r="BN121" s="376" t="s">
        <v>129</v>
      </c>
      <c r="BO121" s="376" t="s">
        <v>129</v>
      </c>
      <c r="BP121" s="376" t="s">
        <v>129</v>
      </c>
      <c r="BQ121" s="376" t="s">
        <v>129</v>
      </c>
      <c r="BR121" s="376" t="s">
        <v>129</v>
      </c>
      <c r="BS121" s="376" t="s">
        <v>129</v>
      </c>
      <c r="BT121" s="376" t="s">
        <v>129</v>
      </c>
      <c r="BU121" s="376" t="s">
        <v>129</v>
      </c>
    </row>
    <row r="122" ht="15.15" spans="2:73">
      <c r="B122" s="314" t="s">
        <v>316</v>
      </c>
      <c r="F122" s="307">
        <v>-0.028531</v>
      </c>
      <c r="G122" s="308">
        <v>0.074882</v>
      </c>
      <c r="H122" s="308">
        <v>0.076085</v>
      </c>
      <c r="I122" s="308">
        <v>-0.022856</v>
      </c>
      <c r="J122" s="308">
        <v>0.239604</v>
      </c>
      <c r="K122" s="308">
        <v>0.294748</v>
      </c>
      <c r="L122" s="338" t="s">
        <v>129</v>
      </c>
      <c r="M122" s="318"/>
      <c r="N122" s="341">
        <v>0.010411</v>
      </c>
      <c r="O122" s="342">
        <v>0.237988996928627</v>
      </c>
      <c r="P122" s="342">
        <v>0.436766716446164</v>
      </c>
      <c r="Q122" s="342">
        <v>0.0296442602145788</v>
      </c>
      <c r="R122" s="342">
        <v>0.468103371529588</v>
      </c>
      <c r="S122" s="342">
        <v>0.243814856998228</v>
      </c>
      <c r="T122" s="342">
        <v>-0.00279210638398558</v>
      </c>
      <c r="U122" s="342">
        <v>-0.133283931442572</v>
      </c>
      <c r="V122" s="342" t="s">
        <v>129</v>
      </c>
      <c r="W122" s="342" t="s">
        <v>129</v>
      </c>
      <c r="X122" s="342" t="s">
        <v>129</v>
      </c>
      <c r="Y122" s="342" t="s">
        <v>129</v>
      </c>
      <c r="Z122" s="342" t="s">
        <v>129</v>
      </c>
      <c r="AA122" s="342" t="s">
        <v>129</v>
      </c>
      <c r="AB122" s="342" t="s">
        <v>129</v>
      </c>
      <c r="AC122" s="342" t="s">
        <v>129</v>
      </c>
      <c r="AD122" s="342" t="s">
        <v>129</v>
      </c>
      <c r="AE122" s="342" t="s">
        <v>129</v>
      </c>
      <c r="AF122" s="342" t="s">
        <v>129</v>
      </c>
      <c r="AG122" s="342" t="s">
        <v>129</v>
      </c>
      <c r="AH122" s="342" t="s">
        <v>129</v>
      </c>
      <c r="AI122" s="342" t="s">
        <v>129</v>
      </c>
      <c r="AJ122" s="342" t="s">
        <v>129</v>
      </c>
      <c r="AK122" s="342" t="s">
        <v>129</v>
      </c>
      <c r="AL122" s="342" t="s">
        <v>129</v>
      </c>
      <c r="AM122" s="349" t="s">
        <v>129</v>
      </c>
      <c r="AS122" s="361" t="s">
        <v>317</v>
      </c>
      <c r="AT122" s="364">
        <v>1.03</v>
      </c>
      <c r="AU122" s="365">
        <v>45716</v>
      </c>
      <c r="AV122" s="364">
        <v>118.666179908</v>
      </c>
      <c r="AW122" s="3"/>
      <c r="AX122" s="376">
        <v>0.008234</v>
      </c>
      <c r="AY122" s="376">
        <v>0.01905</v>
      </c>
      <c r="AZ122" s="376">
        <v>0.033359</v>
      </c>
      <c r="BA122" s="376">
        <v>0.072016</v>
      </c>
      <c r="BB122" s="376">
        <v>0.050593</v>
      </c>
      <c r="BC122" s="376">
        <v>0.046967</v>
      </c>
      <c r="BD122" s="376" t="s">
        <v>129</v>
      </c>
      <c r="BE122" s="4"/>
      <c r="BF122" s="376">
        <v>0.01905</v>
      </c>
      <c r="BG122" s="376">
        <v>0.0706875487482484</v>
      </c>
      <c r="BH122" s="376">
        <v>0.057921063200555</v>
      </c>
      <c r="BI122" s="376">
        <v>0.0137540992101387</v>
      </c>
      <c r="BJ122" s="376">
        <v>0.0243330957400021</v>
      </c>
      <c r="BK122" s="376">
        <v>0.0979677131986245</v>
      </c>
      <c r="BL122" s="376">
        <v>0.110822358686002</v>
      </c>
      <c r="BM122" s="376">
        <v>0.0463932490758124</v>
      </c>
      <c r="BN122" s="376">
        <v>0.0333399999999999</v>
      </c>
      <c r="BO122" s="376" t="s">
        <v>129</v>
      </c>
      <c r="BP122" s="376" t="s">
        <v>129</v>
      </c>
      <c r="BQ122" s="376" t="s">
        <v>129</v>
      </c>
      <c r="BR122" s="376" t="s">
        <v>129</v>
      </c>
      <c r="BS122" s="376" t="s">
        <v>129</v>
      </c>
      <c r="BT122" s="376" t="s">
        <v>129</v>
      </c>
      <c r="BU122" s="376" t="s">
        <v>129</v>
      </c>
    </row>
    <row r="123" ht="15.15" spans="2:73">
      <c r="B123" s="315" t="s">
        <v>162</v>
      </c>
      <c r="F123" s="316">
        <f>AVERAGE(F103:F119)</f>
        <v>-0.0223054705882353</v>
      </c>
      <c r="G123" s="317">
        <f t="shared" ref="G123:L123" si="13">AVERAGE(G103:G119)</f>
        <v>0.083207</v>
      </c>
      <c r="H123" s="317">
        <f t="shared" si="13"/>
        <v>0.0814724117647059</v>
      </c>
      <c r="I123" s="317">
        <f t="shared" si="13"/>
        <v>-0.00432288235294118</v>
      </c>
      <c r="J123" s="317">
        <f t="shared" si="13"/>
        <v>0.230845529411765</v>
      </c>
      <c r="K123" s="317">
        <f t="shared" si="13"/>
        <v>0.279178647058824</v>
      </c>
      <c r="L123" s="343">
        <f t="shared" si="13"/>
        <v>0.155150588235294</v>
      </c>
      <c r="M123" s="318"/>
      <c r="N123" s="323">
        <f t="shared" ref="N123:AM123" si="14">AVERAGE(N103:N119)</f>
        <v>-0.00410047058823529</v>
      </c>
      <c r="O123" s="324">
        <f t="shared" si="14"/>
        <v>0.305022016621935</v>
      </c>
      <c r="P123" s="324">
        <f t="shared" si="14"/>
        <v>0.374546384590483</v>
      </c>
      <c r="Q123" s="324">
        <f t="shared" si="14"/>
        <v>0.0309925548957103</v>
      </c>
      <c r="R123" s="324">
        <f t="shared" si="14"/>
        <v>0.430925970122389</v>
      </c>
      <c r="S123" s="324">
        <f t="shared" si="14"/>
        <v>0.22832419267559</v>
      </c>
      <c r="T123" s="324">
        <f t="shared" si="14"/>
        <v>0.033865059809274</v>
      </c>
      <c r="U123" s="324">
        <f t="shared" si="14"/>
        <v>-0.109052655104676</v>
      </c>
      <c r="V123" s="324">
        <f t="shared" si="14"/>
        <v>0.42039238149028</v>
      </c>
      <c r="W123" s="324">
        <f t="shared" si="14"/>
        <v>0.0506101043188337</v>
      </c>
      <c r="X123" s="324">
        <f t="shared" si="14"/>
        <v>0.0855817783963769</v>
      </c>
      <c r="Y123" s="324">
        <f t="shared" si="14"/>
        <v>0.743515488748053</v>
      </c>
      <c r="Z123" s="324">
        <f t="shared" si="14"/>
        <v>0.0515041429991196</v>
      </c>
      <c r="AA123" s="324">
        <f t="shared" si="14"/>
        <v>0.408284833311299</v>
      </c>
      <c r="AB123" s="324">
        <f t="shared" si="14"/>
        <v>-0.231065825632158</v>
      </c>
      <c r="AC123" s="324">
        <f t="shared" si="14"/>
        <v>0.204133562801395</v>
      </c>
      <c r="AD123" s="324">
        <f t="shared" si="14"/>
        <v>0.967706303364503</v>
      </c>
      <c r="AE123" s="324">
        <f t="shared" si="14"/>
        <v>-0.59554409023349</v>
      </c>
      <c r="AF123" s="324">
        <f t="shared" si="14"/>
        <v>0.561490039394896</v>
      </c>
      <c r="AG123" s="324">
        <f t="shared" si="14"/>
        <v>0.303357060483449</v>
      </c>
      <c r="AH123" s="324">
        <f t="shared" si="14"/>
        <v>0.500235813773603</v>
      </c>
      <c r="AI123" s="324">
        <f t="shared" si="14"/>
        <v>0.307998473812933</v>
      </c>
      <c r="AJ123" s="324">
        <f t="shared" si="14"/>
        <v>1.25607417609242</v>
      </c>
      <c r="AK123" s="324">
        <f t="shared" si="14"/>
        <v>0.238272996529195</v>
      </c>
      <c r="AL123" s="324">
        <f t="shared" si="14"/>
        <v>-0.0549363361895076</v>
      </c>
      <c r="AM123" s="344">
        <f t="shared" si="14"/>
        <v>-0.21427291951223</v>
      </c>
      <c r="AS123" s="361" t="s">
        <v>318</v>
      </c>
      <c r="AT123" s="364">
        <v>0.71</v>
      </c>
      <c r="AU123" s="365">
        <v>45716</v>
      </c>
      <c r="AV123" s="364">
        <v>4312.2077</v>
      </c>
      <c r="AW123" s="3"/>
      <c r="AX123" s="376">
        <v>0.010966</v>
      </c>
      <c r="AY123" s="376">
        <v>0.024086</v>
      </c>
      <c r="AZ123" s="376">
        <v>0.038373</v>
      </c>
      <c r="BA123" s="376">
        <v>0.088128</v>
      </c>
      <c r="BB123" s="376">
        <v>0.067113</v>
      </c>
      <c r="BC123" s="376">
        <v>0.063137</v>
      </c>
      <c r="BD123" s="376">
        <v>0.067161</v>
      </c>
      <c r="BE123" s="4"/>
      <c r="BF123" s="376">
        <v>0.024086</v>
      </c>
      <c r="BG123" s="376">
        <v>0.0897145238080649</v>
      </c>
      <c r="BH123" s="376">
        <v>0.0670114382663786</v>
      </c>
      <c r="BI123" s="376">
        <v>0.0240836399305009</v>
      </c>
      <c r="BJ123" s="376">
        <v>0.0273634321915853</v>
      </c>
      <c r="BK123" s="376">
        <v>0.113369098630273</v>
      </c>
      <c r="BL123" s="376">
        <v>0.0843579107340831</v>
      </c>
      <c r="BM123" s="376">
        <v>0.0473736398507424</v>
      </c>
      <c r="BN123" s="376">
        <v>0.0311860940695296</v>
      </c>
      <c r="BO123" s="376">
        <v>0.139330148430115</v>
      </c>
      <c r="BP123" s="376">
        <v>0.0572902598454973</v>
      </c>
      <c r="BQ123" s="376">
        <v>0.15284490060286</v>
      </c>
      <c r="BR123" s="376">
        <v>0.0482171534514499</v>
      </c>
      <c r="BS123" s="376">
        <v>0.122237118764515</v>
      </c>
      <c r="BT123" s="376">
        <v>0.0831547874113221</v>
      </c>
      <c r="BU123" s="376">
        <v>0.0595891735544139</v>
      </c>
    </row>
    <row r="124" spans="13:73">
      <c r="M124" s="318"/>
      <c r="O124" s="281"/>
      <c r="AS124" s="361" t="s">
        <v>319</v>
      </c>
      <c r="AT124" s="364">
        <v>1.64</v>
      </c>
      <c r="AU124" s="365">
        <v>45716</v>
      </c>
      <c r="AV124" s="364">
        <v>105.276</v>
      </c>
      <c r="AW124" s="3"/>
      <c r="AX124" s="376">
        <v>0.019856</v>
      </c>
      <c r="AY124" s="376">
        <v>0.025702</v>
      </c>
      <c r="AZ124" s="376">
        <v>0.03316</v>
      </c>
      <c r="BA124" s="376">
        <v>0.086953</v>
      </c>
      <c r="BB124" s="376">
        <v>0.066407</v>
      </c>
      <c r="BC124" s="376">
        <v>0.057027</v>
      </c>
      <c r="BD124" s="376">
        <v>0.069915</v>
      </c>
      <c r="BE124" s="4"/>
      <c r="BF124" s="376">
        <v>0.025702</v>
      </c>
      <c r="BG124" s="376">
        <v>0.0895593103527848</v>
      </c>
      <c r="BH124" s="376">
        <v>0.0612077624917796</v>
      </c>
      <c r="BI124" s="376">
        <v>0.0235377955668843</v>
      </c>
      <c r="BJ124" s="376">
        <v>0.0236783236018411</v>
      </c>
      <c r="BK124" s="376">
        <v>0.0888037108395178</v>
      </c>
      <c r="BL124" s="376">
        <v>0.106770554665485</v>
      </c>
      <c r="BM124" s="376">
        <v>0.0693425544148533</v>
      </c>
      <c r="BN124" s="376">
        <v>0.0456429739378908</v>
      </c>
      <c r="BO124" s="376">
        <v>0.135401250517045</v>
      </c>
      <c r="BP124" s="376">
        <v>0.0652218346217348</v>
      </c>
      <c r="BQ124" s="376">
        <v>0.134601808073949</v>
      </c>
      <c r="BR124" s="376">
        <v>0.0382055161658941</v>
      </c>
      <c r="BS124" s="376">
        <v>0.0882014999999999</v>
      </c>
      <c r="BT124" s="376" t="s">
        <v>129</v>
      </c>
      <c r="BU124" s="376" t="s">
        <v>129</v>
      </c>
    </row>
    <row r="125" ht="15.15" spans="13:73">
      <c r="M125" s="318"/>
      <c r="O125" s="281"/>
      <c r="AS125" s="361" t="s">
        <v>320</v>
      </c>
      <c r="AT125" s="364">
        <v>0.96</v>
      </c>
      <c r="AU125" s="365">
        <v>45716</v>
      </c>
      <c r="AV125" s="364">
        <v>132.4742</v>
      </c>
      <c r="AW125" s="3"/>
      <c r="AX125" s="376">
        <v>0.026099</v>
      </c>
      <c r="AY125" s="376">
        <v>0.027543</v>
      </c>
      <c r="AZ125" s="376">
        <v>0.034803</v>
      </c>
      <c r="BA125" s="376">
        <v>0.088574</v>
      </c>
      <c r="BB125" s="376">
        <v>0.076427</v>
      </c>
      <c r="BC125" s="376">
        <v>0.065097</v>
      </c>
      <c r="BD125" s="376" t="s">
        <v>129</v>
      </c>
      <c r="BE125" s="4"/>
      <c r="BF125" s="376">
        <v>0.027543</v>
      </c>
      <c r="BG125" s="376">
        <v>0.0917175174877214</v>
      </c>
      <c r="BH125" s="376">
        <v>0.0721849247147594</v>
      </c>
      <c r="BI125" s="376">
        <v>0.0443037221316258</v>
      </c>
      <c r="BJ125" s="376">
        <v>0.0316135885014705</v>
      </c>
      <c r="BK125" s="376">
        <v>0.0972164212284931</v>
      </c>
      <c r="BL125" s="376">
        <v>0.111417255037024</v>
      </c>
      <c r="BM125" s="376">
        <v>0.0402757224082872</v>
      </c>
      <c r="BN125" s="376">
        <v>0.0494523459212032</v>
      </c>
      <c r="BO125" s="376">
        <v>0.158040210518345</v>
      </c>
      <c r="BP125" s="376">
        <v>0.0544681445696546</v>
      </c>
      <c r="BQ125" s="376" t="s">
        <v>129</v>
      </c>
      <c r="BR125" s="376" t="s">
        <v>129</v>
      </c>
      <c r="BS125" s="376" t="s">
        <v>129</v>
      </c>
      <c r="BT125" s="376" t="s">
        <v>129</v>
      </c>
      <c r="BU125" s="376" t="s">
        <v>129</v>
      </c>
    </row>
    <row r="126" ht="15.75" customHeight="1" spans="2:73">
      <c r="B126" s="319" t="s">
        <v>321</v>
      </c>
      <c r="C126" s="320" t="s">
        <v>87</v>
      </c>
      <c r="D126" s="289" t="s">
        <v>110</v>
      </c>
      <c r="E126" s="290"/>
      <c r="F126" s="333" t="s">
        <v>82</v>
      </c>
      <c r="G126" s="333"/>
      <c r="H126" s="333"/>
      <c r="I126" s="333"/>
      <c r="J126" s="333"/>
      <c r="K126" s="333"/>
      <c r="L126" s="346"/>
      <c r="M126" s="318"/>
      <c r="N126" s="332" t="s">
        <v>111</v>
      </c>
      <c r="O126" s="333"/>
      <c r="P126" s="333"/>
      <c r="Q126" s="333"/>
      <c r="R126" s="333"/>
      <c r="S126" s="333"/>
      <c r="T126" s="333"/>
      <c r="U126" s="333"/>
      <c r="V126" s="333"/>
      <c r="W126" s="333"/>
      <c r="X126" s="333"/>
      <c r="Y126" s="333"/>
      <c r="Z126" s="333"/>
      <c r="AA126" s="333"/>
      <c r="AB126" s="333"/>
      <c r="AC126" s="333"/>
      <c r="AD126" s="333"/>
      <c r="AE126" s="333"/>
      <c r="AF126" s="333"/>
      <c r="AG126" s="333"/>
      <c r="AH126" s="333"/>
      <c r="AI126" s="333"/>
      <c r="AJ126" s="333"/>
      <c r="AK126" s="333"/>
      <c r="AL126" s="333"/>
      <c r="AM126" s="333"/>
      <c r="AN126" s="346"/>
      <c r="AS126" s="361" t="s">
        <v>322</v>
      </c>
      <c r="AT126" s="364">
        <v>1.39</v>
      </c>
      <c r="AU126" s="365">
        <v>45716</v>
      </c>
      <c r="AV126" s="364">
        <v>3324.2392</v>
      </c>
      <c r="AW126" s="3"/>
      <c r="AX126" s="376">
        <v>0.019687</v>
      </c>
      <c r="AY126" s="376">
        <v>0.024131</v>
      </c>
      <c r="AZ126" s="376">
        <v>0.029486</v>
      </c>
      <c r="BA126" s="376">
        <v>0.081828</v>
      </c>
      <c r="BB126" s="376">
        <v>0.073406</v>
      </c>
      <c r="BC126" s="376">
        <v>0.061722</v>
      </c>
      <c r="BD126" s="376">
        <v>0.074126</v>
      </c>
      <c r="BE126" s="4"/>
      <c r="BF126" s="376">
        <v>0.024131</v>
      </c>
      <c r="BG126" s="376">
        <v>0.0863445611034571</v>
      </c>
      <c r="BH126" s="376">
        <v>0.0711087137942967</v>
      </c>
      <c r="BI126" s="376">
        <v>0.0419171836063836</v>
      </c>
      <c r="BJ126" s="376">
        <v>0.0195245354003827</v>
      </c>
      <c r="BK126" s="376">
        <v>0.103692537764591</v>
      </c>
      <c r="BL126" s="376">
        <v>0.127197898266788</v>
      </c>
      <c r="BM126" s="376">
        <v>0.0514025519799763</v>
      </c>
      <c r="BN126" s="376">
        <v>0.0390954463747815</v>
      </c>
      <c r="BO126" s="376">
        <v>0.153414194598076</v>
      </c>
      <c r="BP126" s="376">
        <v>0.0582731490338626</v>
      </c>
      <c r="BQ126" s="376">
        <v>0.128416166876927</v>
      </c>
      <c r="BR126" s="376">
        <v>0.0377129975777433</v>
      </c>
      <c r="BS126" s="376">
        <v>0.109969694614966</v>
      </c>
      <c r="BT126" s="376">
        <v>0.115483630500923</v>
      </c>
      <c r="BU126" s="376">
        <v>0.0757531960127934</v>
      </c>
    </row>
    <row r="127" ht="15" customHeight="1" spans="2:73">
      <c r="B127" s="321"/>
      <c r="C127" s="322"/>
      <c r="D127" s="294" t="s">
        <v>115</v>
      </c>
      <c r="E127" s="295" t="s">
        <v>116</v>
      </c>
      <c r="F127" s="296" t="s">
        <v>88</v>
      </c>
      <c r="G127" s="297" t="s">
        <v>89</v>
      </c>
      <c r="H127" s="297" t="s">
        <v>90</v>
      </c>
      <c r="I127" s="297" t="s">
        <v>91</v>
      </c>
      <c r="J127" s="297" t="s">
        <v>93</v>
      </c>
      <c r="K127" s="297" t="s">
        <v>94</v>
      </c>
      <c r="L127" s="334" t="s">
        <v>95</v>
      </c>
      <c r="M127" s="318"/>
      <c r="N127" s="266" t="s">
        <v>96</v>
      </c>
      <c r="O127" s="267">
        <v>2024</v>
      </c>
      <c r="P127" s="267">
        <v>2023</v>
      </c>
      <c r="Q127" s="268">
        <v>2022</v>
      </c>
      <c r="R127" s="268">
        <v>2021</v>
      </c>
      <c r="S127" s="268">
        <v>2020</v>
      </c>
      <c r="T127" s="268">
        <v>2019</v>
      </c>
      <c r="U127" s="268">
        <v>2018</v>
      </c>
      <c r="V127" s="268">
        <v>2017</v>
      </c>
      <c r="W127" s="268">
        <v>2016</v>
      </c>
      <c r="X127" s="268">
        <v>2015</v>
      </c>
      <c r="Y127" s="268">
        <v>2014</v>
      </c>
      <c r="Z127" s="268">
        <v>2013</v>
      </c>
      <c r="AA127" s="268">
        <v>2012</v>
      </c>
      <c r="AB127" s="268">
        <v>2011</v>
      </c>
      <c r="AC127" s="268">
        <v>2010</v>
      </c>
      <c r="AD127" s="268">
        <v>2009</v>
      </c>
      <c r="AE127" s="268">
        <v>2008</v>
      </c>
      <c r="AF127" s="268">
        <v>2007</v>
      </c>
      <c r="AG127" s="268">
        <v>2006</v>
      </c>
      <c r="AH127" s="268">
        <v>2005</v>
      </c>
      <c r="AI127" s="268">
        <v>2004</v>
      </c>
      <c r="AJ127" s="268">
        <v>2003</v>
      </c>
      <c r="AK127" s="268">
        <v>2002</v>
      </c>
      <c r="AL127" s="268">
        <v>2001</v>
      </c>
      <c r="AM127" s="269">
        <v>2000</v>
      </c>
      <c r="AS127" s="361" t="s">
        <v>323</v>
      </c>
      <c r="AT127" s="364">
        <v>1.5</v>
      </c>
      <c r="AU127" s="365">
        <v>45716</v>
      </c>
      <c r="AV127" s="364">
        <v>79.4428</v>
      </c>
      <c r="AW127" s="3"/>
      <c r="AX127" s="376">
        <v>0.023235</v>
      </c>
      <c r="AY127" s="376">
        <v>0.026456</v>
      </c>
      <c r="AZ127" s="376">
        <v>0.032917</v>
      </c>
      <c r="BA127" s="376">
        <v>0.084395</v>
      </c>
      <c r="BB127" s="376">
        <v>0.06181</v>
      </c>
      <c r="BC127" s="376">
        <v>0.054076</v>
      </c>
      <c r="BD127" s="376">
        <v>0.059842</v>
      </c>
      <c r="BE127" s="4"/>
      <c r="BF127" s="376">
        <v>0.026456</v>
      </c>
      <c r="BG127" s="376">
        <v>0.0851807054042286</v>
      </c>
      <c r="BH127" s="376">
        <v>0.0651707860072974</v>
      </c>
      <c r="BI127" s="376">
        <v>0.00285283112480099</v>
      </c>
      <c r="BJ127" s="376">
        <v>0.0199948339211066</v>
      </c>
      <c r="BK127" s="376">
        <v>0.107770199247857</v>
      </c>
      <c r="BL127" s="376">
        <v>0.101523854857489</v>
      </c>
      <c r="BM127" s="376">
        <v>0.0406107340321566</v>
      </c>
      <c r="BN127" s="376">
        <v>0.0125935364927881</v>
      </c>
      <c r="BO127" s="376">
        <v>0.117951049480943</v>
      </c>
      <c r="BP127" s="376">
        <v>0.0526273809143987</v>
      </c>
      <c r="BQ127" s="376">
        <v>0.131904443762301</v>
      </c>
      <c r="BR127" s="376">
        <v>0.0279154370139392</v>
      </c>
      <c r="BS127" s="376">
        <v>0.0775399999999999</v>
      </c>
      <c r="BT127" s="376" t="s">
        <v>129</v>
      </c>
      <c r="BU127" s="376" t="s">
        <v>129</v>
      </c>
    </row>
    <row r="128" ht="15.15" spans="2:73">
      <c r="B128" s="298" t="s">
        <v>324</v>
      </c>
      <c r="C128" s="299">
        <v>1.89</v>
      </c>
      <c r="D128" s="300">
        <v>45838</v>
      </c>
      <c r="E128" s="301">
        <v>5134.1382</v>
      </c>
      <c r="F128" s="308">
        <v>-0.024367</v>
      </c>
      <c r="G128" s="308">
        <v>0.106878</v>
      </c>
      <c r="H128" s="308">
        <v>0.085879</v>
      </c>
      <c r="I128" s="308">
        <v>-0.054633</v>
      </c>
      <c r="J128" s="308">
        <v>0.194338</v>
      </c>
      <c r="K128" s="308">
        <v>0.270012</v>
      </c>
      <c r="L128" s="338">
        <v>0.128936</v>
      </c>
      <c r="M128" s="318"/>
      <c r="N128" s="339">
        <v>-0.026743</v>
      </c>
      <c r="O128" s="340">
        <v>0.214579770988679</v>
      </c>
      <c r="P128" s="340">
        <v>0.393876962142198</v>
      </c>
      <c r="Q128" s="340">
        <v>-0.0646120183968274</v>
      </c>
      <c r="R128" s="340">
        <v>0.513635707496167</v>
      </c>
      <c r="S128" s="340">
        <v>0.197876088871489</v>
      </c>
      <c r="T128" s="337">
        <v>-0.115378066132351</v>
      </c>
      <c r="U128" s="337">
        <v>-0.226467200085728</v>
      </c>
      <c r="V128" s="337">
        <v>0.567009155183331</v>
      </c>
      <c r="W128" s="337">
        <v>0.0965597403693447</v>
      </c>
      <c r="X128" s="337">
        <v>0.134290040728235</v>
      </c>
      <c r="Y128" s="337">
        <v>0.662947365374318</v>
      </c>
      <c r="Z128" s="337">
        <v>0.0483125867601211</v>
      </c>
      <c r="AA128" s="337">
        <v>0.318843914444067</v>
      </c>
      <c r="AB128" s="337">
        <v>-0.233192181410906</v>
      </c>
      <c r="AC128" s="337">
        <v>0.191706434095771</v>
      </c>
      <c r="AD128" s="337">
        <v>1.07315732615659</v>
      </c>
      <c r="AE128" s="337">
        <v>-0.615121453060034</v>
      </c>
      <c r="AF128" s="337">
        <v>0.354644268774704</v>
      </c>
      <c r="AG128" s="337" t="s">
        <v>129</v>
      </c>
      <c r="AH128" s="337" t="s">
        <v>129</v>
      </c>
      <c r="AI128" s="337" t="s">
        <v>129</v>
      </c>
      <c r="AJ128" s="337" t="s">
        <v>129</v>
      </c>
      <c r="AK128" s="337" t="s">
        <v>129</v>
      </c>
      <c r="AL128" s="337" t="s">
        <v>129</v>
      </c>
      <c r="AM128" s="347" t="s">
        <v>129</v>
      </c>
      <c r="AS128" s="361" t="s">
        <v>325</v>
      </c>
      <c r="AT128" s="364">
        <v>1.53</v>
      </c>
      <c r="AU128" s="365">
        <v>45716</v>
      </c>
      <c r="AV128" s="364">
        <v>626.1504</v>
      </c>
      <c r="AW128" s="3"/>
      <c r="AX128" s="376">
        <v>0.015972</v>
      </c>
      <c r="AY128" s="376">
        <v>0.023308</v>
      </c>
      <c r="AZ128" s="376">
        <v>0.034086</v>
      </c>
      <c r="BA128" s="376">
        <v>0.081049</v>
      </c>
      <c r="BB128" s="376">
        <v>0.091996</v>
      </c>
      <c r="BC128" s="376">
        <v>0.090918</v>
      </c>
      <c r="BD128" s="376">
        <v>0.067637</v>
      </c>
      <c r="BE128" s="4"/>
      <c r="BF128" s="376">
        <v>0.023308</v>
      </c>
      <c r="BG128" s="376">
        <v>0.0860545411985018</v>
      </c>
      <c r="BH128" s="376">
        <v>0.0619724765296967</v>
      </c>
      <c r="BI128" s="376">
        <v>0.100687467400877</v>
      </c>
      <c r="BJ128" s="376">
        <v>0.107952177043465</v>
      </c>
      <c r="BK128" s="376">
        <v>0.0585716363052885</v>
      </c>
      <c r="BL128" s="376">
        <v>-0.0385021478470907</v>
      </c>
      <c r="BM128" s="376">
        <v>0.0523066151887047</v>
      </c>
      <c r="BN128" s="376">
        <v>0.0416100785803744</v>
      </c>
      <c r="BO128" s="376">
        <v>0.14901846488272</v>
      </c>
      <c r="BP128" s="376">
        <v>0.0690610962532132</v>
      </c>
      <c r="BQ128" s="376">
        <v>0.147432555229484</v>
      </c>
      <c r="BR128" s="376">
        <v>0.0761905525318028</v>
      </c>
      <c r="BS128" s="376">
        <v>0.11212837084912</v>
      </c>
      <c r="BT128" s="376">
        <v>0.083659373037724</v>
      </c>
      <c r="BU128" s="376">
        <v>0.03515</v>
      </c>
    </row>
    <row r="129" ht="15.15" spans="2:73">
      <c r="B129" s="298" t="s">
        <v>326</v>
      </c>
      <c r="C129" s="304">
        <v>1.59</v>
      </c>
      <c r="D129" s="305">
        <v>45838</v>
      </c>
      <c r="E129" s="306">
        <v>26379.202203</v>
      </c>
      <c r="F129" s="308">
        <v>-0.018404</v>
      </c>
      <c r="G129" s="308">
        <v>0.097315</v>
      </c>
      <c r="H129" s="308">
        <v>0.078455</v>
      </c>
      <c r="I129" s="308">
        <v>0.020766</v>
      </c>
      <c r="J129" s="308">
        <v>0.211262</v>
      </c>
      <c r="K129" s="308">
        <v>0.294095</v>
      </c>
      <c r="L129" s="338">
        <v>0.179613</v>
      </c>
      <c r="M129" s="318"/>
      <c r="N129" s="336">
        <v>-0.001965</v>
      </c>
      <c r="O129" s="337">
        <v>0.250204702304363</v>
      </c>
      <c r="P129" s="337">
        <v>0.340388836625901</v>
      </c>
      <c r="Q129" s="337">
        <v>0.0262268704746581</v>
      </c>
      <c r="R129" s="337">
        <v>0.582230142566191</v>
      </c>
      <c r="S129" s="337">
        <v>0.223676012461059</v>
      </c>
      <c r="T129" s="337">
        <v>0.193752324284121</v>
      </c>
      <c r="U129" s="337">
        <v>-0.0894006095496106</v>
      </c>
      <c r="V129" s="337">
        <v>0.383138173302108</v>
      </c>
      <c r="W129" s="337">
        <v>0.0399415489527521</v>
      </c>
      <c r="X129" s="337">
        <v>0.0972741849278461</v>
      </c>
      <c r="Y129" s="337">
        <v>0.843349753694581</v>
      </c>
      <c r="Z129" s="337">
        <v>0.015</v>
      </c>
      <c r="AA129" s="337" t="s">
        <v>129</v>
      </c>
      <c r="AB129" s="337" t="s">
        <v>129</v>
      </c>
      <c r="AC129" s="337" t="s">
        <v>129</v>
      </c>
      <c r="AD129" s="337" t="s">
        <v>129</v>
      </c>
      <c r="AE129" s="337" t="s">
        <v>129</v>
      </c>
      <c r="AF129" s="337" t="s">
        <v>129</v>
      </c>
      <c r="AG129" s="337" t="s">
        <v>129</v>
      </c>
      <c r="AH129" s="337" t="s">
        <v>129</v>
      </c>
      <c r="AI129" s="337" t="s">
        <v>129</v>
      </c>
      <c r="AJ129" s="337" t="s">
        <v>129</v>
      </c>
      <c r="AK129" s="337" t="s">
        <v>129</v>
      </c>
      <c r="AL129" s="337" t="s">
        <v>129</v>
      </c>
      <c r="AM129" s="347" t="s">
        <v>129</v>
      </c>
      <c r="AS129" s="312" t="s">
        <v>162</v>
      </c>
      <c r="AT129"/>
      <c r="AU129"/>
      <c r="AV129"/>
      <c r="AW129" s="377"/>
      <c r="AX129" s="378">
        <f t="shared" ref="AX129:BD129" si="15">AVERAGE(AX107:AX128)</f>
        <v>0.0199649545454545</v>
      </c>
      <c r="AY129" s="378">
        <f t="shared" si="15"/>
        <v>0.0255208636363636</v>
      </c>
      <c r="AZ129" s="378">
        <f t="shared" si="15"/>
        <v>0.0335542272727273</v>
      </c>
      <c r="BA129" s="378">
        <f t="shared" si="15"/>
        <v>0.0841650909090909</v>
      </c>
      <c r="BB129" s="378">
        <f t="shared" si="15"/>
        <v>0.0678739090909091</v>
      </c>
      <c r="BC129" s="378">
        <f t="shared" si="15"/>
        <v>0.0619759523809524</v>
      </c>
      <c r="BD129" s="378">
        <f t="shared" si="15"/>
        <v>0.0688423529411765</v>
      </c>
      <c r="BE129" s="377"/>
      <c r="BF129" s="378">
        <f t="shared" ref="BF129:BU129" si="16">AVERAGE(BF107:BF128)</f>
        <v>0.0255208636363636</v>
      </c>
      <c r="BG129" s="378">
        <f t="shared" si="16"/>
        <v>0.0860720260146417</v>
      </c>
      <c r="BH129" s="378">
        <f t="shared" si="16"/>
        <v>0.0652053963063669</v>
      </c>
      <c r="BI129" s="378">
        <f t="shared" si="16"/>
        <v>0.030615015606629</v>
      </c>
      <c r="BJ129" s="378">
        <f t="shared" si="16"/>
        <v>0.0331778591023594</v>
      </c>
      <c r="BK129" s="378">
        <f t="shared" si="16"/>
        <v>0.0977521002769131</v>
      </c>
      <c r="BL129" s="378">
        <f t="shared" si="16"/>
        <v>0.082562612017004</v>
      </c>
      <c r="BM129" s="378">
        <f t="shared" si="16"/>
        <v>0.0512677814294076</v>
      </c>
      <c r="BN129" s="378">
        <f t="shared" si="16"/>
        <v>0.0389724364439447</v>
      </c>
      <c r="BO129" s="378">
        <f t="shared" si="16"/>
        <v>0.135223793187034</v>
      </c>
      <c r="BP129" s="378">
        <f t="shared" si="16"/>
        <v>0.0647761139635954</v>
      </c>
      <c r="BQ129" s="378">
        <f t="shared" si="16"/>
        <v>0.142094030951621</v>
      </c>
      <c r="BR129" s="378">
        <f t="shared" si="16"/>
        <v>0.0556363457756741</v>
      </c>
      <c r="BS129" s="378">
        <f t="shared" si="16"/>
        <v>0.101365014113702</v>
      </c>
      <c r="BT129" s="378">
        <f t="shared" si="16"/>
        <v>0.0837239906984618</v>
      </c>
      <c r="BU129" s="378">
        <f t="shared" si="16"/>
        <v>0.0464883544566916</v>
      </c>
    </row>
    <row r="130" spans="2:73">
      <c r="B130" s="298" t="s">
        <v>327</v>
      </c>
      <c r="C130" s="304">
        <v>1.7</v>
      </c>
      <c r="D130" s="305">
        <v>45838</v>
      </c>
      <c r="E130" s="306">
        <v>17125.7576</v>
      </c>
      <c r="F130" s="308">
        <v>-0.011821</v>
      </c>
      <c r="G130" s="308">
        <v>0.177941</v>
      </c>
      <c r="H130" s="308">
        <v>0.107678</v>
      </c>
      <c r="I130" s="308">
        <v>0.021797</v>
      </c>
      <c r="J130" s="308">
        <v>0.221285</v>
      </c>
      <c r="K130" s="308">
        <v>0.311423</v>
      </c>
      <c r="L130" s="338">
        <v>0.167161</v>
      </c>
      <c r="M130" s="318"/>
      <c r="N130" s="336">
        <v>-0.007574</v>
      </c>
      <c r="O130" s="337">
        <v>0.255984221005786</v>
      </c>
      <c r="P130" s="337">
        <v>0.412115710054999</v>
      </c>
      <c r="Q130" s="337">
        <v>0.00455990295818171</v>
      </c>
      <c r="R130" s="337">
        <v>0.588972677903149</v>
      </c>
      <c r="S130" s="337">
        <v>0.331198261977001</v>
      </c>
      <c r="T130" s="337">
        <v>0.00743396226415091</v>
      </c>
      <c r="U130" s="337">
        <v>-0.254539572696457</v>
      </c>
      <c r="V130" s="337">
        <v>0.427736610639195</v>
      </c>
      <c r="W130" s="337">
        <v>0.127470736069916</v>
      </c>
      <c r="X130" s="337">
        <v>0.203690077126428</v>
      </c>
      <c r="Y130" s="337">
        <v>1.01798383105098</v>
      </c>
      <c r="Z130" s="337">
        <v>0.0375463623395151</v>
      </c>
      <c r="AA130" s="337">
        <v>0.404697018275088</v>
      </c>
      <c r="AB130" s="337">
        <v>-0.271644579368323</v>
      </c>
      <c r="AC130" s="337">
        <v>0.438565549676661</v>
      </c>
      <c r="AD130" s="337">
        <v>1.15823817292007</v>
      </c>
      <c r="AE130" s="337">
        <v>-0.633494984388494</v>
      </c>
      <c r="AF130" s="337">
        <v>0.5053</v>
      </c>
      <c r="AG130" s="337" t="s">
        <v>129</v>
      </c>
      <c r="AH130" s="337" t="s">
        <v>129</v>
      </c>
      <c r="AI130" s="337" t="s">
        <v>129</v>
      </c>
      <c r="AJ130" s="337" t="s">
        <v>129</v>
      </c>
      <c r="AK130" s="337" t="s">
        <v>129</v>
      </c>
      <c r="AL130" s="337" t="s">
        <v>129</v>
      </c>
      <c r="AM130" s="347" t="s">
        <v>129</v>
      </c>
      <c r="AS130" s="312" t="s">
        <v>178</v>
      </c>
      <c r="AT130"/>
      <c r="AU130"/>
      <c r="AV130"/>
      <c r="AW130"/>
      <c r="AX130" s="379">
        <v>0.0087263867959253</v>
      </c>
      <c r="AY130" s="379">
        <v>0.0207643930788102</v>
      </c>
      <c r="AZ130" s="379">
        <v>0.0377184412193585</v>
      </c>
      <c r="BA130" s="379">
        <v>0.080280059411505</v>
      </c>
      <c r="BB130" s="379">
        <v>0.0659301709109001</v>
      </c>
      <c r="BC130" s="379">
        <v>0.0655149768088614</v>
      </c>
      <c r="BD130" s="379">
        <v>0.0738047315298365</v>
      </c>
      <c r="BE130" s="382"/>
      <c r="BF130" s="379">
        <v>0.0207643930788102</v>
      </c>
      <c r="BG130" s="379">
        <v>0.0797029257152309</v>
      </c>
      <c r="BH130" s="379">
        <v>0.0725988870220093</v>
      </c>
      <c r="BI130" s="379">
        <v>0.0358682288812193</v>
      </c>
      <c r="BJ130" s="379">
        <v>0.0437965988907254</v>
      </c>
      <c r="BK130" s="379">
        <v>0.104161972570555</v>
      </c>
      <c r="BL130" s="379">
        <v>0.0953364838894115</v>
      </c>
      <c r="BM130" s="379">
        <v>0.0665068187794211</v>
      </c>
      <c r="BN130" s="379">
        <v>0.0602957159773323</v>
      </c>
      <c r="BO130" s="379">
        <v>0.0986738756953636</v>
      </c>
      <c r="BP130" s="379">
        <v>0.0865549936165921</v>
      </c>
      <c r="BQ130" s="379">
        <v>0.104681934209951</v>
      </c>
      <c r="BR130" s="379">
        <v>0.0827206164504672</v>
      </c>
      <c r="BS130" s="379">
        <v>0.0912371315059957</v>
      </c>
      <c r="BT130" s="379">
        <v>0.0786771029274067</v>
      </c>
      <c r="BU130" s="379">
        <v>0.0470040326565153</v>
      </c>
    </row>
    <row r="131" ht="15.15" spans="2:73">
      <c r="B131" s="298" t="s">
        <v>328</v>
      </c>
      <c r="C131" s="304">
        <v>1.74</v>
      </c>
      <c r="D131" s="305">
        <v>45838</v>
      </c>
      <c r="E131" s="306">
        <v>13995.274485441</v>
      </c>
      <c r="F131" s="308">
        <v>-0.016176</v>
      </c>
      <c r="G131" s="308">
        <v>0.093822</v>
      </c>
      <c r="H131" s="308">
        <v>0.056344</v>
      </c>
      <c r="I131" s="308">
        <v>-0.072116</v>
      </c>
      <c r="J131" s="308">
        <v>0.253185</v>
      </c>
      <c r="K131" s="308">
        <v>0.329442</v>
      </c>
      <c r="L131" s="338">
        <v>0.157511</v>
      </c>
      <c r="M131" s="318"/>
      <c r="N131" s="336">
        <v>-0.037185</v>
      </c>
      <c r="O131" s="337">
        <v>0.231632706252246</v>
      </c>
      <c r="P131" s="337">
        <v>0.521459460361985</v>
      </c>
      <c r="Q131" s="337">
        <v>0.0357916855372969</v>
      </c>
      <c r="R131" s="337">
        <v>0.563656061548446</v>
      </c>
      <c r="S131" s="337">
        <v>0.186869618942926</v>
      </c>
      <c r="T131" s="337">
        <v>-0.0502076744274663</v>
      </c>
      <c r="U131" s="337">
        <v>-0.174195294332367</v>
      </c>
      <c r="V131" s="337">
        <v>0.434623328254613</v>
      </c>
      <c r="W131" s="337">
        <v>0.101931629373899</v>
      </c>
      <c r="X131" s="337">
        <v>0.0956161076093384</v>
      </c>
      <c r="Y131" s="337">
        <v>0.899176582013156</v>
      </c>
      <c r="Z131" s="337">
        <v>0.13224651481679</v>
      </c>
      <c r="AA131" s="337">
        <v>0.517005653735377</v>
      </c>
      <c r="AB131" s="337">
        <v>-0.259092405980373</v>
      </c>
      <c r="AC131" s="337">
        <v>0.185949509466975</v>
      </c>
      <c r="AD131" s="337">
        <v>1.0455039304659</v>
      </c>
      <c r="AE131" s="337">
        <v>-0.631553540943074</v>
      </c>
      <c r="AF131" s="337">
        <v>0.561305147058823</v>
      </c>
      <c r="AG131" s="337">
        <v>0.0880000000000001</v>
      </c>
      <c r="AH131" s="337" t="s">
        <v>129</v>
      </c>
      <c r="AI131" s="337" t="s">
        <v>129</v>
      </c>
      <c r="AJ131" s="337" t="s">
        <v>129</v>
      </c>
      <c r="AK131" s="337" t="s">
        <v>129</v>
      </c>
      <c r="AL131" s="337" t="s">
        <v>129</v>
      </c>
      <c r="AM131" s="347" t="s">
        <v>129</v>
      </c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</row>
    <row r="132" ht="15.15" spans="2:73">
      <c r="B132" s="298" t="s">
        <v>329</v>
      </c>
      <c r="C132" s="304">
        <v>1.57</v>
      </c>
      <c r="D132" s="305">
        <v>45838</v>
      </c>
      <c r="E132" s="306">
        <v>35780.5878</v>
      </c>
      <c r="F132" s="308">
        <v>0.004435</v>
      </c>
      <c r="G132" s="308">
        <v>0.14936</v>
      </c>
      <c r="H132" s="308">
        <v>0.111308</v>
      </c>
      <c r="I132" s="308">
        <v>0.013985</v>
      </c>
      <c r="J132" s="308">
        <v>0.257333</v>
      </c>
      <c r="K132" s="308">
        <v>0.331183</v>
      </c>
      <c r="L132" s="338">
        <v>0.179806</v>
      </c>
      <c r="M132" s="318"/>
      <c r="N132" s="336">
        <v>0.015632</v>
      </c>
      <c r="O132" s="337">
        <v>0.204101942797802</v>
      </c>
      <c r="P132" s="337">
        <v>0.448384347346519</v>
      </c>
      <c r="Q132" s="337">
        <v>0.0459098059779758</v>
      </c>
      <c r="R132" s="337">
        <v>0.648833841298662</v>
      </c>
      <c r="S132" s="337">
        <v>0.201698789547509</v>
      </c>
      <c r="T132" s="337">
        <v>-0.0949313522663157</v>
      </c>
      <c r="U132" s="337">
        <v>-0.0807797035052081</v>
      </c>
      <c r="V132" s="337">
        <v>0.607517543250191</v>
      </c>
      <c r="W132" s="337">
        <v>0.0543163754898729</v>
      </c>
      <c r="X132" s="337">
        <v>0.0642369908399922</v>
      </c>
      <c r="Y132" s="337">
        <v>0.51482050070855</v>
      </c>
      <c r="Z132" s="337">
        <v>0.0751650584052818</v>
      </c>
      <c r="AA132" s="337">
        <v>0.315736719011026</v>
      </c>
      <c r="AB132" s="337">
        <v>-0.262126348228043</v>
      </c>
      <c r="AC132" s="337">
        <v>0.232715392797447</v>
      </c>
      <c r="AD132" s="337">
        <v>1.04919819399035</v>
      </c>
      <c r="AE132" s="337">
        <v>-0.3577</v>
      </c>
      <c r="AF132" s="337" t="s">
        <v>129</v>
      </c>
      <c r="AG132" s="337" t="s">
        <v>129</v>
      </c>
      <c r="AH132" s="337" t="s">
        <v>129</v>
      </c>
      <c r="AI132" s="337" t="s">
        <v>129</v>
      </c>
      <c r="AJ132" s="337" t="s">
        <v>129</v>
      </c>
      <c r="AK132" s="337" t="s">
        <v>129</v>
      </c>
      <c r="AL132" s="337" t="s">
        <v>129</v>
      </c>
      <c r="AM132" s="347" t="s">
        <v>129</v>
      </c>
      <c r="AS132" s="366" t="s">
        <v>330</v>
      </c>
      <c r="AT132" s="351" t="s">
        <v>87</v>
      </c>
      <c r="AU132" s="352" t="s">
        <v>110</v>
      </c>
      <c r="AV132" s="353"/>
      <c r="AW132" s="368"/>
      <c r="AX132" s="332" t="s">
        <v>113</v>
      </c>
      <c r="AY132" s="333"/>
      <c r="AZ132" s="333"/>
      <c r="BA132" s="333"/>
      <c r="BB132" s="333"/>
      <c r="BC132" s="333"/>
      <c r="BD132" s="346"/>
      <c r="BE132" s="368"/>
      <c r="BF132" s="380" t="s">
        <v>114</v>
      </c>
      <c r="BG132" s="381"/>
      <c r="BH132" s="381"/>
      <c r="BI132" s="381"/>
      <c r="BJ132" s="381"/>
      <c r="BK132" s="381"/>
      <c r="BL132" s="381"/>
      <c r="BM132" s="381"/>
      <c r="BN132" s="381"/>
      <c r="BO132" s="381"/>
      <c r="BP132" s="381"/>
      <c r="BQ132" s="381"/>
      <c r="BR132" s="381"/>
      <c r="BS132" s="381"/>
      <c r="BT132" s="381"/>
      <c r="BU132" s="383"/>
    </row>
    <row r="133" ht="15.15" spans="2:73">
      <c r="B133" s="298" t="s">
        <v>331</v>
      </c>
      <c r="C133" s="304">
        <v>1.67</v>
      </c>
      <c r="D133" s="305">
        <v>45838</v>
      </c>
      <c r="E133" s="306">
        <v>16909.2085</v>
      </c>
      <c r="F133" s="308">
        <v>-0.02513</v>
      </c>
      <c r="G133" s="308">
        <v>0.114839</v>
      </c>
      <c r="H133" s="308">
        <v>0.047781</v>
      </c>
      <c r="I133" s="308">
        <v>-0.064389</v>
      </c>
      <c r="J133" s="308">
        <v>0.224645</v>
      </c>
      <c r="K133" s="308">
        <v>0.338036</v>
      </c>
      <c r="L133" s="338">
        <v>0.182493</v>
      </c>
      <c r="M133" s="318"/>
      <c r="N133" s="336">
        <v>-0.075924</v>
      </c>
      <c r="O133" s="337">
        <v>0.285029445040759</v>
      </c>
      <c r="P133" s="337">
        <v>0.460545856292728</v>
      </c>
      <c r="Q133" s="337">
        <v>0.0100982217371766</v>
      </c>
      <c r="R133" s="337">
        <v>0.774145785876993</v>
      </c>
      <c r="S133" s="337">
        <v>0.154554221092312</v>
      </c>
      <c r="T133" s="337">
        <v>-0.0814880425155005</v>
      </c>
      <c r="U133" s="337">
        <v>-0.137179977072984</v>
      </c>
      <c r="V133" s="337">
        <v>0.664950838635049</v>
      </c>
      <c r="W133" s="337">
        <v>0.102116267210607</v>
      </c>
      <c r="X133" s="337">
        <v>0.123219016252595</v>
      </c>
      <c r="Y133" s="337">
        <v>0.3967</v>
      </c>
      <c r="Z133" s="337" t="s">
        <v>129</v>
      </c>
      <c r="AA133" s="337" t="s">
        <v>129</v>
      </c>
      <c r="AB133" s="337" t="s">
        <v>129</v>
      </c>
      <c r="AC133" s="337" t="s">
        <v>129</v>
      </c>
      <c r="AD133" s="337" t="s">
        <v>129</v>
      </c>
      <c r="AE133" s="337" t="s">
        <v>129</v>
      </c>
      <c r="AF133" s="337" t="s">
        <v>129</v>
      </c>
      <c r="AG133" s="337" t="s">
        <v>129</v>
      </c>
      <c r="AH133" s="337" t="s">
        <v>129</v>
      </c>
      <c r="AI133" s="337" t="s">
        <v>129</v>
      </c>
      <c r="AJ133" s="337" t="s">
        <v>129</v>
      </c>
      <c r="AK133" s="337" t="s">
        <v>129</v>
      </c>
      <c r="AL133" s="337" t="s">
        <v>129</v>
      </c>
      <c r="AM133" s="347" t="s">
        <v>129</v>
      </c>
      <c r="AS133" s="367"/>
      <c r="AT133" s="355" t="s">
        <v>121</v>
      </c>
      <c r="AU133" s="356" t="s">
        <v>115</v>
      </c>
      <c r="AV133" s="357" t="s">
        <v>116</v>
      </c>
      <c r="AW133" s="369"/>
      <c r="AX133" s="266" t="s">
        <v>122</v>
      </c>
      <c r="AY133" s="268" t="s">
        <v>123</v>
      </c>
      <c r="AZ133" s="268" t="s">
        <v>124</v>
      </c>
      <c r="BA133" s="268" t="s">
        <v>91</v>
      </c>
      <c r="BB133" s="268" t="s">
        <v>125</v>
      </c>
      <c r="BC133" s="268" t="s">
        <v>126</v>
      </c>
      <c r="BD133" s="269" t="s">
        <v>127</v>
      </c>
      <c r="BE133" s="369"/>
      <c r="BF133" s="266">
        <v>2025</v>
      </c>
      <c r="BG133" s="266">
        <v>2024</v>
      </c>
      <c r="BH133" s="266">
        <v>2023</v>
      </c>
      <c r="BI133" s="268">
        <v>2022</v>
      </c>
      <c r="BJ133" s="268">
        <v>2021</v>
      </c>
      <c r="BK133" s="268">
        <v>2020</v>
      </c>
      <c r="BL133" s="268">
        <v>2019</v>
      </c>
      <c r="BM133" s="268">
        <v>2018</v>
      </c>
      <c r="BN133" s="268">
        <v>2017</v>
      </c>
      <c r="BO133" s="268">
        <v>2016</v>
      </c>
      <c r="BP133" s="268">
        <v>2015</v>
      </c>
      <c r="BQ133" s="268">
        <v>2014</v>
      </c>
      <c r="BR133" s="268">
        <v>2013</v>
      </c>
      <c r="BS133" s="268">
        <v>2012</v>
      </c>
      <c r="BT133" s="268">
        <v>2011</v>
      </c>
      <c r="BU133" s="269">
        <v>2010</v>
      </c>
    </row>
    <row r="134" spans="2:73">
      <c r="B134" s="298" t="s">
        <v>332</v>
      </c>
      <c r="C134" s="304">
        <v>1.78</v>
      </c>
      <c r="D134" s="305">
        <v>45838</v>
      </c>
      <c r="E134" s="306">
        <v>8565.60389510969</v>
      </c>
      <c r="F134" s="308">
        <v>-0.009032</v>
      </c>
      <c r="G134" s="308">
        <v>0.11355</v>
      </c>
      <c r="H134" s="308">
        <v>0.070496</v>
      </c>
      <c r="I134" s="308">
        <v>-0.041184</v>
      </c>
      <c r="J134" s="308">
        <v>0.189011</v>
      </c>
      <c r="K134" s="308">
        <v>0.312707</v>
      </c>
      <c r="L134" s="338">
        <v>0.15307</v>
      </c>
      <c r="M134" s="318"/>
      <c r="N134" s="336">
        <v>0.017741</v>
      </c>
      <c r="O134" s="337">
        <v>0.155877228253585</v>
      </c>
      <c r="P134" s="337">
        <v>0.37936772046589</v>
      </c>
      <c r="Q134" s="337">
        <v>0.0574780058651027</v>
      </c>
      <c r="R134" s="337">
        <v>0.610009442870633</v>
      </c>
      <c r="S134" s="337">
        <v>0.227588871715611</v>
      </c>
      <c r="T134" s="337">
        <v>0.100340136054422</v>
      </c>
      <c r="U134" s="337">
        <v>-0.223506107626279</v>
      </c>
      <c r="V134" s="337">
        <v>0.427426955702168</v>
      </c>
      <c r="W134" s="337">
        <v>0.0599400599400599</v>
      </c>
      <c r="X134" s="337">
        <v>0.00451580531861515</v>
      </c>
      <c r="Y134" s="337">
        <v>0.506424792139078</v>
      </c>
      <c r="Z134" s="337">
        <v>0.0879934210526316</v>
      </c>
      <c r="AA134" s="337">
        <v>0.260103626943005</v>
      </c>
      <c r="AB134" s="337">
        <v>-0.150528169014084</v>
      </c>
      <c r="AC134" s="337">
        <v>0.173553719008264</v>
      </c>
      <c r="AD134" s="337">
        <v>0.809345794392523</v>
      </c>
      <c r="AE134" s="337">
        <v>-0.506001846722068</v>
      </c>
      <c r="AF134" s="337">
        <v>0.083</v>
      </c>
      <c r="AG134" s="337" t="s">
        <v>129</v>
      </c>
      <c r="AH134" s="337" t="s">
        <v>129</v>
      </c>
      <c r="AI134" s="337" t="s">
        <v>129</v>
      </c>
      <c r="AJ134" s="337" t="s">
        <v>129</v>
      </c>
      <c r="AK134" s="337" t="s">
        <v>129</v>
      </c>
      <c r="AL134" s="337" t="s">
        <v>129</v>
      </c>
      <c r="AM134" s="347" t="s">
        <v>129</v>
      </c>
      <c r="AS134" s="361" t="s">
        <v>333</v>
      </c>
      <c r="AT134" s="364">
        <v>0.43</v>
      </c>
      <c r="AU134" s="365">
        <v>45716</v>
      </c>
      <c r="AV134" s="364">
        <v>13190.3419</v>
      </c>
      <c r="AW134" s="3"/>
      <c r="AX134" s="376">
        <v>0.009017</v>
      </c>
      <c r="AY134" s="376">
        <v>0.020366</v>
      </c>
      <c r="AZ134" s="376">
        <v>0.039439</v>
      </c>
      <c r="BA134" s="376">
        <v>0.079298</v>
      </c>
      <c r="BB134" s="376">
        <v>0.07006</v>
      </c>
      <c r="BC134" s="376">
        <v>0.065305</v>
      </c>
      <c r="BD134" s="376">
        <v>0.073446</v>
      </c>
      <c r="BE134" s="4"/>
      <c r="BF134" s="376">
        <v>0.020366</v>
      </c>
      <c r="BG134" s="376">
        <v>0.0793884553929259</v>
      </c>
      <c r="BH134" s="376">
        <v>0.0745073279687325</v>
      </c>
      <c r="BI134" s="376">
        <v>0.0480579333300558</v>
      </c>
      <c r="BJ134" s="376">
        <v>0.0363132223470163</v>
      </c>
      <c r="BK134" s="376">
        <v>0.0863372295632424</v>
      </c>
      <c r="BL134" s="376">
        <v>0.0861178226613005</v>
      </c>
      <c r="BM134" s="376">
        <v>0.0750618981328115</v>
      </c>
      <c r="BN134" s="376">
        <v>0.0686172999165126</v>
      </c>
      <c r="BO134" s="376">
        <v>0.0952882831546218</v>
      </c>
      <c r="BP134" s="376">
        <v>0.0891151402126945</v>
      </c>
      <c r="BQ134" s="376">
        <v>0.0956791691851788</v>
      </c>
      <c r="BR134" s="376">
        <v>0.0959030183657797</v>
      </c>
      <c r="BS134" s="376">
        <v>0.101474915777902</v>
      </c>
      <c r="BT134" s="376">
        <v>0.0935349202566615</v>
      </c>
      <c r="BU134" s="376">
        <v>0.0651493358152129</v>
      </c>
    </row>
    <row r="135" spans="2:73">
      <c r="B135" s="298" t="s">
        <v>334</v>
      </c>
      <c r="C135" s="304">
        <v>1.75</v>
      </c>
      <c r="D135" s="305">
        <v>45838</v>
      </c>
      <c r="E135" s="306">
        <v>7424.6399</v>
      </c>
      <c r="F135" s="308">
        <v>-0.0274</v>
      </c>
      <c r="G135" s="308">
        <v>0.102762</v>
      </c>
      <c r="H135" s="308">
        <v>0.067609</v>
      </c>
      <c r="I135" s="308">
        <v>0.03825</v>
      </c>
      <c r="J135" s="308">
        <v>0.26719</v>
      </c>
      <c r="K135" s="308">
        <v>0.324252</v>
      </c>
      <c r="L135" s="338" t="s">
        <v>129</v>
      </c>
      <c r="M135" s="318"/>
      <c r="N135" s="336">
        <v>-0.033512</v>
      </c>
      <c r="O135" s="337">
        <v>0.374160537256156</v>
      </c>
      <c r="P135" s="337">
        <v>0.441013824884793</v>
      </c>
      <c r="Q135" s="337">
        <v>-0.0068649885583525</v>
      </c>
      <c r="R135" s="337">
        <v>0.62332838038633</v>
      </c>
      <c r="S135" s="337">
        <v>0.24860853432282</v>
      </c>
      <c r="T135" s="337">
        <v>0.0385356454720615</v>
      </c>
      <c r="U135" s="337">
        <v>0.0380000000000001</v>
      </c>
      <c r="V135" s="337" t="s">
        <v>129</v>
      </c>
      <c r="W135" s="337" t="s">
        <v>129</v>
      </c>
      <c r="X135" s="337" t="s">
        <v>129</v>
      </c>
      <c r="Y135" s="337" t="s">
        <v>129</v>
      </c>
      <c r="Z135" s="337" t="s">
        <v>129</v>
      </c>
      <c r="AA135" s="337" t="s">
        <v>129</v>
      </c>
      <c r="AB135" s="337" t="s">
        <v>129</v>
      </c>
      <c r="AC135" s="337" t="s">
        <v>129</v>
      </c>
      <c r="AD135" s="337" t="s">
        <v>129</v>
      </c>
      <c r="AE135" s="337" t="s">
        <v>129</v>
      </c>
      <c r="AF135" s="337" t="s">
        <v>129</v>
      </c>
      <c r="AG135" s="337" t="s">
        <v>129</v>
      </c>
      <c r="AH135" s="337" t="s">
        <v>129</v>
      </c>
      <c r="AI135" s="337" t="s">
        <v>129</v>
      </c>
      <c r="AJ135" s="337" t="s">
        <v>129</v>
      </c>
      <c r="AK135" s="337" t="s">
        <v>129</v>
      </c>
      <c r="AL135" s="337" t="s">
        <v>129</v>
      </c>
      <c r="AM135" s="347" t="s">
        <v>129</v>
      </c>
      <c r="AS135" s="361" t="s">
        <v>335</v>
      </c>
      <c r="AT135" s="364">
        <v>0.53</v>
      </c>
      <c r="AU135" s="365">
        <v>45716</v>
      </c>
      <c r="AV135" s="364">
        <v>165.8735</v>
      </c>
      <c r="AW135" s="3"/>
      <c r="AX135" s="376">
        <v>0.023856</v>
      </c>
      <c r="AY135" s="376">
        <v>0.029185</v>
      </c>
      <c r="AZ135" s="376">
        <v>0.037652</v>
      </c>
      <c r="BA135" s="376">
        <v>0.09721</v>
      </c>
      <c r="BB135" s="376">
        <v>0.07595</v>
      </c>
      <c r="BC135" s="376" t="s">
        <v>129</v>
      </c>
      <c r="BD135" s="376" t="s">
        <v>129</v>
      </c>
      <c r="BE135" s="4"/>
      <c r="BF135" s="376">
        <v>0.029185</v>
      </c>
      <c r="BG135" s="376">
        <v>0.0930906085200309</v>
      </c>
      <c r="BH135" s="376">
        <v>0.0714310526651638</v>
      </c>
      <c r="BI135" s="376">
        <v>0.045464158412285</v>
      </c>
      <c r="BJ135" s="376">
        <v>0.0133103</v>
      </c>
      <c r="BK135" s="376" t="s">
        <v>129</v>
      </c>
      <c r="BL135" s="376" t="s">
        <v>129</v>
      </c>
      <c r="BM135" s="376" t="s">
        <v>129</v>
      </c>
      <c r="BN135" s="376" t="s">
        <v>129</v>
      </c>
      <c r="BO135" s="376" t="s">
        <v>129</v>
      </c>
      <c r="BP135" s="376" t="s">
        <v>129</v>
      </c>
      <c r="BQ135" s="376" t="s">
        <v>129</v>
      </c>
      <c r="BR135" s="376" t="s">
        <v>129</v>
      </c>
      <c r="BS135" s="376" t="s">
        <v>129</v>
      </c>
      <c r="BT135" s="376" t="s">
        <v>129</v>
      </c>
      <c r="BU135" s="376" t="s">
        <v>129</v>
      </c>
    </row>
    <row r="136" spans="2:73">
      <c r="B136" s="298" t="s">
        <v>336</v>
      </c>
      <c r="C136" s="304">
        <v>1.65</v>
      </c>
      <c r="D136" s="305">
        <v>45838</v>
      </c>
      <c r="E136" s="306">
        <v>18031.0194</v>
      </c>
      <c r="F136" s="308">
        <v>-0.013589</v>
      </c>
      <c r="G136" s="308">
        <v>0.110807</v>
      </c>
      <c r="H136" s="308">
        <v>0.046126</v>
      </c>
      <c r="I136" s="308">
        <v>-0.050666</v>
      </c>
      <c r="J136" s="308">
        <v>0.18373</v>
      </c>
      <c r="K136" s="308">
        <v>0.310226</v>
      </c>
      <c r="L136" s="338">
        <v>0.169555</v>
      </c>
      <c r="M136" s="318"/>
      <c r="N136" s="336">
        <v>-0.041742</v>
      </c>
      <c r="O136" s="337">
        <v>0.254552762717361</v>
      </c>
      <c r="P136" s="337">
        <v>0.348342078683517</v>
      </c>
      <c r="Q136" s="337">
        <v>-0.0307190869040938</v>
      </c>
      <c r="R136" s="337">
        <v>0.709402232698626</v>
      </c>
      <c r="S136" s="337">
        <v>0.342107425566299</v>
      </c>
      <c r="T136" s="337">
        <v>0.0504373345609391</v>
      </c>
      <c r="U136" s="337">
        <v>-0.173017667003748</v>
      </c>
      <c r="V136" s="337">
        <v>0.440235084472773</v>
      </c>
      <c r="W136" s="337">
        <v>0.0886198727873012</v>
      </c>
      <c r="X136" s="337">
        <v>0.0736372011054592</v>
      </c>
      <c r="Y136" s="337">
        <v>0.740224437164564</v>
      </c>
      <c r="Z136" s="337">
        <v>-0.0491118769883351</v>
      </c>
      <c r="AA136" s="337">
        <v>0.502339938265459</v>
      </c>
      <c r="AB136" s="337">
        <v>-0.268988608654511</v>
      </c>
      <c r="AC136" s="337">
        <v>0.280024224354794</v>
      </c>
      <c r="AD136" s="337">
        <v>0.884304775280899</v>
      </c>
      <c r="AE136" s="337">
        <v>-0.629202877323178</v>
      </c>
      <c r="AF136" s="337">
        <v>0.56065224017068</v>
      </c>
      <c r="AG136" s="337">
        <v>0.309780439121757</v>
      </c>
      <c r="AH136" s="337">
        <v>0.503</v>
      </c>
      <c r="AI136" s="337" t="s">
        <v>129</v>
      </c>
      <c r="AJ136" s="337" t="s">
        <v>129</v>
      </c>
      <c r="AK136" s="337" t="s">
        <v>129</v>
      </c>
      <c r="AL136" s="337" t="s">
        <v>129</v>
      </c>
      <c r="AM136" s="347" t="s">
        <v>129</v>
      </c>
      <c r="AS136" s="361" t="s">
        <v>337</v>
      </c>
      <c r="AT136" s="364">
        <v>0.79</v>
      </c>
      <c r="AU136" s="365">
        <v>45716</v>
      </c>
      <c r="AV136" s="364">
        <v>267.4407</v>
      </c>
      <c r="AW136" s="3"/>
      <c r="AX136" s="376">
        <v>0.011155</v>
      </c>
      <c r="AY136" s="376">
        <v>0.022785</v>
      </c>
      <c r="AZ136" s="376">
        <v>0.039685</v>
      </c>
      <c r="BA136" s="376">
        <v>0.084913</v>
      </c>
      <c r="BB136" s="376">
        <v>0.065755</v>
      </c>
      <c r="BC136" s="376" t="s">
        <v>129</v>
      </c>
      <c r="BD136" s="376" t="s">
        <v>129</v>
      </c>
      <c r="BE136" s="4"/>
      <c r="BF136" s="376">
        <v>0.022785</v>
      </c>
      <c r="BG136" s="376">
        <v>0.0795250562594679</v>
      </c>
      <c r="BH136" s="376">
        <v>0.067577168283882</v>
      </c>
      <c r="BI136" s="376">
        <v>0.0371023878542274</v>
      </c>
      <c r="BJ136" s="376">
        <v>0.03147</v>
      </c>
      <c r="BK136" s="376" t="s">
        <v>129</v>
      </c>
      <c r="BL136" s="376" t="s">
        <v>129</v>
      </c>
      <c r="BM136" s="376" t="s">
        <v>129</v>
      </c>
      <c r="BN136" s="376" t="s">
        <v>129</v>
      </c>
      <c r="BO136" s="376" t="s">
        <v>129</v>
      </c>
      <c r="BP136" s="376" t="s">
        <v>129</v>
      </c>
      <c r="BQ136" s="376" t="s">
        <v>129</v>
      </c>
      <c r="BR136" s="376" t="s">
        <v>129</v>
      </c>
      <c r="BS136" s="376" t="s">
        <v>129</v>
      </c>
      <c r="BT136" s="376" t="s">
        <v>129</v>
      </c>
      <c r="BU136" s="376" t="s">
        <v>129</v>
      </c>
    </row>
    <row r="137" spans="2:73">
      <c r="B137" s="298" t="s">
        <v>338</v>
      </c>
      <c r="C137" s="304">
        <v>1.04</v>
      </c>
      <c r="D137" s="305">
        <v>45838</v>
      </c>
      <c r="E137" s="306">
        <v>978.2957</v>
      </c>
      <c r="F137" s="308">
        <v>-0.036461</v>
      </c>
      <c r="G137" s="308">
        <v>0.115579</v>
      </c>
      <c r="H137" s="308">
        <v>0.080531</v>
      </c>
      <c r="I137" s="308">
        <v>-0.049457</v>
      </c>
      <c r="J137" s="308">
        <v>0.242256</v>
      </c>
      <c r="K137" s="308">
        <v>0.307266</v>
      </c>
      <c r="L137" s="338" t="s">
        <v>129</v>
      </c>
      <c r="M137" s="318"/>
      <c r="N137" s="336">
        <v>-0.035638</v>
      </c>
      <c r="O137" s="337">
        <v>0.255979774437575</v>
      </c>
      <c r="P137" s="337">
        <v>0.472957902188776</v>
      </c>
      <c r="Q137" s="337">
        <v>-0.0411333404624304</v>
      </c>
      <c r="R137" s="337">
        <v>0.60116282532309</v>
      </c>
      <c r="S137" s="337">
        <v>0.251099023917741</v>
      </c>
      <c r="T137" s="337">
        <v>0.07368</v>
      </c>
      <c r="U137" s="337" t="s">
        <v>129</v>
      </c>
      <c r="V137" s="337" t="s">
        <v>129</v>
      </c>
      <c r="W137" s="337" t="s">
        <v>129</v>
      </c>
      <c r="X137" s="337" t="s">
        <v>129</v>
      </c>
      <c r="Y137" s="337" t="s">
        <v>129</v>
      </c>
      <c r="Z137" s="337" t="s">
        <v>129</v>
      </c>
      <c r="AA137" s="337" t="s">
        <v>129</v>
      </c>
      <c r="AB137" s="337" t="s">
        <v>129</v>
      </c>
      <c r="AC137" s="337" t="s">
        <v>129</v>
      </c>
      <c r="AD137" s="337" t="s">
        <v>129</v>
      </c>
      <c r="AE137" s="337" t="s">
        <v>129</v>
      </c>
      <c r="AF137" s="337" t="s">
        <v>129</v>
      </c>
      <c r="AG137" s="337" t="s">
        <v>129</v>
      </c>
      <c r="AH137" s="337" t="s">
        <v>129</v>
      </c>
      <c r="AI137" s="337" t="s">
        <v>129</v>
      </c>
      <c r="AJ137" s="337" t="s">
        <v>129</v>
      </c>
      <c r="AK137" s="337" t="s">
        <v>129</v>
      </c>
      <c r="AL137" s="337" t="s">
        <v>129</v>
      </c>
      <c r="AM137" s="347" t="s">
        <v>129</v>
      </c>
      <c r="AS137" s="361" t="s">
        <v>339</v>
      </c>
      <c r="AT137" s="364">
        <v>0.49</v>
      </c>
      <c r="AU137" s="365">
        <v>45716</v>
      </c>
      <c r="AV137" s="364">
        <v>575.005</v>
      </c>
      <c r="AW137" s="3"/>
      <c r="AX137" s="376">
        <v>0.011873</v>
      </c>
      <c r="AY137" s="376">
        <v>0.022995</v>
      </c>
      <c r="AZ137" s="376">
        <v>0.038584</v>
      </c>
      <c r="BA137" s="376">
        <v>0.089386</v>
      </c>
      <c r="BB137" s="376">
        <v>0.072854</v>
      </c>
      <c r="BC137" s="376" t="s">
        <v>129</v>
      </c>
      <c r="BD137" s="376" t="s">
        <v>129</v>
      </c>
      <c r="BE137" s="4"/>
      <c r="BF137" s="376">
        <v>0.022995</v>
      </c>
      <c r="BG137" s="376">
        <v>0.0904996117007507</v>
      </c>
      <c r="BH137" s="376">
        <v>0.0788594196557407</v>
      </c>
      <c r="BI137" s="376">
        <v>0.0304672735819191</v>
      </c>
      <c r="BJ137" s="376">
        <v>0.0424300000000001</v>
      </c>
      <c r="BK137" s="376" t="s">
        <v>129</v>
      </c>
      <c r="BL137" s="376" t="s">
        <v>129</v>
      </c>
      <c r="BM137" s="376" t="s">
        <v>129</v>
      </c>
      <c r="BN137" s="376" t="s">
        <v>129</v>
      </c>
      <c r="BO137" s="376" t="s">
        <v>129</v>
      </c>
      <c r="BP137" s="376" t="s">
        <v>129</v>
      </c>
      <c r="BQ137" s="376" t="s">
        <v>129</v>
      </c>
      <c r="BR137" s="376" t="s">
        <v>129</v>
      </c>
      <c r="BS137" s="376" t="s">
        <v>129</v>
      </c>
      <c r="BT137" s="376" t="s">
        <v>129</v>
      </c>
      <c r="BU137" s="376" t="s">
        <v>129</v>
      </c>
    </row>
    <row r="138" spans="2:73">
      <c r="B138" s="298" t="s">
        <v>340</v>
      </c>
      <c r="C138" s="304">
        <v>1.4</v>
      </c>
      <c r="D138" s="305">
        <v>45838</v>
      </c>
      <c r="E138" s="306">
        <v>66601.7954</v>
      </c>
      <c r="F138" s="308">
        <v>-0.022688</v>
      </c>
      <c r="G138" s="308">
        <v>0.097094</v>
      </c>
      <c r="H138" s="308">
        <v>0.069341</v>
      </c>
      <c r="I138" s="308">
        <v>-0.058962</v>
      </c>
      <c r="J138" s="308">
        <v>0.256801</v>
      </c>
      <c r="K138" s="308">
        <v>0.361313</v>
      </c>
      <c r="L138" s="338">
        <v>0.205669</v>
      </c>
      <c r="M138" s="318"/>
      <c r="N138" s="336">
        <v>-0.029795</v>
      </c>
      <c r="O138" s="337">
        <v>0.260709564368574</v>
      </c>
      <c r="P138" s="337">
        <v>0.489195367200537</v>
      </c>
      <c r="Q138" s="337">
        <v>0.0654117819561447</v>
      </c>
      <c r="R138" s="337">
        <v>0.74337518547883</v>
      </c>
      <c r="S138" s="337">
        <v>0.292375790424571</v>
      </c>
      <c r="T138" s="337">
        <v>-0.025160397534281</v>
      </c>
      <c r="U138" s="337">
        <v>-0.166902478645915</v>
      </c>
      <c r="V138" s="337">
        <v>0.629682893752498</v>
      </c>
      <c r="W138" s="337">
        <v>0.0556376932840988</v>
      </c>
      <c r="X138" s="337">
        <v>0.151068625294189</v>
      </c>
      <c r="Y138" s="337">
        <v>0.976025262467192</v>
      </c>
      <c r="Z138" s="337">
        <v>0.118870850808043</v>
      </c>
      <c r="AA138" s="337">
        <v>0.418915047658732</v>
      </c>
      <c r="AB138" s="337">
        <v>-0.250397758884909</v>
      </c>
      <c r="AC138" s="337">
        <v>0.0244899999999999</v>
      </c>
      <c r="AD138" s="337" t="s">
        <v>129</v>
      </c>
      <c r="AE138" s="337" t="s">
        <v>129</v>
      </c>
      <c r="AF138" s="337" t="s">
        <v>129</v>
      </c>
      <c r="AG138" s="337" t="s">
        <v>129</v>
      </c>
      <c r="AH138" s="337" t="s">
        <v>129</v>
      </c>
      <c r="AI138" s="337" t="s">
        <v>129</v>
      </c>
      <c r="AJ138" s="337" t="s">
        <v>129</v>
      </c>
      <c r="AK138" s="337" t="s">
        <v>129</v>
      </c>
      <c r="AL138" s="337" t="s">
        <v>129</v>
      </c>
      <c r="AM138" s="347" t="s">
        <v>129</v>
      </c>
      <c r="AS138" s="361" t="s">
        <v>341</v>
      </c>
      <c r="AT138" s="364">
        <v>0.98</v>
      </c>
      <c r="AU138" s="365">
        <v>45716</v>
      </c>
      <c r="AV138" s="364">
        <v>323.197973043</v>
      </c>
      <c r="AW138" s="3"/>
      <c r="AX138" s="376">
        <v>0.010212</v>
      </c>
      <c r="AY138" s="376">
        <v>0.02147</v>
      </c>
      <c r="AZ138" s="376">
        <v>0.037466</v>
      </c>
      <c r="BA138" s="376">
        <v>0.082942</v>
      </c>
      <c r="BB138" s="376">
        <v>0.070033</v>
      </c>
      <c r="BC138" s="376">
        <v>0.059181</v>
      </c>
      <c r="BD138" s="376">
        <v>0.061815</v>
      </c>
      <c r="BE138" s="4"/>
      <c r="BF138" s="376">
        <v>0.02147</v>
      </c>
      <c r="BG138" s="376">
        <v>0.0811189626364842</v>
      </c>
      <c r="BH138" s="376">
        <v>0.0736639469810298</v>
      </c>
      <c r="BI138" s="376">
        <v>0.0419088425235967</v>
      </c>
      <c r="BJ138" s="376">
        <v>0.0332581573434537</v>
      </c>
      <c r="BK138" s="376">
        <v>0.0594014988019779</v>
      </c>
      <c r="BL138" s="376">
        <v>0.0743483293351298</v>
      </c>
      <c r="BM138" s="376">
        <v>0.0670445911986442</v>
      </c>
      <c r="BN138" s="376">
        <v>0.0593559624242624</v>
      </c>
      <c r="BO138" s="376">
        <v>0.0634046998305814</v>
      </c>
      <c r="BP138" s="376">
        <v>0.0602984907925782</v>
      </c>
      <c r="BQ138" s="376">
        <v>0.0681615954744517</v>
      </c>
      <c r="BR138" s="376">
        <v>0.0712672936214627</v>
      </c>
      <c r="BS138" s="376">
        <v>0.0735536245140636</v>
      </c>
      <c r="BT138" s="376">
        <v>0.0670212830851629</v>
      </c>
      <c r="BU138" s="376">
        <v>0.0364616921462262</v>
      </c>
    </row>
    <row r="139" spans="2:73">
      <c r="B139" s="298" t="s">
        <v>342</v>
      </c>
      <c r="C139" s="304">
        <v>1.58</v>
      </c>
      <c r="D139" s="305">
        <v>45838</v>
      </c>
      <c r="E139" s="306">
        <v>29629.0886</v>
      </c>
      <c r="F139" s="308">
        <v>-0.018306</v>
      </c>
      <c r="G139" s="308">
        <v>0.084816</v>
      </c>
      <c r="H139" s="308">
        <v>0.0661</v>
      </c>
      <c r="I139" s="308">
        <v>-0.074073</v>
      </c>
      <c r="J139" s="308">
        <v>0.272221</v>
      </c>
      <c r="K139" s="308">
        <v>0.383773</v>
      </c>
      <c r="L139" s="338">
        <v>0.195824</v>
      </c>
      <c r="M139" s="318"/>
      <c r="N139" s="336">
        <v>-0.011622</v>
      </c>
      <c r="O139" s="337">
        <v>0.223450116858935</v>
      </c>
      <c r="P139" s="337">
        <v>0.463789342388295</v>
      </c>
      <c r="Q139" s="337">
        <v>0.0949757892112838</v>
      </c>
      <c r="R139" s="337">
        <v>0.880471669836792</v>
      </c>
      <c r="S139" s="337">
        <v>0.751035373070102</v>
      </c>
      <c r="T139" s="337">
        <v>-0.235113373896036</v>
      </c>
      <c r="U139" s="337">
        <v>0.026708573192195</v>
      </c>
      <c r="V139" s="337">
        <v>0.05247003048862</v>
      </c>
      <c r="W139" s="337">
        <v>0.102125576937456</v>
      </c>
      <c r="X139" s="337">
        <v>0.082432203743171</v>
      </c>
      <c r="Y139" s="337">
        <v>0.114059319371015</v>
      </c>
      <c r="Z139" s="337">
        <v>0.0755565351553874</v>
      </c>
      <c r="AA139" s="337">
        <v>0.132102778396975</v>
      </c>
      <c r="AB139" s="337">
        <v>-0.0505329062501971</v>
      </c>
      <c r="AC139" s="337">
        <v>0.409066719758397</v>
      </c>
      <c r="AD139" s="337">
        <v>0.0988786153337164</v>
      </c>
      <c r="AE139" s="337">
        <v>-0.0793831455090493</v>
      </c>
      <c r="AF139" s="337">
        <v>0.242822704361166</v>
      </c>
      <c r="AG139" s="337">
        <v>0.226185895674161</v>
      </c>
      <c r="AH139" s="337">
        <v>0.0814861294583883</v>
      </c>
      <c r="AI139" s="337">
        <v>0.117821650595827</v>
      </c>
      <c r="AJ139" s="337">
        <v>0.205783115368522</v>
      </c>
      <c r="AK139" s="337">
        <v>1.01664272890485</v>
      </c>
      <c r="AL139" s="337">
        <v>-0.665465465465465</v>
      </c>
      <c r="AM139" s="347">
        <v>0.0127737226277371</v>
      </c>
      <c r="AS139" s="361" t="s">
        <v>343</v>
      </c>
      <c r="AT139" s="364">
        <v>0.49</v>
      </c>
      <c r="AU139" s="365">
        <v>45716</v>
      </c>
      <c r="AV139" s="364">
        <v>15117.7761</v>
      </c>
      <c r="AW139" s="3"/>
      <c r="AX139" s="376">
        <v>0.00866</v>
      </c>
      <c r="AY139" s="376">
        <v>0.020926</v>
      </c>
      <c r="AZ139" s="376">
        <v>0.039194</v>
      </c>
      <c r="BA139" s="376">
        <v>0.083227</v>
      </c>
      <c r="BB139" s="376">
        <v>0.072318</v>
      </c>
      <c r="BC139" s="376">
        <v>0.068168</v>
      </c>
      <c r="BD139" s="376">
        <v>0.073754</v>
      </c>
      <c r="BE139" s="4"/>
      <c r="BF139" s="376">
        <v>0.020926</v>
      </c>
      <c r="BG139" s="376">
        <v>0.0828645485517663</v>
      </c>
      <c r="BH139" s="376">
        <v>0.076329498218889</v>
      </c>
      <c r="BI139" s="376">
        <v>0.0458721207287146</v>
      </c>
      <c r="BJ139" s="376">
        <v>0.0410264436851377</v>
      </c>
      <c r="BK139" s="376">
        <v>0.0914882034769918</v>
      </c>
      <c r="BL139" s="376">
        <v>0.085550655531073</v>
      </c>
      <c r="BM139" s="376">
        <v>0.0720233181136589</v>
      </c>
      <c r="BN139" s="376">
        <v>0.0683146860195545</v>
      </c>
      <c r="BO139" s="376">
        <v>0.0898519338057013</v>
      </c>
      <c r="BP139" s="376">
        <v>0.0883494523794275</v>
      </c>
      <c r="BQ139" s="376">
        <v>0.0941339712024519</v>
      </c>
      <c r="BR139" s="376">
        <v>0.0907525084464193</v>
      </c>
      <c r="BS139" s="376">
        <v>0.0983885502549549</v>
      </c>
      <c r="BT139" s="376">
        <v>0.0897894948730931</v>
      </c>
      <c r="BU139" s="376">
        <v>0.0572548867864904</v>
      </c>
    </row>
    <row r="140" ht="15.15" spans="2:73">
      <c r="B140" s="389" t="s">
        <v>344</v>
      </c>
      <c r="C140" s="309">
        <v>1.57</v>
      </c>
      <c r="D140" s="310">
        <v>45838</v>
      </c>
      <c r="E140" s="311">
        <v>35696.1889</v>
      </c>
      <c r="F140" s="308">
        <v>-0.014812</v>
      </c>
      <c r="G140" s="308">
        <v>0.083668</v>
      </c>
      <c r="H140" s="308">
        <v>0.057931</v>
      </c>
      <c r="I140" s="308">
        <v>-0.060788</v>
      </c>
      <c r="J140" s="308">
        <v>0.182575</v>
      </c>
      <c r="K140" s="308">
        <v>0.276984</v>
      </c>
      <c r="L140" s="338">
        <v>0.180129</v>
      </c>
      <c r="M140" s="318"/>
      <c r="N140" s="336">
        <v>-0.027283</v>
      </c>
      <c r="O140" s="337">
        <v>0.241381530736728</v>
      </c>
      <c r="P140" s="337">
        <v>0.253039277764817</v>
      </c>
      <c r="Q140" s="337">
        <v>0.0814267680719435</v>
      </c>
      <c r="R140" s="337">
        <v>0.475645990401989</v>
      </c>
      <c r="S140" s="337">
        <v>0.336166401124999</v>
      </c>
      <c r="T140" s="337">
        <v>0.0609922323740365</v>
      </c>
      <c r="U140" s="337">
        <v>-0.196223959786878</v>
      </c>
      <c r="V140" s="337">
        <v>0.786620129638863</v>
      </c>
      <c r="W140" s="337">
        <v>0.0128914772530504</v>
      </c>
      <c r="X140" s="337">
        <v>0.205635214173628</v>
      </c>
      <c r="Y140" s="337">
        <v>1.10662610862713</v>
      </c>
      <c r="Z140" s="337">
        <v>0.078498023715415</v>
      </c>
      <c r="AA140" s="337">
        <v>0.319082377476538</v>
      </c>
      <c r="AB140" s="337">
        <v>-0.243093922651934</v>
      </c>
      <c r="AC140" s="337">
        <v>0.189671361502347</v>
      </c>
      <c r="AD140" s="337">
        <v>0.065</v>
      </c>
      <c r="AE140" s="337" t="s">
        <v>129</v>
      </c>
      <c r="AF140" s="337" t="s">
        <v>129</v>
      </c>
      <c r="AG140" s="337" t="s">
        <v>129</v>
      </c>
      <c r="AH140" s="337" t="s">
        <v>129</v>
      </c>
      <c r="AI140" s="337" t="s">
        <v>129</v>
      </c>
      <c r="AJ140" s="337" t="s">
        <v>129</v>
      </c>
      <c r="AK140" s="337" t="s">
        <v>129</v>
      </c>
      <c r="AL140" s="337" t="s">
        <v>129</v>
      </c>
      <c r="AM140" s="347" t="s">
        <v>129</v>
      </c>
      <c r="AS140" s="361" t="s">
        <v>345</v>
      </c>
      <c r="AT140" s="364">
        <v>1.18</v>
      </c>
      <c r="AU140" s="365">
        <v>45716</v>
      </c>
      <c r="AV140" s="364">
        <v>7218.9092057368</v>
      </c>
      <c r="AW140" s="3"/>
      <c r="AX140" s="376">
        <v>0.007895</v>
      </c>
      <c r="AY140" s="376">
        <v>0.019196</v>
      </c>
      <c r="AZ140" s="376">
        <v>0.036997</v>
      </c>
      <c r="BA140" s="376">
        <v>0.07939</v>
      </c>
      <c r="BB140" s="376">
        <v>0.071597</v>
      </c>
      <c r="BC140" s="376">
        <v>0.06698</v>
      </c>
      <c r="BD140" s="376">
        <v>0.071574</v>
      </c>
      <c r="BE140" s="4"/>
      <c r="BF140" s="376">
        <v>0.019196</v>
      </c>
      <c r="BG140" s="376">
        <v>0.079905879558495</v>
      </c>
      <c r="BH140" s="376">
        <v>0.0774598464839056</v>
      </c>
      <c r="BI140" s="376">
        <v>0.0426177709547202</v>
      </c>
      <c r="BJ140" s="376">
        <v>0.0379298247240883</v>
      </c>
      <c r="BK140" s="376">
        <v>0.094782433316842</v>
      </c>
      <c r="BL140" s="376">
        <v>0.0842245032813718</v>
      </c>
      <c r="BM140" s="376">
        <v>0.0660996264497076</v>
      </c>
      <c r="BN140" s="376">
        <v>0.0676001286189746</v>
      </c>
      <c r="BO140" s="376">
        <v>0.0887526131390313</v>
      </c>
      <c r="BP140" s="376">
        <v>0.0808432639622595</v>
      </c>
      <c r="BQ140" s="376">
        <v>0.0924639075414609</v>
      </c>
      <c r="BR140" s="376">
        <v>0.0924885969146421</v>
      </c>
      <c r="BS140" s="376">
        <v>0.0965660861047816</v>
      </c>
      <c r="BT140" s="376">
        <v>0.0914644718600284</v>
      </c>
      <c r="BU140" s="376">
        <v>0.0564701589775956</v>
      </c>
    </row>
    <row r="141" spans="2:73">
      <c r="B141" s="312" t="s">
        <v>346</v>
      </c>
      <c r="F141" s="302">
        <v>-0.023141</v>
      </c>
      <c r="G141" s="303">
        <v>0.127108</v>
      </c>
      <c r="H141" s="303">
        <v>0.069396</v>
      </c>
      <c r="I141" s="303">
        <v>-0.034464</v>
      </c>
      <c r="J141" s="303">
        <v>0.253786</v>
      </c>
      <c r="K141" s="303">
        <v>0.326015</v>
      </c>
      <c r="L141" s="335">
        <v>0.162571</v>
      </c>
      <c r="M141" s="318"/>
      <c r="N141" s="339">
        <v>-0.03181</v>
      </c>
      <c r="O141" s="340">
        <v>0.293080337893825</v>
      </c>
      <c r="P141" s="340">
        <v>0.475233166210285</v>
      </c>
      <c r="Q141" s="340">
        <v>-0.018024792109108</v>
      </c>
      <c r="R141" s="340">
        <v>0.627670513661371</v>
      </c>
      <c r="S141" s="340">
        <v>0.321090677892487</v>
      </c>
      <c r="T141" s="340">
        <v>-0.0684939983096128</v>
      </c>
      <c r="U141" s="340">
        <v>-0.235250162240415</v>
      </c>
      <c r="V141" s="340">
        <v>0.596423083596143</v>
      </c>
      <c r="W141" s="340">
        <v>0.0176924162203856</v>
      </c>
      <c r="X141" s="340">
        <v>0.0676138961871801</v>
      </c>
      <c r="Y141" s="340">
        <v>0.692390473093955</v>
      </c>
      <c r="Z141" s="340">
        <v>-0.112305791103993</v>
      </c>
      <c r="AA141" s="340">
        <v>0.329685377305798</v>
      </c>
      <c r="AB141" s="340">
        <v>-0.426063900743616</v>
      </c>
      <c r="AC141" s="340">
        <v>0.157065049619389</v>
      </c>
      <c r="AD141" s="340">
        <v>1.26917469204015</v>
      </c>
      <c r="AE141" s="340">
        <v>-0.724077921124452</v>
      </c>
      <c r="AF141" s="340">
        <v>0.936702010353553</v>
      </c>
      <c r="AG141" s="340">
        <v>0.159716040928066</v>
      </c>
      <c r="AH141" s="340">
        <v>0.731761188636966</v>
      </c>
      <c r="AI141" s="340">
        <v>0.410685071154336</v>
      </c>
      <c r="AJ141" s="340" t="s">
        <v>129</v>
      </c>
      <c r="AK141" s="340" t="s">
        <v>129</v>
      </c>
      <c r="AL141" s="340" t="s">
        <v>129</v>
      </c>
      <c r="AM141" s="348" t="s">
        <v>129</v>
      </c>
      <c r="AS141" s="361" t="s">
        <v>347</v>
      </c>
      <c r="AT141" s="364">
        <v>0.63</v>
      </c>
      <c r="AU141" s="365">
        <v>45716</v>
      </c>
      <c r="AV141" s="364">
        <v>3264.1568</v>
      </c>
      <c r="AW141" s="3"/>
      <c r="AX141" s="376">
        <v>0.008899</v>
      </c>
      <c r="AY141" s="376">
        <v>0.020746</v>
      </c>
      <c r="AZ141" s="376">
        <v>0.039559</v>
      </c>
      <c r="BA141" s="376">
        <v>0.084575</v>
      </c>
      <c r="BB141" s="376">
        <v>0.066814</v>
      </c>
      <c r="BC141" s="376">
        <v>0.067719</v>
      </c>
      <c r="BD141" s="376" t="s">
        <v>129</v>
      </c>
      <c r="BE141" s="4"/>
      <c r="BF141" s="376">
        <v>0.020746</v>
      </c>
      <c r="BG141" s="376">
        <v>0.0819611049098369</v>
      </c>
      <c r="BH141" s="376">
        <v>0.0723066658649602</v>
      </c>
      <c r="BI141" s="376">
        <v>0.0347143853204487</v>
      </c>
      <c r="BJ141" s="376">
        <v>0.0420092147056184</v>
      </c>
      <c r="BK141" s="376">
        <v>0.112094431908684</v>
      </c>
      <c r="BL141" s="376">
        <v>0.0388946000000001</v>
      </c>
      <c r="BM141" s="376" t="s">
        <v>129</v>
      </c>
      <c r="BN141" s="376" t="s">
        <v>129</v>
      </c>
      <c r="BO141" s="376" t="s">
        <v>129</v>
      </c>
      <c r="BP141" s="376" t="s">
        <v>129</v>
      </c>
      <c r="BQ141" s="376" t="s">
        <v>129</v>
      </c>
      <c r="BR141" s="376" t="s">
        <v>129</v>
      </c>
      <c r="BS141" s="376" t="s">
        <v>129</v>
      </c>
      <c r="BT141" s="376" t="s">
        <v>129</v>
      </c>
      <c r="BU141" s="376" t="s">
        <v>129</v>
      </c>
    </row>
    <row r="142" spans="2:73">
      <c r="B142" s="313" t="s">
        <v>348</v>
      </c>
      <c r="F142" s="307">
        <v>-0.058099</v>
      </c>
      <c r="G142" s="308">
        <v>0.092286</v>
      </c>
      <c r="H142" s="308">
        <v>0.062467</v>
      </c>
      <c r="I142" s="308">
        <v>-0.061178</v>
      </c>
      <c r="J142" s="308">
        <v>0.250497</v>
      </c>
      <c r="K142" s="308">
        <v>0.29079</v>
      </c>
      <c r="L142" s="338">
        <v>0.121101</v>
      </c>
      <c r="M142" s="318"/>
      <c r="N142" s="336">
        <v>-0.042748</v>
      </c>
      <c r="O142" s="337">
        <v>0.239410546060907</v>
      </c>
      <c r="P142" s="337">
        <v>0.55617958449796</v>
      </c>
      <c r="Q142" s="337">
        <v>-0.137983878111436</v>
      </c>
      <c r="R142" s="337">
        <v>0.592781759692985</v>
      </c>
      <c r="S142" s="337">
        <v>0.214722138909122</v>
      </c>
      <c r="T142" s="337">
        <v>-0.0952683686997511</v>
      </c>
      <c r="U142" s="337">
        <v>-0.290776125147774</v>
      </c>
      <c r="V142" s="337">
        <v>0.572995320757328</v>
      </c>
      <c r="W142" s="337">
        <v>0.0225620434082748</v>
      </c>
      <c r="X142" s="337">
        <v>0.0721424642985834</v>
      </c>
      <c r="Y142" s="337">
        <v>0.549531282141703</v>
      </c>
      <c r="Z142" s="337">
        <v>-0.0828133633411048</v>
      </c>
      <c r="AA142" s="337">
        <v>0.368125080664491</v>
      </c>
      <c r="AB142" s="337">
        <v>-0.338736067456553</v>
      </c>
      <c r="AC142" s="337">
        <v>0.176341846803433</v>
      </c>
      <c r="AD142" s="337">
        <v>1.07012772628216</v>
      </c>
      <c r="AE142" s="337">
        <v>-0.709680144257457</v>
      </c>
      <c r="AF142" s="337">
        <v>0.872704615305147</v>
      </c>
      <c r="AG142" s="337">
        <v>0.415918524071602</v>
      </c>
      <c r="AH142" s="337">
        <v>0.622024008126283</v>
      </c>
      <c r="AI142" s="337" t="s">
        <v>129</v>
      </c>
      <c r="AJ142" s="337" t="s">
        <v>129</v>
      </c>
      <c r="AK142" s="337" t="s">
        <v>129</v>
      </c>
      <c r="AL142" s="337" t="s">
        <v>129</v>
      </c>
      <c r="AM142" s="347" t="s">
        <v>129</v>
      </c>
      <c r="AS142" s="361" t="s">
        <v>349</v>
      </c>
      <c r="AT142" s="364">
        <v>0.6</v>
      </c>
      <c r="AU142" s="365">
        <v>45716</v>
      </c>
      <c r="AV142" s="364">
        <v>7624.3185</v>
      </c>
      <c r="AW142" s="3"/>
      <c r="AX142" s="376">
        <v>0.010339</v>
      </c>
      <c r="AY142" s="376">
        <v>0.02175</v>
      </c>
      <c r="AZ142" s="376">
        <v>0.039171</v>
      </c>
      <c r="BA142" s="376">
        <v>0.083012</v>
      </c>
      <c r="BB142" s="376">
        <v>0.067905</v>
      </c>
      <c r="BC142" s="376">
        <v>0.067856</v>
      </c>
      <c r="BD142" s="376">
        <v>0.071971</v>
      </c>
      <c r="BE142" s="4"/>
      <c r="BF142" s="376">
        <v>0.02175</v>
      </c>
      <c r="BG142" s="376">
        <v>0.0822633831474076</v>
      </c>
      <c r="BH142" s="376">
        <v>0.0717289606685751</v>
      </c>
      <c r="BI142" s="376">
        <v>0.0376668143578083</v>
      </c>
      <c r="BJ142" s="376">
        <v>0.0373448421393428</v>
      </c>
      <c r="BK142" s="376">
        <v>0.113131839667416</v>
      </c>
      <c r="BL142" s="376">
        <v>0.0902001641725075</v>
      </c>
      <c r="BM142" s="376">
        <v>0.0584028871001277</v>
      </c>
      <c r="BN142" s="376">
        <v>0.0594894832286311</v>
      </c>
      <c r="BO142" s="376">
        <v>0.0903737191337505</v>
      </c>
      <c r="BP142" s="376">
        <v>0.0862807221898661</v>
      </c>
      <c r="BQ142" s="376">
        <v>0.0975285472480606</v>
      </c>
      <c r="BR142" s="376">
        <v>0.0794073975944845</v>
      </c>
      <c r="BS142" s="376">
        <v>0.0970111295459775</v>
      </c>
      <c r="BT142" s="376">
        <v>0.0920837714338618</v>
      </c>
      <c r="BU142" s="376">
        <v>0.0544809215664398</v>
      </c>
    </row>
    <row r="143" ht="15.15" spans="2:73">
      <c r="B143" s="314" t="s">
        <v>350</v>
      </c>
      <c r="F143" s="307">
        <v>-0.036721</v>
      </c>
      <c r="G143" s="308">
        <v>0.116202</v>
      </c>
      <c r="H143" s="308">
        <v>0.081585</v>
      </c>
      <c r="I143" s="308">
        <v>-0.044782</v>
      </c>
      <c r="J143" s="308">
        <v>0.248638</v>
      </c>
      <c r="K143" s="308">
        <v>0.317205</v>
      </c>
      <c r="L143" s="338" t="s">
        <v>129</v>
      </c>
      <c r="M143" s="318"/>
      <c r="N143" s="341">
        <v>-0.034249</v>
      </c>
      <c r="O143" s="342">
        <v>0.264288206932407</v>
      </c>
      <c r="P143" s="342">
        <v>0.480954515491101</v>
      </c>
      <c r="Q143" s="342">
        <v>-0.0364583333333333</v>
      </c>
      <c r="R143" s="342">
        <v>0.619433198380567</v>
      </c>
      <c r="S143" s="342">
        <v>0.250916127969696</v>
      </c>
      <c r="T143" s="342">
        <v>-0.0827271559896364</v>
      </c>
      <c r="U143" s="342">
        <v>-0.268007862500242</v>
      </c>
      <c r="V143" s="342" t="s">
        <v>129</v>
      </c>
      <c r="W143" s="342" t="s">
        <v>129</v>
      </c>
      <c r="X143" s="342" t="s">
        <v>129</v>
      </c>
      <c r="Y143" s="342" t="s">
        <v>129</v>
      </c>
      <c r="Z143" s="342" t="s">
        <v>129</v>
      </c>
      <c r="AA143" s="342" t="s">
        <v>129</v>
      </c>
      <c r="AB143" s="342" t="s">
        <v>129</v>
      </c>
      <c r="AC143" s="342" t="s">
        <v>129</v>
      </c>
      <c r="AD143" s="342" t="s">
        <v>129</v>
      </c>
      <c r="AE143" s="342" t="s">
        <v>129</v>
      </c>
      <c r="AF143" s="342" t="s">
        <v>129</v>
      </c>
      <c r="AG143" s="342" t="s">
        <v>129</v>
      </c>
      <c r="AH143" s="342" t="s">
        <v>129</v>
      </c>
      <c r="AI143" s="342" t="s">
        <v>129</v>
      </c>
      <c r="AJ143" s="342" t="s">
        <v>129</v>
      </c>
      <c r="AK143" s="342" t="s">
        <v>129</v>
      </c>
      <c r="AL143" s="342" t="s">
        <v>129</v>
      </c>
      <c r="AM143" s="349" t="s">
        <v>129</v>
      </c>
      <c r="AS143" s="361" t="s">
        <v>351</v>
      </c>
      <c r="AT143" s="364">
        <v>0.42</v>
      </c>
      <c r="AU143" s="365">
        <v>45716</v>
      </c>
      <c r="AV143" s="364">
        <v>1241.3381</v>
      </c>
      <c r="AW143" s="3"/>
      <c r="AX143" s="376">
        <v>0.007963</v>
      </c>
      <c r="AY143" s="376">
        <v>0.020656</v>
      </c>
      <c r="AZ143" s="376">
        <v>0.036444</v>
      </c>
      <c r="BA143" s="376">
        <v>0.080445</v>
      </c>
      <c r="BB143" s="376">
        <v>0.070321</v>
      </c>
      <c r="BC143" s="376" t="s">
        <v>129</v>
      </c>
      <c r="BD143" s="376" t="s">
        <v>129</v>
      </c>
      <c r="BE143" s="4"/>
      <c r="BF143" s="376">
        <v>0.020656</v>
      </c>
      <c r="BG143" s="376">
        <v>0.0818490857147702</v>
      </c>
      <c r="BH143" s="376">
        <v>0.0754034096088978</v>
      </c>
      <c r="BI143" s="376">
        <v>0.0432458651550744</v>
      </c>
      <c r="BJ143" s="376">
        <v>0.0350452339466249</v>
      </c>
      <c r="BK143" s="376">
        <v>0.0158300000000001</v>
      </c>
      <c r="BL143" s="376" t="s">
        <v>129</v>
      </c>
      <c r="BM143" s="376" t="s">
        <v>129</v>
      </c>
      <c r="BN143" s="376" t="s">
        <v>129</v>
      </c>
      <c r="BO143" s="376" t="s">
        <v>129</v>
      </c>
      <c r="BP143" s="376" t="s">
        <v>129</v>
      </c>
      <c r="BQ143" s="376" t="s">
        <v>129</v>
      </c>
      <c r="BR143" s="376" t="s">
        <v>129</v>
      </c>
      <c r="BS143" s="376" t="s">
        <v>129</v>
      </c>
      <c r="BT143" s="376" t="s">
        <v>129</v>
      </c>
      <c r="BU143" s="376" t="s">
        <v>129</v>
      </c>
    </row>
    <row r="144" ht="15.15" spans="2:73">
      <c r="B144" s="315" t="s">
        <v>162</v>
      </c>
      <c r="F144" s="316">
        <f>AVERAGE(F128:F140)</f>
        <v>-0.0179808461538462</v>
      </c>
      <c r="G144" s="317">
        <f t="shared" ref="G144:L144" si="17">AVERAGE(G128:G140)</f>
        <v>0.111417769230769</v>
      </c>
      <c r="H144" s="317">
        <f t="shared" si="17"/>
        <v>0.0727368461538462</v>
      </c>
      <c r="I144" s="317">
        <f t="shared" si="17"/>
        <v>-0.03319</v>
      </c>
      <c r="J144" s="317">
        <f t="shared" si="17"/>
        <v>0.227371692307692</v>
      </c>
      <c r="K144" s="317">
        <f t="shared" si="17"/>
        <v>0.319285538461539</v>
      </c>
      <c r="L144" s="343">
        <f t="shared" si="17"/>
        <v>0.172706090909091</v>
      </c>
      <c r="M144" s="318"/>
      <c r="N144" s="323">
        <f t="shared" ref="N144:AM144" si="18">AVERAGE(N128:N140)</f>
        <v>-0.0227392307692308</v>
      </c>
      <c r="O144" s="324">
        <f t="shared" si="18"/>
        <v>0.246741869462965</v>
      </c>
      <c r="P144" s="324">
        <f t="shared" si="18"/>
        <v>0.417267437415458</v>
      </c>
      <c r="Q144" s="324">
        <f t="shared" si="18"/>
        <v>0.0214268767283123</v>
      </c>
      <c r="R144" s="324">
        <f t="shared" si="18"/>
        <v>0.639605380283531</v>
      </c>
      <c r="S144" s="324">
        <f t="shared" si="18"/>
        <v>0.288065724079572</v>
      </c>
      <c r="T144" s="324">
        <f t="shared" si="18"/>
        <v>-0.00593132859709381</v>
      </c>
      <c r="U144" s="324">
        <f t="shared" si="18"/>
        <v>-0.138125333092748</v>
      </c>
      <c r="V144" s="324">
        <f t="shared" si="18"/>
        <v>0.492855522119946</v>
      </c>
      <c r="W144" s="324">
        <f t="shared" si="18"/>
        <v>0.0765046343334871</v>
      </c>
      <c r="X144" s="324">
        <f t="shared" si="18"/>
        <v>0.112328678829045</v>
      </c>
      <c r="Y144" s="324">
        <f t="shared" si="18"/>
        <v>0.707121632055506</v>
      </c>
      <c r="Z144" s="324">
        <f t="shared" si="18"/>
        <v>0.062007747606485</v>
      </c>
      <c r="AA144" s="324">
        <f t="shared" si="18"/>
        <v>0.354314119356252</v>
      </c>
      <c r="AB144" s="324">
        <f t="shared" si="18"/>
        <v>-0.221066320049253</v>
      </c>
      <c r="AC144" s="324">
        <f t="shared" si="18"/>
        <v>0.236193656740073</v>
      </c>
      <c r="AD144" s="324">
        <f t="shared" si="18"/>
        <v>0.772953351067506</v>
      </c>
      <c r="AE144" s="324">
        <f t="shared" si="18"/>
        <v>-0.493208263992271</v>
      </c>
      <c r="AF144" s="324">
        <f t="shared" si="18"/>
        <v>0.384620726727562</v>
      </c>
      <c r="AG144" s="324">
        <f t="shared" si="18"/>
        <v>0.207988778265306</v>
      </c>
      <c r="AH144" s="324">
        <f t="shared" si="18"/>
        <v>0.292243064729194</v>
      </c>
      <c r="AI144" s="324">
        <f t="shared" si="18"/>
        <v>0.117821650595827</v>
      </c>
      <c r="AJ144" s="324">
        <f t="shared" si="18"/>
        <v>0.205783115368522</v>
      </c>
      <c r="AK144" s="324">
        <f t="shared" si="18"/>
        <v>1.01664272890485</v>
      </c>
      <c r="AL144" s="324">
        <f t="shared" si="18"/>
        <v>-0.665465465465465</v>
      </c>
      <c r="AM144" s="344">
        <f t="shared" si="18"/>
        <v>0.0127737226277371</v>
      </c>
      <c r="AS144" s="361" t="s">
        <v>352</v>
      </c>
      <c r="AT144" s="364">
        <v>0.73</v>
      </c>
      <c r="AU144" s="365">
        <v>45716</v>
      </c>
      <c r="AV144" s="364">
        <v>140.9822468767</v>
      </c>
      <c r="AW144" s="3"/>
      <c r="AX144" s="376">
        <v>0.014357</v>
      </c>
      <c r="AY144" s="376">
        <v>0.022142</v>
      </c>
      <c r="AZ144" s="376">
        <v>0.040746</v>
      </c>
      <c r="BA144" s="376">
        <v>0.081865</v>
      </c>
      <c r="BB144" s="376">
        <v>0.068406</v>
      </c>
      <c r="BC144" s="376" t="s">
        <v>129</v>
      </c>
      <c r="BD144" s="376" t="s">
        <v>129</v>
      </c>
      <c r="BE144" s="4"/>
      <c r="BF144" s="376">
        <v>0.022142</v>
      </c>
      <c r="BG144" s="376">
        <v>0.0777572233967583</v>
      </c>
      <c r="BH144" s="376">
        <v>0.0698735227037114</v>
      </c>
      <c r="BI144" s="376">
        <v>0.0445662981521771</v>
      </c>
      <c r="BJ144" s="376">
        <v>0.01579</v>
      </c>
      <c r="BK144" s="376" t="s">
        <v>129</v>
      </c>
      <c r="BL144" s="376" t="s">
        <v>129</v>
      </c>
      <c r="BM144" s="376" t="s">
        <v>129</v>
      </c>
      <c r="BN144" s="376" t="s">
        <v>129</v>
      </c>
      <c r="BO144" s="376" t="s">
        <v>129</v>
      </c>
      <c r="BP144" s="376" t="s">
        <v>129</v>
      </c>
      <c r="BQ144" s="376" t="s">
        <v>129</v>
      </c>
      <c r="BR144" s="376" t="s">
        <v>129</v>
      </c>
      <c r="BS144" s="376" t="s">
        <v>129</v>
      </c>
      <c r="BT144" s="376" t="s">
        <v>129</v>
      </c>
      <c r="BU144" s="376" t="s">
        <v>129</v>
      </c>
    </row>
    <row r="145" ht="15.15" spans="13:73">
      <c r="M145" s="318"/>
      <c r="O145" s="281"/>
      <c r="AS145" s="312" t="s">
        <v>162</v>
      </c>
      <c r="AT145"/>
      <c r="AU145"/>
      <c r="AV145"/>
      <c r="AW145" s="377"/>
      <c r="AX145" s="378">
        <f t="shared" ref="AX145:BD145" si="19">AVERAGE(AX134:AX144)</f>
        <v>0.0112932727272727</v>
      </c>
      <c r="AY145" s="378">
        <f t="shared" si="19"/>
        <v>0.0220197272727273</v>
      </c>
      <c r="AZ145" s="378">
        <f t="shared" si="19"/>
        <v>0.0386306363636364</v>
      </c>
      <c r="BA145" s="378">
        <f t="shared" si="19"/>
        <v>0.0842057272727273</v>
      </c>
      <c r="BB145" s="378">
        <f t="shared" si="19"/>
        <v>0.070183</v>
      </c>
      <c r="BC145" s="378">
        <f t="shared" si="19"/>
        <v>0.0658681666666667</v>
      </c>
      <c r="BD145" s="378">
        <f t="shared" si="19"/>
        <v>0.070512</v>
      </c>
      <c r="BE145" s="377"/>
      <c r="BF145" s="378">
        <f t="shared" ref="BF145:BU145" si="20">AVERAGE(BF134:BF144)</f>
        <v>0.0220197272727273</v>
      </c>
      <c r="BG145" s="378">
        <f t="shared" si="20"/>
        <v>0.0827476290716994</v>
      </c>
      <c r="BH145" s="378">
        <f t="shared" si="20"/>
        <v>0.0735582562821353</v>
      </c>
      <c r="BI145" s="378">
        <f t="shared" si="20"/>
        <v>0.0410621682155479</v>
      </c>
      <c r="BJ145" s="378">
        <f t="shared" si="20"/>
        <v>0.0332661126264802</v>
      </c>
      <c r="BK145" s="378">
        <f t="shared" si="20"/>
        <v>0.0818665195335935</v>
      </c>
      <c r="BL145" s="378">
        <f t="shared" si="20"/>
        <v>0.0765560124968971</v>
      </c>
      <c r="BM145" s="378">
        <f t="shared" si="20"/>
        <v>0.06772646419899</v>
      </c>
      <c r="BN145" s="378">
        <f t="shared" si="20"/>
        <v>0.064675512041587</v>
      </c>
      <c r="BO145" s="378">
        <f t="shared" si="20"/>
        <v>0.0855342498127372</v>
      </c>
      <c r="BP145" s="378">
        <f t="shared" si="20"/>
        <v>0.0809774139073652</v>
      </c>
      <c r="BQ145" s="378">
        <f t="shared" si="20"/>
        <v>0.0895934381303208</v>
      </c>
      <c r="BR145" s="378">
        <f t="shared" si="20"/>
        <v>0.0859637629885577</v>
      </c>
      <c r="BS145" s="378">
        <f t="shared" si="20"/>
        <v>0.0933988612395359</v>
      </c>
      <c r="BT145" s="378">
        <f t="shared" si="20"/>
        <v>0.0867787883017615</v>
      </c>
      <c r="BU145" s="378">
        <f t="shared" si="20"/>
        <v>0.053963399058393</v>
      </c>
    </row>
    <row r="146" ht="15.75" customHeight="1" spans="2:73">
      <c r="B146" s="319" t="s">
        <v>353</v>
      </c>
      <c r="C146" s="320" t="s">
        <v>87</v>
      </c>
      <c r="D146" s="289" t="s">
        <v>110</v>
      </c>
      <c r="E146" s="290"/>
      <c r="F146" s="333" t="s">
        <v>82</v>
      </c>
      <c r="G146" s="333"/>
      <c r="H146" s="333"/>
      <c r="I146" s="333"/>
      <c r="J146" s="333"/>
      <c r="K146" s="333"/>
      <c r="L146" s="346"/>
      <c r="M146" s="318"/>
      <c r="N146" s="325" t="s">
        <v>111</v>
      </c>
      <c r="O146" s="326"/>
      <c r="P146" s="326"/>
      <c r="Q146" s="326"/>
      <c r="R146" s="326"/>
      <c r="S146" s="326"/>
      <c r="T146" s="326"/>
      <c r="U146" s="326"/>
      <c r="V146" s="326"/>
      <c r="W146" s="326"/>
      <c r="X146" s="326"/>
      <c r="Y146" s="326"/>
      <c r="Z146" s="326"/>
      <c r="AA146" s="326"/>
      <c r="AB146" s="326"/>
      <c r="AC146" s="326"/>
      <c r="AD146" s="326"/>
      <c r="AE146" s="326"/>
      <c r="AF146" s="326"/>
      <c r="AG146" s="326"/>
      <c r="AH146" s="326"/>
      <c r="AI146" s="326"/>
      <c r="AJ146" s="326"/>
      <c r="AK146" s="326"/>
      <c r="AL146" s="326"/>
      <c r="AM146" s="326"/>
      <c r="AN146" s="345"/>
      <c r="AS146" s="312" t="s">
        <v>178</v>
      </c>
      <c r="AT146"/>
      <c r="AU146"/>
      <c r="AV146"/>
      <c r="AW146"/>
      <c r="AX146" s="379">
        <v>0.0087263867959253</v>
      </c>
      <c r="AY146" s="379">
        <v>0.0207643930788102</v>
      </c>
      <c r="AZ146" s="379">
        <v>0.0377184412193585</v>
      </c>
      <c r="BA146" s="379">
        <v>0.080280059411505</v>
      </c>
      <c r="BB146" s="379">
        <v>0.0659301709109001</v>
      </c>
      <c r="BC146" s="379">
        <v>0.0655149768088614</v>
      </c>
      <c r="BD146" s="379">
        <v>0.0738047315298365</v>
      </c>
      <c r="BE146" s="382"/>
      <c r="BF146" s="379">
        <v>0.0207643930788102</v>
      </c>
      <c r="BG146" s="395">
        <v>0.0797029257152309</v>
      </c>
      <c r="BH146" s="395">
        <v>0.0725988870220093</v>
      </c>
      <c r="BI146" s="395">
        <v>0.0358682288812193</v>
      </c>
      <c r="BJ146" s="395">
        <v>0.0437965988907254</v>
      </c>
      <c r="BK146" s="395">
        <v>0.104161972570555</v>
      </c>
      <c r="BL146" s="395">
        <v>0.0953364838894115</v>
      </c>
      <c r="BM146" s="395">
        <v>0.0665068187794211</v>
      </c>
      <c r="BN146" s="395">
        <v>0.0602957159773323</v>
      </c>
      <c r="BO146" s="395">
        <v>0.0986738756953636</v>
      </c>
      <c r="BP146" s="395">
        <v>0.0865549936165921</v>
      </c>
      <c r="BQ146" s="395">
        <v>0.104681934209951</v>
      </c>
      <c r="BR146" s="395">
        <v>0.0827206164504672</v>
      </c>
      <c r="BS146" s="395">
        <v>0.0912371315059957</v>
      </c>
      <c r="BT146" s="395">
        <v>0.0786771029274067</v>
      </c>
      <c r="BU146" s="397">
        <v>0.0470040326565153</v>
      </c>
    </row>
    <row r="147" ht="15" customHeight="1" spans="2:73">
      <c r="B147" s="321"/>
      <c r="C147" s="322"/>
      <c r="D147" s="294" t="s">
        <v>115</v>
      </c>
      <c r="E147" s="295" t="s">
        <v>116</v>
      </c>
      <c r="F147" s="296" t="s">
        <v>88</v>
      </c>
      <c r="G147" s="297" t="s">
        <v>89</v>
      </c>
      <c r="H147" s="297" t="s">
        <v>90</v>
      </c>
      <c r="I147" s="297" t="s">
        <v>91</v>
      </c>
      <c r="J147" s="297" t="s">
        <v>93</v>
      </c>
      <c r="K147" s="297" t="s">
        <v>94</v>
      </c>
      <c r="L147" s="334" t="s">
        <v>95</v>
      </c>
      <c r="M147" s="318"/>
      <c r="N147" s="266" t="s">
        <v>96</v>
      </c>
      <c r="O147" s="267">
        <v>2024</v>
      </c>
      <c r="P147" s="267">
        <v>2023</v>
      </c>
      <c r="Q147" s="268">
        <v>2022</v>
      </c>
      <c r="R147" s="268">
        <v>2021</v>
      </c>
      <c r="S147" s="268">
        <v>2020</v>
      </c>
      <c r="T147" s="268">
        <v>2019</v>
      </c>
      <c r="U147" s="268">
        <v>2018</v>
      </c>
      <c r="V147" s="268">
        <v>2017</v>
      </c>
      <c r="W147" s="268">
        <v>2016</v>
      </c>
      <c r="X147" s="268">
        <v>2015</v>
      </c>
      <c r="Y147" s="268">
        <v>2014</v>
      </c>
      <c r="Z147" s="268">
        <v>2013</v>
      </c>
      <c r="AA147" s="268">
        <v>2012</v>
      </c>
      <c r="AB147" s="268">
        <v>2011</v>
      </c>
      <c r="AC147" s="268">
        <v>2010</v>
      </c>
      <c r="AD147" s="268">
        <v>2009</v>
      </c>
      <c r="AE147" s="268">
        <v>2008</v>
      </c>
      <c r="AF147" s="268">
        <v>2007</v>
      </c>
      <c r="AG147" s="268">
        <v>2006</v>
      </c>
      <c r="AH147" s="268">
        <v>2005</v>
      </c>
      <c r="AI147" s="268">
        <v>2004</v>
      </c>
      <c r="AJ147" s="268">
        <v>2003</v>
      </c>
      <c r="AK147" s="268">
        <v>2002</v>
      </c>
      <c r="AL147" s="268">
        <v>2001</v>
      </c>
      <c r="AM147" s="269">
        <v>2000</v>
      </c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</row>
    <row r="148" ht="15" customHeight="1" spans="2:73">
      <c r="B148" s="298" t="s">
        <v>354</v>
      </c>
      <c r="C148" s="299">
        <v>1.81</v>
      </c>
      <c r="D148" s="300">
        <v>45838</v>
      </c>
      <c r="E148" s="301">
        <v>8054.6614</v>
      </c>
      <c r="F148" s="302">
        <v>-0.037189</v>
      </c>
      <c r="G148" s="303">
        <v>0.024708</v>
      </c>
      <c r="H148" s="303">
        <v>0.060271</v>
      </c>
      <c r="I148" s="303">
        <v>-0.001649</v>
      </c>
      <c r="J148" s="303">
        <v>0.160545</v>
      </c>
      <c r="K148" s="303">
        <v>0.190178</v>
      </c>
      <c r="L148" s="335">
        <v>0.120276</v>
      </c>
      <c r="M148" s="318"/>
      <c r="N148" s="339">
        <v>0.028881</v>
      </c>
      <c r="O148" s="340">
        <v>0.18710507009143</v>
      </c>
      <c r="P148" s="340">
        <v>0.229831802781404</v>
      </c>
      <c r="Q148" s="340">
        <v>0.00412078098920382</v>
      </c>
      <c r="R148" s="340">
        <v>0.267447651215721</v>
      </c>
      <c r="S148" s="340">
        <v>0.159842789062065</v>
      </c>
      <c r="T148" s="337">
        <v>0.112514515946298</v>
      </c>
      <c r="U148" s="337">
        <v>-0.0412377608016388</v>
      </c>
      <c r="V148" s="337">
        <v>0.309439992177048</v>
      </c>
      <c r="W148" s="337">
        <v>0.0669237007213078</v>
      </c>
      <c r="X148" s="337">
        <v>-0.000450318066760799</v>
      </c>
      <c r="Y148" s="337">
        <v>0.48909798053236</v>
      </c>
      <c r="Z148" s="337">
        <v>0.0914855177142681</v>
      </c>
      <c r="AA148" s="337">
        <v>0.363644959473018</v>
      </c>
      <c r="AB148" s="337">
        <v>-0.216009521534647</v>
      </c>
      <c r="AC148" s="337">
        <v>0.180407083861998</v>
      </c>
      <c r="AD148" s="337">
        <v>0.753339072475133</v>
      </c>
      <c r="AE148" s="337">
        <v>-0.494351901734727</v>
      </c>
      <c r="AF148" s="337">
        <v>0.46860560794987</v>
      </c>
      <c r="AG148" s="337">
        <v>0.38552473493585</v>
      </c>
      <c r="AH148" s="337">
        <v>0.14029</v>
      </c>
      <c r="AI148" s="337" t="s">
        <v>129</v>
      </c>
      <c r="AJ148" s="337" t="s">
        <v>129</v>
      </c>
      <c r="AK148" s="337" t="s">
        <v>129</v>
      </c>
      <c r="AL148" s="337" t="s">
        <v>129</v>
      </c>
      <c r="AM148" s="347" t="s">
        <v>129</v>
      </c>
      <c r="AS148" s="320" t="s">
        <v>355</v>
      </c>
      <c r="AT148" s="351" t="s">
        <v>87</v>
      </c>
      <c r="AU148" s="393" t="s">
        <v>110</v>
      </c>
      <c r="AV148" s="394"/>
      <c r="AW148" s="368"/>
      <c r="AX148" s="325" t="s">
        <v>113</v>
      </c>
      <c r="AY148" s="326"/>
      <c r="AZ148" s="326"/>
      <c r="BA148" s="326"/>
      <c r="BB148" s="326"/>
      <c r="BC148" s="326"/>
      <c r="BD148" s="345"/>
      <c r="BE148" s="368"/>
      <c r="BF148" s="393" t="s">
        <v>114</v>
      </c>
      <c r="BG148" s="396"/>
      <c r="BH148" s="396"/>
      <c r="BI148" s="396"/>
      <c r="BJ148" s="396"/>
      <c r="BK148" s="396"/>
      <c r="BL148" s="396"/>
      <c r="BM148" s="396"/>
      <c r="BN148" s="396"/>
      <c r="BO148" s="396"/>
      <c r="BP148" s="396"/>
      <c r="BQ148" s="396"/>
      <c r="BR148" s="396"/>
      <c r="BS148" s="396"/>
      <c r="BT148" s="396"/>
      <c r="BU148" s="398"/>
    </row>
    <row r="149" ht="15.15" spans="2:73">
      <c r="B149" s="298" t="s">
        <v>356</v>
      </c>
      <c r="C149" s="304">
        <v>1.73</v>
      </c>
      <c r="D149" s="305">
        <v>45838</v>
      </c>
      <c r="E149" s="306">
        <v>13024.651001</v>
      </c>
      <c r="F149" s="307">
        <v>-0.024152</v>
      </c>
      <c r="G149" s="308">
        <v>0.042892</v>
      </c>
      <c r="H149" s="308">
        <v>0.087043</v>
      </c>
      <c r="I149" s="308">
        <v>0.017216</v>
      </c>
      <c r="J149" s="308">
        <v>0.102783</v>
      </c>
      <c r="K149" s="308">
        <v>0.141034</v>
      </c>
      <c r="L149" s="338">
        <v>0.115033</v>
      </c>
      <c r="M149" s="318"/>
      <c r="N149" s="336">
        <v>0.035035</v>
      </c>
      <c r="O149" s="337">
        <v>0.147891891891892</v>
      </c>
      <c r="P149" s="337">
        <v>0.172370088719899</v>
      </c>
      <c r="Q149" s="337">
        <v>-0.144993498049415</v>
      </c>
      <c r="R149" s="337">
        <v>0.239989250201559</v>
      </c>
      <c r="S149" s="337">
        <v>0.210081300813008</v>
      </c>
      <c r="T149" s="337">
        <v>0.146532438478747</v>
      </c>
      <c r="U149" s="337">
        <v>0.00637898686679181</v>
      </c>
      <c r="V149" s="337">
        <v>0.451525054466231</v>
      </c>
      <c r="W149" s="337">
        <v>0.0455580865603645</v>
      </c>
      <c r="X149" s="337">
        <v>0.0390532544378698</v>
      </c>
      <c r="Y149" s="337">
        <v>0.38752052545156</v>
      </c>
      <c r="Z149" s="337">
        <v>0.0582102519548219</v>
      </c>
      <c r="AA149" s="337">
        <v>0.151</v>
      </c>
      <c r="AB149" s="337" t="s">
        <v>129</v>
      </c>
      <c r="AC149" s="337" t="s">
        <v>129</v>
      </c>
      <c r="AD149" s="337" t="s">
        <v>129</v>
      </c>
      <c r="AE149" s="337" t="s">
        <v>129</v>
      </c>
      <c r="AF149" s="337" t="s">
        <v>129</v>
      </c>
      <c r="AG149" s="337" t="s">
        <v>129</v>
      </c>
      <c r="AH149" s="337" t="s">
        <v>129</v>
      </c>
      <c r="AI149" s="337" t="s">
        <v>129</v>
      </c>
      <c r="AJ149" s="337" t="s">
        <v>129</v>
      </c>
      <c r="AK149" s="337" t="s">
        <v>129</v>
      </c>
      <c r="AL149" s="337" t="s">
        <v>129</v>
      </c>
      <c r="AM149" s="347" t="s">
        <v>129</v>
      </c>
      <c r="AS149" s="322"/>
      <c r="AT149" s="355" t="s">
        <v>121</v>
      </c>
      <c r="AU149" s="356" t="s">
        <v>115</v>
      </c>
      <c r="AV149" s="357" t="s">
        <v>116</v>
      </c>
      <c r="AW149" s="369"/>
      <c r="AX149" s="266" t="s">
        <v>122</v>
      </c>
      <c r="AY149" s="268" t="s">
        <v>123</v>
      </c>
      <c r="AZ149" s="268" t="s">
        <v>124</v>
      </c>
      <c r="BA149" s="268" t="s">
        <v>91</v>
      </c>
      <c r="BB149" s="268" t="s">
        <v>125</v>
      </c>
      <c r="BC149" s="268" t="s">
        <v>126</v>
      </c>
      <c r="BD149" s="269" t="s">
        <v>127</v>
      </c>
      <c r="BE149" s="369"/>
      <c r="BF149" s="266">
        <v>2025</v>
      </c>
      <c r="BG149" s="266">
        <v>2024</v>
      </c>
      <c r="BH149" s="266">
        <v>2023</v>
      </c>
      <c r="BI149" s="268">
        <v>2022</v>
      </c>
      <c r="BJ149" s="268">
        <v>2021</v>
      </c>
      <c r="BK149" s="268">
        <v>2020</v>
      </c>
      <c r="BL149" s="268">
        <v>2019</v>
      </c>
      <c r="BM149" s="268">
        <v>2018</v>
      </c>
      <c r="BN149" s="268">
        <v>2017</v>
      </c>
      <c r="BO149" s="268">
        <v>2016</v>
      </c>
      <c r="BP149" s="268">
        <v>2015</v>
      </c>
      <c r="BQ149" s="268">
        <v>2014</v>
      </c>
      <c r="BR149" s="268">
        <v>2013</v>
      </c>
      <c r="BS149" s="268">
        <v>2012</v>
      </c>
      <c r="BT149" s="268">
        <v>2011</v>
      </c>
      <c r="BU149" s="269">
        <v>2010</v>
      </c>
    </row>
    <row r="150" spans="2:73">
      <c r="B150" s="298" t="s">
        <v>357</v>
      </c>
      <c r="C150" s="304">
        <v>2.08</v>
      </c>
      <c r="D150" s="305">
        <v>45838</v>
      </c>
      <c r="E150" s="306">
        <v>1946.6999</v>
      </c>
      <c r="F150" s="307">
        <v>-0.001551</v>
      </c>
      <c r="G150" s="308">
        <v>0.073396</v>
      </c>
      <c r="H150" s="308">
        <v>0.072222</v>
      </c>
      <c r="I150" s="308">
        <v>0.094844</v>
      </c>
      <c r="J150" s="308">
        <v>0.189652</v>
      </c>
      <c r="K150" s="308">
        <v>0.188968</v>
      </c>
      <c r="L150" s="338">
        <v>0.122366</v>
      </c>
      <c r="M150" s="318"/>
      <c r="N150" s="336">
        <v>-0.012393</v>
      </c>
      <c r="O150" s="337">
        <v>0.302958251889022</v>
      </c>
      <c r="P150" s="337">
        <v>0.312993181644066</v>
      </c>
      <c r="Q150" s="337">
        <v>-0.0501728215390212</v>
      </c>
      <c r="R150" s="337">
        <v>0.245920217588395</v>
      </c>
      <c r="S150" s="337">
        <v>0.148958333333333</v>
      </c>
      <c r="T150" s="337">
        <v>0.0890527509926262</v>
      </c>
      <c r="U150" s="337">
        <v>-0.127236363996396</v>
      </c>
      <c r="V150" s="337">
        <v>0.544216126960829</v>
      </c>
      <c r="W150" s="337">
        <v>0.0178060821561817</v>
      </c>
      <c r="X150" s="337">
        <v>-0.047684852436666</v>
      </c>
      <c r="Y150" s="337">
        <v>0.322330163675823</v>
      </c>
      <c r="Z150" s="337">
        <v>0.0285088050789812</v>
      </c>
      <c r="AA150" s="337">
        <v>0.207920731818652</v>
      </c>
      <c r="AB150" s="337">
        <v>-0.205720832648484</v>
      </c>
      <c r="AC150" s="337">
        <v>0.164675412420472</v>
      </c>
      <c r="AD150" s="337">
        <v>0.668984570279464</v>
      </c>
      <c r="AE150" s="337">
        <v>-0.418150205581314</v>
      </c>
      <c r="AF150" s="337">
        <v>0.537264131119983</v>
      </c>
      <c r="AG150" s="337">
        <v>0.18975</v>
      </c>
      <c r="AH150" s="337" t="s">
        <v>129</v>
      </c>
      <c r="AI150" s="337" t="s">
        <v>129</v>
      </c>
      <c r="AJ150" s="337" t="s">
        <v>129</v>
      </c>
      <c r="AK150" s="337" t="s">
        <v>129</v>
      </c>
      <c r="AL150" s="337" t="s">
        <v>129</v>
      </c>
      <c r="AM150" s="347" t="s">
        <v>129</v>
      </c>
      <c r="AS150" s="361" t="s">
        <v>358</v>
      </c>
      <c r="AT150" s="364">
        <v>0.37</v>
      </c>
      <c r="AU150" s="365">
        <v>45716</v>
      </c>
      <c r="AV150" s="364">
        <v>350.5314</v>
      </c>
      <c r="AW150" s="3"/>
      <c r="AX150" s="376">
        <v>0.020816</v>
      </c>
      <c r="AY150" s="376">
        <v>0.031041</v>
      </c>
      <c r="AZ150" s="376">
        <v>0.042091</v>
      </c>
      <c r="BA150" s="376">
        <v>0.099174</v>
      </c>
      <c r="BB150" s="376">
        <v>0.07175</v>
      </c>
      <c r="BC150" s="376">
        <v>0.062687</v>
      </c>
      <c r="BD150" s="376">
        <v>0.083603</v>
      </c>
      <c r="BE150" s="4"/>
      <c r="BF150" s="376">
        <v>0.031041</v>
      </c>
      <c r="BG150" s="376">
        <v>0.0968204263823108</v>
      </c>
      <c r="BH150" s="376">
        <v>0.0740775872816267</v>
      </c>
      <c r="BI150" s="376">
        <v>0.00714597663500365</v>
      </c>
      <c r="BJ150" s="376">
        <v>0.0178787247343197</v>
      </c>
      <c r="BK150" s="376">
        <v>0.132306075773353</v>
      </c>
      <c r="BL150" s="376">
        <v>0.141528914490104</v>
      </c>
      <c r="BM150" s="376">
        <v>0.11751485891555</v>
      </c>
      <c r="BN150" s="376">
        <v>0.0623891465993588</v>
      </c>
      <c r="BO150" s="376">
        <v>0.10060298913681</v>
      </c>
      <c r="BP150" s="376">
        <v>0.0898560360037846</v>
      </c>
      <c r="BQ150" s="376">
        <v>0.126379640083873</v>
      </c>
      <c r="BR150" s="376">
        <v>0.105869012657905</v>
      </c>
      <c r="BS150" s="376">
        <v>0.0857073693675</v>
      </c>
      <c r="BT150" s="376">
        <v>0.0189145953869248</v>
      </c>
      <c r="BU150" s="376">
        <v>0.0348597224349297</v>
      </c>
    </row>
    <row r="151" spans="2:73">
      <c r="B151" s="298" t="s">
        <v>359</v>
      </c>
      <c r="C151" s="304">
        <v>2.01</v>
      </c>
      <c r="D151" s="305">
        <v>45838</v>
      </c>
      <c r="E151" s="306">
        <v>2627.5962</v>
      </c>
      <c r="F151" s="307">
        <v>-0.014796</v>
      </c>
      <c r="G151" s="308">
        <v>0.043802</v>
      </c>
      <c r="H151" s="308">
        <v>0.077159</v>
      </c>
      <c r="I151" s="308">
        <v>0.01633</v>
      </c>
      <c r="J151" s="308">
        <v>0.186033</v>
      </c>
      <c r="K151" s="308">
        <v>0.190821</v>
      </c>
      <c r="L151" s="338">
        <v>0.115262</v>
      </c>
      <c r="M151" s="318"/>
      <c r="N151" s="336">
        <v>0.03909</v>
      </c>
      <c r="O151" s="337">
        <v>0.185395932987237</v>
      </c>
      <c r="P151" s="337">
        <v>0.341738654337511</v>
      </c>
      <c r="Q151" s="337">
        <v>-0.0445800639349026</v>
      </c>
      <c r="R151" s="337">
        <v>0.222727595764338</v>
      </c>
      <c r="S151" s="337">
        <v>0.0895505052460412</v>
      </c>
      <c r="T151" s="337">
        <v>0.18032262486862</v>
      </c>
      <c r="U151" s="337">
        <v>-0.0556274814431211</v>
      </c>
      <c r="V151" s="337">
        <v>0.292215034575061</v>
      </c>
      <c r="W151" s="337">
        <v>0.0614419320468806</v>
      </c>
      <c r="X151" s="337">
        <v>0.019799589520705</v>
      </c>
      <c r="Y151" s="337">
        <v>0.499185520361991</v>
      </c>
      <c r="Z151" s="337">
        <v>-0.00171650555605747</v>
      </c>
      <c r="AA151" s="337">
        <v>0.26865329512894</v>
      </c>
      <c r="AB151" s="337">
        <v>-0.219518740495572</v>
      </c>
      <c r="AC151" s="337">
        <v>0.1179</v>
      </c>
      <c r="AD151" s="337" t="s">
        <v>129</v>
      </c>
      <c r="AE151" s="337" t="s">
        <v>129</v>
      </c>
      <c r="AF151" s="337" t="s">
        <v>129</v>
      </c>
      <c r="AG151" s="337" t="s">
        <v>129</v>
      </c>
      <c r="AH151" s="337" t="s">
        <v>129</v>
      </c>
      <c r="AI151" s="337" t="s">
        <v>129</v>
      </c>
      <c r="AJ151" s="337" t="s">
        <v>129</v>
      </c>
      <c r="AK151" s="337" t="s">
        <v>129</v>
      </c>
      <c r="AL151" s="337" t="s">
        <v>129</v>
      </c>
      <c r="AM151" s="347" t="s">
        <v>129</v>
      </c>
      <c r="AS151" s="361" t="s">
        <v>360</v>
      </c>
      <c r="AT151" s="364">
        <v>0.51</v>
      </c>
      <c r="AU151" s="365">
        <v>45716</v>
      </c>
      <c r="AV151" s="364">
        <v>57.1268</v>
      </c>
      <c r="AW151" s="3"/>
      <c r="AX151" s="376">
        <v>0.014645</v>
      </c>
      <c r="AY151" s="376">
        <v>0.027468</v>
      </c>
      <c r="AZ151" s="376">
        <v>0.03948</v>
      </c>
      <c r="BA151" s="376">
        <v>0.092754</v>
      </c>
      <c r="BB151" s="376">
        <v>0.068631</v>
      </c>
      <c r="BC151" s="376">
        <v>0.055253</v>
      </c>
      <c r="BD151" s="376">
        <v>0.069517</v>
      </c>
      <c r="BE151" s="4"/>
      <c r="BF151" s="376">
        <v>0.027468</v>
      </c>
      <c r="BG151" s="376">
        <v>0.0897300186555434</v>
      </c>
      <c r="BH151" s="376">
        <v>0.0769864606319877</v>
      </c>
      <c r="BI151" s="376">
        <v>0.00126580132570071</v>
      </c>
      <c r="BJ151" s="376">
        <v>0.00682164720875727</v>
      </c>
      <c r="BK151" s="376">
        <v>0.117970702913807</v>
      </c>
      <c r="BL151" s="376">
        <v>0.107934404972481</v>
      </c>
      <c r="BM151" s="376">
        <v>0.0594133325369747</v>
      </c>
      <c r="BN151" s="376">
        <v>0.0233092931577178</v>
      </c>
      <c r="BO151" s="376">
        <v>0.154637356433373</v>
      </c>
      <c r="BP151" s="376">
        <v>0.0664647167841049</v>
      </c>
      <c r="BQ151" s="376">
        <v>0.06297</v>
      </c>
      <c r="BR151" s="376" t="s">
        <v>129</v>
      </c>
      <c r="BS151" s="376" t="s">
        <v>129</v>
      </c>
      <c r="BT151" s="376" t="s">
        <v>129</v>
      </c>
      <c r="BU151" s="376" t="s">
        <v>129</v>
      </c>
    </row>
    <row r="152" spans="2:73">
      <c r="B152" s="298" t="s">
        <v>361</v>
      </c>
      <c r="C152" s="304">
        <v>1.76</v>
      </c>
      <c r="D152" s="305">
        <v>45838</v>
      </c>
      <c r="E152" s="306">
        <v>12536.447763037</v>
      </c>
      <c r="F152" s="307">
        <v>-0.008049</v>
      </c>
      <c r="G152" s="308">
        <v>0.041271</v>
      </c>
      <c r="H152" s="308">
        <v>0.07279</v>
      </c>
      <c r="I152" s="308">
        <v>-0.004068</v>
      </c>
      <c r="J152" s="308">
        <v>0.177517</v>
      </c>
      <c r="K152" s="308">
        <v>0.245105</v>
      </c>
      <c r="L152" s="338">
        <v>0.133269</v>
      </c>
      <c r="M152" s="318"/>
      <c r="N152" s="336">
        <v>0.026916</v>
      </c>
      <c r="O152" s="337">
        <v>0.199088048807756</v>
      </c>
      <c r="P152" s="337">
        <v>0.234617318518372</v>
      </c>
      <c r="Q152" s="337">
        <v>0.0887011696587933</v>
      </c>
      <c r="R152" s="337">
        <v>0.394097452319163</v>
      </c>
      <c r="S152" s="337">
        <v>0.108644286713038</v>
      </c>
      <c r="T152" s="337">
        <v>0.108957495065664</v>
      </c>
      <c r="U152" s="337">
        <v>-0.0875853072499771</v>
      </c>
      <c r="V152" s="337">
        <v>0.374445883636388</v>
      </c>
      <c r="W152" s="337">
        <v>0.0495490976764781</v>
      </c>
      <c r="X152" s="337">
        <v>0.0149315039637122</v>
      </c>
      <c r="Y152" s="337">
        <v>0.795757021719257</v>
      </c>
      <c r="Z152" s="337">
        <v>0.0921867145916392</v>
      </c>
      <c r="AA152" s="337">
        <v>0.425429168752393</v>
      </c>
      <c r="AB152" s="337">
        <v>-0.249668591292052</v>
      </c>
      <c r="AC152" s="337">
        <v>0.14792959437296</v>
      </c>
      <c r="AD152" s="337">
        <v>0.986831275720165</v>
      </c>
      <c r="AE152" s="337">
        <v>-0.579976294958446</v>
      </c>
      <c r="AF152" s="337">
        <v>0.41742</v>
      </c>
      <c r="AG152" s="337" t="s">
        <v>129</v>
      </c>
      <c r="AH152" s="337" t="s">
        <v>129</v>
      </c>
      <c r="AI152" s="337" t="s">
        <v>129</v>
      </c>
      <c r="AJ152" s="337" t="s">
        <v>129</v>
      </c>
      <c r="AK152" s="337" t="s">
        <v>129</v>
      </c>
      <c r="AL152" s="337" t="s">
        <v>129</v>
      </c>
      <c r="AM152" s="347" t="s">
        <v>129</v>
      </c>
      <c r="AS152" s="361" t="s">
        <v>362</v>
      </c>
      <c r="AT152" s="364">
        <v>0.48</v>
      </c>
      <c r="AU152" s="365">
        <v>45716</v>
      </c>
      <c r="AV152" s="364">
        <v>1004.5774</v>
      </c>
      <c r="AW152" s="3"/>
      <c r="AX152" s="376">
        <v>0.021466</v>
      </c>
      <c r="AY152" s="376">
        <v>0.031155</v>
      </c>
      <c r="AZ152" s="376">
        <v>0.043927</v>
      </c>
      <c r="BA152" s="376">
        <v>0.102369</v>
      </c>
      <c r="BB152" s="376" t="s">
        <v>129</v>
      </c>
      <c r="BC152" s="376" t="s">
        <v>129</v>
      </c>
      <c r="BD152" s="376" t="s">
        <v>129</v>
      </c>
      <c r="BE152" s="4"/>
      <c r="BF152" s="376">
        <v>0.031155</v>
      </c>
      <c r="BG152" s="376">
        <v>0.10536599486196</v>
      </c>
      <c r="BH152" s="376">
        <v>0.0755056573302071</v>
      </c>
      <c r="BI152" s="376">
        <v>0.0278700000000001</v>
      </c>
      <c r="BJ152" s="376" t="s">
        <v>129</v>
      </c>
      <c r="BK152" s="376" t="s">
        <v>129</v>
      </c>
      <c r="BL152" s="376" t="s">
        <v>129</v>
      </c>
      <c r="BM152" s="376" t="s">
        <v>129</v>
      </c>
      <c r="BN152" s="376" t="s">
        <v>129</v>
      </c>
      <c r="BO152" s="376" t="s">
        <v>129</v>
      </c>
      <c r="BP152" s="376" t="s">
        <v>129</v>
      </c>
      <c r="BQ152" s="376" t="s">
        <v>129</v>
      </c>
      <c r="BR152" s="376" t="s">
        <v>129</v>
      </c>
      <c r="BS152" s="376" t="s">
        <v>129</v>
      </c>
      <c r="BT152" s="376" t="s">
        <v>129</v>
      </c>
      <c r="BU152" s="376" t="s">
        <v>129</v>
      </c>
    </row>
    <row r="153" spans="2:73">
      <c r="B153" s="298" t="s">
        <v>363</v>
      </c>
      <c r="C153" s="304">
        <v>1.65</v>
      </c>
      <c r="D153" s="305">
        <v>45838</v>
      </c>
      <c r="E153" s="306">
        <v>20868.2741</v>
      </c>
      <c r="F153" s="307">
        <v>-0.015667</v>
      </c>
      <c r="G153" s="308">
        <v>0.028705</v>
      </c>
      <c r="H153" s="308">
        <v>0.085731</v>
      </c>
      <c r="I153" s="308">
        <v>0.061178</v>
      </c>
      <c r="J153" s="308">
        <v>0.235183</v>
      </c>
      <c r="K153" s="308">
        <v>0.281559</v>
      </c>
      <c r="L153" s="338">
        <v>0.138251</v>
      </c>
      <c r="M153" s="318"/>
      <c r="N153" s="336">
        <v>0.058511</v>
      </c>
      <c r="O153" s="337">
        <v>0.239723975853647</v>
      </c>
      <c r="P153" s="337">
        <v>0.295843192285013</v>
      </c>
      <c r="Q153" s="337">
        <v>0.182890542914912</v>
      </c>
      <c r="R153" s="337">
        <v>0.401078713955243</v>
      </c>
      <c r="S153" s="337">
        <v>0.0419421780544708</v>
      </c>
      <c r="T153" s="337">
        <v>0.0376636751508019</v>
      </c>
      <c r="U153" s="337">
        <v>-0.14627128127248</v>
      </c>
      <c r="V153" s="337">
        <v>0.387424352840531</v>
      </c>
      <c r="W153" s="337">
        <v>0.0210446288478026</v>
      </c>
      <c r="X153" s="337">
        <v>0.0499312172007948</v>
      </c>
      <c r="Y153" s="337">
        <v>0.514467964711027</v>
      </c>
      <c r="Z153" s="337">
        <v>-0.0226495726495727</v>
      </c>
      <c r="AA153" s="337">
        <v>0.22959940652819</v>
      </c>
      <c r="AB153" s="337">
        <v>-0.259561028082302</v>
      </c>
      <c r="AC153" s="337">
        <v>0.283050449286427</v>
      </c>
      <c r="AD153" s="337">
        <v>1.02304996138537</v>
      </c>
      <c r="AE153" s="337">
        <v>-0.545680278534992</v>
      </c>
      <c r="AF153" s="337">
        <v>0.436586406110659</v>
      </c>
      <c r="AG153" s="337">
        <v>0.370258208479439</v>
      </c>
      <c r="AH153" s="337">
        <v>0.543039842597147</v>
      </c>
      <c r="AI153" s="337">
        <v>0.2198</v>
      </c>
      <c r="AJ153" s="337" t="s">
        <v>129</v>
      </c>
      <c r="AK153" s="337" t="s">
        <v>129</v>
      </c>
      <c r="AL153" s="337" t="s">
        <v>129</v>
      </c>
      <c r="AM153" s="347" t="s">
        <v>129</v>
      </c>
      <c r="AS153" s="361" t="s">
        <v>364</v>
      </c>
      <c r="AT153" s="364">
        <v>0.39</v>
      </c>
      <c r="AU153" s="365">
        <v>45716</v>
      </c>
      <c r="AV153" s="364">
        <v>2530.5156731956</v>
      </c>
      <c r="AW153" s="3"/>
      <c r="AX153" s="376">
        <v>0.018854</v>
      </c>
      <c r="AY153" s="376">
        <v>0.030126</v>
      </c>
      <c r="AZ153" s="376">
        <v>0.043468</v>
      </c>
      <c r="BA153" s="376">
        <v>0.097692</v>
      </c>
      <c r="BB153" s="376">
        <v>0.071714</v>
      </c>
      <c r="BC153" s="376">
        <v>0.066433</v>
      </c>
      <c r="BD153" s="376">
        <v>0.081723</v>
      </c>
      <c r="BE153" s="4"/>
      <c r="BF153" s="376">
        <v>0.030126</v>
      </c>
      <c r="BG153" s="376">
        <v>0.0927001756355724</v>
      </c>
      <c r="BH153" s="376">
        <v>0.0770848073381606</v>
      </c>
      <c r="BI153" s="376">
        <v>0.0123337007706023</v>
      </c>
      <c r="BJ153" s="376">
        <v>0.0278662503524399</v>
      </c>
      <c r="BK153" s="376">
        <v>0.136042518106378</v>
      </c>
      <c r="BL153" s="376">
        <v>0.12750632014018</v>
      </c>
      <c r="BM153" s="376">
        <v>0.0970387979104302</v>
      </c>
      <c r="BN153" s="376">
        <v>0.0238812473237828</v>
      </c>
      <c r="BO153" s="376">
        <v>0.16152872911304</v>
      </c>
      <c r="BP153" s="376">
        <v>0.0691363322574024</v>
      </c>
      <c r="BQ153" s="376">
        <v>0.07194</v>
      </c>
      <c r="BR153" s="376" t="s">
        <v>129</v>
      </c>
      <c r="BS153" s="376" t="s">
        <v>129</v>
      </c>
      <c r="BT153" s="376" t="s">
        <v>129</v>
      </c>
      <c r="BU153" s="376" t="s">
        <v>129</v>
      </c>
    </row>
    <row r="154" spans="2:73">
      <c r="B154" s="298" t="s">
        <v>365</v>
      </c>
      <c r="C154" s="304">
        <v>1.71</v>
      </c>
      <c r="D154" s="305">
        <v>45838</v>
      </c>
      <c r="E154" s="306">
        <v>12243.5070577768</v>
      </c>
      <c r="F154" s="307">
        <v>-0.013823</v>
      </c>
      <c r="G154" s="308">
        <v>0.044732</v>
      </c>
      <c r="H154" s="308">
        <v>0.110814</v>
      </c>
      <c r="I154" s="308">
        <v>0.043061</v>
      </c>
      <c r="J154" s="308">
        <v>0.22809</v>
      </c>
      <c r="K154" s="308">
        <v>0.246236</v>
      </c>
      <c r="L154" s="338">
        <v>0.146823</v>
      </c>
      <c r="M154" s="318"/>
      <c r="N154" s="336">
        <v>0.077268</v>
      </c>
      <c r="O154" s="337">
        <v>0.264657615992839</v>
      </c>
      <c r="P154" s="337">
        <v>0.282870813397129</v>
      </c>
      <c r="Q154" s="337">
        <v>0.0600527490363157</v>
      </c>
      <c r="R154" s="337">
        <v>0.360850358917725</v>
      </c>
      <c r="S154" s="337">
        <v>0.246386785960083</v>
      </c>
      <c r="T154" s="337">
        <v>0.00379965457685663</v>
      </c>
      <c r="U154" s="337">
        <v>-0.0265635507733692</v>
      </c>
      <c r="V154" s="337">
        <v>0.23402489626556</v>
      </c>
      <c r="W154" s="337">
        <v>0.106011932078935</v>
      </c>
      <c r="X154" s="337">
        <v>-0.0521966072205306</v>
      </c>
      <c r="Y154" s="337">
        <v>0.395871281117183</v>
      </c>
      <c r="Z154" s="337">
        <v>0.0921750663129973</v>
      </c>
      <c r="AA154" s="337">
        <v>0.309027777777778</v>
      </c>
      <c r="AB154" s="337">
        <v>-0.237590999338187</v>
      </c>
      <c r="AC154" s="337">
        <v>0.212680577849117</v>
      </c>
      <c r="AD154" s="337">
        <v>0.246</v>
      </c>
      <c r="AE154" s="337" t="s">
        <v>129</v>
      </c>
      <c r="AF154" s="337" t="s">
        <v>129</v>
      </c>
      <c r="AG154" s="337" t="s">
        <v>129</v>
      </c>
      <c r="AH154" s="337" t="s">
        <v>129</v>
      </c>
      <c r="AI154" s="337" t="s">
        <v>129</v>
      </c>
      <c r="AJ154" s="337" t="s">
        <v>129</v>
      </c>
      <c r="AK154" s="337" t="s">
        <v>129</v>
      </c>
      <c r="AL154" s="337" t="s">
        <v>129</v>
      </c>
      <c r="AM154" s="347" t="s">
        <v>129</v>
      </c>
      <c r="AS154" s="361" t="s">
        <v>366</v>
      </c>
      <c r="AT154" s="364">
        <v>0.64</v>
      </c>
      <c r="AU154" s="365">
        <v>45716</v>
      </c>
      <c r="AV154" s="364">
        <v>1843.1193</v>
      </c>
      <c r="AW154" s="3"/>
      <c r="AX154" s="376">
        <v>0.01782</v>
      </c>
      <c r="AY154" s="376">
        <v>0.0279</v>
      </c>
      <c r="AZ154" s="376">
        <v>0.038938</v>
      </c>
      <c r="BA154" s="376">
        <v>0.094125</v>
      </c>
      <c r="BB154" s="376">
        <v>0.071088</v>
      </c>
      <c r="BC154" s="376">
        <v>0.061571</v>
      </c>
      <c r="BD154" s="376">
        <v>0.081257</v>
      </c>
      <c r="BE154" s="4"/>
      <c r="BF154" s="376">
        <v>0.0279</v>
      </c>
      <c r="BG154" s="376">
        <v>0.091438538880376</v>
      </c>
      <c r="BH154" s="376">
        <v>0.0749348765986371</v>
      </c>
      <c r="BI154" s="376">
        <v>0.0132976693858144</v>
      </c>
      <c r="BJ154" s="376">
        <v>0.0239894689176788</v>
      </c>
      <c r="BK154" s="376">
        <v>0.116279173795864</v>
      </c>
      <c r="BL154" s="376">
        <v>0.11891218226728</v>
      </c>
      <c r="BM154" s="376">
        <v>0.0990159191172425</v>
      </c>
      <c r="BN154" s="376">
        <v>0.0623524461793787</v>
      </c>
      <c r="BO154" s="376">
        <v>0.128164895984072</v>
      </c>
      <c r="BP154" s="376">
        <v>0.0908283502392964</v>
      </c>
      <c r="BQ154" s="376">
        <v>0.126240209934638</v>
      </c>
      <c r="BR154" s="376">
        <v>0.0874796318315938</v>
      </c>
      <c r="BS154" s="376">
        <v>0.0919241755388211</v>
      </c>
      <c r="BT154" s="376">
        <v>0.0836016882913867</v>
      </c>
      <c r="BU154" s="376">
        <v>0.0517518236174211</v>
      </c>
    </row>
    <row r="155" ht="15.15" spans="2:73">
      <c r="B155" s="298" t="s">
        <v>367</v>
      </c>
      <c r="C155" s="304">
        <v>1.89</v>
      </c>
      <c r="D155" s="305">
        <v>45838</v>
      </c>
      <c r="E155" s="306">
        <v>3707.1075</v>
      </c>
      <c r="F155" s="307">
        <v>-0.014655</v>
      </c>
      <c r="G155" s="308">
        <v>0.066141</v>
      </c>
      <c r="H155" s="308">
        <v>0.091928</v>
      </c>
      <c r="I155" s="308">
        <v>-0.00238</v>
      </c>
      <c r="J155" s="308">
        <v>0.161715</v>
      </c>
      <c r="K155" s="308">
        <v>0.1998</v>
      </c>
      <c r="L155" s="338" t="s">
        <v>129</v>
      </c>
      <c r="M155" s="318"/>
      <c r="N155" s="336">
        <v>0.052222</v>
      </c>
      <c r="O155" s="337">
        <v>0.16359918200409</v>
      </c>
      <c r="P155" s="337">
        <v>0.226808434382653</v>
      </c>
      <c r="Q155" s="337">
        <v>0.0160840009711095</v>
      </c>
      <c r="R155" s="337">
        <v>0.342349682255174</v>
      </c>
      <c r="S155" s="337">
        <v>0.12791766219445</v>
      </c>
      <c r="T155" s="337">
        <v>0.0882</v>
      </c>
      <c r="U155" s="337" t="s">
        <v>129</v>
      </c>
      <c r="V155" s="337" t="s">
        <v>129</v>
      </c>
      <c r="W155" s="337" t="s">
        <v>129</v>
      </c>
      <c r="X155" s="337" t="s">
        <v>129</v>
      </c>
      <c r="Y155" s="337" t="s">
        <v>129</v>
      </c>
      <c r="Z155" s="337" t="s">
        <v>129</v>
      </c>
      <c r="AA155" s="337" t="s">
        <v>129</v>
      </c>
      <c r="AB155" s="337" t="s">
        <v>129</v>
      </c>
      <c r="AC155" s="337" t="s">
        <v>129</v>
      </c>
      <c r="AD155" s="337" t="s">
        <v>129</v>
      </c>
      <c r="AE155" s="337" t="s">
        <v>129</v>
      </c>
      <c r="AF155" s="337" t="s">
        <v>129</v>
      </c>
      <c r="AG155" s="337" t="s">
        <v>129</v>
      </c>
      <c r="AH155" s="337" t="s">
        <v>129</v>
      </c>
      <c r="AI155" s="337" t="s">
        <v>129</v>
      </c>
      <c r="AJ155" s="337" t="s">
        <v>129</v>
      </c>
      <c r="AK155" s="337" t="s">
        <v>129</v>
      </c>
      <c r="AL155" s="337" t="s">
        <v>129</v>
      </c>
      <c r="AM155" s="347" t="s">
        <v>129</v>
      </c>
      <c r="AS155" s="361" t="s">
        <v>368</v>
      </c>
      <c r="AT155" s="364">
        <v>0.7</v>
      </c>
      <c r="AU155" s="365">
        <v>45716</v>
      </c>
      <c r="AV155" s="364">
        <v>167.7781</v>
      </c>
      <c r="AW155" s="3"/>
      <c r="AX155" s="376">
        <v>0.016682</v>
      </c>
      <c r="AY155" s="376">
        <v>0.027409</v>
      </c>
      <c r="AZ155" s="376">
        <v>0.038784</v>
      </c>
      <c r="BA155" s="376">
        <v>0.092439</v>
      </c>
      <c r="BB155" s="376" t="s">
        <v>129</v>
      </c>
      <c r="BC155" s="376" t="s">
        <v>129</v>
      </c>
      <c r="BD155" s="376" t="s">
        <v>129</v>
      </c>
      <c r="BE155" s="4"/>
      <c r="BF155" s="376">
        <v>0.027409</v>
      </c>
      <c r="BG155" s="376">
        <v>0.0903845106969823</v>
      </c>
      <c r="BH155" s="376">
        <v>0.0729005441501427</v>
      </c>
      <c r="BI155" s="376">
        <v>0.02729</v>
      </c>
      <c r="BJ155" s="376" t="s">
        <v>129</v>
      </c>
      <c r="BK155" s="376" t="s">
        <v>129</v>
      </c>
      <c r="BL155" s="376" t="s">
        <v>129</v>
      </c>
      <c r="BM155" s="376" t="s">
        <v>129</v>
      </c>
      <c r="BN155" s="376" t="s">
        <v>129</v>
      </c>
      <c r="BO155" s="376" t="s">
        <v>129</v>
      </c>
      <c r="BP155" s="376" t="s">
        <v>129</v>
      </c>
      <c r="BQ155" s="376" t="s">
        <v>129</v>
      </c>
      <c r="BR155" s="376" t="s">
        <v>129</v>
      </c>
      <c r="BS155" s="376" t="s">
        <v>129</v>
      </c>
      <c r="BT155" s="376" t="s">
        <v>129</v>
      </c>
      <c r="BU155" s="376" t="s">
        <v>129</v>
      </c>
    </row>
    <row r="156" ht="15.15" spans="2:73">
      <c r="B156" s="298" t="s">
        <v>369</v>
      </c>
      <c r="C156" s="304">
        <v>1.77</v>
      </c>
      <c r="D156" s="305">
        <v>45838</v>
      </c>
      <c r="E156" s="306">
        <v>8084.399</v>
      </c>
      <c r="F156" s="307">
        <v>0.000385</v>
      </c>
      <c r="G156" s="308">
        <v>0.07278</v>
      </c>
      <c r="H156" s="308">
        <v>0.088243</v>
      </c>
      <c r="I156" s="308">
        <v>0.045067</v>
      </c>
      <c r="J156" s="308">
        <v>0.122636</v>
      </c>
      <c r="K156" s="308">
        <v>0.180155</v>
      </c>
      <c r="L156" s="338" t="s">
        <v>129</v>
      </c>
      <c r="M156" s="318"/>
      <c r="N156" s="336">
        <v>0.022922</v>
      </c>
      <c r="O156" s="337">
        <v>0.162013729977117</v>
      </c>
      <c r="P156" s="337">
        <v>0.172021670332028</v>
      </c>
      <c r="Q156" s="337">
        <v>-0.0679898015297705</v>
      </c>
      <c r="R156" s="337">
        <v>0.395590595130119</v>
      </c>
      <c r="S156" s="337">
        <v>0.212298063097353</v>
      </c>
      <c r="T156" s="337">
        <v>0.1823</v>
      </c>
      <c r="U156" s="337" t="s">
        <v>129</v>
      </c>
      <c r="V156" s="337" t="s">
        <v>129</v>
      </c>
      <c r="W156" s="337" t="s">
        <v>129</v>
      </c>
      <c r="X156" s="337" t="s">
        <v>129</v>
      </c>
      <c r="Y156" s="337" t="s">
        <v>129</v>
      </c>
      <c r="Z156" s="337" t="s">
        <v>129</v>
      </c>
      <c r="AA156" s="337" t="s">
        <v>129</v>
      </c>
      <c r="AB156" s="337" t="s">
        <v>129</v>
      </c>
      <c r="AC156" s="337" t="s">
        <v>129</v>
      </c>
      <c r="AD156" s="337" t="s">
        <v>129</v>
      </c>
      <c r="AE156" s="337" t="s">
        <v>129</v>
      </c>
      <c r="AF156" s="337" t="s">
        <v>129</v>
      </c>
      <c r="AG156" s="337" t="s">
        <v>129</v>
      </c>
      <c r="AH156" s="337" t="s">
        <v>129</v>
      </c>
      <c r="AI156" s="337" t="s">
        <v>129</v>
      </c>
      <c r="AJ156" s="337" t="s">
        <v>129</v>
      </c>
      <c r="AK156" s="337" t="s">
        <v>129</v>
      </c>
      <c r="AL156" s="337" t="s">
        <v>129</v>
      </c>
      <c r="AM156" s="347" t="s">
        <v>129</v>
      </c>
      <c r="AS156" s="312" t="s">
        <v>162</v>
      </c>
      <c r="AT156"/>
      <c r="AU156"/>
      <c r="AV156"/>
      <c r="AW156" s="377"/>
      <c r="AX156" s="378">
        <f t="shared" ref="AX156:BD156" si="21">AVERAGE(AX150:AX155)</f>
        <v>0.0183805</v>
      </c>
      <c r="AY156" s="378">
        <f t="shared" si="21"/>
        <v>0.0291831666666667</v>
      </c>
      <c r="AZ156" s="378">
        <f t="shared" si="21"/>
        <v>0.0411146666666667</v>
      </c>
      <c r="BA156" s="378">
        <f t="shared" si="21"/>
        <v>0.0964255</v>
      </c>
      <c r="BB156" s="378">
        <f t="shared" si="21"/>
        <v>0.07079575</v>
      </c>
      <c r="BC156" s="378">
        <f t="shared" si="21"/>
        <v>0.061486</v>
      </c>
      <c r="BD156" s="378">
        <f t="shared" si="21"/>
        <v>0.079025</v>
      </c>
      <c r="BE156" s="377"/>
      <c r="BF156" s="378">
        <f t="shared" ref="BF156:BU156" si="22">AVERAGE(BF150:BF155)</f>
        <v>0.0291831666666667</v>
      </c>
      <c r="BG156" s="378">
        <f t="shared" si="22"/>
        <v>0.0944066108521242</v>
      </c>
      <c r="BH156" s="378">
        <f t="shared" si="22"/>
        <v>0.0752483222217936</v>
      </c>
      <c r="BI156" s="378">
        <f t="shared" si="22"/>
        <v>0.0148671913528535</v>
      </c>
      <c r="BJ156" s="378">
        <f t="shared" si="22"/>
        <v>0.0191390228032989</v>
      </c>
      <c r="BK156" s="378">
        <f t="shared" si="22"/>
        <v>0.12564961764735</v>
      </c>
      <c r="BL156" s="378">
        <f t="shared" si="22"/>
        <v>0.123970455467511</v>
      </c>
      <c r="BM156" s="378">
        <f t="shared" si="22"/>
        <v>0.0932457271200493</v>
      </c>
      <c r="BN156" s="378">
        <f t="shared" si="22"/>
        <v>0.0429830333150595</v>
      </c>
      <c r="BO156" s="378">
        <f t="shared" si="22"/>
        <v>0.136233492666824</v>
      </c>
      <c r="BP156" s="378">
        <f t="shared" si="22"/>
        <v>0.0790713588211471</v>
      </c>
      <c r="BQ156" s="378">
        <f t="shared" si="22"/>
        <v>0.0968824625046278</v>
      </c>
      <c r="BR156" s="378">
        <f t="shared" si="22"/>
        <v>0.0966743222447494</v>
      </c>
      <c r="BS156" s="378">
        <f t="shared" si="22"/>
        <v>0.0888157724531606</v>
      </c>
      <c r="BT156" s="378">
        <f t="shared" si="22"/>
        <v>0.0512581418391558</v>
      </c>
      <c r="BU156" s="378">
        <f t="shared" si="22"/>
        <v>0.0433057730261754</v>
      </c>
    </row>
    <row r="157" spans="2:73">
      <c r="B157" s="298" t="s">
        <v>370</v>
      </c>
      <c r="C157" s="304">
        <v>1.84</v>
      </c>
      <c r="D157" s="305">
        <v>45838</v>
      </c>
      <c r="E157" s="306">
        <v>8787.5983</v>
      </c>
      <c r="F157" s="307">
        <v>-0.019532</v>
      </c>
      <c r="G157" s="308">
        <v>0.056624</v>
      </c>
      <c r="H157" s="308">
        <v>0.104236</v>
      </c>
      <c r="I157" s="308">
        <v>-0.006902</v>
      </c>
      <c r="J157" s="308">
        <v>0.152843</v>
      </c>
      <c r="K157" s="308">
        <v>0.233485</v>
      </c>
      <c r="L157" s="338">
        <v>0.131762</v>
      </c>
      <c r="M157" s="318"/>
      <c r="N157" s="336">
        <v>0.061324</v>
      </c>
      <c r="O157" s="337">
        <v>0.10104115262175</v>
      </c>
      <c r="P157" s="337">
        <v>0.270724413863655</v>
      </c>
      <c r="Q157" s="337">
        <v>0.07665179576113</v>
      </c>
      <c r="R157" s="337">
        <v>0.36552377405832</v>
      </c>
      <c r="S157" s="337">
        <v>0.161467026956662</v>
      </c>
      <c r="T157" s="337">
        <v>0.0699886999049714</v>
      </c>
      <c r="U157" s="337">
        <v>-0.127348614356738</v>
      </c>
      <c r="V157" s="337">
        <v>0.427318642882127</v>
      </c>
      <c r="W157" s="337">
        <v>0.0289769111833486</v>
      </c>
      <c r="X157" s="337">
        <v>0.082771908056154</v>
      </c>
      <c r="Y157" s="337">
        <v>0.815347436811663</v>
      </c>
      <c r="Z157" s="337">
        <v>0.0288339485973146</v>
      </c>
      <c r="AA157" s="337">
        <v>0.416569062505155</v>
      </c>
      <c r="AB157" s="337">
        <v>-0.286054153367802</v>
      </c>
      <c r="AC157" s="337">
        <v>0.259766465377825</v>
      </c>
      <c r="AD157" s="337">
        <v>0.792908065545861</v>
      </c>
      <c r="AE157" s="337">
        <v>-0.546371101551234</v>
      </c>
      <c r="AF157" s="337">
        <v>0.633830168963546</v>
      </c>
      <c r="AG157" s="337">
        <v>0.01442</v>
      </c>
      <c r="AH157" s="337" t="s">
        <v>129</v>
      </c>
      <c r="AI157" s="337" t="s">
        <v>129</v>
      </c>
      <c r="AJ157" s="337" t="s">
        <v>129</v>
      </c>
      <c r="AK157" s="337" t="s">
        <v>129</v>
      </c>
      <c r="AL157" s="337" t="s">
        <v>129</v>
      </c>
      <c r="AM157" s="347" t="s">
        <v>129</v>
      </c>
      <c r="AS157" s="312" t="s">
        <v>178</v>
      </c>
      <c r="AT157"/>
      <c r="AU157"/>
      <c r="AV157"/>
      <c r="AW157"/>
      <c r="AX157" s="379">
        <v>0.0087263867959253</v>
      </c>
      <c r="AY157" s="379">
        <v>0.0207643930788102</v>
      </c>
      <c r="AZ157" s="379">
        <v>0.0377184412193585</v>
      </c>
      <c r="BA157" s="379">
        <v>0.080280059411505</v>
      </c>
      <c r="BB157" s="379">
        <v>0.0659301709109001</v>
      </c>
      <c r="BC157" s="379">
        <v>0.0655149768088614</v>
      </c>
      <c r="BD157" s="379">
        <v>0.0738047315298365</v>
      </c>
      <c r="BE157" s="382"/>
      <c r="BF157" s="379">
        <v>0.0207643930788102</v>
      </c>
      <c r="BG157" s="379">
        <v>0.0797029257152309</v>
      </c>
      <c r="BH157" s="379">
        <v>0.0725988870220093</v>
      </c>
      <c r="BI157" s="379">
        <v>0.0358682288812193</v>
      </c>
      <c r="BJ157" s="379">
        <v>0.0437965988907254</v>
      </c>
      <c r="BK157" s="379">
        <v>0.104161972570555</v>
      </c>
      <c r="BL157" s="379">
        <v>0.0953364838894115</v>
      </c>
      <c r="BM157" s="379">
        <v>0.0665068187794211</v>
      </c>
      <c r="BN157" s="379">
        <v>0.0602957159773323</v>
      </c>
      <c r="BO157" s="379">
        <v>0.0986738756953636</v>
      </c>
      <c r="BP157" s="379">
        <v>0.0865549936165921</v>
      </c>
      <c r="BQ157" s="379">
        <v>0.104681934209951</v>
      </c>
      <c r="BR157" s="379">
        <v>0.0827206164504672</v>
      </c>
      <c r="BS157" s="379">
        <v>0.0912371315059957</v>
      </c>
      <c r="BT157" s="379">
        <v>0.0786771029274067</v>
      </c>
      <c r="BU157" s="379">
        <v>0.0470040326565153</v>
      </c>
    </row>
    <row r="158" ht="15.15" spans="2:73">
      <c r="B158" s="298" t="s">
        <v>371</v>
      </c>
      <c r="C158" s="304">
        <v>2.17</v>
      </c>
      <c r="D158" s="305">
        <v>45838</v>
      </c>
      <c r="E158" s="306">
        <v>1073.7256</v>
      </c>
      <c r="F158" s="307">
        <v>-0.03515</v>
      </c>
      <c r="G158" s="308">
        <v>0.0426</v>
      </c>
      <c r="H158" s="308">
        <v>0.019297</v>
      </c>
      <c r="I158" s="308">
        <v>-0.100497</v>
      </c>
      <c r="J158" s="308">
        <v>0.166698</v>
      </c>
      <c r="K158" s="308">
        <v>0.217358</v>
      </c>
      <c r="L158" s="338">
        <v>0.138449</v>
      </c>
      <c r="M158" s="318"/>
      <c r="N158" s="336">
        <v>0.006636</v>
      </c>
      <c r="O158" s="337">
        <v>0.116468241353001</v>
      </c>
      <c r="P158" s="337">
        <v>0.282126007520099</v>
      </c>
      <c r="Q158" s="337">
        <v>0.0967723909787881</v>
      </c>
      <c r="R158" s="337">
        <v>0.355970388630285</v>
      </c>
      <c r="S158" s="337">
        <v>0.234646784041512</v>
      </c>
      <c r="T158" s="337">
        <v>0.0298139358634287</v>
      </c>
      <c r="U158" s="337">
        <v>-0.0773447268460631</v>
      </c>
      <c r="V158" s="337">
        <v>0.351088871096878</v>
      </c>
      <c r="W158" s="337">
        <v>0.0582593370839829</v>
      </c>
      <c r="X158" s="337">
        <v>0.178460524607842</v>
      </c>
      <c r="Y158" s="337">
        <v>0.641335343669081</v>
      </c>
      <c r="Z158" s="337">
        <v>0.0102568772403287</v>
      </c>
      <c r="AA158" s="337">
        <v>0.502113954587281</v>
      </c>
      <c r="AB158" s="337">
        <v>-0.32138426875269</v>
      </c>
      <c r="AC158" s="337">
        <v>0.139320463023497</v>
      </c>
      <c r="AD158" s="337">
        <v>0.607703722023</v>
      </c>
      <c r="AE158" s="337">
        <v>-0.35304</v>
      </c>
      <c r="AF158" s="337" t="s">
        <v>129</v>
      </c>
      <c r="AG158" s="337" t="s">
        <v>129</v>
      </c>
      <c r="AH158" s="337" t="s">
        <v>129</v>
      </c>
      <c r="AI158" s="337" t="s">
        <v>129</v>
      </c>
      <c r="AJ158" s="337" t="s">
        <v>129</v>
      </c>
      <c r="AK158" s="337" t="s">
        <v>129</v>
      </c>
      <c r="AL158" s="337" t="s">
        <v>129</v>
      </c>
      <c r="AM158" s="347" t="s">
        <v>129</v>
      </c>
      <c r="AS158"/>
      <c r="AT158"/>
      <c r="AU158"/>
      <c r="AV158"/>
      <c r="AW158"/>
      <c r="AX158"/>
      <c r="AY158"/>
      <c r="AZ158"/>
      <c r="BA158"/>
      <c r="BB158"/>
      <c r="BC158"/>
      <c r="BD158"/>
      <c r="BE158"/>
      <c r="BF158"/>
      <c r="BG158"/>
      <c r="BH158"/>
      <c r="BI158"/>
      <c r="BJ158"/>
      <c r="BK158"/>
      <c r="BL158"/>
      <c r="BM158"/>
      <c r="BN158"/>
      <c r="BO158"/>
      <c r="BP158"/>
      <c r="BQ158"/>
      <c r="BR158"/>
      <c r="BS158"/>
      <c r="BT158"/>
      <c r="BU158"/>
    </row>
    <row r="159" ht="15.15" spans="2:73">
      <c r="B159" s="298" t="s">
        <v>372</v>
      </c>
      <c r="C159" s="309">
        <v>1.55</v>
      </c>
      <c r="D159" s="310">
        <v>45838</v>
      </c>
      <c r="E159" s="311">
        <v>38610.4341</v>
      </c>
      <c r="F159" s="307">
        <v>-0.027196</v>
      </c>
      <c r="G159" s="308">
        <v>0.044093</v>
      </c>
      <c r="H159" s="308">
        <v>0.055988</v>
      </c>
      <c r="I159" s="308">
        <v>0.041852</v>
      </c>
      <c r="J159" s="308">
        <v>0.157173</v>
      </c>
      <c r="K159" s="308">
        <v>0.197046</v>
      </c>
      <c r="L159" s="338">
        <v>0.141063</v>
      </c>
      <c r="M159" s="318"/>
      <c r="N159" s="336">
        <v>0.055903</v>
      </c>
      <c r="O159" s="337">
        <v>0.171529701260485</v>
      </c>
      <c r="P159" s="337">
        <v>0.222313186507412</v>
      </c>
      <c r="Q159" s="337">
        <v>-0.0848712480504187</v>
      </c>
      <c r="R159" s="337">
        <v>0.429818917441349</v>
      </c>
      <c r="S159" s="337">
        <v>0.145394941753406</v>
      </c>
      <c r="T159" s="337">
        <v>0.160636659819886</v>
      </c>
      <c r="U159" s="337">
        <v>-0.0381369648571365</v>
      </c>
      <c r="V159" s="337">
        <v>0.44725535837047</v>
      </c>
      <c r="W159" s="337">
        <v>0.022249366387034</v>
      </c>
      <c r="X159" s="337">
        <v>0.0433054952359351</v>
      </c>
      <c r="Y159" s="337">
        <v>0.580149529659318</v>
      </c>
      <c r="Z159" s="337">
        <v>-0.0787283425956195</v>
      </c>
      <c r="AA159" s="337">
        <v>0.563106796116505</v>
      </c>
      <c r="AB159" s="337">
        <v>-0.105780214758967</v>
      </c>
      <c r="AC159" s="337">
        <v>0.330799635147461</v>
      </c>
      <c r="AD159" s="337">
        <v>1.08958068614994</v>
      </c>
      <c r="AE159" s="337">
        <v>-0.685388766739956</v>
      </c>
      <c r="AF159" s="337">
        <v>0.644641683103222</v>
      </c>
      <c r="AG159" s="337">
        <v>0.294468085106383</v>
      </c>
      <c r="AH159" s="337">
        <v>0.802147239263804</v>
      </c>
      <c r="AI159" s="337">
        <v>0.304</v>
      </c>
      <c r="AJ159" s="337" t="s">
        <v>129</v>
      </c>
      <c r="AK159" s="337" t="s">
        <v>129</v>
      </c>
      <c r="AL159" s="337" t="s">
        <v>129</v>
      </c>
      <c r="AM159" s="347" t="s">
        <v>129</v>
      </c>
      <c r="AS159" s="320" t="s">
        <v>373</v>
      </c>
      <c r="AT159" s="351" t="s">
        <v>87</v>
      </c>
      <c r="AU159" s="393" t="s">
        <v>110</v>
      </c>
      <c r="AV159" s="394"/>
      <c r="AW159" s="368"/>
      <c r="AX159" s="325" t="s">
        <v>113</v>
      </c>
      <c r="AY159" s="326"/>
      <c r="AZ159" s="326"/>
      <c r="BA159" s="326"/>
      <c r="BB159" s="326"/>
      <c r="BC159" s="326"/>
      <c r="BD159" s="345"/>
      <c r="BE159" s="368"/>
      <c r="BF159" s="393" t="s">
        <v>114</v>
      </c>
      <c r="BG159" s="396"/>
      <c r="BH159" s="396"/>
      <c r="BI159" s="396"/>
      <c r="BJ159" s="396"/>
      <c r="BK159" s="396"/>
      <c r="BL159" s="396"/>
      <c r="BM159" s="396"/>
      <c r="BN159" s="396"/>
      <c r="BO159" s="396"/>
      <c r="BP159" s="396"/>
      <c r="BQ159" s="396"/>
      <c r="BR159" s="396"/>
      <c r="BS159" s="396"/>
      <c r="BT159" s="396"/>
      <c r="BU159" s="398"/>
    </row>
    <row r="160" ht="15.15" spans="2:73">
      <c r="B160" s="312" t="s">
        <v>156</v>
      </c>
      <c r="F160" s="302">
        <v>-0.028956</v>
      </c>
      <c r="G160" s="303">
        <v>0.011756</v>
      </c>
      <c r="H160" s="303">
        <v>0.047548</v>
      </c>
      <c r="I160" s="303">
        <v>-0.006799</v>
      </c>
      <c r="J160" s="303">
        <v>0.121048</v>
      </c>
      <c r="K160" s="303">
        <v>0.166288</v>
      </c>
      <c r="L160" s="335">
        <v>0.111775</v>
      </c>
      <c r="M160" s="318"/>
      <c r="N160" s="339">
        <v>0.038989</v>
      </c>
      <c r="O160" s="340">
        <v>0.0816546064479834</v>
      </c>
      <c r="P160" s="340">
        <v>0.187366557342991</v>
      </c>
      <c r="Q160" s="340">
        <v>0.0444077315444721</v>
      </c>
      <c r="R160" s="340">
        <v>0.219941308441042</v>
      </c>
      <c r="S160" s="340">
        <v>0.157503053056523</v>
      </c>
      <c r="T160" s="340">
        <v>0.143766290260736</v>
      </c>
      <c r="U160" s="340">
        <v>0.0590630425673793</v>
      </c>
      <c r="V160" s="340">
        <v>0.27905962715284</v>
      </c>
      <c r="W160" s="340">
        <v>0.0194857555497186</v>
      </c>
      <c r="X160" s="340">
        <v>-0.0502512416625513</v>
      </c>
      <c r="Y160" s="340">
        <v>0.298938909850794</v>
      </c>
      <c r="Z160" s="340">
        <v>0.0897717626916756</v>
      </c>
      <c r="AA160" s="340">
        <v>0.256991948195138</v>
      </c>
      <c r="AB160" s="340">
        <v>-0.246435604895195</v>
      </c>
      <c r="AC160" s="340">
        <v>0.174309368381334</v>
      </c>
      <c r="AD160" s="340">
        <v>0.810329511542596</v>
      </c>
      <c r="AE160" s="340">
        <v>-0.524458285827518</v>
      </c>
      <c r="AF160" s="340">
        <v>0.4714675006945</v>
      </c>
      <c r="AG160" s="340">
        <v>0.467015608756396</v>
      </c>
      <c r="AH160" s="340">
        <v>0.423348665468165</v>
      </c>
      <c r="AI160" s="340">
        <v>0.130798977900174</v>
      </c>
      <c r="AJ160" s="340">
        <v>0.728894258101194</v>
      </c>
      <c r="AK160" s="340">
        <v>0.0352355525038853</v>
      </c>
      <c r="AL160" s="340">
        <v>-0.178692990141285</v>
      </c>
      <c r="AM160" s="348">
        <v>-0.206499634425529</v>
      </c>
      <c r="AS160" s="322"/>
      <c r="AT160" s="355" t="s">
        <v>121</v>
      </c>
      <c r="AU160" s="356" t="s">
        <v>115</v>
      </c>
      <c r="AV160" s="357" t="s">
        <v>116</v>
      </c>
      <c r="AW160" s="369"/>
      <c r="AX160" s="266" t="s">
        <v>122</v>
      </c>
      <c r="AY160" s="268" t="s">
        <v>123</v>
      </c>
      <c r="AZ160" s="268" t="s">
        <v>124</v>
      </c>
      <c r="BA160" s="268" t="s">
        <v>91</v>
      </c>
      <c r="BB160" s="268" t="s">
        <v>125</v>
      </c>
      <c r="BC160" s="268" t="s">
        <v>126</v>
      </c>
      <c r="BD160" s="269" t="s">
        <v>127</v>
      </c>
      <c r="BE160" s="369"/>
      <c r="BF160" s="266">
        <v>2025</v>
      </c>
      <c r="BG160" s="266">
        <v>2024</v>
      </c>
      <c r="BH160" s="266">
        <v>2023</v>
      </c>
      <c r="BI160" s="268">
        <v>2022</v>
      </c>
      <c r="BJ160" s="268">
        <v>2021</v>
      </c>
      <c r="BK160" s="268">
        <v>2020</v>
      </c>
      <c r="BL160" s="268">
        <v>2019</v>
      </c>
      <c r="BM160" s="268">
        <v>2018</v>
      </c>
      <c r="BN160" s="268">
        <v>2017</v>
      </c>
      <c r="BO160" s="268">
        <v>2016</v>
      </c>
      <c r="BP160" s="268">
        <v>2015</v>
      </c>
      <c r="BQ160" s="268">
        <v>2014</v>
      </c>
      <c r="BR160" s="268">
        <v>2013</v>
      </c>
      <c r="BS160" s="268">
        <v>2012</v>
      </c>
      <c r="BT160" s="268">
        <v>2011</v>
      </c>
      <c r="BU160" s="269">
        <v>2010</v>
      </c>
    </row>
    <row r="161" spans="2:73">
      <c r="B161" s="313" t="s">
        <v>250</v>
      </c>
      <c r="F161" s="307">
        <v>-0.028654</v>
      </c>
      <c r="G161" s="308">
        <v>0.038723</v>
      </c>
      <c r="H161" s="308">
        <v>0.05945</v>
      </c>
      <c r="I161" s="308">
        <v>-0.032041</v>
      </c>
      <c r="J161" s="308">
        <v>0.154431</v>
      </c>
      <c r="K161" s="308">
        <v>0.201781</v>
      </c>
      <c r="L161" s="338">
        <v>0.123351</v>
      </c>
      <c r="M161" s="318"/>
      <c r="N161" s="336">
        <v>0.022527</v>
      </c>
      <c r="O161" s="337">
        <v>0.145465796535709</v>
      </c>
      <c r="P161" s="337">
        <v>0.248498523517645</v>
      </c>
      <c r="Q161" s="337">
        <v>0.0333786905211876</v>
      </c>
      <c r="R161" s="337">
        <v>0.301140430926607</v>
      </c>
      <c r="S161" s="337">
        <v>0.168033833223551</v>
      </c>
      <c r="T161" s="337">
        <v>0.077511676096721</v>
      </c>
      <c r="U161" s="337">
        <v>-0.0308170579621176</v>
      </c>
      <c r="V161" s="337">
        <v>0.359381285994397</v>
      </c>
      <c r="W161" s="337">
        <v>0.037823178380737</v>
      </c>
      <c r="X161" s="337">
        <v>-0.00815175318655217</v>
      </c>
      <c r="Y161" s="337">
        <v>0.369590487893985</v>
      </c>
      <c r="Z161" s="337">
        <v>0.0325486673604544</v>
      </c>
      <c r="AA161" s="337">
        <v>0.311989935417777</v>
      </c>
      <c r="AB161" s="337">
        <v>-0.274131836715211</v>
      </c>
      <c r="AC161" s="337">
        <v>0.163514925645804</v>
      </c>
      <c r="AD161" s="337">
        <v>0.902289503315401</v>
      </c>
      <c r="AE161" s="337">
        <v>-0.581393156534298</v>
      </c>
      <c r="AF161" s="337">
        <v>0.63020702896736</v>
      </c>
      <c r="AG161" s="337">
        <v>0.388518319476496</v>
      </c>
      <c r="AH161" s="337">
        <v>0.365625168636339</v>
      </c>
      <c r="AI161" s="337">
        <v>0.17465220845518</v>
      </c>
      <c r="AJ161" s="337">
        <v>1.0109625827505</v>
      </c>
      <c r="AK161" s="337">
        <v>0.169921059434094</v>
      </c>
      <c r="AL161" s="337">
        <v>-0.229055845967532</v>
      </c>
      <c r="AM161" s="347">
        <v>-0.27172553923101</v>
      </c>
      <c r="AS161" s="361" t="s">
        <v>374</v>
      </c>
      <c r="AT161" s="364">
        <v>0.25</v>
      </c>
      <c r="AU161" s="365">
        <v>45716</v>
      </c>
      <c r="AV161" s="364">
        <v>1089.61688824819</v>
      </c>
      <c r="AW161" s="3"/>
      <c r="AX161" s="376">
        <v>0.006301</v>
      </c>
      <c r="AY161" s="376">
        <v>0.017599</v>
      </c>
      <c r="AZ161" s="376">
        <v>0.034977</v>
      </c>
      <c r="BA161" s="376">
        <v>0.071501</v>
      </c>
      <c r="BB161" s="376">
        <v>0.065809</v>
      </c>
      <c r="BC161" s="376">
        <v>0.051583</v>
      </c>
      <c r="BD161" s="376">
        <v>0.058813</v>
      </c>
      <c r="BE161" s="4"/>
      <c r="BF161" s="376">
        <v>0.017599</v>
      </c>
      <c r="BG161" s="376">
        <v>0.0719308939190592</v>
      </c>
      <c r="BH161" s="376">
        <v>0.0691458581772568</v>
      </c>
      <c r="BI161" s="376">
        <v>0.0470646842059081</v>
      </c>
      <c r="BJ161" s="376">
        <v>0.0299592693148846</v>
      </c>
      <c r="BK161" s="376">
        <v>0.0343236552841073</v>
      </c>
      <c r="BL161" s="376">
        <v>0.0592331003541828</v>
      </c>
      <c r="BM161" s="376">
        <v>0.0683720232684155</v>
      </c>
      <c r="BN161" s="376">
        <v>0.0619317489234675</v>
      </c>
      <c r="BO161" s="376">
        <v>0.071933410139127</v>
      </c>
      <c r="BP161" s="376">
        <v>0.0778529113379874</v>
      </c>
      <c r="BQ161" s="376">
        <v>0.0841569947085716</v>
      </c>
      <c r="BR161" s="376">
        <v>0.0103255148060798</v>
      </c>
      <c r="BS161" s="376" t="s">
        <v>129</v>
      </c>
      <c r="BT161" s="376" t="s">
        <v>129</v>
      </c>
      <c r="BU161" s="376" t="s">
        <v>129</v>
      </c>
    </row>
    <row r="162" ht="15.15" spans="2:73">
      <c r="B162" s="314" t="s">
        <v>158</v>
      </c>
      <c r="F162" s="390">
        <v>-0.029341</v>
      </c>
      <c r="G162" s="391">
        <v>0.017841</v>
      </c>
      <c r="H162" s="391">
        <v>0.053596</v>
      </c>
      <c r="I162" s="391">
        <v>-0.007326</v>
      </c>
      <c r="J162" s="391">
        <v>0.129786</v>
      </c>
      <c r="K162" s="391">
        <v>0.174585</v>
      </c>
      <c r="L162" s="392">
        <v>0.112352</v>
      </c>
      <c r="M162" s="318"/>
      <c r="N162" s="336">
        <v>0.047518</v>
      </c>
      <c r="O162" s="337">
        <v>0.0880476902077809</v>
      </c>
      <c r="P162" s="337">
        <v>0.200278393101744</v>
      </c>
      <c r="Q162" s="337">
        <v>0.0432896067488569</v>
      </c>
      <c r="R162" s="337">
        <v>0.241192983710909</v>
      </c>
      <c r="S162" s="337">
        <v>0.149016514017808</v>
      </c>
      <c r="T162" s="337">
        <v>0.120220390239861</v>
      </c>
      <c r="U162" s="337">
        <v>0.0315126249916908</v>
      </c>
      <c r="V162" s="337">
        <v>0.286459478609299</v>
      </c>
      <c r="W162" s="337">
        <v>0.0301333316554141</v>
      </c>
      <c r="X162" s="337">
        <v>-0.0406087386963189</v>
      </c>
      <c r="Y162" s="337">
        <v>0.313880076142132</v>
      </c>
      <c r="Z162" s="337">
        <v>0.0675517772772687</v>
      </c>
      <c r="AA162" s="337">
        <v>0.276971649763207</v>
      </c>
      <c r="AB162" s="337">
        <v>-0.246181432879615</v>
      </c>
      <c r="AC162" s="337">
        <v>0.179473375568395</v>
      </c>
      <c r="AD162" s="337">
        <v>0.757616207356842</v>
      </c>
      <c r="AE162" s="337">
        <v>-0.517943830840908</v>
      </c>
      <c r="AF162" s="337">
        <v>0.547650262202501</v>
      </c>
      <c r="AG162" s="337">
        <v>0.398318379721845</v>
      </c>
      <c r="AH162" s="337">
        <v>0.363398221581351</v>
      </c>
      <c r="AI162" s="337">
        <v>0.106796116504854</v>
      </c>
      <c r="AJ162" s="337">
        <v>0.719021490626429</v>
      </c>
      <c r="AK162" s="337">
        <v>0.0325291534866154</v>
      </c>
      <c r="AL162" s="337">
        <v>-0.161845593763603</v>
      </c>
      <c r="AM162" s="347">
        <v>-0.146509507244419</v>
      </c>
      <c r="AS162" s="361" t="s">
        <v>375</v>
      </c>
      <c r="AT162" s="364">
        <v>0.34</v>
      </c>
      <c r="AU162" s="365">
        <v>45716</v>
      </c>
      <c r="AV162" s="364">
        <v>57091.442</v>
      </c>
      <c r="AW162" s="3"/>
      <c r="AX162" s="376">
        <v>0.006742</v>
      </c>
      <c r="AY162" s="376">
        <v>0.01811</v>
      </c>
      <c r="AZ162" s="376">
        <v>0.035815</v>
      </c>
      <c r="BA162" s="376">
        <v>0.073173</v>
      </c>
      <c r="BB162" s="376">
        <v>0.067222</v>
      </c>
      <c r="BC162" s="376">
        <v>0.054259</v>
      </c>
      <c r="BD162" s="376">
        <v>0.063129</v>
      </c>
      <c r="BE162" s="4"/>
      <c r="BF162" s="376">
        <v>0.01811</v>
      </c>
      <c r="BG162" s="376">
        <v>0.0734930363941196</v>
      </c>
      <c r="BH162" s="376">
        <v>0.0705207720837666</v>
      </c>
      <c r="BI162" s="376">
        <v>0.0482077048054806</v>
      </c>
      <c r="BJ162" s="376">
        <v>0.0326238352673638</v>
      </c>
      <c r="BK162" s="376">
        <v>0.042912121927714</v>
      </c>
      <c r="BL162" s="376">
        <v>0.0669416819399335</v>
      </c>
      <c r="BM162" s="376">
        <v>0.0741125279586425</v>
      </c>
      <c r="BN162" s="376">
        <v>0.0668582103411734</v>
      </c>
      <c r="BO162" s="376">
        <v>0.076971043626169</v>
      </c>
      <c r="BP162" s="376">
        <v>0.0837828496014581</v>
      </c>
      <c r="BQ162" s="376">
        <v>0.0918437364195695</v>
      </c>
      <c r="BR162" s="376">
        <v>0.0931990800709027</v>
      </c>
      <c r="BS162" s="376">
        <v>0.0971286433155737</v>
      </c>
      <c r="BT162" s="376">
        <v>0.0901654585053473</v>
      </c>
      <c r="BU162" s="376">
        <v>0.0549002126054454</v>
      </c>
    </row>
    <row r="163" ht="15.15" spans="2:73">
      <c r="B163" s="315" t="s">
        <v>162</v>
      </c>
      <c r="F163" s="341">
        <f>AVERAGE(F148:F159)</f>
        <v>-0.0176145833333333</v>
      </c>
      <c r="G163" s="342">
        <f t="shared" ref="G163:L163" si="23">AVERAGE(G148:G159)</f>
        <v>0.0484786666666667</v>
      </c>
      <c r="H163" s="342">
        <f t="shared" si="23"/>
        <v>0.0771435</v>
      </c>
      <c r="I163" s="342">
        <f t="shared" si="23"/>
        <v>0.0170043333333333</v>
      </c>
      <c r="J163" s="342">
        <f t="shared" si="23"/>
        <v>0.170072333333333</v>
      </c>
      <c r="K163" s="342">
        <f t="shared" si="23"/>
        <v>0.209312083333333</v>
      </c>
      <c r="L163" s="349">
        <f t="shared" si="23"/>
        <v>0.1302554</v>
      </c>
      <c r="M163" s="318"/>
      <c r="N163" s="323">
        <f>IFERROR(AVERAGE(N148:N159),"NA")</f>
        <v>0.0376929166666667</v>
      </c>
      <c r="O163" s="324">
        <f t="shared" ref="O163:AM163" si="24">IFERROR(AVERAGE(O148:O159),"NA")</f>
        <v>0.186789399560855</v>
      </c>
      <c r="P163" s="324">
        <f t="shared" si="24"/>
        <v>0.253688230357437</v>
      </c>
      <c r="Q163" s="324">
        <f t="shared" si="24"/>
        <v>0.011055499767227</v>
      </c>
      <c r="R163" s="324">
        <f t="shared" si="24"/>
        <v>0.335113716456449</v>
      </c>
      <c r="S163" s="324">
        <f t="shared" si="24"/>
        <v>0.157260888102118</v>
      </c>
      <c r="T163" s="324">
        <f t="shared" si="24"/>
        <v>0.100815204222325</v>
      </c>
      <c r="U163" s="324">
        <f t="shared" si="24"/>
        <v>-0.0720973064730128</v>
      </c>
      <c r="V163" s="324">
        <f t="shared" si="24"/>
        <v>0.381895421327112</v>
      </c>
      <c r="W163" s="324">
        <f t="shared" si="24"/>
        <v>0.0477821074742316</v>
      </c>
      <c r="X163" s="324">
        <f t="shared" si="24"/>
        <v>0.0327921715299055</v>
      </c>
      <c r="Y163" s="324">
        <f t="shared" si="24"/>
        <v>0.544106276770926</v>
      </c>
      <c r="Z163" s="324">
        <f t="shared" si="24"/>
        <v>0.0298562760689101</v>
      </c>
      <c r="AA163" s="324">
        <f t="shared" si="24"/>
        <v>0.343706515268791</v>
      </c>
      <c r="AB163" s="324">
        <f t="shared" si="24"/>
        <v>-0.233476483363411</v>
      </c>
      <c r="AC163" s="324">
        <f t="shared" si="24"/>
        <v>0.204058853482195</v>
      </c>
      <c r="AD163" s="324">
        <f t="shared" si="24"/>
        <v>0.771049669197367</v>
      </c>
      <c r="AE163" s="324">
        <f t="shared" si="24"/>
        <v>-0.517565507014381</v>
      </c>
      <c r="AF163" s="324">
        <f t="shared" si="24"/>
        <v>0.523057999541213</v>
      </c>
      <c r="AG163" s="324">
        <f t="shared" si="24"/>
        <v>0.250884205704334</v>
      </c>
      <c r="AH163" s="324">
        <f t="shared" si="24"/>
        <v>0.495159027286984</v>
      </c>
      <c r="AI163" s="324">
        <f t="shared" si="24"/>
        <v>0.2619</v>
      </c>
      <c r="AJ163" s="324" t="str">
        <f t="shared" si="24"/>
        <v>NA</v>
      </c>
      <c r="AK163" s="324" t="str">
        <f t="shared" si="24"/>
        <v>NA</v>
      </c>
      <c r="AL163" s="324" t="str">
        <f t="shared" si="24"/>
        <v>NA</v>
      </c>
      <c r="AM163" s="344" t="str">
        <f t="shared" si="24"/>
        <v>NA</v>
      </c>
      <c r="AS163" s="361" t="s">
        <v>376</v>
      </c>
      <c r="AT163" s="364">
        <v>0.17</v>
      </c>
      <c r="AU163" s="365">
        <v>45716</v>
      </c>
      <c r="AV163" s="364">
        <v>42866.6294</v>
      </c>
      <c r="AW163" s="3"/>
      <c r="AX163" s="376">
        <v>0.006836</v>
      </c>
      <c r="AY163" s="376">
        <v>0.018349</v>
      </c>
      <c r="AZ163" s="376">
        <v>0.036209</v>
      </c>
      <c r="BA163" s="376">
        <v>0.073435</v>
      </c>
      <c r="BB163" s="376">
        <v>0.067595</v>
      </c>
      <c r="BC163" s="376">
        <v>0.054394</v>
      </c>
      <c r="BD163" s="376">
        <v>0.063197</v>
      </c>
      <c r="BE163" s="4"/>
      <c r="BF163" s="376">
        <v>0.018349</v>
      </c>
      <c r="BG163" s="376">
        <v>0.0738378918531363</v>
      </c>
      <c r="BH163" s="376">
        <v>0.070527574994746</v>
      </c>
      <c r="BI163" s="376">
        <v>0.0487691982745593</v>
      </c>
      <c r="BJ163" s="376">
        <v>0.0328261552195769</v>
      </c>
      <c r="BK163" s="376">
        <v>0.0427659263904033</v>
      </c>
      <c r="BL163" s="376">
        <v>0.0664077226246723</v>
      </c>
      <c r="BM163" s="376">
        <v>0.0745340292034008</v>
      </c>
      <c r="BN163" s="376">
        <v>0.0671233497070056</v>
      </c>
      <c r="BO163" s="376">
        <v>0.0764177217716611</v>
      </c>
      <c r="BP163" s="376">
        <v>0.0835360035555486</v>
      </c>
      <c r="BQ163" s="376">
        <v>0.0909615542743487</v>
      </c>
      <c r="BR163" s="376">
        <v>0.0919857960082361</v>
      </c>
      <c r="BS163" s="376">
        <v>0.0969032553819058</v>
      </c>
      <c r="BT163" s="376">
        <v>0.0897208430101452</v>
      </c>
      <c r="BU163" s="376">
        <v>0.0559261351360705</v>
      </c>
    </row>
    <row r="164" spans="13:73">
      <c r="M164" s="318"/>
      <c r="O164" s="281"/>
      <c r="AS164" s="361" t="s">
        <v>377</v>
      </c>
      <c r="AT164" s="364">
        <v>0.28</v>
      </c>
      <c r="AU164" s="365">
        <v>45716</v>
      </c>
      <c r="AV164" s="364">
        <v>4635.4449</v>
      </c>
      <c r="AW164" s="3"/>
      <c r="AX164" s="376">
        <v>0.006505</v>
      </c>
      <c r="AY164" s="376">
        <v>0.017812</v>
      </c>
      <c r="AZ164" s="376">
        <v>0.035369</v>
      </c>
      <c r="BA164" s="376">
        <v>0.072432</v>
      </c>
      <c r="BB164" s="376" t="s">
        <v>129</v>
      </c>
      <c r="BC164" s="376" t="s">
        <v>129</v>
      </c>
      <c r="BD164" s="376" t="s">
        <v>129</v>
      </c>
      <c r="BE164" s="4"/>
      <c r="BF164" s="376">
        <v>0.017812</v>
      </c>
      <c r="BG164" s="376">
        <v>0.0729669548403974</v>
      </c>
      <c r="BH164" s="376">
        <v>0.0333676308395204</v>
      </c>
      <c r="BI164" s="376" t="s">
        <v>129</v>
      </c>
      <c r="BJ164" s="376" t="s">
        <v>129</v>
      </c>
      <c r="BK164" s="376" t="s">
        <v>129</v>
      </c>
      <c r="BL164" s="376" t="s">
        <v>129</v>
      </c>
      <c r="BM164" s="376" t="s">
        <v>129</v>
      </c>
      <c r="BN164" s="376" t="s">
        <v>129</v>
      </c>
      <c r="BO164" s="376" t="s">
        <v>129</v>
      </c>
      <c r="BP164" s="376" t="s">
        <v>129</v>
      </c>
      <c r="BQ164" s="376" t="s">
        <v>129</v>
      </c>
      <c r="BR164" s="376" t="s">
        <v>129</v>
      </c>
      <c r="BS164" s="376" t="s">
        <v>129</v>
      </c>
      <c r="BT164" s="376" t="s">
        <v>129</v>
      </c>
      <c r="BU164" s="376" t="s">
        <v>129</v>
      </c>
    </row>
    <row r="165" ht="15.15" spans="13:73">
      <c r="M165" s="318"/>
      <c r="O165" s="281"/>
      <c r="AS165" s="361" t="s">
        <v>378</v>
      </c>
      <c r="AT165" s="364">
        <v>0.25</v>
      </c>
      <c r="AU165" s="365">
        <v>45716</v>
      </c>
      <c r="AV165" s="364">
        <v>15178.1169</v>
      </c>
      <c r="AW165" s="3"/>
      <c r="AX165" s="376">
        <v>0.006552</v>
      </c>
      <c r="AY165" s="376">
        <v>0.017849</v>
      </c>
      <c r="AZ165" s="376">
        <v>0.03542</v>
      </c>
      <c r="BA165" s="376">
        <v>0.072359</v>
      </c>
      <c r="BB165" s="376">
        <v>0.06669</v>
      </c>
      <c r="BC165" s="376">
        <v>0.05352</v>
      </c>
      <c r="BD165" s="376">
        <v>0.062048</v>
      </c>
      <c r="BE165" s="4"/>
      <c r="BF165" s="376">
        <v>0.017849</v>
      </c>
      <c r="BG165" s="376">
        <v>0.0729688496107873</v>
      </c>
      <c r="BH165" s="376">
        <v>0.0697848413819341</v>
      </c>
      <c r="BI165" s="376">
        <v>0.0480662962280671</v>
      </c>
      <c r="BJ165" s="376">
        <v>0.0323962140804186</v>
      </c>
      <c r="BK165" s="376">
        <v>0.0404773525685082</v>
      </c>
      <c r="BL165" s="376">
        <v>0.0633659137950134</v>
      </c>
      <c r="BM165" s="376">
        <v>0.0731411490700352</v>
      </c>
      <c r="BN165" s="376">
        <v>0.0661998604820588</v>
      </c>
      <c r="BO165" s="376">
        <v>0.0759070733062533</v>
      </c>
      <c r="BP165" s="376">
        <v>0.0835869564237206</v>
      </c>
      <c r="BQ165" s="376">
        <v>0.0909278898044408</v>
      </c>
      <c r="BR165" s="376">
        <v>0.0918305640587038</v>
      </c>
      <c r="BS165" s="376">
        <v>0.0958976961497235</v>
      </c>
      <c r="BT165" s="376">
        <v>0.0900633864262374</v>
      </c>
      <c r="BU165" s="376">
        <v>0.0549008283852803</v>
      </c>
    </row>
    <row r="166" ht="15.75" customHeight="1" spans="2:73">
      <c r="B166" s="319" t="s">
        <v>379</v>
      </c>
      <c r="C166" s="320" t="s">
        <v>87</v>
      </c>
      <c r="D166" s="289" t="s">
        <v>110</v>
      </c>
      <c r="E166" s="290"/>
      <c r="F166" s="333" t="s">
        <v>82</v>
      </c>
      <c r="G166" s="333"/>
      <c r="H166" s="333"/>
      <c r="I166" s="333"/>
      <c r="J166" s="333"/>
      <c r="K166" s="333"/>
      <c r="L166" s="346"/>
      <c r="M166" s="318"/>
      <c r="N166" s="325" t="s">
        <v>111</v>
      </c>
      <c r="O166" s="326"/>
      <c r="P166" s="326"/>
      <c r="Q166" s="326"/>
      <c r="R166" s="326"/>
      <c r="S166" s="326"/>
      <c r="T166" s="326"/>
      <c r="U166" s="326"/>
      <c r="V166" s="326"/>
      <c r="W166" s="326"/>
      <c r="X166" s="326"/>
      <c r="Y166" s="326"/>
      <c r="Z166" s="326"/>
      <c r="AA166" s="326"/>
      <c r="AB166" s="326"/>
      <c r="AC166" s="326"/>
      <c r="AD166" s="326"/>
      <c r="AE166" s="326"/>
      <c r="AF166" s="326"/>
      <c r="AG166" s="326"/>
      <c r="AH166" s="326"/>
      <c r="AI166" s="326"/>
      <c r="AJ166" s="326"/>
      <c r="AK166" s="326"/>
      <c r="AL166" s="326"/>
      <c r="AM166" s="326"/>
      <c r="AN166" s="345"/>
      <c r="AS166" s="361" t="s">
        <v>380</v>
      </c>
      <c r="AT166" s="364">
        <v>0.13</v>
      </c>
      <c r="AU166" s="365">
        <v>45716</v>
      </c>
      <c r="AV166" s="364">
        <v>1740.7447</v>
      </c>
      <c r="AW166" s="3"/>
      <c r="AX166" s="376">
        <v>0.00663</v>
      </c>
      <c r="AY166" s="376">
        <v>0.018124</v>
      </c>
      <c r="AZ166" s="376">
        <v>0.036079</v>
      </c>
      <c r="BA166" s="376">
        <v>0.073803</v>
      </c>
      <c r="BB166" s="376">
        <v>0.067817</v>
      </c>
      <c r="BC166" s="376">
        <v>0.054421</v>
      </c>
      <c r="BD166" s="376">
        <v>0.06275</v>
      </c>
      <c r="BE166" s="4"/>
      <c r="BF166" s="376">
        <v>0.018124</v>
      </c>
      <c r="BG166" s="376">
        <v>0.0743731685562214</v>
      </c>
      <c r="BH166" s="376">
        <v>0.0704972916082914</v>
      </c>
      <c r="BI166" s="376">
        <v>0.0492438837518083</v>
      </c>
      <c r="BJ166" s="376">
        <v>0.0326364021633138</v>
      </c>
      <c r="BK166" s="376">
        <v>0.0410851980249557</v>
      </c>
      <c r="BL166" s="376">
        <v>0.0642758110230277</v>
      </c>
      <c r="BM166" s="376">
        <v>0.0743224501176017</v>
      </c>
      <c r="BN166" s="376">
        <v>0.0667437565476284</v>
      </c>
      <c r="BO166" s="376">
        <v>0.0764032759665296</v>
      </c>
      <c r="BP166" s="376">
        <v>0.0829219059447591</v>
      </c>
      <c r="BQ166" s="376">
        <v>0.0902751172703964</v>
      </c>
      <c r="BR166" s="376">
        <v>0.0925701590717039</v>
      </c>
      <c r="BS166" s="376">
        <v>0.0844892179052137</v>
      </c>
      <c r="BT166" s="376">
        <v>0.0749541659112888</v>
      </c>
      <c r="BU166" s="376">
        <v>0.0456535214646612</v>
      </c>
    </row>
    <row r="167" ht="15" customHeight="1" spans="2:73">
      <c r="B167" s="321"/>
      <c r="C167" s="322"/>
      <c r="D167" s="294" t="s">
        <v>115</v>
      </c>
      <c r="E167" s="295" t="s">
        <v>116</v>
      </c>
      <c r="F167" s="296" t="s">
        <v>88</v>
      </c>
      <c r="G167" s="297" t="s">
        <v>89</v>
      </c>
      <c r="H167" s="297" t="s">
        <v>90</v>
      </c>
      <c r="I167" s="297" t="s">
        <v>91</v>
      </c>
      <c r="J167" s="297" t="s">
        <v>93</v>
      </c>
      <c r="K167" s="297" t="s">
        <v>94</v>
      </c>
      <c r="L167" s="334" t="s">
        <v>95</v>
      </c>
      <c r="M167" s="318"/>
      <c r="N167" s="266" t="s">
        <v>96</v>
      </c>
      <c r="O167" s="267">
        <v>2024</v>
      </c>
      <c r="P167" s="267">
        <v>2023</v>
      </c>
      <c r="Q167" s="268">
        <v>2022</v>
      </c>
      <c r="R167" s="268">
        <v>2021</v>
      </c>
      <c r="S167" s="268">
        <v>2020</v>
      </c>
      <c r="T167" s="268">
        <v>2019</v>
      </c>
      <c r="U167" s="268">
        <v>2018</v>
      </c>
      <c r="V167" s="268">
        <v>2017</v>
      </c>
      <c r="W167" s="268">
        <v>2016</v>
      </c>
      <c r="X167" s="268">
        <v>2015</v>
      </c>
      <c r="Y167" s="268">
        <v>2014</v>
      </c>
      <c r="Z167" s="268">
        <v>2013</v>
      </c>
      <c r="AA167" s="268">
        <v>2012</v>
      </c>
      <c r="AB167" s="268">
        <v>2011</v>
      </c>
      <c r="AC167" s="268">
        <v>2010</v>
      </c>
      <c r="AD167" s="268">
        <v>2009</v>
      </c>
      <c r="AE167" s="268">
        <v>2008</v>
      </c>
      <c r="AF167" s="268">
        <v>2007</v>
      </c>
      <c r="AG167" s="268">
        <v>2006</v>
      </c>
      <c r="AH167" s="268">
        <v>2005</v>
      </c>
      <c r="AI167" s="268">
        <v>2004</v>
      </c>
      <c r="AJ167" s="268">
        <v>2003</v>
      </c>
      <c r="AK167" s="268">
        <v>2002</v>
      </c>
      <c r="AL167" s="268">
        <v>2001</v>
      </c>
      <c r="AM167" s="269">
        <v>2000</v>
      </c>
      <c r="AS167" s="361" t="s">
        <v>381</v>
      </c>
      <c r="AT167" s="364">
        <v>0.31</v>
      </c>
      <c r="AU167" s="365">
        <v>45716</v>
      </c>
      <c r="AV167" s="364">
        <v>10428.9593</v>
      </c>
      <c r="AW167" s="3"/>
      <c r="AX167" s="376">
        <v>0.006682</v>
      </c>
      <c r="AY167" s="376">
        <v>0.017942</v>
      </c>
      <c r="AZ167" s="376">
        <v>0.0356</v>
      </c>
      <c r="BA167" s="376">
        <v>0.072502</v>
      </c>
      <c r="BB167" s="376">
        <v>0.067055</v>
      </c>
      <c r="BC167" s="376">
        <v>0.053754</v>
      </c>
      <c r="BD167" s="376">
        <v>0.063035</v>
      </c>
      <c r="BE167" s="4"/>
      <c r="BF167" s="376">
        <v>0.017942</v>
      </c>
      <c r="BG167" s="376">
        <v>0.0729168076086255</v>
      </c>
      <c r="BH167" s="376">
        <v>0.0700787957582378</v>
      </c>
      <c r="BI167" s="376">
        <v>0.0489851707126066</v>
      </c>
      <c r="BJ167" s="376">
        <v>0.0332377666719963</v>
      </c>
      <c r="BK167" s="376">
        <v>0.041302677832121</v>
      </c>
      <c r="BL167" s="376">
        <v>0.0660565013571606</v>
      </c>
      <c r="BM167" s="376">
        <v>0.0747998784112802</v>
      </c>
      <c r="BN167" s="376">
        <v>0.0669226177792836</v>
      </c>
      <c r="BO167" s="376">
        <v>0.0776554569895747</v>
      </c>
      <c r="BP167" s="376">
        <v>0.0836234430953153</v>
      </c>
      <c r="BQ167" s="376">
        <v>0.0913311195735636</v>
      </c>
      <c r="BR167" s="376">
        <v>0.0922877733217767</v>
      </c>
      <c r="BS167" s="376">
        <v>0.0971912775726935</v>
      </c>
      <c r="BT167" s="376">
        <v>0.0895045593257284</v>
      </c>
      <c r="BU167" s="376">
        <v>0.0549896996119387</v>
      </c>
    </row>
    <row r="168" spans="2:73">
      <c r="B168" s="298" t="s">
        <v>382</v>
      </c>
      <c r="C168" s="299">
        <v>1.53</v>
      </c>
      <c r="D168" s="300">
        <v>45838</v>
      </c>
      <c r="E168" s="301">
        <v>36257.532406</v>
      </c>
      <c r="F168" s="302">
        <v>-0.02097</v>
      </c>
      <c r="G168" s="303">
        <v>0.034269</v>
      </c>
      <c r="H168" s="303">
        <v>0.065708</v>
      </c>
      <c r="I168" s="303">
        <v>0.003605</v>
      </c>
      <c r="J168" s="303">
        <v>0.131992</v>
      </c>
      <c r="K168" s="303">
        <v>0.164576</v>
      </c>
      <c r="L168" s="335">
        <v>0.11793</v>
      </c>
      <c r="M168" s="318"/>
      <c r="N168" s="339">
        <v>0.029844</v>
      </c>
      <c r="O168" s="340">
        <v>0.174257752558149</v>
      </c>
      <c r="P168" s="340">
        <v>0.21959869026565</v>
      </c>
      <c r="Q168" s="340">
        <v>-0.119721424581346</v>
      </c>
      <c r="R168" s="340">
        <v>0.245360216955548</v>
      </c>
      <c r="S168" s="340">
        <v>0.205188846821425</v>
      </c>
      <c r="T168" s="337">
        <v>0.148325749240037</v>
      </c>
      <c r="U168" s="337">
        <v>0.0266911750627071</v>
      </c>
      <c r="V168" s="337">
        <v>0.374408300081909</v>
      </c>
      <c r="W168" s="337">
        <v>-0.00693843284191553</v>
      </c>
      <c r="X168" s="337">
        <v>0.0669880307561467</v>
      </c>
      <c r="Y168" s="337">
        <v>0.661831999165904</v>
      </c>
      <c r="Z168" s="337">
        <v>0.165138048092432</v>
      </c>
      <c r="AA168" s="337">
        <v>0.336818837964634</v>
      </c>
      <c r="AB168" s="337">
        <v>-0.147600993593934</v>
      </c>
      <c r="AC168" s="337">
        <v>0.299875043734693</v>
      </c>
      <c r="AD168" s="337">
        <v>0.000350000000000072</v>
      </c>
      <c r="AE168" s="337" t="s">
        <v>129</v>
      </c>
      <c r="AF168" s="337" t="s">
        <v>129</v>
      </c>
      <c r="AG168" s="337" t="s">
        <v>129</v>
      </c>
      <c r="AH168" s="337" t="s">
        <v>129</v>
      </c>
      <c r="AI168" s="337" t="s">
        <v>129</v>
      </c>
      <c r="AJ168" s="337" t="s">
        <v>129</v>
      </c>
      <c r="AK168" s="337" t="s">
        <v>129</v>
      </c>
      <c r="AL168" s="337" t="s">
        <v>129</v>
      </c>
      <c r="AM168" s="347" t="s">
        <v>129</v>
      </c>
      <c r="AS168" s="361" t="s">
        <v>383</v>
      </c>
      <c r="AT168" s="364">
        <v>0.19</v>
      </c>
      <c r="AU168" s="365">
        <v>45716</v>
      </c>
      <c r="AV168" s="364">
        <v>5294.0635</v>
      </c>
      <c r="AW168" s="3"/>
      <c r="AX168" s="376">
        <v>0.006783</v>
      </c>
      <c r="AY168" s="376">
        <v>0.018208</v>
      </c>
      <c r="AZ168" s="376">
        <v>0.035944</v>
      </c>
      <c r="BA168" s="376">
        <v>0.073324</v>
      </c>
      <c r="BB168" s="376">
        <v>0.067463</v>
      </c>
      <c r="BC168" s="376">
        <v>0.05339</v>
      </c>
      <c r="BD168" s="376">
        <v>0.061646</v>
      </c>
      <c r="BE168" s="4"/>
      <c r="BF168" s="376">
        <v>0.018208</v>
      </c>
      <c r="BG168" s="376">
        <v>0.0735844458436104</v>
      </c>
      <c r="BH168" s="376">
        <v>0.0704713772698794</v>
      </c>
      <c r="BI168" s="376">
        <v>0.0485704662435486</v>
      </c>
      <c r="BJ168" s="376">
        <v>0.0322972580522507</v>
      </c>
      <c r="BK168" s="376">
        <v>0.0368399773639101</v>
      </c>
      <c r="BL168" s="376">
        <v>0.0635905045247799</v>
      </c>
      <c r="BM168" s="376">
        <v>0.0735296493001424</v>
      </c>
      <c r="BN168" s="376">
        <v>0.0651563915007871</v>
      </c>
      <c r="BO168" s="376">
        <v>0.0750566674648353</v>
      </c>
      <c r="BP168" s="376">
        <v>0.0822127980948331</v>
      </c>
      <c r="BQ168" s="376">
        <v>0.090422698799003</v>
      </c>
      <c r="BR168" s="376">
        <v>0.0922736862422896</v>
      </c>
      <c r="BS168" s="376">
        <v>0.0966229699533509</v>
      </c>
      <c r="BT168" s="376">
        <v>0.0899146856976605</v>
      </c>
      <c r="BU168" s="376">
        <v>0.0552921734890145</v>
      </c>
    </row>
    <row r="169" spans="2:73">
      <c r="B169" s="298" t="s">
        <v>384</v>
      </c>
      <c r="C169" s="304">
        <v>1.74</v>
      </c>
      <c r="D169" s="305">
        <v>45838</v>
      </c>
      <c r="E169" s="306">
        <v>7151.151</v>
      </c>
      <c r="F169" s="307">
        <v>-0.023263</v>
      </c>
      <c r="G169" s="308">
        <v>0.030197</v>
      </c>
      <c r="H169" s="308">
        <v>0.055769</v>
      </c>
      <c r="I169" s="308">
        <v>-0.040998</v>
      </c>
      <c r="J169" s="308">
        <v>0.164657</v>
      </c>
      <c r="K169" s="308">
        <v>0.245903</v>
      </c>
      <c r="L169" s="338">
        <v>0.136905</v>
      </c>
      <c r="M169" s="318"/>
      <c r="N169" s="336">
        <v>0.020129</v>
      </c>
      <c r="O169" s="337">
        <v>0.13112300122057</v>
      </c>
      <c r="P169" s="337">
        <v>0.282976313586448</v>
      </c>
      <c r="Q169" s="337">
        <v>0.0420258620689655</v>
      </c>
      <c r="R169" s="337">
        <v>0.491961414790997</v>
      </c>
      <c r="S169" s="337">
        <v>0.187022900763359</v>
      </c>
      <c r="T169" s="337">
        <v>0.019455252918288</v>
      </c>
      <c r="U169" s="337">
        <v>-0.0940329048860449</v>
      </c>
      <c r="V169" s="337">
        <v>0.533531036577674</v>
      </c>
      <c r="W169" s="337">
        <v>0.00416700056094241</v>
      </c>
      <c r="X169" s="337">
        <v>0.0689625634167099</v>
      </c>
      <c r="Y169" s="337">
        <v>0.422128957213367</v>
      </c>
      <c r="Z169" s="337">
        <v>0.150020788517507</v>
      </c>
      <c r="AA169" s="337">
        <v>0.362234972543032</v>
      </c>
      <c r="AB169" s="337">
        <v>-0.233257179540434</v>
      </c>
      <c r="AC169" s="337">
        <v>0.239632765551583</v>
      </c>
      <c r="AD169" s="337">
        <v>0.708050572185298</v>
      </c>
      <c r="AE169" s="337">
        <v>0.000549999999999962</v>
      </c>
      <c r="AF169" s="337" t="s">
        <v>129</v>
      </c>
      <c r="AG169" s="337" t="s">
        <v>129</v>
      </c>
      <c r="AH169" s="337" t="s">
        <v>129</v>
      </c>
      <c r="AI169" s="337" t="s">
        <v>129</v>
      </c>
      <c r="AJ169" s="337" t="s">
        <v>129</v>
      </c>
      <c r="AK169" s="337" t="s">
        <v>129</v>
      </c>
      <c r="AL169" s="337" t="s">
        <v>129</v>
      </c>
      <c r="AM169" s="347" t="s">
        <v>129</v>
      </c>
      <c r="AS169" s="361" t="s">
        <v>385</v>
      </c>
      <c r="AT169" s="364">
        <v>0.2</v>
      </c>
      <c r="AU169" s="365">
        <v>45716</v>
      </c>
      <c r="AV169" s="364">
        <v>22386.6935</v>
      </c>
      <c r="AW169" s="3"/>
      <c r="AX169" s="376">
        <v>0.006676</v>
      </c>
      <c r="AY169" s="376">
        <v>0.018113</v>
      </c>
      <c r="AZ169" s="376">
        <v>0.035967</v>
      </c>
      <c r="BA169" s="376">
        <v>0.073332</v>
      </c>
      <c r="BB169" s="376">
        <v>0.067045</v>
      </c>
      <c r="BC169" s="376">
        <v>0.053755</v>
      </c>
      <c r="BD169" s="376">
        <v>0.06248</v>
      </c>
      <c r="BE169" s="4"/>
      <c r="BF169" s="376">
        <v>0.018113</v>
      </c>
      <c r="BG169" s="376">
        <v>0.073754762688691</v>
      </c>
      <c r="BH169" s="376">
        <v>0.0696777260046693</v>
      </c>
      <c r="BI169" s="376">
        <v>0.0482662298373719</v>
      </c>
      <c r="BJ169" s="376">
        <v>0.0325384168193667</v>
      </c>
      <c r="BK169" s="376">
        <v>0.0417087573667638</v>
      </c>
      <c r="BL169" s="376">
        <v>0.0648807512206585</v>
      </c>
      <c r="BM169" s="376">
        <v>0.0740810861568842</v>
      </c>
      <c r="BN169" s="376">
        <v>0.0660406709172725</v>
      </c>
      <c r="BO169" s="376">
        <v>0.0761557534939163</v>
      </c>
      <c r="BP169" s="376">
        <v>0.082796929681329</v>
      </c>
      <c r="BQ169" s="376">
        <v>0.0904011799110989</v>
      </c>
      <c r="BR169" s="376">
        <v>0.0922798293039079</v>
      </c>
      <c r="BS169" s="376">
        <v>0.096578372889258</v>
      </c>
      <c r="BT169" s="376">
        <v>0.0893252706004927</v>
      </c>
      <c r="BU169" s="376">
        <v>0.0551478972679643</v>
      </c>
    </row>
    <row r="170" spans="2:73">
      <c r="B170" s="298" t="s">
        <v>386</v>
      </c>
      <c r="C170" s="304">
        <v>1.68</v>
      </c>
      <c r="D170" s="305">
        <v>45838</v>
      </c>
      <c r="E170" s="306">
        <v>9102.8699</v>
      </c>
      <c r="F170" s="307">
        <v>-0.023615</v>
      </c>
      <c r="G170" s="308">
        <v>0.050325</v>
      </c>
      <c r="H170" s="308">
        <v>0.065397</v>
      </c>
      <c r="I170" s="308">
        <v>-0.009481</v>
      </c>
      <c r="J170" s="308">
        <v>0.155292</v>
      </c>
      <c r="K170" s="308">
        <v>0.206238</v>
      </c>
      <c r="L170" s="338">
        <v>0.136954</v>
      </c>
      <c r="M170" s="318"/>
      <c r="N170" s="336">
        <v>0.022204</v>
      </c>
      <c r="O170" s="337">
        <v>0.175065399972463</v>
      </c>
      <c r="P170" s="337">
        <v>0.236992250702546</v>
      </c>
      <c r="Q170" s="337">
        <v>-0.00170024653574759</v>
      </c>
      <c r="R170" s="337">
        <v>0.351292360712234</v>
      </c>
      <c r="S170" s="337">
        <v>0.273591806876372</v>
      </c>
      <c r="T170" s="337">
        <v>0.107420609202852</v>
      </c>
      <c r="U170" s="337">
        <v>0.0267842289136583</v>
      </c>
      <c r="V170" s="337">
        <v>0.319648737650933</v>
      </c>
      <c r="W170" s="337">
        <v>-0.000438885231512028</v>
      </c>
      <c r="X170" s="337">
        <v>0.00596026490066232</v>
      </c>
      <c r="Y170" s="337">
        <v>0.451923076923077</v>
      </c>
      <c r="Z170" s="337">
        <v>0.0533423362592842</v>
      </c>
      <c r="AA170" s="337">
        <v>0.299692847740237</v>
      </c>
      <c r="AB170" s="337">
        <v>-0.162747979426892</v>
      </c>
      <c r="AC170" s="337">
        <v>0.249196879302432</v>
      </c>
      <c r="AD170" s="337">
        <v>1.09117082533589</v>
      </c>
      <c r="AE170" s="337" t="s">
        <v>129</v>
      </c>
      <c r="AF170" s="337" t="s">
        <v>129</v>
      </c>
      <c r="AG170" s="337" t="s">
        <v>129</v>
      </c>
      <c r="AH170" s="337" t="s">
        <v>129</v>
      </c>
      <c r="AI170" s="337" t="s">
        <v>129</v>
      </c>
      <c r="AJ170" s="337" t="s">
        <v>129</v>
      </c>
      <c r="AK170" s="337" t="s">
        <v>129</v>
      </c>
      <c r="AL170" s="337" t="s">
        <v>129</v>
      </c>
      <c r="AM170" s="347" t="s">
        <v>129</v>
      </c>
      <c r="AS170" s="361" t="s">
        <v>387</v>
      </c>
      <c r="AT170" s="364">
        <v>0.2</v>
      </c>
      <c r="AU170" s="365">
        <v>45716</v>
      </c>
      <c r="AV170" s="364">
        <v>7269.8604</v>
      </c>
      <c r="AW170" s="3"/>
      <c r="AX170" s="376">
        <v>0.006647</v>
      </c>
      <c r="AY170" s="376">
        <v>0.018061</v>
      </c>
      <c r="AZ170" s="376">
        <v>0.035804</v>
      </c>
      <c r="BA170" s="376">
        <v>0.07312</v>
      </c>
      <c r="BB170" s="376">
        <v>0.066151</v>
      </c>
      <c r="BC170" s="376">
        <v>0.053131</v>
      </c>
      <c r="BD170" s="376">
        <v>0.061305</v>
      </c>
      <c r="BE170" s="4"/>
      <c r="BF170" s="376">
        <v>0.018061</v>
      </c>
      <c r="BG170" s="376">
        <v>0.0734305877949978</v>
      </c>
      <c r="BH170" s="376">
        <v>0.0685295919343238</v>
      </c>
      <c r="BI170" s="376">
        <v>0.0465532965616403</v>
      </c>
      <c r="BJ170" s="376">
        <v>0.0323072406048301</v>
      </c>
      <c r="BK170" s="376">
        <v>0.0412158864883807</v>
      </c>
      <c r="BL170" s="376">
        <v>0.0661129447985327</v>
      </c>
      <c r="BM170" s="376">
        <v>0.0741068715099253</v>
      </c>
      <c r="BN170" s="376">
        <v>0.0663215056598982</v>
      </c>
      <c r="BO170" s="376">
        <v>0.068022030751257</v>
      </c>
      <c r="BP170" s="376">
        <v>0.0810390225474884</v>
      </c>
      <c r="BQ170" s="376">
        <v>0.0908358447629004</v>
      </c>
      <c r="BR170" s="376">
        <v>0.0919189002236356</v>
      </c>
      <c r="BS170" s="376">
        <v>0.0974006352856206</v>
      </c>
      <c r="BT170" s="376">
        <v>0.0893654259931276</v>
      </c>
      <c r="BU170" s="376">
        <v>0.0569745930992345</v>
      </c>
    </row>
    <row r="171" spans="2:73">
      <c r="B171" s="298" t="s">
        <v>388</v>
      </c>
      <c r="C171" s="304">
        <v>2.34</v>
      </c>
      <c r="D171" s="305">
        <v>45838</v>
      </c>
      <c r="E171" s="306">
        <v>431.13</v>
      </c>
      <c r="F171" s="307">
        <v>-0.037188</v>
      </c>
      <c r="G171" s="308">
        <v>0.042977</v>
      </c>
      <c r="H171" s="308">
        <v>0.048319</v>
      </c>
      <c r="I171" s="308">
        <v>-0.021115</v>
      </c>
      <c r="J171" s="308">
        <v>0.163318</v>
      </c>
      <c r="K171" s="308">
        <v>0.199143</v>
      </c>
      <c r="L171" s="338">
        <v>0.111205</v>
      </c>
      <c r="M171" s="318"/>
      <c r="N171" s="336">
        <v>-0.002024</v>
      </c>
      <c r="O171" s="337">
        <v>0.199779249448124</v>
      </c>
      <c r="P171" s="337">
        <v>0.267664754442423</v>
      </c>
      <c r="Q171" s="337">
        <v>-0.00083880889137428</v>
      </c>
      <c r="R171" s="337">
        <v>0.303626754146164</v>
      </c>
      <c r="S171" s="337">
        <v>0.136730888750777</v>
      </c>
      <c r="T171" s="337">
        <v>0.0918344266003167</v>
      </c>
      <c r="U171" s="337">
        <v>-0.090516354659535</v>
      </c>
      <c r="V171" s="337">
        <v>0.377444035137433</v>
      </c>
      <c r="W171" s="337">
        <v>-0.011207621182404</v>
      </c>
      <c r="X171" s="337">
        <v>0.0666467423789599</v>
      </c>
      <c r="Y171" s="337">
        <v>0.404701931150294</v>
      </c>
      <c r="Z171" s="337">
        <v>0.114646700982686</v>
      </c>
      <c r="AA171" s="337">
        <v>0.297510625379478</v>
      </c>
      <c r="AB171" s="337">
        <v>-0.19931939718036</v>
      </c>
      <c r="AC171" s="337">
        <v>0.178121420389462</v>
      </c>
      <c r="AD171" s="337">
        <v>0.746</v>
      </c>
      <c r="AE171" s="337">
        <v>0</v>
      </c>
      <c r="AF171" s="337" t="s">
        <v>129</v>
      </c>
      <c r="AG171" s="337" t="s">
        <v>129</v>
      </c>
      <c r="AH171" s="337" t="s">
        <v>129</v>
      </c>
      <c r="AI171" s="337" t="s">
        <v>129</v>
      </c>
      <c r="AJ171" s="337" t="s">
        <v>129</v>
      </c>
      <c r="AK171" s="337" t="s">
        <v>129</v>
      </c>
      <c r="AL171" s="337" t="s">
        <v>129</v>
      </c>
      <c r="AM171" s="347" t="s">
        <v>129</v>
      </c>
      <c r="AS171" s="361" t="s">
        <v>389</v>
      </c>
      <c r="AT171" s="364">
        <v>0.2</v>
      </c>
      <c r="AU171" s="365">
        <v>45716</v>
      </c>
      <c r="AV171" s="364">
        <v>2388.429166116</v>
      </c>
      <c r="AW171" s="3"/>
      <c r="AX171" s="376">
        <v>0.006885</v>
      </c>
      <c r="AY171" s="376">
        <v>0.018216</v>
      </c>
      <c r="AZ171" s="376">
        <v>0.036108</v>
      </c>
      <c r="BA171" s="376">
        <v>0.07366</v>
      </c>
      <c r="BB171" s="376">
        <v>0.067153</v>
      </c>
      <c r="BC171" s="376">
        <v>0.054055</v>
      </c>
      <c r="BD171" s="376">
        <v>0.0635</v>
      </c>
      <c r="BE171" s="4"/>
      <c r="BF171" s="376">
        <v>0.018216</v>
      </c>
      <c r="BG171" s="376">
        <v>0.0738491787864734</v>
      </c>
      <c r="BH171" s="376">
        <v>0.0696545795844861</v>
      </c>
      <c r="BI171" s="376">
        <v>0.0484203870685887</v>
      </c>
      <c r="BJ171" s="376">
        <v>0.0326851660545712</v>
      </c>
      <c r="BK171" s="376">
        <v>0.04335823056726</v>
      </c>
      <c r="BL171" s="376">
        <v>0.0688207351346898</v>
      </c>
      <c r="BM171" s="376">
        <v>0.0746666850923385</v>
      </c>
      <c r="BN171" s="376">
        <v>0.0673673580134133</v>
      </c>
      <c r="BO171" s="376">
        <v>0.0765804189090869</v>
      </c>
      <c r="BP171" s="376">
        <v>0.0853351486126074</v>
      </c>
      <c r="BQ171" s="376">
        <v>0.0922268443670931</v>
      </c>
      <c r="BR171" s="376">
        <v>0.0938233887288601</v>
      </c>
      <c r="BS171" s="376">
        <v>0.0974292313372104</v>
      </c>
      <c r="BT171" s="376">
        <v>0.0903869784781742</v>
      </c>
      <c r="BU171" s="376">
        <v>0.0551533522523701</v>
      </c>
    </row>
    <row r="172" spans="2:73">
      <c r="B172" s="298" t="s">
        <v>390</v>
      </c>
      <c r="C172" s="304">
        <v>1.8</v>
      </c>
      <c r="D172" s="305">
        <v>45838</v>
      </c>
      <c r="E172" s="306">
        <v>6883.110072218</v>
      </c>
      <c r="F172" s="307">
        <v>-0.021983</v>
      </c>
      <c r="G172" s="308">
        <v>0.029496</v>
      </c>
      <c r="H172" s="308">
        <v>0.060594</v>
      </c>
      <c r="I172" s="308">
        <v>-0.00603</v>
      </c>
      <c r="J172" s="308">
        <v>0.205102</v>
      </c>
      <c r="K172" s="308">
        <v>0.247002</v>
      </c>
      <c r="L172" s="338">
        <v>0.127908</v>
      </c>
      <c r="M172" s="318"/>
      <c r="N172" s="336">
        <v>0.005241</v>
      </c>
      <c r="O172" s="337">
        <v>0.224476637053325</v>
      </c>
      <c r="P172" s="337">
        <v>0.31209921998522</v>
      </c>
      <c r="Q172" s="337">
        <v>0.0539912304727089</v>
      </c>
      <c r="R172" s="337">
        <v>0.366980420741038</v>
      </c>
      <c r="S172" s="337">
        <v>0.0980698786264908</v>
      </c>
      <c r="T172" s="337">
        <v>0.0513280369061148</v>
      </c>
      <c r="U172" s="337">
        <v>-0.0302596906490851</v>
      </c>
      <c r="V172" s="337">
        <v>0.291066342957464</v>
      </c>
      <c r="W172" s="337">
        <v>0.0472219983879148</v>
      </c>
      <c r="X172" s="337">
        <v>0.0404923015987934</v>
      </c>
      <c r="Y172" s="337">
        <v>0.569249869697875</v>
      </c>
      <c r="Z172" s="337">
        <v>0.0613715943230084</v>
      </c>
      <c r="AA172" s="337">
        <v>0.293827692657417</v>
      </c>
      <c r="AB172" s="337">
        <v>-0.151881369010783</v>
      </c>
      <c r="AC172" s="337">
        <v>0.234717360364483</v>
      </c>
      <c r="AD172" s="337">
        <v>0.788110750820692</v>
      </c>
      <c r="AE172" s="337">
        <v>-0.492163303469783</v>
      </c>
      <c r="AF172" s="337">
        <v>0.560194877505568</v>
      </c>
      <c r="AG172" s="337">
        <v>0.271697349787578</v>
      </c>
      <c r="AH172" s="337">
        <v>0.489304007231094</v>
      </c>
      <c r="AI172" s="337">
        <v>0.318895291078879</v>
      </c>
      <c r="AJ172" s="337">
        <v>1.01804330392943</v>
      </c>
      <c r="AK172" s="337">
        <v>0.145087235996327</v>
      </c>
      <c r="AL172" s="337">
        <v>-0.133306804615997</v>
      </c>
      <c r="AM172" s="347">
        <v>0.0211296221048354</v>
      </c>
      <c r="AS172" s="361" t="s">
        <v>391</v>
      </c>
      <c r="AT172" s="364">
        <v>0.2</v>
      </c>
      <c r="AU172" s="365">
        <v>45716</v>
      </c>
      <c r="AV172" s="364">
        <v>157.973338736</v>
      </c>
      <c r="AW172" s="3"/>
      <c r="AX172" s="376">
        <v>0.006818</v>
      </c>
      <c r="AY172" s="376">
        <v>0.018226</v>
      </c>
      <c r="AZ172" s="376">
        <v>0.036009</v>
      </c>
      <c r="BA172" s="376">
        <v>0.073383</v>
      </c>
      <c r="BB172" s="376">
        <v>0.06582</v>
      </c>
      <c r="BC172" s="376">
        <v>0.052176</v>
      </c>
      <c r="BD172" s="376">
        <v>0.06212</v>
      </c>
      <c r="BE172" s="4"/>
      <c r="BF172" s="376">
        <v>0.018226</v>
      </c>
      <c r="BG172" s="376">
        <v>0.0735763475126766</v>
      </c>
      <c r="BH172" s="376">
        <v>0.0675410022780116</v>
      </c>
      <c r="BI172" s="376">
        <v>0.0460070948763016</v>
      </c>
      <c r="BJ172" s="376">
        <v>0.0313302364132796</v>
      </c>
      <c r="BK172" s="376">
        <v>0.0386832883359096</v>
      </c>
      <c r="BL172" s="376">
        <v>0.0655744372722383</v>
      </c>
      <c r="BM172" s="376">
        <v>0.0730486218249794</v>
      </c>
      <c r="BN172" s="376">
        <v>0.0673556971823714</v>
      </c>
      <c r="BO172" s="376">
        <v>0.0784172122979474</v>
      </c>
      <c r="BP172" s="376">
        <v>0.0845833724134945</v>
      </c>
      <c r="BQ172" s="376">
        <v>0.0914741053896377</v>
      </c>
      <c r="BR172" s="376">
        <v>0.09127029453142</v>
      </c>
      <c r="BS172" s="376">
        <v>0.0984375299591007</v>
      </c>
      <c r="BT172" s="376">
        <v>0.0170115</v>
      </c>
      <c r="BU172" s="376" t="s">
        <v>129</v>
      </c>
    </row>
    <row r="173" spans="2:73">
      <c r="B173" s="298" t="s">
        <v>392</v>
      </c>
      <c r="C173" s="304">
        <v>1.68</v>
      </c>
      <c r="D173" s="305">
        <v>45838</v>
      </c>
      <c r="E173" s="306">
        <v>16908.002</v>
      </c>
      <c r="F173" s="307">
        <v>-0.01713</v>
      </c>
      <c r="G173" s="308">
        <v>0.027268</v>
      </c>
      <c r="H173" s="308">
        <v>0.083598</v>
      </c>
      <c r="I173" s="308">
        <v>0.035206</v>
      </c>
      <c r="J173" s="308">
        <v>0.228351</v>
      </c>
      <c r="K173" s="308">
        <v>0.255934</v>
      </c>
      <c r="L173" s="338">
        <v>0.132773</v>
      </c>
      <c r="M173" s="318"/>
      <c r="N173" s="336">
        <v>0.059118</v>
      </c>
      <c r="O173" s="337">
        <v>0.213222885820358</v>
      </c>
      <c r="P173" s="337">
        <v>0.332012338515102</v>
      </c>
      <c r="Q173" s="337">
        <v>0.104711971227489</v>
      </c>
      <c r="R173" s="337">
        <v>0.352772143648683</v>
      </c>
      <c r="S173" s="337">
        <v>0.057615854400256</v>
      </c>
      <c r="T173" s="337">
        <v>0.0372844218971886</v>
      </c>
      <c r="U173" s="337">
        <v>-0.109381075884113</v>
      </c>
      <c r="V173" s="337">
        <v>0.386559755443046</v>
      </c>
      <c r="W173" s="337">
        <v>0.0756704267319407</v>
      </c>
      <c r="X173" s="337">
        <v>-0.0624189332109413</v>
      </c>
      <c r="Y173" s="337">
        <v>0.563600340096251</v>
      </c>
      <c r="Z173" s="337">
        <v>0.0509062292501789</v>
      </c>
      <c r="AA173" s="337">
        <v>0.265938513425866</v>
      </c>
      <c r="AB173" s="337">
        <v>-0.226209117262091</v>
      </c>
      <c r="AC173" s="337">
        <v>0.264159658107511</v>
      </c>
      <c r="AD173" s="337">
        <v>0.990674130056986</v>
      </c>
      <c r="AE173" s="337">
        <v>-0.515517612735212</v>
      </c>
      <c r="AF173" s="337">
        <v>0.394353891937643</v>
      </c>
      <c r="AG173" s="337">
        <v>0.341218473932347</v>
      </c>
      <c r="AH173" s="337">
        <v>0.748403412455786</v>
      </c>
      <c r="AI173" s="337">
        <v>0.493807383320578</v>
      </c>
      <c r="AJ173" s="337">
        <v>1.21057082452431</v>
      </c>
      <c r="AK173" s="337">
        <v>0.130902570233115</v>
      </c>
      <c r="AL173" s="337">
        <v>-0.0450913242009136</v>
      </c>
      <c r="AM173" s="347">
        <v>0.0574391508027959</v>
      </c>
      <c r="AS173" s="361" t="s">
        <v>393</v>
      </c>
      <c r="AT173" s="364">
        <v>0.3</v>
      </c>
      <c r="AU173" s="365">
        <v>45716</v>
      </c>
      <c r="AV173" s="364">
        <v>70412.5629</v>
      </c>
      <c r="AW173" s="3"/>
      <c r="AX173" s="376">
        <v>0.006794</v>
      </c>
      <c r="AY173" s="376">
        <v>0.018114</v>
      </c>
      <c r="AZ173" s="376">
        <v>0.035694</v>
      </c>
      <c r="BA173" s="376">
        <v>0.072812</v>
      </c>
      <c r="BB173" s="376">
        <v>0.06669</v>
      </c>
      <c r="BC173" s="376">
        <v>0.053479</v>
      </c>
      <c r="BD173" s="376">
        <v>0.062106</v>
      </c>
      <c r="BE173" s="4"/>
      <c r="BF173" s="376">
        <v>0.018114</v>
      </c>
      <c r="BG173" s="376">
        <v>0.0732848451914074</v>
      </c>
      <c r="BH173" s="376">
        <v>0.0695275213197013</v>
      </c>
      <c r="BI173" s="376">
        <v>0.0476802379907379</v>
      </c>
      <c r="BJ173" s="376">
        <v>0.0321301584237677</v>
      </c>
      <c r="BK173" s="376">
        <v>0.0410694470864555</v>
      </c>
      <c r="BL173" s="376">
        <v>0.0651818936277071</v>
      </c>
      <c r="BM173" s="376">
        <v>0.0722946611785671</v>
      </c>
      <c r="BN173" s="376">
        <v>0.065326681849783</v>
      </c>
      <c r="BO173" s="376">
        <v>0.0758974581200222</v>
      </c>
      <c r="BP173" s="376">
        <v>0.0835302329542719</v>
      </c>
      <c r="BQ173" s="376">
        <v>0.0910350678733033</v>
      </c>
      <c r="BR173" s="376">
        <v>0.0927552867423072</v>
      </c>
      <c r="BS173" s="376">
        <v>0.0955637672186968</v>
      </c>
      <c r="BT173" s="376">
        <v>0.0879851814431254</v>
      </c>
      <c r="BU173" s="376">
        <v>0.0514748601497269</v>
      </c>
    </row>
    <row r="174" spans="2:73">
      <c r="B174" s="298" t="s">
        <v>394</v>
      </c>
      <c r="C174" s="304">
        <v>1.71</v>
      </c>
      <c r="D174" s="305">
        <v>45838</v>
      </c>
      <c r="E174" s="306">
        <v>14660.638207618</v>
      </c>
      <c r="F174" s="307">
        <v>-0.014935</v>
      </c>
      <c r="G174" s="308">
        <v>0.032973</v>
      </c>
      <c r="H174" s="308">
        <v>0.08085</v>
      </c>
      <c r="I174" s="308">
        <v>0.021094</v>
      </c>
      <c r="J174" s="308">
        <v>0.166623</v>
      </c>
      <c r="K174" s="308">
        <v>0.214893</v>
      </c>
      <c r="L174" s="338">
        <v>0.128175</v>
      </c>
      <c r="M174" s="318"/>
      <c r="N174" s="336">
        <v>0.058162</v>
      </c>
      <c r="O174" s="337">
        <v>0.16438483747788</v>
      </c>
      <c r="P174" s="337">
        <v>0.232397599449054</v>
      </c>
      <c r="Q174" s="337">
        <v>0.0231691972149988</v>
      </c>
      <c r="R174" s="337">
        <v>0.337334529952883</v>
      </c>
      <c r="S174" s="337">
        <v>0.136033441235694</v>
      </c>
      <c r="T174" s="337">
        <v>0.0881431146858965</v>
      </c>
      <c r="U174" s="337">
        <v>0.00504543680660089</v>
      </c>
      <c r="V174" s="337">
        <v>0.260018966667838</v>
      </c>
      <c r="W174" s="337">
        <v>0.0392013724130377</v>
      </c>
      <c r="X174" s="337">
        <v>0.0432977913175933</v>
      </c>
      <c r="Y174" s="337">
        <v>0.508155295198714</v>
      </c>
      <c r="Z174" s="337">
        <v>0.1015372936041</v>
      </c>
      <c r="AA174" s="337">
        <v>0.376316935132782</v>
      </c>
      <c r="AB174" s="337">
        <v>-0.239555055287029</v>
      </c>
      <c r="AC174" s="337">
        <v>0.241104445722738</v>
      </c>
      <c r="AD174" s="337">
        <v>1.12003484320557</v>
      </c>
      <c r="AE174" s="337">
        <v>-0.560254347659542</v>
      </c>
      <c r="AF174" s="337">
        <v>0.40945902170392</v>
      </c>
      <c r="AG174" s="337">
        <v>0.261544748671843</v>
      </c>
      <c r="AH174" s="337">
        <v>0.687974246953322</v>
      </c>
      <c r="AI174" s="337">
        <v>0.364606212739253</v>
      </c>
      <c r="AJ174" s="337">
        <v>1.50353495679497</v>
      </c>
      <c r="AK174" s="337">
        <v>0.13458110516934</v>
      </c>
      <c r="AL174" s="337">
        <v>-0.0595138306789605</v>
      </c>
      <c r="AM174" s="347">
        <v>-0.405876494023904</v>
      </c>
      <c r="AS174" s="361" t="s">
        <v>395</v>
      </c>
      <c r="AT174" s="364">
        <v>0.22</v>
      </c>
      <c r="AU174" s="365">
        <v>45716</v>
      </c>
      <c r="AV174" s="364">
        <v>20043.373</v>
      </c>
      <c r="AW174" s="3"/>
      <c r="AX174" s="376">
        <v>0.006752</v>
      </c>
      <c r="AY174" s="376">
        <v>0.018144</v>
      </c>
      <c r="AZ174" s="376">
        <v>0.035835</v>
      </c>
      <c r="BA174" s="376">
        <v>0.073056</v>
      </c>
      <c r="BB174" s="376">
        <v>0.067158</v>
      </c>
      <c r="BC174" s="376">
        <v>0.053911</v>
      </c>
      <c r="BD174" s="376">
        <v>0.062619</v>
      </c>
      <c r="BE174" s="4"/>
      <c r="BF174" s="376">
        <v>0.018144</v>
      </c>
      <c r="BG174" s="376">
        <v>0.0734150229331666</v>
      </c>
      <c r="BH174" s="376">
        <v>0.0703718908908603</v>
      </c>
      <c r="BI174" s="376">
        <v>0.0481835993942937</v>
      </c>
      <c r="BJ174" s="376">
        <v>0.0324844660379426</v>
      </c>
      <c r="BK174" s="376">
        <v>0.040093603327058</v>
      </c>
      <c r="BL174" s="376">
        <v>0.0666108913911597</v>
      </c>
      <c r="BM174" s="376">
        <v>0.0743825273830815</v>
      </c>
      <c r="BN174" s="376">
        <v>0.0668327115815543</v>
      </c>
      <c r="BO174" s="376">
        <v>0.0755850803290709</v>
      </c>
      <c r="BP174" s="376">
        <v>0.0830875982955405</v>
      </c>
      <c r="BQ174" s="376">
        <v>0.0907870243388296</v>
      </c>
      <c r="BR174" s="376">
        <v>0.0929955451680188</v>
      </c>
      <c r="BS174" s="376">
        <v>0.0903058252427186</v>
      </c>
      <c r="BT174" s="376">
        <v>-0.287177886637808</v>
      </c>
      <c r="BU174" s="376">
        <v>0.0497802659600988</v>
      </c>
    </row>
    <row r="175" spans="2:73">
      <c r="B175" s="298" t="s">
        <v>396</v>
      </c>
      <c r="C175" s="304">
        <v>1.75</v>
      </c>
      <c r="D175" s="305">
        <v>45838</v>
      </c>
      <c r="E175" s="306">
        <v>6492.6493</v>
      </c>
      <c r="F175" s="307">
        <v>-0.020647</v>
      </c>
      <c r="G175" s="308">
        <v>0.047023</v>
      </c>
      <c r="H175" s="308">
        <v>0.063954</v>
      </c>
      <c r="I175" s="308">
        <v>-0.039268</v>
      </c>
      <c r="J175" s="308">
        <v>0.174044</v>
      </c>
      <c r="K175" s="308">
        <v>0.217896</v>
      </c>
      <c r="L175" s="338">
        <v>0.135112</v>
      </c>
      <c r="M175" s="318"/>
      <c r="N175" s="336">
        <v>0.000355</v>
      </c>
      <c r="O175" s="337">
        <v>0.218318337346344</v>
      </c>
      <c r="P175" s="337">
        <v>0.236204127991227</v>
      </c>
      <c r="Q175" s="337">
        <v>0.0691912565255019</v>
      </c>
      <c r="R175" s="337">
        <v>0.332403429485391</v>
      </c>
      <c r="S175" s="337">
        <v>0.149450596434221</v>
      </c>
      <c r="T175" s="337">
        <v>0.126664900407043</v>
      </c>
      <c r="U175" s="337">
        <v>-0.0380436041796993</v>
      </c>
      <c r="V175" s="337">
        <v>0.337620479127282</v>
      </c>
      <c r="W175" s="337">
        <v>0.0745995270922837</v>
      </c>
      <c r="X175" s="337">
        <v>0.01480279833722</v>
      </c>
      <c r="Y175" s="337">
        <v>0.566052715147666</v>
      </c>
      <c r="Z175" s="337">
        <v>-0.062518606728193</v>
      </c>
      <c r="AA175" s="337">
        <v>0.362493239588967</v>
      </c>
      <c r="AB175" s="337">
        <v>-0.26032603260326</v>
      </c>
      <c r="AC175" s="337">
        <v>0.19928035982009</v>
      </c>
      <c r="AD175" s="337">
        <v>0.749921292895372</v>
      </c>
      <c r="AE175" s="337">
        <v>-0.59375</v>
      </c>
      <c r="AF175" s="337">
        <v>0.647422390785223</v>
      </c>
      <c r="AG175" s="337">
        <v>0.362097005644313</v>
      </c>
      <c r="AH175" s="337">
        <v>0.0452999999999999</v>
      </c>
      <c r="AI175" s="337" t="s">
        <v>129</v>
      </c>
      <c r="AJ175" s="337" t="s">
        <v>129</v>
      </c>
      <c r="AK175" s="337" t="s">
        <v>129</v>
      </c>
      <c r="AL175" s="337" t="s">
        <v>129</v>
      </c>
      <c r="AM175" s="347" t="s">
        <v>129</v>
      </c>
      <c r="AS175" s="361" t="s">
        <v>397</v>
      </c>
      <c r="AT175" s="364">
        <v>0.3</v>
      </c>
      <c r="AU175" s="365">
        <v>45716</v>
      </c>
      <c r="AV175" s="364">
        <v>55112.4041785977</v>
      </c>
      <c r="AW175" s="3"/>
      <c r="AX175" s="376">
        <v>0.006747</v>
      </c>
      <c r="AY175" s="376">
        <v>0.018086</v>
      </c>
      <c r="AZ175" s="376">
        <v>0.035746</v>
      </c>
      <c r="BA175" s="376">
        <v>0.073128</v>
      </c>
      <c r="BB175" s="376">
        <v>0.066838</v>
      </c>
      <c r="BC175" s="376">
        <v>0.053866</v>
      </c>
      <c r="BD175" s="376">
        <v>0.06273</v>
      </c>
      <c r="BE175" s="4"/>
      <c r="BF175" s="376">
        <v>0.018086</v>
      </c>
      <c r="BG175" s="376">
        <v>0.0735849203021159</v>
      </c>
      <c r="BH175" s="376">
        <v>0.0698386137621387</v>
      </c>
      <c r="BI175" s="376">
        <v>0.0475781544935532</v>
      </c>
      <c r="BJ175" s="376">
        <v>0.0322747543748347</v>
      </c>
      <c r="BK175" s="376">
        <v>0.0427432692474385</v>
      </c>
      <c r="BL175" s="376">
        <v>0.0659616310730135</v>
      </c>
      <c r="BM175" s="376">
        <v>0.0739510567923952</v>
      </c>
      <c r="BN175" s="376">
        <v>0.0663896463186375</v>
      </c>
      <c r="BO175" s="376">
        <v>0.0765910500458657</v>
      </c>
      <c r="BP175" s="376">
        <v>0.0833495835581625</v>
      </c>
      <c r="BQ175" s="376">
        <v>0.0911723131885771</v>
      </c>
      <c r="BR175" s="376">
        <v>0.0928440989159653</v>
      </c>
      <c r="BS175" s="376">
        <v>0.0970304395925887</v>
      </c>
      <c r="BT175" s="376">
        <v>0.089483505179302</v>
      </c>
      <c r="BU175" s="376">
        <v>0.0550463891581953</v>
      </c>
    </row>
    <row r="176" spans="2:73">
      <c r="B176" s="298" t="s">
        <v>398</v>
      </c>
      <c r="C176" s="304">
        <v>1.54</v>
      </c>
      <c r="D176" s="305">
        <v>45838</v>
      </c>
      <c r="E176" s="306">
        <v>26537.4845</v>
      </c>
      <c r="F176" s="307">
        <v>-0.015947</v>
      </c>
      <c r="G176" s="308">
        <v>0.059634</v>
      </c>
      <c r="H176" s="308">
        <v>0.091808</v>
      </c>
      <c r="I176" s="308">
        <v>0.007032</v>
      </c>
      <c r="J176" s="308">
        <v>0.172335</v>
      </c>
      <c r="K176" s="308">
        <v>0.222773</v>
      </c>
      <c r="L176" s="338" t="s">
        <v>129</v>
      </c>
      <c r="M176" s="318"/>
      <c r="N176" s="336">
        <v>0.043576</v>
      </c>
      <c r="O176" s="337">
        <v>0.172328877274098</v>
      </c>
      <c r="P176" s="337">
        <v>0.27022023619534</v>
      </c>
      <c r="Q176" s="337">
        <v>0.0014704002045774</v>
      </c>
      <c r="R176" s="337">
        <v>0.352938632530381</v>
      </c>
      <c r="S176" s="337">
        <v>0.215400788436268</v>
      </c>
      <c r="T176" s="337">
        <v>0.140655914623179</v>
      </c>
      <c r="U176" s="337">
        <v>-0.0227339309779107</v>
      </c>
      <c r="V176" s="337">
        <v>0.47881466077463</v>
      </c>
      <c r="W176" s="337">
        <v>0.148015517755894</v>
      </c>
      <c r="X176" s="337">
        <v>0.00530000000000008</v>
      </c>
      <c r="Y176" s="337" t="s">
        <v>129</v>
      </c>
      <c r="Z176" s="337" t="s">
        <v>129</v>
      </c>
      <c r="AA176" s="337" t="s">
        <v>129</v>
      </c>
      <c r="AB176" s="337" t="s">
        <v>129</v>
      </c>
      <c r="AC176" s="337" t="s">
        <v>129</v>
      </c>
      <c r="AD176" s="337" t="s">
        <v>129</v>
      </c>
      <c r="AE176" s="337" t="s">
        <v>129</v>
      </c>
      <c r="AF176" s="337" t="s">
        <v>129</v>
      </c>
      <c r="AG176" s="337" t="s">
        <v>129</v>
      </c>
      <c r="AH176" s="337" t="s">
        <v>129</v>
      </c>
      <c r="AI176" s="337" t="s">
        <v>129</v>
      </c>
      <c r="AJ176" s="337" t="s">
        <v>129</v>
      </c>
      <c r="AK176" s="337" t="s">
        <v>129</v>
      </c>
      <c r="AL176" s="337" t="s">
        <v>129</v>
      </c>
      <c r="AM176" s="347" t="s">
        <v>129</v>
      </c>
      <c r="AS176" s="361" t="s">
        <v>399</v>
      </c>
      <c r="AT176" s="364">
        <v>0.22</v>
      </c>
      <c r="AU176" s="365">
        <v>45716</v>
      </c>
      <c r="AV176" s="364">
        <v>14275.6182</v>
      </c>
      <c r="AW176" s="3"/>
      <c r="AX176" s="376">
        <v>0.006732</v>
      </c>
      <c r="AY176" s="376">
        <v>0.018091</v>
      </c>
      <c r="AZ176" s="376">
        <v>0.035882</v>
      </c>
      <c r="BA176" s="376">
        <v>0.073229</v>
      </c>
      <c r="BB176" s="376">
        <v>0.067106</v>
      </c>
      <c r="BC176" s="376">
        <v>0.053908</v>
      </c>
      <c r="BD176" s="376">
        <v>0.062624</v>
      </c>
      <c r="BE176" s="4"/>
      <c r="BF176" s="376">
        <v>0.018091</v>
      </c>
      <c r="BG176" s="376">
        <v>0.0737404825879385</v>
      </c>
      <c r="BH176" s="376">
        <v>0.0698363279025741</v>
      </c>
      <c r="BI176" s="376">
        <v>0.0482843153170951</v>
      </c>
      <c r="BJ176" s="376">
        <v>0.0325716432831778</v>
      </c>
      <c r="BK176" s="376">
        <v>0.0408199489221618</v>
      </c>
      <c r="BL176" s="376">
        <v>0.0645821618500918</v>
      </c>
      <c r="BM176" s="376">
        <v>0.0742127887101505</v>
      </c>
      <c r="BN176" s="376">
        <v>0.0670054330588</v>
      </c>
      <c r="BO176" s="376">
        <v>0.0763660602934219</v>
      </c>
      <c r="BP176" s="376">
        <v>0.083934489568745</v>
      </c>
      <c r="BQ176" s="376">
        <v>0.0910767773489922</v>
      </c>
      <c r="BR176" s="376">
        <v>0.0924025761552578</v>
      </c>
      <c r="BS176" s="376">
        <v>0.0974404639415813</v>
      </c>
      <c r="BT176" s="376">
        <v>0.0900467410078482</v>
      </c>
      <c r="BU176" s="376">
        <v>0.0548421380682589</v>
      </c>
    </row>
    <row r="177" spans="2:73">
      <c r="B177" s="298" t="s">
        <v>400</v>
      </c>
      <c r="C177" s="304">
        <v>1.82</v>
      </c>
      <c r="D177" s="305">
        <v>45838</v>
      </c>
      <c r="E177" s="306">
        <v>4505.814</v>
      </c>
      <c r="F177" s="307">
        <v>-0.027874</v>
      </c>
      <c r="G177" s="308">
        <v>0.119407</v>
      </c>
      <c r="H177" s="308">
        <v>0.092942</v>
      </c>
      <c r="I177" s="308">
        <v>0.037429</v>
      </c>
      <c r="J177" s="308">
        <v>0.267884</v>
      </c>
      <c r="K177" s="308">
        <v>0.263685</v>
      </c>
      <c r="L177" s="338">
        <v>0.161252</v>
      </c>
      <c r="M177" s="318"/>
      <c r="N177" s="336">
        <v>-0.065223</v>
      </c>
      <c r="O177" s="337">
        <v>0.477169611222892</v>
      </c>
      <c r="P177" s="337">
        <v>0.370489904306743</v>
      </c>
      <c r="Q177" s="337">
        <v>0.017803582220146</v>
      </c>
      <c r="R177" s="337">
        <v>0.320562847924327</v>
      </c>
      <c r="S177" s="337">
        <v>0.0876524999068094</v>
      </c>
      <c r="T177" s="337">
        <v>0.131956165308386</v>
      </c>
      <c r="U177" s="337">
        <v>-0.0872598428662602</v>
      </c>
      <c r="V177" s="337">
        <v>0.439617276421154</v>
      </c>
      <c r="W177" s="337">
        <v>0.124688212656784</v>
      </c>
      <c r="X177" s="337">
        <v>0.12256</v>
      </c>
      <c r="Y177" s="337" t="s">
        <v>129</v>
      </c>
      <c r="Z177" s="337" t="s">
        <v>129</v>
      </c>
      <c r="AA177" s="337" t="s">
        <v>129</v>
      </c>
      <c r="AB177" s="337" t="s">
        <v>129</v>
      </c>
      <c r="AC177" s="337" t="s">
        <v>129</v>
      </c>
      <c r="AD177" s="337" t="s">
        <v>129</v>
      </c>
      <c r="AE177" s="337" t="s">
        <v>129</v>
      </c>
      <c r="AF177" s="337" t="s">
        <v>129</v>
      </c>
      <c r="AG177" s="337" t="s">
        <v>129</v>
      </c>
      <c r="AH177" s="337" t="s">
        <v>129</v>
      </c>
      <c r="AI177" s="337" t="s">
        <v>129</v>
      </c>
      <c r="AJ177" s="337" t="s">
        <v>129</v>
      </c>
      <c r="AK177" s="337" t="s">
        <v>129</v>
      </c>
      <c r="AL177" s="337" t="s">
        <v>129</v>
      </c>
      <c r="AM177" s="347" t="s">
        <v>129</v>
      </c>
      <c r="AS177" s="361" t="s">
        <v>401</v>
      </c>
      <c r="AT177" s="364">
        <v>0.25</v>
      </c>
      <c r="AU177" s="365">
        <v>45716</v>
      </c>
      <c r="AV177" s="364">
        <v>48.206</v>
      </c>
      <c r="AW177" s="3"/>
      <c r="AX177" s="376">
        <v>0.006268</v>
      </c>
      <c r="AY177" s="376">
        <v>0.017151</v>
      </c>
      <c r="AZ177" s="376">
        <v>0.034417</v>
      </c>
      <c r="BA177" s="376">
        <v>0.069674</v>
      </c>
      <c r="BB177" s="376">
        <v>0.063774</v>
      </c>
      <c r="BC177" s="376">
        <v>0.050056</v>
      </c>
      <c r="BD177" s="376" t="s">
        <v>129</v>
      </c>
      <c r="BE177" s="4"/>
      <c r="BF177" s="376">
        <v>0.017151</v>
      </c>
      <c r="BG177" s="376">
        <v>0.0694594203759718</v>
      </c>
      <c r="BH177" s="376">
        <v>0.0664813393569478</v>
      </c>
      <c r="BI177" s="376">
        <v>0.046365671074514</v>
      </c>
      <c r="BJ177" s="376">
        <v>0.0301538008400181</v>
      </c>
      <c r="BK177" s="376">
        <v>0.0321669740889504</v>
      </c>
      <c r="BL177" s="376">
        <v>0.0367059093624317</v>
      </c>
      <c r="BM177" s="376" t="s">
        <v>129</v>
      </c>
      <c r="BN177" s="376" t="s">
        <v>129</v>
      </c>
      <c r="BO177" s="376" t="s">
        <v>129</v>
      </c>
      <c r="BP177" s="376" t="s">
        <v>129</v>
      </c>
      <c r="BQ177" s="376" t="s">
        <v>129</v>
      </c>
      <c r="BR177" s="376" t="s">
        <v>129</v>
      </c>
      <c r="BS177" s="376" t="s">
        <v>129</v>
      </c>
      <c r="BT177" s="376" t="s">
        <v>129</v>
      </c>
      <c r="BU177" s="376" t="s">
        <v>129</v>
      </c>
    </row>
    <row r="178" spans="2:73">
      <c r="B178" s="298" t="s">
        <v>402</v>
      </c>
      <c r="C178" s="304">
        <v>1.69</v>
      </c>
      <c r="D178" s="305">
        <v>45838</v>
      </c>
      <c r="E178" s="306">
        <v>15623.1474</v>
      </c>
      <c r="F178" s="307">
        <v>-0.012752</v>
      </c>
      <c r="G178" s="308">
        <v>0.05421</v>
      </c>
      <c r="H178" s="308">
        <v>0.094287</v>
      </c>
      <c r="I178" s="308">
        <v>-0.018888</v>
      </c>
      <c r="J178" s="308">
        <v>0.186292</v>
      </c>
      <c r="K178" s="308">
        <v>0.242207</v>
      </c>
      <c r="L178" s="338">
        <v>0.105185</v>
      </c>
      <c r="M178" s="318"/>
      <c r="N178" s="336">
        <v>0.042895</v>
      </c>
      <c r="O178" s="337">
        <v>0.1763769901531</v>
      </c>
      <c r="P178" s="337">
        <v>0.286249198420674</v>
      </c>
      <c r="Q178" s="337">
        <v>0.0690858467458613</v>
      </c>
      <c r="R178" s="337">
        <v>0.375935162094763</v>
      </c>
      <c r="S178" s="337">
        <v>-0.00449737353385623</v>
      </c>
      <c r="T178" s="337">
        <v>0.0148925643071406</v>
      </c>
      <c r="U178" s="337">
        <v>-0.206804368257867</v>
      </c>
      <c r="V178" s="337">
        <v>0.46037577034189</v>
      </c>
      <c r="W178" s="337">
        <v>0.0424321255745765</v>
      </c>
      <c r="X178" s="337">
        <v>-0.0292366497166436</v>
      </c>
      <c r="Y178" s="337">
        <v>0.829958055432624</v>
      </c>
      <c r="Z178" s="337">
        <v>0.0347375032926063</v>
      </c>
      <c r="AA178" s="337">
        <v>0.460545473915977</v>
      </c>
      <c r="AB178" s="337">
        <v>-0.242341756541626</v>
      </c>
      <c r="AC178" s="337">
        <v>0.224930924431603</v>
      </c>
      <c r="AD178" s="337">
        <v>0.820051388180718</v>
      </c>
      <c r="AE178" s="337">
        <v>-0.5234730824202</v>
      </c>
      <c r="AF178" s="337">
        <v>0.424016282225237</v>
      </c>
      <c r="AG178" s="337">
        <v>0.344890510948905</v>
      </c>
      <c r="AH178" s="337">
        <v>0.0960000000000001</v>
      </c>
      <c r="AI178" s="337" t="s">
        <v>129</v>
      </c>
      <c r="AJ178" s="337" t="s">
        <v>129</v>
      </c>
      <c r="AK178" s="337" t="s">
        <v>129</v>
      </c>
      <c r="AL178" s="337" t="s">
        <v>129</v>
      </c>
      <c r="AM178" s="347" t="s">
        <v>129</v>
      </c>
      <c r="AS178" s="361" t="s">
        <v>403</v>
      </c>
      <c r="AT178" s="364">
        <v>0.25</v>
      </c>
      <c r="AU178" s="365">
        <v>45716</v>
      </c>
      <c r="AV178" s="364">
        <v>3341.391292129</v>
      </c>
      <c r="AW178" s="3"/>
      <c r="AX178" s="376">
        <v>0.006418</v>
      </c>
      <c r="AY178" s="376">
        <v>0.017736</v>
      </c>
      <c r="AZ178" s="376">
        <v>0.035217</v>
      </c>
      <c r="BA178" s="376">
        <v>0.071903</v>
      </c>
      <c r="BB178" s="376">
        <v>0.066442</v>
      </c>
      <c r="BC178" s="376">
        <v>0.053422</v>
      </c>
      <c r="BD178" s="376">
        <v>0.062647</v>
      </c>
      <c r="BE178" s="4"/>
      <c r="BF178" s="376">
        <v>0.017736</v>
      </c>
      <c r="BG178" s="376">
        <v>0.0723191515200582</v>
      </c>
      <c r="BH178" s="376">
        <v>0.0696824651337857</v>
      </c>
      <c r="BI178" s="376">
        <v>0.0482012893945292</v>
      </c>
      <c r="BJ178" s="376">
        <v>0.0331464210414303</v>
      </c>
      <c r="BK178" s="376">
        <v>0.0396666010369494</v>
      </c>
      <c r="BL178" s="376">
        <v>0.0659802592916853</v>
      </c>
      <c r="BM178" s="376">
        <v>0.0741652066371225</v>
      </c>
      <c r="BN178" s="376">
        <v>0.0672361721531981</v>
      </c>
      <c r="BO178" s="376">
        <v>0.0773841706229001</v>
      </c>
      <c r="BP178" s="376">
        <v>0.0843738287733576</v>
      </c>
      <c r="BQ178" s="376">
        <v>0.091351056028375</v>
      </c>
      <c r="BR178" s="376">
        <v>0.0930594986794748</v>
      </c>
      <c r="BS178" s="376">
        <v>0.0957825043217783</v>
      </c>
      <c r="BT178" s="376">
        <v>0.0897172383549106</v>
      </c>
      <c r="BU178" s="376">
        <v>0.0548726035222089</v>
      </c>
    </row>
    <row r="179" spans="2:73">
      <c r="B179" s="298" t="s">
        <v>404</v>
      </c>
      <c r="C179" s="304">
        <v>1.72</v>
      </c>
      <c r="D179" s="305">
        <v>45838</v>
      </c>
      <c r="E179" s="306">
        <v>5557.3668</v>
      </c>
      <c r="F179" s="307">
        <v>-0.01889</v>
      </c>
      <c r="G179" s="308">
        <v>0.040692</v>
      </c>
      <c r="H179" s="308">
        <v>0.060865</v>
      </c>
      <c r="I179" s="308">
        <v>0.051274</v>
      </c>
      <c r="J179" s="308">
        <v>0.195671</v>
      </c>
      <c r="K179" s="308">
        <v>0.228277</v>
      </c>
      <c r="L179" s="338" t="s">
        <v>129</v>
      </c>
      <c r="M179" s="318"/>
      <c r="N179" s="336">
        <v>0.043604</v>
      </c>
      <c r="O179" s="337">
        <v>0.204488284896138</v>
      </c>
      <c r="P179" s="337">
        <v>0.273732997481108</v>
      </c>
      <c r="Q179" s="337">
        <v>0.0513715499388246</v>
      </c>
      <c r="R179" s="337">
        <v>0.362475824841959</v>
      </c>
      <c r="S179" s="337">
        <v>0.282017596610201</v>
      </c>
      <c r="T179" s="337">
        <v>0.08089</v>
      </c>
      <c r="U179" s="337" t="s">
        <v>129</v>
      </c>
      <c r="V179" s="337" t="s">
        <v>129</v>
      </c>
      <c r="W179" s="337" t="s">
        <v>129</v>
      </c>
      <c r="X179" s="337" t="s">
        <v>129</v>
      </c>
      <c r="Y179" s="337" t="s">
        <v>129</v>
      </c>
      <c r="Z179" s="337" t="s">
        <v>129</v>
      </c>
      <c r="AA179" s="337" t="s">
        <v>129</v>
      </c>
      <c r="AB179" s="337" t="s">
        <v>129</v>
      </c>
      <c r="AC179" s="337" t="s">
        <v>129</v>
      </c>
      <c r="AD179" s="337" t="s">
        <v>129</v>
      </c>
      <c r="AE179" s="337" t="s">
        <v>129</v>
      </c>
      <c r="AF179" s="337" t="s">
        <v>129</v>
      </c>
      <c r="AG179" s="337" t="s">
        <v>129</v>
      </c>
      <c r="AH179" s="337" t="s">
        <v>129</v>
      </c>
      <c r="AI179" s="337" t="s">
        <v>129</v>
      </c>
      <c r="AJ179" s="337" t="s">
        <v>129</v>
      </c>
      <c r="AK179" s="337" t="s">
        <v>129</v>
      </c>
      <c r="AL179" s="337" t="s">
        <v>129</v>
      </c>
      <c r="AM179" s="347" t="s">
        <v>129</v>
      </c>
      <c r="AS179" s="361" t="s">
        <v>405</v>
      </c>
      <c r="AT179" s="364">
        <v>0.31</v>
      </c>
      <c r="AU179" s="365">
        <v>45716</v>
      </c>
      <c r="AV179" s="364">
        <v>38144.2058</v>
      </c>
      <c r="AW179" s="3"/>
      <c r="AX179" s="376">
        <v>0.006764</v>
      </c>
      <c r="AY179" s="376">
        <v>0.018045</v>
      </c>
      <c r="AZ179" s="376">
        <v>0.035596</v>
      </c>
      <c r="BA179" s="376">
        <v>0.072672</v>
      </c>
      <c r="BB179" s="376">
        <v>0.066503</v>
      </c>
      <c r="BC179" s="376">
        <v>0.053479</v>
      </c>
      <c r="BD179" s="376">
        <v>0.062254</v>
      </c>
      <c r="BE179" s="4"/>
      <c r="BF179" s="376">
        <v>0.018045</v>
      </c>
      <c r="BG179" s="376">
        <v>0.073003192767283</v>
      </c>
      <c r="BH179" s="376">
        <v>0.0695115829722236</v>
      </c>
      <c r="BI179" s="376">
        <v>0.0474423900366067</v>
      </c>
      <c r="BJ179" s="376">
        <v>0.0322865291897782</v>
      </c>
      <c r="BK179" s="376">
        <v>0.0412171661089158</v>
      </c>
      <c r="BL179" s="376">
        <v>0.0647544531781524</v>
      </c>
      <c r="BM179" s="376">
        <v>0.0736808163468403</v>
      </c>
      <c r="BN179" s="376">
        <v>0.0665911278123531</v>
      </c>
      <c r="BO179" s="376">
        <v>0.0760321177729237</v>
      </c>
      <c r="BP179" s="376">
        <v>0.0833317998800628</v>
      </c>
      <c r="BQ179" s="376">
        <v>0.0909494374176349</v>
      </c>
      <c r="BR179" s="376">
        <v>0.0924863516970249</v>
      </c>
      <c r="BS179" s="376">
        <v>0.0969111769164497</v>
      </c>
      <c r="BT179" s="376">
        <v>0.0898404831170698</v>
      </c>
      <c r="BU179" s="376">
        <v>0.0551044271932958</v>
      </c>
    </row>
    <row r="180" spans="2:73">
      <c r="B180" s="298" t="s">
        <v>406</v>
      </c>
      <c r="C180" s="304">
        <v>1.64</v>
      </c>
      <c r="D180" s="305">
        <v>45838</v>
      </c>
      <c r="E180" s="306">
        <v>11922.65</v>
      </c>
      <c r="F180" s="307">
        <v>-0.029557</v>
      </c>
      <c r="G180" s="308">
        <v>0.050115</v>
      </c>
      <c r="H180" s="308">
        <v>0.067076</v>
      </c>
      <c r="I180" s="308">
        <v>-0.119315</v>
      </c>
      <c r="J180" s="308">
        <v>0.17215</v>
      </c>
      <c r="K180" s="308">
        <v>0.285267</v>
      </c>
      <c r="L180" s="338">
        <v>0.197256</v>
      </c>
      <c r="M180" s="318"/>
      <c r="N180" s="336">
        <v>0.023031</v>
      </c>
      <c r="O180" s="337">
        <v>0.0926287306146675</v>
      </c>
      <c r="P180" s="337">
        <v>0.304366674739646</v>
      </c>
      <c r="Q180" s="337">
        <v>0.122503998586336</v>
      </c>
      <c r="R180" s="337">
        <v>0.598287169266956</v>
      </c>
      <c r="S180" s="337">
        <v>0.469214392187864</v>
      </c>
      <c r="T180" s="337">
        <v>0.0296728915649451</v>
      </c>
      <c r="U180" s="337">
        <v>-0.0424062743913187</v>
      </c>
      <c r="V180" s="337">
        <v>0.362286197749932</v>
      </c>
      <c r="W180" s="337">
        <v>0.136702498363287</v>
      </c>
      <c r="X180" s="337">
        <v>0.0999876699624201</v>
      </c>
      <c r="Y180" s="337">
        <v>0.609227893601725</v>
      </c>
      <c r="Z180" s="337">
        <v>-0.0787176491470687</v>
      </c>
      <c r="AA180" s="337">
        <v>0.19534671619529</v>
      </c>
      <c r="AB180" s="337">
        <v>-0.384223427344577</v>
      </c>
      <c r="AC180" s="337">
        <v>0.11750067009377</v>
      </c>
      <c r="AD180" s="337">
        <v>0.554677336296618</v>
      </c>
      <c r="AE180" s="337">
        <v>-0.601306430306157</v>
      </c>
      <c r="AF180" s="337">
        <v>0.701926436781609</v>
      </c>
      <c r="AG180" s="337">
        <v>0.381807785772145</v>
      </c>
      <c r="AH180" s="337">
        <v>0.420792526063998</v>
      </c>
      <c r="AI180" s="337">
        <v>0.146545924967659</v>
      </c>
      <c r="AJ180" s="337">
        <v>0.920783222343703</v>
      </c>
      <c r="AK180" s="337">
        <v>0.231743000208127</v>
      </c>
      <c r="AL180" s="337">
        <v>-0.163747120552854</v>
      </c>
      <c r="AM180" s="347">
        <v>-0.02325</v>
      </c>
      <c r="AS180" s="361" t="s">
        <v>407</v>
      </c>
      <c r="AT180" s="364">
        <v>0.3</v>
      </c>
      <c r="AU180" s="365">
        <v>45716</v>
      </c>
      <c r="AV180" s="364">
        <v>11780.1614</v>
      </c>
      <c r="AW180" s="3"/>
      <c r="AX180" s="376">
        <v>0.006642</v>
      </c>
      <c r="AY180" s="376">
        <v>0.017894</v>
      </c>
      <c r="AZ180" s="376">
        <v>0.035528</v>
      </c>
      <c r="BA180" s="376">
        <v>0.073048</v>
      </c>
      <c r="BB180" s="376">
        <v>0.066702</v>
      </c>
      <c r="BC180" s="376">
        <v>0.053668</v>
      </c>
      <c r="BD180" s="376">
        <v>0.062466</v>
      </c>
      <c r="BE180" s="4"/>
      <c r="BF180" s="376">
        <v>0.017894</v>
      </c>
      <c r="BG180" s="376">
        <v>0.0737983702043475</v>
      </c>
      <c r="BH180" s="376">
        <v>0.0695443408494983</v>
      </c>
      <c r="BI180" s="376">
        <v>0.0473440373163284</v>
      </c>
      <c r="BJ180" s="376">
        <v>0.0325060508947672</v>
      </c>
      <c r="BK180" s="376">
        <v>0.0427957663918528</v>
      </c>
      <c r="BL180" s="376">
        <v>0.0650571021375891</v>
      </c>
      <c r="BM180" s="376">
        <v>0.0732076984019418</v>
      </c>
      <c r="BN180" s="376">
        <v>0.0662748256859117</v>
      </c>
      <c r="BO180" s="376">
        <v>0.0758065983611361</v>
      </c>
      <c r="BP180" s="376">
        <v>0.0835101929138622</v>
      </c>
      <c r="BQ180" s="376">
        <v>0.0901483766599675</v>
      </c>
      <c r="BR180" s="376">
        <v>0.0912362460788733</v>
      </c>
      <c r="BS180" s="376">
        <v>0.0929631513003728</v>
      </c>
      <c r="BT180" s="376">
        <v>0.0840086378359947</v>
      </c>
      <c r="BU180" s="376">
        <v>0.0537504341473346</v>
      </c>
    </row>
    <row r="181" spans="2:73">
      <c r="B181" s="298" t="s">
        <v>408</v>
      </c>
      <c r="C181" s="304">
        <v>1.58</v>
      </c>
      <c r="D181" s="305">
        <v>45838</v>
      </c>
      <c r="E181" s="306">
        <v>30616.2227</v>
      </c>
      <c r="F181" s="307">
        <v>-0.021703</v>
      </c>
      <c r="G181" s="308">
        <v>0.038785</v>
      </c>
      <c r="H181" s="308">
        <v>0.050998</v>
      </c>
      <c r="I181" s="308">
        <v>-0.024027</v>
      </c>
      <c r="J181" s="308">
        <v>0.252305</v>
      </c>
      <c r="K181" s="308">
        <v>0.258024</v>
      </c>
      <c r="L181" s="338">
        <v>0.139547</v>
      </c>
      <c r="M181" s="318"/>
      <c r="N181" s="336">
        <v>0.019284</v>
      </c>
      <c r="O181" s="337">
        <v>0.27743826830075</v>
      </c>
      <c r="P181" s="337">
        <v>0.400035770109034</v>
      </c>
      <c r="Q181" s="337">
        <v>0.0692877690865609</v>
      </c>
      <c r="R181" s="337">
        <v>0.310373104695794</v>
      </c>
      <c r="S181" s="337">
        <v>0.188671461186416</v>
      </c>
      <c r="T181" s="337">
        <v>0.0399629131367504</v>
      </c>
      <c r="U181" s="337">
        <v>-0.0833720496964793</v>
      </c>
      <c r="V181" s="337">
        <v>0.330187767493531</v>
      </c>
      <c r="W181" s="337">
        <v>0.020997867170726</v>
      </c>
      <c r="X181" s="337">
        <v>0.0320151574038084</v>
      </c>
      <c r="Y181" s="337">
        <v>0.491436246997253</v>
      </c>
      <c r="Z181" s="337">
        <v>0.0703594332587597</v>
      </c>
      <c r="AA181" s="337">
        <v>0.342880032044865</v>
      </c>
      <c r="AB181" s="337">
        <v>-0.23502374751034</v>
      </c>
      <c r="AC181" s="337">
        <v>0.12982516877272</v>
      </c>
      <c r="AD181" s="337">
        <v>0.864149725717971</v>
      </c>
      <c r="AE181" s="337">
        <v>-0.548645499563065</v>
      </c>
      <c r="AF181" s="337">
        <v>0.552739285635101</v>
      </c>
      <c r="AG181" s="337">
        <v>0.449550076385736</v>
      </c>
      <c r="AH181" s="337">
        <v>0.960554040379874</v>
      </c>
      <c r="AI181" s="337">
        <v>0.539311640199118</v>
      </c>
      <c r="AJ181" s="337">
        <v>1.33212247327079</v>
      </c>
      <c r="AK181" s="337">
        <v>0.0553227158424192</v>
      </c>
      <c r="AL181" s="337">
        <v>-0.455720861904567</v>
      </c>
      <c r="AM181" s="347">
        <v>-0.466166091077804</v>
      </c>
      <c r="AS181" s="361" t="s">
        <v>409</v>
      </c>
      <c r="AT181" s="364">
        <v>0.26</v>
      </c>
      <c r="AU181" s="365">
        <v>45716</v>
      </c>
      <c r="AV181" s="364">
        <v>1323.6546</v>
      </c>
      <c r="AW181" s="3"/>
      <c r="AX181" s="376">
        <v>0.00657</v>
      </c>
      <c r="AY181" s="376">
        <v>0.017993</v>
      </c>
      <c r="AZ181" s="376">
        <v>0.035825</v>
      </c>
      <c r="BA181" s="376">
        <v>0.073064</v>
      </c>
      <c r="BB181" s="376">
        <v>0.067356</v>
      </c>
      <c r="BC181" s="376">
        <v>0.054403</v>
      </c>
      <c r="BD181" s="376" t="s">
        <v>129</v>
      </c>
      <c r="BE181" s="4"/>
      <c r="BF181" s="376">
        <v>0.017993</v>
      </c>
      <c r="BG181" s="376">
        <v>0.0735165681825388</v>
      </c>
      <c r="BH181" s="376">
        <v>0.0705034357020896</v>
      </c>
      <c r="BI181" s="376">
        <v>0.0486928327154092</v>
      </c>
      <c r="BJ181" s="376">
        <v>0.0330077236827003</v>
      </c>
      <c r="BK181" s="376">
        <v>0.0428479510330816</v>
      </c>
      <c r="BL181" s="376">
        <v>0.0673365653579496</v>
      </c>
      <c r="BM181" s="376">
        <v>0.0738548785610105</v>
      </c>
      <c r="BN181" s="376">
        <v>0.0668927951587373</v>
      </c>
      <c r="BO181" s="376">
        <v>0.0341438574691195</v>
      </c>
      <c r="BP181" s="376" t="s">
        <v>129</v>
      </c>
      <c r="BQ181" s="376" t="s">
        <v>129</v>
      </c>
      <c r="BR181" s="376" t="s">
        <v>129</v>
      </c>
      <c r="BS181" s="376" t="s">
        <v>129</v>
      </c>
      <c r="BT181" s="376" t="s">
        <v>129</v>
      </c>
      <c r="BU181" s="376" t="s">
        <v>129</v>
      </c>
    </row>
    <row r="182" spans="2:73">
      <c r="B182" s="298" t="s">
        <v>410</v>
      </c>
      <c r="C182" s="304">
        <v>1.81</v>
      </c>
      <c r="D182" s="305">
        <v>45838</v>
      </c>
      <c r="E182" s="306">
        <v>4711.2365951131</v>
      </c>
      <c r="F182" s="307">
        <v>-0.021583</v>
      </c>
      <c r="G182" s="308">
        <v>0.053236</v>
      </c>
      <c r="H182" s="308">
        <v>0.056826</v>
      </c>
      <c r="I182" s="308">
        <v>-0.011463</v>
      </c>
      <c r="J182" s="308">
        <v>0.163869</v>
      </c>
      <c r="K182" s="308">
        <v>0.206405</v>
      </c>
      <c r="L182" s="338">
        <v>0.136058</v>
      </c>
      <c r="M182" s="318"/>
      <c r="N182" s="336">
        <v>-0.000922</v>
      </c>
      <c r="O182" s="337">
        <v>0.194597248443027</v>
      </c>
      <c r="P182" s="337">
        <v>0.240203053881942</v>
      </c>
      <c r="Q182" s="337">
        <v>0.0585275527463723</v>
      </c>
      <c r="R182" s="337">
        <v>0.303949109651057</v>
      </c>
      <c r="S182" s="337">
        <v>0.118808280734564</v>
      </c>
      <c r="T182" s="337">
        <v>0.135904970967285</v>
      </c>
      <c r="U182" s="337">
        <v>-0.0837951374058596</v>
      </c>
      <c r="V182" s="337">
        <v>0.459999842130606</v>
      </c>
      <c r="W182" s="337">
        <v>0.0214469430043458</v>
      </c>
      <c r="X182" s="337">
        <v>0.133070225925215</v>
      </c>
      <c r="Y182" s="337">
        <v>0.0946099999999999</v>
      </c>
      <c r="Z182" s="337" t="s">
        <v>129</v>
      </c>
      <c r="AA182" s="337" t="s">
        <v>129</v>
      </c>
      <c r="AB182" s="337" t="s">
        <v>129</v>
      </c>
      <c r="AC182" s="337" t="s">
        <v>129</v>
      </c>
      <c r="AD182" s="337" t="s">
        <v>129</v>
      </c>
      <c r="AE182" s="337" t="s">
        <v>129</v>
      </c>
      <c r="AF182" s="337" t="s">
        <v>129</v>
      </c>
      <c r="AG182" s="337" t="s">
        <v>129</v>
      </c>
      <c r="AH182" s="337" t="s">
        <v>129</v>
      </c>
      <c r="AI182" s="337" t="s">
        <v>129</v>
      </c>
      <c r="AJ182" s="337" t="s">
        <v>129</v>
      </c>
      <c r="AK182" s="337" t="s">
        <v>129</v>
      </c>
      <c r="AL182" s="337" t="s">
        <v>129</v>
      </c>
      <c r="AM182" s="347" t="s">
        <v>129</v>
      </c>
      <c r="AS182" s="361" t="s">
        <v>411</v>
      </c>
      <c r="AT182" s="364">
        <v>0.2</v>
      </c>
      <c r="AU182" s="365">
        <v>45716</v>
      </c>
      <c r="AV182" s="364">
        <v>12730.954318839</v>
      </c>
      <c r="AW182" s="3"/>
      <c r="AX182" s="376">
        <v>0.006644</v>
      </c>
      <c r="AY182" s="376">
        <v>0.017999</v>
      </c>
      <c r="AZ182" s="376">
        <v>0.035754</v>
      </c>
      <c r="BA182" s="376">
        <v>0.073053</v>
      </c>
      <c r="BB182" s="376">
        <v>0.067112</v>
      </c>
      <c r="BC182" s="376">
        <v>0.054053</v>
      </c>
      <c r="BD182" s="376">
        <v>0.061836</v>
      </c>
      <c r="BE182" s="4"/>
      <c r="BF182" s="376">
        <v>0.017999</v>
      </c>
      <c r="BG182" s="376">
        <v>0.073485529686703</v>
      </c>
      <c r="BH182" s="376">
        <v>0.0701313717212424</v>
      </c>
      <c r="BI182" s="376">
        <v>0.0483061285541021</v>
      </c>
      <c r="BJ182" s="376">
        <v>0.033039404731227</v>
      </c>
      <c r="BK182" s="376">
        <v>0.0418913338561702</v>
      </c>
      <c r="BL182" s="376">
        <v>0.0657340494654015</v>
      </c>
      <c r="BM182" s="376">
        <v>0.0734594487178927</v>
      </c>
      <c r="BN182" s="376">
        <v>0.0662663712273919</v>
      </c>
      <c r="BO182" s="376">
        <v>0.0722196398727711</v>
      </c>
      <c r="BP182" s="376">
        <v>0.0776887473215027</v>
      </c>
      <c r="BQ182" s="376">
        <v>0.0867567991831165</v>
      </c>
      <c r="BR182" s="376">
        <v>0.0816460582966872</v>
      </c>
      <c r="BS182" s="376">
        <v>0.079826019113603</v>
      </c>
      <c r="BT182" s="376">
        <v>0.0691852547497969</v>
      </c>
      <c r="BU182" s="376">
        <v>0.0425179273838988</v>
      </c>
    </row>
    <row r="183" spans="2:73">
      <c r="B183" s="298" t="s">
        <v>412</v>
      </c>
      <c r="C183" s="304">
        <v>2.44</v>
      </c>
      <c r="D183" s="305">
        <v>45838</v>
      </c>
      <c r="E183" s="306">
        <v>80.984</v>
      </c>
      <c r="F183" s="307">
        <v>-0.026919</v>
      </c>
      <c r="G183" s="308">
        <v>0.053527</v>
      </c>
      <c r="H183" s="308">
        <v>0.050489</v>
      </c>
      <c r="I183" s="308">
        <v>-0.003005</v>
      </c>
      <c r="J183" s="308">
        <v>0.191654</v>
      </c>
      <c r="K183" s="308">
        <v>0.193896</v>
      </c>
      <c r="L183" s="338">
        <v>0.125752</v>
      </c>
      <c r="M183" s="318"/>
      <c r="N183" s="336">
        <v>0.004867</v>
      </c>
      <c r="O183" s="337">
        <v>0.214609472508702</v>
      </c>
      <c r="P183" s="337">
        <v>0.287139595840032</v>
      </c>
      <c r="Q183" s="337">
        <v>0.06607175049576</v>
      </c>
      <c r="R183" s="337">
        <v>0.201169337375489</v>
      </c>
      <c r="S183" s="337">
        <v>0.136598572483384</v>
      </c>
      <c r="T183" s="337">
        <v>0.076719226182594</v>
      </c>
      <c r="U183" s="337">
        <v>0</v>
      </c>
      <c r="V183" s="337">
        <v>0.379959773267502</v>
      </c>
      <c r="W183" s="337">
        <v>0.0318867924528313</v>
      </c>
      <c r="X183" s="337">
        <v>0.0206046601193913</v>
      </c>
      <c r="Y183" s="337">
        <v>0.351288056206089</v>
      </c>
      <c r="Z183" s="337">
        <v>0.00470588235294018</v>
      </c>
      <c r="AA183" s="337">
        <v>0.286579212916246</v>
      </c>
      <c r="AB183" s="337">
        <v>-0.222135007849293</v>
      </c>
      <c r="AC183" s="337">
        <v>0.188802488335926</v>
      </c>
      <c r="AD183" s="337">
        <v>0.948484848484851</v>
      </c>
      <c r="AE183" s="337">
        <v>-0.54230235783634</v>
      </c>
      <c r="AF183" s="337">
        <v>1.11685261303582</v>
      </c>
      <c r="AG183" s="337">
        <v>-0.10131926121372</v>
      </c>
      <c r="AH183" s="337">
        <v>0.365883278430604</v>
      </c>
      <c r="AI183" s="337">
        <v>0.397611313104095</v>
      </c>
      <c r="AJ183" s="337">
        <v>0.744776944263241</v>
      </c>
      <c r="AK183" s="337">
        <v>0.311077389984826</v>
      </c>
      <c r="AL183" s="337">
        <v>-0.417844522968198</v>
      </c>
      <c r="AM183" s="347">
        <v>-0.345286292654714</v>
      </c>
      <c r="AS183" s="361" t="s">
        <v>413</v>
      </c>
      <c r="AT183" s="364">
        <v>0.37</v>
      </c>
      <c r="AU183" s="365">
        <v>45716</v>
      </c>
      <c r="AV183" s="364">
        <v>961.6249</v>
      </c>
      <c r="AW183" s="3"/>
      <c r="AX183" s="376">
        <v>0.006031</v>
      </c>
      <c r="AY183" s="376">
        <v>0.01667</v>
      </c>
      <c r="AZ183" s="376">
        <v>0.033167</v>
      </c>
      <c r="BA183" s="376">
        <v>0.068014</v>
      </c>
      <c r="BB183" s="376">
        <v>0.062386</v>
      </c>
      <c r="BC183" s="376">
        <v>0.049395</v>
      </c>
      <c r="BD183" s="376" t="s">
        <v>129</v>
      </c>
      <c r="BE183" s="4"/>
      <c r="BF183" s="376">
        <v>0.01667</v>
      </c>
      <c r="BG183" s="376">
        <v>0.0689103845231433</v>
      </c>
      <c r="BH183" s="376">
        <v>0.0654118047866452</v>
      </c>
      <c r="BI183" s="376">
        <v>0.044164206182633</v>
      </c>
      <c r="BJ183" s="376">
        <v>0.0293393385146331</v>
      </c>
      <c r="BK183" s="376">
        <v>0.0336184546676002</v>
      </c>
      <c r="BL183" s="376">
        <v>0.0548452455809404</v>
      </c>
      <c r="BM183" s="376">
        <v>0.00190999999999999</v>
      </c>
      <c r="BN183" s="376" t="s">
        <v>129</v>
      </c>
      <c r="BO183" s="376" t="s">
        <v>129</v>
      </c>
      <c r="BP183" s="376" t="s">
        <v>129</v>
      </c>
      <c r="BQ183" s="376" t="s">
        <v>129</v>
      </c>
      <c r="BR183" s="376" t="s">
        <v>129</v>
      </c>
      <c r="BS183" s="376" t="s">
        <v>129</v>
      </c>
      <c r="BT183" s="376" t="s">
        <v>129</v>
      </c>
      <c r="BU183" s="376" t="s">
        <v>129</v>
      </c>
    </row>
    <row r="184" ht="15.15" spans="2:73">
      <c r="B184" s="298" t="s">
        <v>414</v>
      </c>
      <c r="C184" s="309">
        <v>1.88</v>
      </c>
      <c r="D184" s="310">
        <v>45838</v>
      </c>
      <c r="E184" s="311">
        <v>3882.2922</v>
      </c>
      <c r="F184" s="307">
        <v>-0.032234</v>
      </c>
      <c r="G184" s="308">
        <v>0.033737</v>
      </c>
      <c r="H184" s="308">
        <v>0.052781</v>
      </c>
      <c r="I184" s="308">
        <v>-0.034704</v>
      </c>
      <c r="J184" s="308">
        <v>0.137464</v>
      </c>
      <c r="K184" s="308">
        <v>0.189164</v>
      </c>
      <c r="L184" s="338">
        <v>0.11599</v>
      </c>
      <c r="M184" s="318"/>
      <c r="N184" s="336">
        <v>0.010901</v>
      </c>
      <c r="O184" s="337">
        <v>0.139154412492387</v>
      </c>
      <c r="P184" s="337">
        <v>0.242635613700615</v>
      </c>
      <c r="Q184" s="337">
        <v>-0.0348523959962507</v>
      </c>
      <c r="R184" s="337">
        <v>0.331003684047559</v>
      </c>
      <c r="S184" s="337">
        <v>0.201829407878106</v>
      </c>
      <c r="T184" s="337">
        <v>0.103507517991339</v>
      </c>
      <c r="U184" s="337">
        <v>-0.064669758816771</v>
      </c>
      <c r="V184" s="337">
        <v>0.330997293333492</v>
      </c>
      <c r="W184" s="337">
        <v>0.0330531557318362</v>
      </c>
      <c r="X184" s="337">
        <v>0.0262232707036008</v>
      </c>
      <c r="Y184" s="337">
        <v>0.40730075360179</v>
      </c>
      <c r="Z184" s="337">
        <v>0.0714963068858709</v>
      </c>
      <c r="AA184" s="337">
        <v>0.268742442563483</v>
      </c>
      <c r="AB184" s="337">
        <v>-0.233727125318508</v>
      </c>
      <c r="AC184" s="337">
        <v>0.175653594771242</v>
      </c>
      <c r="AD184" s="337">
        <v>0.728813559322034</v>
      </c>
      <c r="AE184" s="337">
        <v>-0.546734955185659</v>
      </c>
      <c r="AF184" s="337">
        <v>0.509178743961353</v>
      </c>
      <c r="AG184" s="337">
        <v>0.185567010309278</v>
      </c>
      <c r="AH184" s="337">
        <v>0.228424015009381</v>
      </c>
      <c r="AI184" s="337" t="s">
        <v>129</v>
      </c>
      <c r="AJ184" s="337" t="s">
        <v>129</v>
      </c>
      <c r="AK184" s="337" t="s">
        <v>129</v>
      </c>
      <c r="AL184" s="337" t="s">
        <v>129</v>
      </c>
      <c r="AM184" s="347" t="s">
        <v>129</v>
      </c>
      <c r="AS184" s="361" t="s">
        <v>415</v>
      </c>
      <c r="AT184" s="364">
        <v>0.2</v>
      </c>
      <c r="AU184" s="365">
        <v>45716</v>
      </c>
      <c r="AV184" s="364">
        <v>67.734337</v>
      </c>
      <c r="AW184" s="3"/>
      <c r="AX184" s="376">
        <v>0.005841</v>
      </c>
      <c r="AY184" s="376">
        <v>0.016729</v>
      </c>
      <c r="AZ184" s="376">
        <v>0.034027</v>
      </c>
      <c r="BA184" s="376">
        <v>0.069255</v>
      </c>
      <c r="BB184" s="376">
        <v>0.064842</v>
      </c>
      <c r="BC184" s="376">
        <v>0.052469</v>
      </c>
      <c r="BD184" s="376">
        <v>0.061802</v>
      </c>
      <c r="BE184" s="4"/>
      <c r="BF184" s="376">
        <v>0.016729</v>
      </c>
      <c r="BG184" s="376">
        <v>0.069425812948857</v>
      </c>
      <c r="BH184" s="376">
        <v>0.0680939427289907</v>
      </c>
      <c r="BI184" s="376">
        <v>0.0507298947568235</v>
      </c>
      <c r="BJ184" s="376">
        <v>0.0339488048597271</v>
      </c>
      <c r="BK184" s="376">
        <v>0.0366698795480524</v>
      </c>
      <c r="BL184" s="376">
        <v>0.0621366622244469</v>
      </c>
      <c r="BM184" s="376">
        <v>0.0741233750467588</v>
      </c>
      <c r="BN184" s="376">
        <v>0.0678460983535935</v>
      </c>
      <c r="BO184" s="376">
        <v>0.0777629469698376</v>
      </c>
      <c r="BP184" s="376">
        <v>0.0835073199478092</v>
      </c>
      <c r="BQ184" s="376">
        <v>0.0924987641396959</v>
      </c>
      <c r="BR184" s="376">
        <v>0.0949382706222288</v>
      </c>
      <c r="BS184" s="376">
        <v>0.0987414617934389</v>
      </c>
      <c r="BT184" s="376">
        <v>0.0918440427421434</v>
      </c>
      <c r="BU184" s="376">
        <v>0.0472099999999999</v>
      </c>
    </row>
    <row r="185" spans="2:73">
      <c r="B185" s="312" t="s">
        <v>156</v>
      </c>
      <c r="F185" s="302">
        <v>-0.028956</v>
      </c>
      <c r="G185" s="303">
        <v>0.011756</v>
      </c>
      <c r="H185" s="303">
        <v>0.047548</v>
      </c>
      <c r="I185" s="303">
        <v>-0.006799</v>
      </c>
      <c r="J185" s="303">
        <v>0.121048</v>
      </c>
      <c r="K185" s="303">
        <v>0.166288</v>
      </c>
      <c r="L185" s="335">
        <v>0.111775</v>
      </c>
      <c r="M185" s="318"/>
      <c r="N185" s="339">
        <v>0.038989</v>
      </c>
      <c r="O185" s="340">
        <v>0.0816546064479834</v>
      </c>
      <c r="P185" s="340">
        <v>0.187366557342991</v>
      </c>
      <c r="Q185" s="340">
        <v>0.0444077315444721</v>
      </c>
      <c r="R185" s="340">
        <v>0.219941308441042</v>
      </c>
      <c r="S185" s="340">
        <v>0.157503053056523</v>
      </c>
      <c r="T185" s="340">
        <v>0.143766290260736</v>
      </c>
      <c r="U185" s="340">
        <v>0.0590630425673793</v>
      </c>
      <c r="V185" s="340">
        <v>0.27905962715284</v>
      </c>
      <c r="W185" s="340">
        <v>0.0194857555497186</v>
      </c>
      <c r="X185" s="340">
        <v>-0.0502512416625513</v>
      </c>
      <c r="Y185" s="340">
        <v>0.298938909850794</v>
      </c>
      <c r="Z185" s="340">
        <v>0.0897717626916756</v>
      </c>
      <c r="AA185" s="340">
        <v>0.256991948195138</v>
      </c>
      <c r="AB185" s="340">
        <v>-0.246435604895195</v>
      </c>
      <c r="AC185" s="340">
        <v>0.174309368381334</v>
      </c>
      <c r="AD185" s="340">
        <v>0.810329511542596</v>
      </c>
      <c r="AE185" s="340">
        <v>-0.524458285827518</v>
      </c>
      <c r="AF185" s="340">
        <v>0.4714675006945</v>
      </c>
      <c r="AG185" s="340">
        <v>0.467015608756396</v>
      </c>
      <c r="AH185" s="340">
        <v>0.423348665468165</v>
      </c>
      <c r="AI185" s="340">
        <v>0.130798977900174</v>
      </c>
      <c r="AJ185" s="340">
        <v>0.728894258101194</v>
      </c>
      <c r="AK185" s="340">
        <v>0.0352355525038853</v>
      </c>
      <c r="AL185" s="340">
        <v>-0.178692990141285</v>
      </c>
      <c r="AM185" s="348">
        <v>-0.206499634425529</v>
      </c>
      <c r="AS185" s="361" t="s">
        <v>416</v>
      </c>
      <c r="AT185" s="364">
        <v>0.32</v>
      </c>
      <c r="AU185" s="365">
        <v>45716</v>
      </c>
      <c r="AV185" s="364">
        <v>33917.1831</v>
      </c>
      <c r="AW185" s="3"/>
      <c r="AX185" s="376">
        <v>0.006708</v>
      </c>
      <c r="AY185" s="376">
        <v>0.018043</v>
      </c>
      <c r="AZ185" s="376">
        <v>0.035679</v>
      </c>
      <c r="BA185" s="376">
        <v>0.072744</v>
      </c>
      <c r="BB185" s="376">
        <v>0.066662</v>
      </c>
      <c r="BC185" s="376">
        <v>0.053826</v>
      </c>
      <c r="BD185" s="376">
        <v>0.062862</v>
      </c>
      <c r="BE185" s="4"/>
      <c r="BF185" s="376">
        <v>0.018043</v>
      </c>
      <c r="BG185" s="376">
        <v>0.0732521373005733</v>
      </c>
      <c r="BH185" s="376">
        <v>0.0695854963235226</v>
      </c>
      <c r="BI185" s="376">
        <v>0.0477477338637757</v>
      </c>
      <c r="BJ185" s="376">
        <v>0.0322237507480353</v>
      </c>
      <c r="BK185" s="376">
        <v>0.0425899034618289</v>
      </c>
      <c r="BL185" s="376">
        <v>0.0670481950951663</v>
      </c>
      <c r="BM185" s="376">
        <v>0.0744223272789792</v>
      </c>
      <c r="BN185" s="376">
        <v>0.0668869424784348</v>
      </c>
      <c r="BO185" s="376">
        <v>0.0765101455427211</v>
      </c>
      <c r="BP185" s="376">
        <v>0.0834469136122344</v>
      </c>
      <c r="BQ185" s="376">
        <v>0.0910968978963478</v>
      </c>
      <c r="BR185" s="376">
        <v>0.0924475615912505</v>
      </c>
      <c r="BS185" s="376">
        <v>0.0972964142551205</v>
      </c>
      <c r="BT185" s="376">
        <v>0.0894538928296727</v>
      </c>
      <c r="BU185" s="376">
        <v>0.0525652961998443</v>
      </c>
    </row>
    <row r="186" spans="2:73">
      <c r="B186" s="313" t="s">
        <v>250</v>
      </c>
      <c r="F186" s="307">
        <v>-0.028654</v>
      </c>
      <c r="G186" s="308">
        <v>0.038723</v>
      </c>
      <c r="H186" s="308">
        <v>0.05945</v>
      </c>
      <c r="I186" s="308">
        <v>-0.032041</v>
      </c>
      <c r="J186" s="308">
        <v>0.154431</v>
      </c>
      <c r="K186" s="308">
        <v>0.201781</v>
      </c>
      <c r="L186" s="338">
        <v>0.123351</v>
      </c>
      <c r="M186" s="318"/>
      <c r="N186" s="336">
        <v>0.022527</v>
      </c>
      <c r="O186" s="337">
        <v>0.145465796535709</v>
      </c>
      <c r="P186" s="337">
        <v>0.248498523517645</v>
      </c>
      <c r="Q186" s="337">
        <v>0.0333786905211876</v>
      </c>
      <c r="R186" s="337">
        <v>0.301140430926607</v>
      </c>
      <c r="S186" s="337">
        <v>0.168033833223551</v>
      </c>
      <c r="T186" s="337">
        <v>0.077511676096721</v>
      </c>
      <c r="U186" s="337">
        <v>-0.0308170579621176</v>
      </c>
      <c r="V186" s="337">
        <v>0.359381285994397</v>
      </c>
      <c r="W186" s="337">
        <v>0.037823178380737</v>
      </c>
      <c r="X186" s="337">
        <v>-0.00815175318655217</v>
      </c>
      <c r="Y186" s="337">
        <v>0.369590487893985</v>
      </c>
      <c r="Z186" s="337">
        <v>0.0325486673604544</v>
      </c>
      <c r="AA186" s="337">
        <v>0.311989935417777</v>
      </c>
      <c r="AB186" s="337">
        <v>-0.274131836715211</v>
      </c>
      <c r="AC186" s="337">
        <v>0.163514925645804</v>
      </c>
      <c r="AD186" s="337">
        <v>0.902289503315401</v>
      </c>
      <c r="AE186" s="337">
        <v>-0.581393156534298</v>
      </c>
      <c r="AF186" s="337">
        <v>0.63020702896736</v>
      </c>
      <c r="AG186" s="337">
        <v>0.388518319476496</v>
      </c>
      <c r="AH186" s="337">
        <v>0.365625168636339</v>
      </c>
      <c r="AI186" s="337">
        <v>0.17465220845518</v>
      </c>
      <c r="AJ186" s="337">
        <v>1.0109625827505</v>
      </c>
      <c r="AK186" s="337">
        <v>0.169921059434094</v>
      </c>
      <c r="AL186" s="337">
        <v>-0.229055845967532</v>
      </c>
      <c r="AM186" s="347">
        <v>-0.27172553923101</v>
      </c>
      <c r="AS186" s="361" t="s">
        <v>417</v>
      </c>
      <c r="AT186" s="364">
        <v>0.27</v>
      </c>
      <c r="AU186" s="365">
        <v>45716</v>
      </c>
      <c r="AV186" s="364">
        <v>2425.8606</v>
      </c>
      <c r="AW186" s="3"/>
      <c r="AX186" s="376">
        <v>0.006089</v>
      </c>
      <c r="AY186" s="376">
        <v>0.016901</v>
      </c>
      <c r="AZ186" s="376">
        <v>0.033765</v>
      </c>
      <c r="BA186" s="376">
        <v>0.069028</v>
      </c>
      <c r="BB186" s="376">
        <v>0.063074</v>
      </c>
      <c r="BC186" s="376">
        <v>0.050449</v>
      </c>
      <c r="BD186" s="376" t="s">
        <v>129</v>
      </c>
      <c r="BE186" s="4"/>
      <c r="BF186" s="376">
        <v>0.016901</v>
      </c>
      <c r="BG186" s="376">
        <v>0.0694334033321213</v>
      </c>
      <c r="BH186" s="376">
        <v>0.066089786419563</v>
      </c>
      <c r="BI186" s="376">
        <v>0.0451332736489265</v>
      </c>
      <c r="BJ186" s="376">
        <v>0.031062138996729</v>
      </c>
      <c r="BK186" s="376">
        <v>0.0363671114391934</v>
      </c>
      <c r="BL186" s="376">
        <v>0.0582722121238356</v>
      </c>
      <c r="BM186" s="376">
        <v>0.0407053000000001</v>
      </c>
      <c r="BN186" s="376" t="s">
        <v>129</v>
      </c>
      <c r="BO186" s="376" t="s">
        <v>129</v>
      </c>
      <c r="BP186" s="376" t="s">
        <v>129</v>
      </c>
      <c r="BQ186" s="376" t="s">
        <v>129</v>
      </c>
      <c r="BR186" s="376" t="s">
        <v>129</v>
      </c>
      <c r="BS186" s="376" t="s">
        <v>129</v>
      </c>
      <c r="BT186" s="376" t="s">
        <v>129</v>
      </c>
      <c r="BU186" s="376" t="s">
        <v>129</v>
      </c>
    </row>
    <row r="187" ht="15.15" spans="2:73">
      <c r="B187" s="314" t="s">
        <v>158</v>
      </c>
      <c r="F187" s="390">
        <v>-0.029341</v>
      </c>
      <c r="G187" s="391">
        <v>0.017841</v>
      </c>
      <c r="H187" s="391">
        <v>0.053596</v>
      </c>
      <c r="I187" s="391">
        <v>-0.007326</v>
      </c>
      <c r="J187" s="391">
        <v>0.129786</v>
      </c>
      <c r="K187" s="391">
        <v>0.174585</v>
      </c>
      <c r="L187" s="392">
        <v>0.112352</v>
      </c>
      <c r="M187" s="318"/>
      <c r="N187" s="336">
        <v>0.047518</v>
      </c>
      <c r="O187" s="337">
        <v>0.0880476902077809</v>
      </c>
      <c r="P187" s="337">
        <v>0.200278393101744</v>
      </c>
      <c r="Q187" s="337">
        <v>0.0432896067488569</v>
      </c>
      <c r="R187" s="337">
        <v>0.241192983710909</v>
      </c>
      <c r="S187" s="337">
        <v>0.149016514017808</v>
      </c>
      <c r="T187" s="337">
        <v>0.120220390239861</v>
      </c>
      <c r="U187" s="337">
        <v>0.0315126249916908</v>
      </c>
      <c r="V187" s="337">
        <v>0.286459478609299</v>
      </c>
      <c r="W187" s="337">
        <v>0.0301333316554141</v>
      </c>
      <c r="X187" s="337">
        <v>-0.0406087386963189</v>
      </c>
      <c r="Y187" s="337">
        <v>0.313880076142132</v>
      </c>
      <c r="Z187" s="337">
        <v>0.0675517772772687</v>
      </c>
      <c r="AA187" s="337">
        <v>0.276971649763207</v>
      </c>
      <c r="AB187" s="337">
        <v>-0.246181432879615</v>
      </c>
      <c r="AC187" s="337">
        <v>0.179473375568395</v>
      </c>
      <c r="AD187" s="337">
        <v>0.757616207356842</v>
      </c>
      <c r="AE187" s="337">
        <v>-0.517943830840908</v>
      </c>
      <c r="AF187" s="337">
        <v>0.547650262202501</v>
      </c>
      <c r="AG187" s="337">
        <v>0.398318379721845</v>
      </c>
      <c r="AH187" s="337">
        <v>0.363398221581351</v>
      </c>
      <c r="AI187" s="337">
        <v>0.106796116504854</v>
      </c>
      <c r="AJ187" s="337">
        <v>0.719021490626429</v>
      </c>
      <c r="AK187" s="337">
        <v>0.0325291534866154</v>
      </c>
      <c r="AL187" s="337">
        <v>-0.161845593763603</v>
      </c>
      <c r="AM187" s="347">
        <v>-0.146509507244419</v>
      </c>
      <c r="AS187" s="361" t="s">
        <v>418</v>
      </c>
      <c r="AT187" s="364">
        <v>0.22</v>
      </c>
      <c r="AU187" s="365">
        <v>45716</v>
      </c>
      <c r="AV187" s="364">
        <v>390.6166</v>
      </c>
      <c r="AW187" s="3"/>
      <c r="AX187" s="376">
        <v>0.006783</v>
      </c>
      <c r="AY187" s="376">
        <v>0.018161</v>
      </c>
      <c r="AZ187" s="376">
        <v>0.035989</v>
      </c>
      <c r="BA187" s="376">
        <v>0.073214</v>
      </c>
      <c r="BB187" s="376">
        <v>0.066934</v>
      </c>
      <c r="BC187" s="376">
        <v>0.054021</v>
      </c>
      <c r="BD187" s="376">
        <v>0.063036</v>
      </c>
      <c r="BE187" s="4"/>
      <c r="BF187" s="376">
        <v>0.018161</v>
      </c>
      <c r="BG187" s="376">
        <v>0.0730980154838855</v>
      </c>
      <c r="BH187" s="376">
        <v>0.0701454150632312</v>
      </c>
      <c r="BI187" s="376">
        <v>0.0480469772143066</v>
      </c>
      <c r="BJ187" s="376">
        <v>0.0326463511276585</v>
      </c>
      <c r="BK187" s="376">
        <v>0.041826381326455</v>
      </c>
      <c r="BL187" s="376">
        <v>0.0672926605624266</v>
      </c>
      <c r="BM187" s="376">
        <v>0.0744332662824466</v>
      </c>
      <c r="BN187" s="376">
        <v>0.0671439758254282</v>
      </c>
      <c r="BO187" s="376">
        <v>0.0767640621290261</v>
      </c>
      <c r="BP187" s="376">
        <v>0.083856679754785</v>
      </c>
      <c r="BQ187" s="376">
        <v>0.0905128000442123</v>
      </c>
      <c r="BR187" s="376">
        <v>0.0910273683053973</v>
      </c>
      <c r="BS187" s="376">
        <v>0.0971043552273165</v>
      </c>
      <c r="BT187" s="376">
        <v>0.0899292620987448</v>
      </c>
      <c r="BU187" s="376">
        <v>0.0556373046478587</v>
      </c>
    </row>
    <row r="188" ht="15.15" spans="2:73">
      <c r="B188" s="315" t="s">
        <v>162</v>
      </c>
      <c r="F188" s="341">
        <f>AVERAGE(F168:F184)</f>
        <v>-0.0227758823529412</v>
      </c>
      <c r="G188" s="342">
        <f t="shared" ref="G188:L188" si="25">AVERAGE(G168:G184)</f>
        <v>0.0469335882352941</v>
      </c>
      <c r="H188" s="342">
        <f t="shared" si="25"/>
        <v>0.0671918235294118</v>
      </c>
      <c r="I188" s="342">
        <f t="shared" si="25"/>
        <v>-0.0101561176470588</v>
      </c>
      <c r="J188" s="342">
        <f t="shared" si="25"/>
        <v>0.184059</v>
      </c>
      <c r="K188" s="342">
        <f t="shared" si="25"/>
        <v>0.225957823529412</v>
      </c>
      <c r="L188" s="349">
        <f t="shared" si="25"/>
        <v>0.1338668</v>
      </c>
      <c r="M188" s="318"/>
      <c r="N188" s="323">
        <f t="shared" ref="N188:AM188" si="26">AVERAGE(N168:N184)</f>
        <v>0.0185318823529412</v>
      </c>
      <c r="O188" s="324">
        <f t="shared" si="26"/>
        <v>0.202907058635469</v>
      </c>
      <c r="P188" s="324">
        <f t="shared" si="26"/>
        <v>0.282059902330165</v>
      </c>
      <c r="Q188" s="324">
        <f t="shared" si="26"/>
        <v>0.0348293583252579</v>
      </c>
      <c r="R188" s="324">
        <f t="shared" si="26"/>
        <v>0.34931918487419</v>
      </c>
      <c r="S188" s="324">
        <f t="shared" si="26"/>
        <v>0.172905872929315</v>
      </c>
      <c r="T188" s="324">
        <f t="shared" si="26"/>
        <v>0.083801098584668</v>
      </c>
      <c r="U188" s="324">
        <f t="shared" si="26"/>
        <v>-0.0559221344929986</v>
      </c>
      <c r="V188" s="324">
        <f t="shared" si="26"/>
        <v>0.38265851469727</v>
      </c>
      <c r="W188" s="324">
        <f t="shared" si="26"/>
        <v>0.0488436561650355</v>
      </c>
      <c r="X188" s="324">
        <f t="shared" si="26"/>
        <v>0.0409534933683085</v>
      </c>
      <c r="Y188" s="324">
        <f t="shared" si="26"/>
        <v>0.495104656459473</v>
      </c>
      <c r="Z188" s="324">
        <f t="shared" si="26"/>
        <v>0.0566942969957009</v>
      </c>
      <c r="AA188" s="324">
        <f t="shared" si="26"/>
        <v>0.31914827246679</v>
      </c>
      <c r="AB188" s="324">
        <f t="shared" si="26"/>
        <v>-0.226026783728395</v>
      </c>
      <c r="AC188" s="324">
        <f t="shared" si="26"/>
        <v>0.210984675338327</v>
      </c>
      <c r="AD188" s="324">
        <f t="shared" si="26"/>
        <v>0.777729944038616</v>
      </c>
      <c r="AE188" s="324">
        <f t="shared" si="26"/>
        <v>-0.447599780834178</v>
      </c>
      <c r="AF188" s="324">
        <f t="shared" si="26"/>
        <v>0.590682615952386</v>
      </c>
      <c r="AG188" s="324">
        <f t="shared" si="26"/>
        <v>0.277450411137603</v>
      </c>
      <c r="AH188" s="324">
        <f t="shared" si="26"/>
        <v>0.44918172516934</v>
      </c>
      <c r="AI188" s="324">
        <f t="shared" si="26"/>
        <v>0.37679629423493</v>
      </c>
      <c r="AJ188" s="324">
        <f t="shared" si="26"/>
        <v>1.12163862085441</v>
      </c>
      <c r="AK188" s="324">
        <f t="shared" si="26"/>
        <v>0.168119002905692</v>
      </c>
      <c r="AL188" s="324">
        <f t="shared" si="26"/>
        <v>-0.212537410820248</v>
      </c>
      <c r="AM188" s="344">
        <f t="shared" si="26"/>
        <v>-0.193668350808132</v>
      </c>
      <c r="AS188" s="361" t="s">
        <v>419</v>
      </c>
      <c r="AT188" s="364">
        <v>0.54</v>
      </c>
      <c r="AU188" s="365">
        <v>45716</v>
      </c>
      <c r="AV188" s="364">
        <v>1602.8832</v>
      </c>
      <c r="AW188" s="3"/>
      <c r="AX188" s="376">
        <v>0.006183</v>
      </c>
      <c r="AY188" s="376">
        <v>0.017644</v>
      </c>
      <c r="AZ188" s="376">
        <v>0.035244</v>
      </c>
      <c r="BA188" s="376">
        <v>0.070624</v>
      </c>
      <c r="BB188" s="376">
        <v>0.064416</v>
      </c>
      <c r="BC188" s="376">
        <v>0.055347</v>
      </c>
      <c r="BD188" s="376">
        <v>0.064598</v>
      </c>
      <c r="BE188" s="4"/>
      <c r="BF188" s="376">
        <v>0.017644</v>
      </c>
      <c r="BG188" s="376">
        <v>0.0705776410333378</v>
      </c>
      <c r="BH188" s="376">
        <v>0.0671332311353134</v>
      </c>
      <c r="BI188" s="376">
        <v>0.0474053615239212</v>
      </c>
      <c r="BJ188" s="376">
        <v>0.0394159993025371</v>
      </c>
      <c r="BK188" s="376">
        <v>0.0495212574752459</v>
      </c>
      <c r="BL188" s="376">
        <v>0.0709948376935864</v>
      </c>
      <c r="BM188" s="376">
        <v>0.071656289850724</v>
      </c>
      <c r="BN188" s="376">
        <v>0.0663818928658562</v>
      </c>
      <c r="BO188" s="376">
        <v>0.0804563427756532</v>
      </c>
      <c r="BP188" s="376">
        <v>0.0883398707565539</v>
      </c>
      <c r="BQ188" s="376">
        <v>0.0955548570928035</v>
      </c>
      <c r="BR188" s="376">
        <v>0.0966165286080754</v>
      </c>
      <c r="BS188" s="376">
        <v>0.105097191954891</v>
      </c>
      <c r="BT188" s="376">
        <v>0.102287901105406</v>
      </c>
      <c r="BU188" s="376">
        <v>0.0619157256148815</v>
      </c>
    </row>
    <row r="189" ht="15.15" spans="15:73">
      <c r="O189" s="281"/>
      <c r="AS189" s="361" t="s">
        <v>420</v>
      </c>
      <c r="AT189" s="364" t="s">
        <v>129</v>
      </c>
      <c r="AU189" s="365">
        <v>45716</v>
      </c>
      <c r="AV189" s="364">
        <v>507.2579</v>
      </c>
      <c r="AW189" s="3"/>
      <c r="AX189" s="376">
        <v>0.006041</v>
      </c>
      <c r="AY189" s="376">
        <v>0.016969</v>
      </c>
      <c r="AZ189" s="376">
        <v>0.034171</v>
      </c>
      <c r="BA189" s="376">
        <v>0.070402</v>
      </c>
      <c r="BB189" s="376" t="s">
        <v>129</v>
      </c>
      <c r="BC189" s="376" t="s">
        <v>129</v>
      </c>
      <c r="BD189" s="376" t="s">
        <v>129</v>
      </c>
      <c r="BE189" s="4"/>
      <c r="BF189" s="376">
        <v>0.016969</v>
      </c>
      <c r="BG189" s="376">
        <v>0.0712002876375766</v>
      </c>
      <c r="BH189" s="376">
        <v>0.00126000000000008</v>
      </c>
      <c r="BI189" s="376" t="s">
        <v>129</v>
      </c>
      <c r="BJ189" s="376" t="s">
        <v>129</v>
      </c>
      <c r="BK189" s="376" t="s">
        <v>129</v>
      </c>
      <c r="BL189" s="376" t="s">
        <v>129</v>
      </c>
      <c r="BM189" s="376" t="s">
        <v>129</v>
      </c>
      <c r="BN189" s="376" t="s">
        <v>129</v>
      </c>
      <c r="BO189" s="376" t="s">
        <v>129</v>
      </c>
      <c r="BP189" s="376" t="s">
        <v>129</v>
      </c>
      <c r="BQ189" s="376" t="s">
        <v>129</v>
      </c>
      <c r="BR189" s="376" t="s">
        <v>129</v>
      </c>
      <c r="BS189" s="376" t="s">
        <v>129</v>
      </c>
      <c r="BT189" s="376" t="s">
        <v>129</v>
      </c>
      <c r="BU189" s="376" t="s">
        <v>129</v>
      </c>
    </row>
    <row r="190" ht="15.15" spans="2:73">
      <c r="B190" s="320" t="s">
        <v>421</v>
      </c>
      <c r="C190" s="351" t="s">
        <v>87</v>
      </c>
      <c r="D190" s="352" t="s">
        <v>110</v>
      </c>
      <c r="E190" s="353"/>
      <c r="F190" s="332" t="s">
        <v>113</v>
      </c>
      <c r="G190" s="333"/>
      <c r="H190" s="333"/>
      <c r="I190" s="333"/>
      <c r="J190" s="333"/>
      <c r="K190" s="333"/>
      <c r="L190" s="346"/>
      <c r="N190" s="380" t="s">
        <v>114</v>
      </c>
      <c r="O190" s="381"/>
      <c r="P190" s="381"/>
      <c r="Q190" s="381"/>
      <c r="R190" s="381"/>
      <c r="S190" s="381"/>
      <c r="T190" s="381"/>
      <c r="U190" s="381"/>
      <c r="V190" s="381"/>
      <c r="W190" s="381"/>
      <c r="X190" s="381"/>
      <c r="Y190" s="381"/>
      <c r="Z190" s="381"/>
      <c r="AA190" s="381"/>
      <c r="AB190" s="381"/>
      <c r="AC190" s="383"/>
      <c r="AS190" s="361" t="s">
        <v>422</v>
      </c>
      <c r="AT190" s="364" t="s">
        <v>129</v>
      </c>
      <c r="AU190" s="365">
        <v>45716</v>
      </c>
      <c r="AV190" s="364">
        <v>507.2579</v>
      </c>
      <c r="AW190" s="3"/>
      <c r="AX190" s="376">
        <v>0.006033</v>
      </c>
      <c r="AY190" s="376">
        <v>0.016958</v>
      </c>
      <c r="AZ190" s="376">
        <v>0.034155</v>
      </c>
      <c r="BA190" s="376">
        <v>0.04885</v>
      </c>
      <c r="BB190" s="376" t="s">
        <v>129</v>
      </c>
      <c r="BC190" s="376" t="s">
        <v>129</v>
      </c>
      <c r="BD190" s="376" t="s">
        <v>129</v>
      </c>
      <c r="BE190" s="4"/>
      <c r="BF190" s="376">
        <v>0.016958</v>
      </c>
      <c r="BG190" s="376">
        <v>0.0313599999999999</v>
      </c>
      <c r="BH190" s="376">
        <v>0</v>
      </c>
      <c r="BI190" s="376" t="s">
        <v>129</v>
      </c>
      <c r="BJ190" s="376" t="s">
        <v>129</v>
      </c>
      <c r="BK190" s="376" t="s">
        <v>129</v>
      </c>
      <c r="BL190" s="376" t="s">
        <v>129</v>
      </c>
      <c r="BM190" s="376" t="s">
        <v>129</v>
      </c>
      <c r="BN190" s="376" t="s">
        <v>129</v>
      </c>
      <c r="BO190" s="376" t="s">
        <v>129</v>
      </c>
      <c r="BP190" s="376" t="s">
        <v>129</v>
      </c>
      <c r="BQ190" s="376" t="s">
        <v>129</v>
      </c>
      <c r="BR190" s="376" t="s">
        <v>129</v>
      </c>
      <c r="BS190" s="376" t="s">
        <v>129</v>
      </c>
      <c r="BT190" s="376" t="s">
        <v>129</v>
      </c>
      <c r="BU190" s="376" t="s">
        <v>129</v>
      </c>
    </row>
    <row r="191" ht="15.15" spans="2:73">
      <c r="B191" s="322"/>
      <c r="C191" s="355" t="s">
        <v>121</v>
      </c>
      <c r="D191" s="356" t="s">
        <v>115</v>
      </c>
      <c r="E191" s="357" t="s">
        <v>116</v>
      </c>
      <c r="F191" s="266" t="s">
        <v>122</v>
      </c>
      <c r="G191" s="268" t="s">
        <v>123</v>
      </c>
      <c r="H191" s="268" t="s">
        <v>124</v>
      </c>
      <c r="I191" s="268" t="s">
        <v>91</v>
      </c>
      <c r="J191" s="268" t="s">
        <v>125</v>
      </c>
      <c r="K191" s="268" t="s">
        <v>126</v>
      </c>
      <c r="L191" s="269" t="s">
        <v>127</v>
      </c>
      <c r="N191" s="266" t="s">
        <v>423</v>
      </c>
      <c r="O191" s="267">
        <v>2024</v>
      </c>
      <c r="P191" s="267">
        <v>2023</v>
      </c>
      <c r="Q191" s="268">
        <v>2022</v>
      </c>
      <c r="R191" s="268">
        <v>2021</v>
      </c>
      <c r="S191" s="268">
        <v>2020</v>
      </c>
      <c r="T191" s="268">
        <v>2019</v>
      </c>
      <c r="U191" s="268">
        <v>2018</v>
      </c>
      <c r="V191" s="268">
        <v>2017</v>
      </c>
      <c r="W191" s="268">
        <v>2016</v>
      </c>
      <c r="X191" s="268">
        <v>2015</v>
      </c>
      <c r="Y191" s="268">
        <v>2014</v>
      </c>
      <c r="Z191" s="268">
        <v>2013</v>
      </c>
      <c r="AA191" s="268"/>
      <c r="AB191" s="268"/>
      <c r="AC191" s="269"/>
      <c r="AS191" s="361" t="s">
        <v>424</v>
      </c>
      <c r="AT191" s="364">
        <v>0.26</v>
      </c>
      <c r="AU191" s="365">
        <v>45716</v>
      </c>
      <c r="AV191" s="364">
        <v>507.2579</v>
      </c>
      <c r="AW191" s="3"/>
      <c r="AX191" s="376">
        <v>0.005955</v>
      </c>
      <c r="AY191" s="376">
        <v>0.016718</v>
      </c>
      <c r="AZ191" s="376">
        <v>0.03366</v>
      </c>
      <c r="BA191" s="376">
        <v>0.069346</v>
      </c>
      <c r="BB191" s="376">
        <v>0.063999</v>
      </c>
      <c r="BC191" s="376">
        <v>0.05089</v>
      </c>
      <c r="BD191" s="376">
        <v>0.057642</v>
      </c>
      <c r="BE191" s="4"/>
      <c r="BF191" s="376">
        <v>0.016718</v>
      </c>
      <c r="BG191" s="376">
        <v>0.0701346679086216</v>
      </c>
      <c r="BH191" s="376">
        <v>0.0676697052239813</v>
      </c>
      <c r="BI191" s="376">
        <v>0.0458709126936556</v>
      </c>
      <c r="BJ191" s="376">
        <v>0.0309515933800304</v>
      </c>
      <c r="BK191" s="376">
        <v>0.0358100272594467</v>
      </c>
      <c r="BL191" s="376">
        <v>0.0603565981842717</v>
      </c>
      <c r="BM191" s="376">
        <v>0.0652111046847889</v>
      </c>
      <c r="BN191" s="376">
        <v>0.0599520383693045</v>
      </c>
      <c r="BO191" s="376">
        <v>0.0679388247300596</v>
      </c>
      <c r="BP191" s="376">
        <v>0.0783490277100053</v>
      </c>
      <c r="BQ191" s="376">
        <v>0.087674326689628</v>
      </c>
      <c r="BR191" s="376">
        <v>0.0870846171787725</v>
      </c>
      <c r="BS191" s="376">
        <v>0.0914584310310177</v>
      </c>
      <c r="BT191" s="376">
        <v>0.08663526705443</v>
      </c>
      <c r="BU191" s="376">
        <v>0.0556046506266667</v>
      </c>
    </row>
    <row r="192" ht="15" customHeight="1" spans="2:73">
      <c r="B192" s="361" t="s">
        <v>425</v>
      </c>
      <c r="C192" s="364">
        <v>1.78</v>
      </c>
      <c r="D192" s="365">
        <v>45838</v>
      </c>
      <c r="E192" s="364">
        <v>8034.1308</v>
      </c>
      <c r="F192" s="376">
        <v>-0.013486</v>
      </c>
      <c r="G192" s="376">
        <v>0.028009</v>
      </c>
      <c r="H192" s="376">
        <v>0.071739</v>
      </c>
      <c r="I192" s="376">
        <v>0.049678</v>
      </c>
      <c r="J192" s="376">
        <v>0.133697</v>
      </c>
      <c r="K192" s="376">
        <v>0.141703</v>
      </c>
      <c r="L192" s="376">
        <v>0.106853</v>
      </c>
      <c r="M192" s="4"/>
      <c r="N192" s="376">
        <v>0.061655</v>
      </c>
      <c r="O192" s="376">
        <v>0.129947975571138</v>
      </c>
      <c r="P192" s="376">
        <v>0.16541452484513</v>
      </c>
      <c r="Q192" s="376">
        <v>0.0418840977753366</v>
      </c>
      <c r="R192" s="376">
        <v>0.13409126304314</v>
      </c>
      <c r="S192" s="376">
        <v>0.153611210923464</v>
      </c>
      <c r="T192" s="376">
        <v>0.0811965811965812</v>
      </c>
      <c r="U192" s="376">
        <v>0.00743639921722105</v>
      </c>
      <c r="V192" s="376">
        <v>0.152198421645998</v>
      </c>
      <c r="W192" s="376">
        <v>0.163126147390506</v>
      </c>
      <c r="X192" s="376">
        <v>0.0361413043478262</v>
      </c>
      <c r="Y192" s="376">
        <v>0.277334258937869</v>
      </c>
      <c r="Z192" s="376">
        <v>0.0591911764705882</v>
      </c>
      <c r="AA192" s="376"/>
      <c r="AB192" s="376"/>
      <c r="AC192" s="376"/>
      <c r="AS192" s="361" t="s">
        <v>426</v>
      </c>
      <c r="AT192" s="364">
        <v>0.31</v>
      </c>
      <c r="AU192" s="365">
        <v>45716</v>
      </c>
      <c r="AV192" s="364">
        <v>66778.1347</v>
      </c>
      <c r="AW192" s="3"/>
      <c r="AX192" s="376">
        <v>0.006615</v>
      </c>
      <c r="AY192" s="376">
        <v>0.017898</v>
      </c>
      <c r="AZ192" s="376">
        <v>0.035286</v>
      </c>
      <c r="BA192" s="376">
        <v>0.072095</v>
      </c>
      <c r="BB192" s="376">
        <v>0.0664</v>
      </c>
      <c r="BC192" s="376">
        <v>0.053531</v>
      </c>
      <c r="BD192" s="376">
        <v>0.062178</v>
      </c>
      <c r="BE192" s="4"/>
      <c r="BF192" s="376">
        <v>0.017898</v>
      </c>
      <c r="BG192" s="376">
        <v>0.0726330138050206</v>
      </c>
      <c r="BH192" s="376">
        <v>0.0694606930818188</v>
      </c>
      <c r="BI192" s="376">
        <v>0.0476485821678034</v>
      </c>
      <c r="BJ192" s="376">
        <v>0.0327174631622083</v>
      </c>
      <c r="BK192" s="376">
        <v>0.0418200125247359</v>
      </c>
      <c r="BL192" s="376">
        <v>0.0651097539638399</v>
      </c>
      <c r="BM192" s="376">
        <v>0.0731020480027572</v>
      </c>
      <c r="BN192" s="376">
        <v>0.0655253610866559</v>
      </c>
      <c r="BO192" s="376">
        <v>0.0759414778683256</v>
      </c>
      <c r="BP192" s="376">
        <v>0.0828419235219037</v>
      </c>
      <c r="BQ192" s="376">
        <v>0.0904316290364753</v>
      </c>
      <c r="BR192" s="376">
        <v>0.0922148071127818</v>
      </c>
      <c r="BS192" s="376">
        <v>0.0962880181673557</v>
      </c>
      <c r="BT192" s="376">
        <v>0.0896658043258193</v>
      </c>
      <c r="BU192" s="376">
        <v>0.0547770256123945</v>
      </c>
    </row>
    <row r="193" spans="2:73">
      <c r="B193" s="361" t="s">
        <v>427</v>
      </c>
      <c r="C193" s="364">
        <v>1.93</v>
      </c>
      <c r="D193" s="365">
        <v>45838</v>
      </c>
      <c r="E193" s="364">
        <v>3342.162002</v>
      </c>
      <c r="F193" s="376">
        <v>-0.01279</v>
      </c>
      <c r="G193" s="376">
        <v>0.012634</v>
      </c>
      <c r="H193" s="376">
        <v>0.040959</v>
      </c>
      <c r="I193" s="376">
        <v>0.037849</v>
      </c>
      <c r="J193" s="376">
        <v>0.139226</v>
      </c>
      <c r="K193" s="376">
        <v>0.132156</v>
      </c>
      <c r="L193" s="376" t="s">
        <v>129</v>
      </c>
      <c r="M193" s="4"/>
      <c r="N193" s="376">
        <v>0.028628</v>
      </c>
      <c r="O193" s="376">
        <v>0.175174013921114</v>
      </c>
      <c r="P193" s="376">
        <v>0.199721642310369</v>
      </c>
      <c r="Q193" s="376">
        <v>-0.00415800415800419</v>
      </c>
      <c r="R193" s="376">
        <v>0.157177225340818</v>
      </c>
      <c r="S193" s="376">
        <v>0.100617828773169</v>
      </c>
      <c r="T193" s="376">
        <v>0.0588785046728973</v>
      </c>
      <c r="U193" s="376">
        <v>0.0268714011516314</v>
      </c>
      <c r="V193" s="376">
        <v>0.042</v>
      </c>
      <c r="W193" s="376" t="s">
        <v>129</v>
      </c>
      <c r="X193" s="376" t="s">
        <v>129</v>
      </c>
      <c r="Y193" s="376" t="s">
        <v>129</v>
      </c>
      <c r="Z193" s="376" t="s">
        <v>129</v>
      </c>
      <c r="AA193" s="376"/>
      <c r="AB193" s="376"/>
      <c r="AC193" s="376"/>
      <c r="AS193" s="361" t="s">
        <v>428</v>
      </c>
      <c r="AT193" s="364">
        <v>0.26</v>
      </c>
      <c r="AU193" s="365">
        <v>45716</v>
      </c>
      <c r="AV193" s="364">
        <v>112.7315</v>
      </c>
      <c r="AW193" s="3"/>
      <c r="AX193" s="376">
        <v>0.005837</v>
      </c>
      <c r="AY193" s="376">
        <v>0.016823</v>
      </c>
      <c r="AZ193" s="376" t="s">
        <v>129</v>
      </c>
      <c r="BA193" s="376" t="s">
        <v>129</v>
      </c>
      <c r="BB193" s="376" t="s">
        <v>129</v>
      </c>
      <c r="BC193" s="376" t="s">
        <v>129</v>
      </c>
      <c r="BD193" s="376" t="s">
        <v>129</v>
      </c>
      <c r="BE193" s="4"/>
      <c r="BF193" s="376">
        <v>0.016823</v>
      </c>
      <c r="BG193" s="376">
        <v>0.00962400000000002</v>
      </c>
      <c r="BH193" s="376" t="s">
        <v>129</v>
      </c>
      <c r="BI193" s="376" t="s">
        <v>129</v>
      </c>
      <c r="BJ193" s="376" t="s">
        <v>129</v>
      </c>
      <c r="BK193" s="376" t="s">
        <v>129</v>
      </c>
      <c r="BL193" s="376" t="s">
        <v>129</v>
      </c>
      <c r="BM193" s="376" t="s">
        <v>129</v>
      </c>
      <c r="BN193" s="376" t="s">
        <v>129</v>
      </c>
      <c r="BO193" s="376" t="s">
        <v>129</v>
      </c>
      <c r="BP193" s="376" t="s">
        <v>129</v>
      </c>
      <c r="BQ193" s="376" t="s">
        <v>129</v>
      </c>
      <c r="BR193" s="376" t="s">
        <v>129</v>
      </c>
      <c r="BS193" s="376" t="s">
        <v>129</v>
      </c>
      <c r="BT193" s="376" t="s">
        <v>129</v>
      </c>
      <c r="BU193" s="376" t="s">
        <v>129</v>
      </c>
    </row>
    <row r="194" spans="2:73">
      <c r="B194" s="361" t="s">
        <v>429</v>
      </c>
      <c r="C194" s="364">
        <v>2.05</v>
      </c>
      <c r="D194" s="365">
        <v>45838</v>
      </c>
      <c r="E194" s="364">
        <v>1338.002701</v>
      </c>
      <c r="F194" s="376">
        <v>-0.027266</v>
      </c>
      <c r="G194" s="376">
        <v>0.019782</v>
      </c>
      <c r="H194" s="376">
        <v>0.047149</v>
      </c>
      <c r="I194" s="376">
        <v>-0.002485</v>
      </c>
      <c r="J194" s="376" t="s">
        <v>129</v>
      </c>
      <c r="K194" s="376" t="s">
        <v>129</v>
      </c>
      <c r="L194" s="376" t="s">
        <v>129</v>
      </c>
      <c r="M194" s="4"/>
      <c r="N194" s="376">
        <v>0.03662</v>
      </c>
      <c r="O194" s="376">
        <v>0.0711392154925402</v>
      </c>
      <c r="P194" s="376">
        <v>0.0121</v>
      </c>
      <c r="Q194" s="376" t="s">
        <v>129</v>
      </c>
      <c r="R194" s="376" t="s">
        <v>129</v>
      </c>
      <c r="S194" s="376" t="s">
        <v>129</v>
      </c>
      <c r="T194" s="376" t="s">
        <v>129</v>
      </c>
      <c r="U194" s="376" t="s">
        <v>129</v>
      </c>
      <c r="V194" s="376" t="s">
        <v>129</v>
      </c>
      <c r="W194" s="376" t="s">
        <v>129</v>
      </c>
      <c r="X194" s="376" t="s">
        <v>129</v>
      </c>
      <c r="Y194" s="376" t="s">
        <v>129</v>
      </c>
      <c r="Z194" s="376" t="s">
        <v>129</v>
      </c>
      <c r="AA194" s="376"/>
      <c r="AB194" s="376"/>
      <c r="AC194" s="376"/>
      <c r="AS194" s="361" t="s">
        <v>430</v>
      </c>
      <c r="AT194" s="364">
        <v>0.4</v>
      </c>
      <c r="AU194" s="365">
        <v>45716</v>
      </c>
      <c r="AV194" s="364">
        <v>6619.273599</v>
      </c>
      <c r="AW194" s="3"/>
      <c r="AX194" s="376">
        <v>0.006857</v>
      </c>
      <c r="AY194" s="376">
        <v>0.018053</v>
      </c>
      <c r="AZ194" s="376">
        <v>0.035653</v>
      </c>
      <c r="BA194" s="376">
        <v>0.072786</v>
      </c>
      <c r="BB194" s="376">
        <v>0.066839</v>
      </c>
      <c r="BC194" s="376">
        <v>0.053123</v>
      </c>
      <c r="BD194" s="376">
        <v>0.05247</v>
      </c>
      <c r="BE194" s="4"/>
      <c r="BF194" s="376">
        <v>0.018053</v>
      </c>
      <c r="BG194" s="376">
        <v>0.0730367680895244</v>
      </c>
      <c r="BH194" s="376">
        <v>0.0697329251391587</v>
      </c>
      <c r="BI194" s="376">
        <v>0.0483336317137763</v>
      </c>
      <c r="BJ194" s="376">
        <v>0.0317886235314688</v>
      </c>
      <c r="BK194" s="376">
        <v>0.0376817037747392</v>
      </c>
      <c r="BL194" s="376">
        <v>0.0616877537004792</v>
      </c>
      <c r="BM194" s="376">
        <v>-0.0180547447184436</v>
      </c>
      <c r="BN194" s="376">
        <v>0.0675460335609772</v>
      </c>
      <c r="BO194" s="376">
        <v>0.0768087218845075</v>
      </c>
      <c r="BP194" s="376">
        <v>0.0842514160407409</v>
      </c>
      <c r="BQ194" s="376">
        <v>0.0907451891035725</v>
      </c>
      <c r="BR194" s="376">
        <v>0.0917445801158687</v>
      </c>
      <c r="BS194" s="376">
        <v>0.0968005325948869</v>
      </c>
      <c r="BT194" s="376">
        <v>0.0894171738112754</v>
      </c>
      <c r="BU194" s="376">
        <v>0.0536885794617754</v>
      </c>
    </row>
    <row r="195" spans="2:73">
      <c r="B195" s="361" t="s">
        <v>431</v>
      </c>
      <c r="C195" s="364">
        <v>2.02</v>
      </c>
      <c r="D195" s="365">
        <v>45838</v>
      </c>
      <c r="E195" s="364">
        <v>2301.628</v>
      </c>
      <c r="F195" s="376">
        <v>-0.004198</v>
      </c>
      <c r="G195" s="376">
        <v>0.02883</v>
      </c>
      <c r="H195" s="376">
        <v>0.051545</v>
      </c>
      <c r="I195" s="376">
        <v>0.038011</v>
      </c>
      <c r="J195" s="376">
        <v>0.110125</v>
      </c>
      <c r="K195" s="376">
        <v>0.107917</v>
      </c>
      <c r="L195" s="376">
        <v>0.083666</v>
      </c>
      <c r="M195" s="4"/>
      <c r="N195" s="376">
        <v>0.019166</v>
      </c>
      <c r="O195" s="376">
        <v>0.145808195376225</v>
      </c>
      <c r="P195" s="376">
        <v>0.148949148782787</v>
      </c>
      <c r="Q195" s="376">
        <v>-0.0183451279259662</v>
      </c>
      <c r="R195" s="376">
        <v>0.155345911949686</v>
      </c>
      <c r="S195" s="376">
        <v>0.129261363636364</v>
      </c>
      <c r="T195" s="376">
        <v>0.0864197530864197</v>
      </c>
      <c r="U195" s="376">
        <v>0.0127690167700796</v>
      </c>
      <c r="V195" s="376">
        <v>0.172558506056774</v>
      </c>
      <c r="W195" s="376">
        <v>0.0338966993823183</v>
      </c>
      <c r="X195" s="376">
        <v>0.0154301985531783</v>
      </c>
      <c r="Y195" s="376">
        <v>0.0395200000000001</v>
      </c>
      <c r="Z195" s="376" t="s">
        <v>129</v>
      </c>
      <c r="AA195" s="376"/>
      <c r="AB195" s="376"/>
      <c r="AC195" s="376"/>
      <c r="AS195" s="361" t="s">
        <v>432</v>
      </c>
      <c r="AT195" s="364">
        <v>0.32</v>
      </c>
      <c r="AU195" s="365">
        <v>45716</v>
      </c>
      <c r="AV195" s="364">
        <v>25965.1627497856</v>
      </c>
      <c r="AW195" s="3"/>
      <c r="AX195" s="376">
        <v>0.006758</v>
      </c>
      <c r="AY195" s="376">
        <v>0.018092</v>
      </c>
      <c r="AZ195" s="376">
        <v>0.03587</v>
      </c>
      <c r="BA195" s="376">
        <v>0.072916</v>
      </c>
      <c r="BB195" s="376">
        <v>0.066622</v>
      </c>
      <c r="BC195" s="376">
        <v>0.053725</v>
      </c>
      <c r="BD195" s="376">
        <v>0.06275</v>
      </c>
      <c r="BE195" s="4"/>
      <c r="BF195" s="376">
        <v>0.018092</v>
      </c>
      <c r="BG195" s="376">
        <v>0.073164222643892</v>
      </c>
      <c r="BH195" s="376">
        <v>0.0696557428989366</v>
      </c>
      <c r="BI195" s="376">
        <v>0.0476402440362377</v>
      </c>
      <c r="BJ195" s="376">
        <v>0.0322596941684416</v>
      </c>
      <c r="BK195" s="376">
        <v>0.0430400233898188</v>
      </c>
      <c r="BL195" s="376">
        <v>0.0657235013989531</v>
      </c>
      <c r="BM195" s="376">
        <v>0.0742966844809573</v>
      </c>
      <c r="BN195" s="376">
        <v>0.0668136342401995</v>
      </c>
      <c r="BO195" s="376">
        <v>0.0765169976595819</v>
      </c>
      <c r="BP195" s="376">
        <v>0.0835406378240202</v>
      </c>
      <c r="BQ195" s="376">
        <v>0.0910825637882388</v>
      </c>
      <c r="BR195" s="376">
        <v>0.0934292661582004</v>
      </c>
      <c r="BS195" s="376">
        <v>0.0980932396679135</v>
      </c>
      <c r="BT195" s="376">
        <v>0.0903285276602518</v>
      </c>
      <c r="BU195" s="376">
        <v>0.0504559355211737</v>
      </c>
    </row>
    <row r="196" spans="2:73">
      <c r="B196" s="361" t="s">
        <v>433</v>
      </c>
      <c r="C196" s="364">
        <v>2.3</v>
      </c>
      <c r="D196" s="365">
        <v>45838</v>
      </c>
      <c r="E196" s="364">
        <v>143.2244</v>
      </c>
      <c r="F196" s="376">
        <v>-0.022007</v>
      </c>
      <c r="G196" s="376">
        <v>0.023475</v>
      </c>
      <c r="H196" s="376">
        <v>0.045918</v>
      </c>
      <c r="I196" s="376">
        <v>-0.029783</v>
      </c>
      <c r="J196" s="376">
        <v>0.107952</v>
      </c>
      <c r="K196" s="376">
        <v>0.111197</v>
      </c>
      <c r="L196" s="376">
        <v>0.069429</v>
      </c>
      <c r="M196" s="4"/>
      <c r="N196" s="376">
        <v>0.029322</v>
      </c>
      <c r="O196" s="376">
        <v>0.0641603653081843</v>
      </c>
      <c r="P196" s="376">
        <v>0.184083770737157</v>
      </c>
      <c r="Q196" s="376">
        <v>0.157281648136515</v>
      </c>
      <c r="R196" s="376">
        <v>0.0716517215236203</v>
      </c>
      <c r="S196" s="376">
        <v>0.0668693432998173</v>
      </c>
      <c r="T196" s="376">
        <v>-0.0364876213510698</v>
      </c>
      <c r="U196" s="376">
        <v>-0.000906161900926333</v>
      </c>
      <c r="V196" s="376">
        <v>0.131980852518806</v>
      </c>
      <c r="W196" s="376">
        <v>0.0498815383265393</v>
      </c>
      <c r="X196" s="376">
        <v>0.0578292715857692</v>
      </c>
      <c r="Y196" s="376">
        <v>0.18504</v>
      </c>
      <c r="Z196" s="376" t="s">
        <v>129</v>
      </c>
      <c r="AA196" s="376"/>
      <c r="AB196" s="376"/>
      <c r="AC196" s="376"/>
      <c r="AS196" s="361" t="s">
        <v>434</v>
      </c>
      <c r="AT196" s="364">
        <v>0.25</v>
      </c>
      <c r="AU196" s="365">
        <v>45716</v>
      </c>
      <c r="AV196" s="364">
        <v>313.117692542</v>
      </c>
      <c r="AW196" s="3"/>
      <c r="AX196" s="376">
        <v>0.006351</v>
      </c>
      <c r="AY196" s="376">
        <v>0.017534</v>
      </c>
      <c r="AZ196" s="376">
        <v>0.034941</v>
      </c>
      <c r="BA196" s="376">
        <v>0.071358</v>
      </c>
      <c r="BB196" s="376">
        <v>0.066017</v>
      </c>
      <c r="BC196" s="376" t="s">
        <v>129</v>
      </c>
      <c r="BD196" s="376" t="s">
        <v>129</v>
      </c>
      <c r="BE196" s="4"/>
      <c r="BF196" s="376">
        <v>0.017534</v>
      </c>
      <c r="BG196" s="376">
        <v>0.0719503452020742</v>
      </c>
      <c r="BH196" s="376">
        <v>0.0696044641131064</v>
      </c>
      <c r="BI196" s="376">
        <v>0.0472974037489282</v>
      </c>
      <c r="BJ196" s="376">
        <v>0.0219081</v>
      </c>
      <c r="BK196" s="376" t="s">
        <v>129</v>
      </c>
      <c r="BL196" s="376" t="s">
        <v>129</v>
      </c>
      <c r="BM196" s="376" t="s">
        <v>129</v>
      </c>
      <c r="BN196" s="376" t="s">
        <v>129</v>
      </c>
      <c r="BO196" s="376" t="s">
        <v>129</v>
      </c>
      <c r="BP196" s="376" t="s">
        <v>129</v>
      </c>
      <c r="BQ196" s="376" t="s">
        <v>129</v>
      </c>
      <c r="BR196" s="376" t="s">
        <v>129</v>
      </c>
      <c r="BS196" s="376" t="s">
        <v>129</v>
      </c>
      <c r="BT196" s="376" t="s">
        <v>129</v>
      </c>
      <c r="BU196" s="376" t="s">
        <v>129</v>
      </c>
    </row>
    <row r="197" spans="2:73">
      <c r="B197" s="361" t="s">
        <v>435</v>
      </c>
      <c r="C197" s="364">
        <v>1.89</v>
      </c>
      <c r="D197" s="365">
        <v>45838</v>
      </c>
      <c r="E197" s="364">
        <v>4413.0209</v>
      </c>
      <c r="F197" s="376">
        <v>-0.010763</v>
      </c>
      <c r="G197" s="376">
        <v>0.055903</v>
      </c>
      <c r="H197" s="376">
        <v>0.079416</v>
      </c>
      <c r="I197" s="376">
        <v>0.051962</v>
      </c>
      <c r="J197" s="376">
        <v>0.152006</v>
      </c>
      <c r="K197" s="376">
        <v>0.153876</v>
      </c>
      <c r="L197" s="376" t="s">
        <v>129</v>
      </c>
      <c r="M197" s="4"/>
      <c r="N197" s="376">
        <v>0.043115</v>
      </c>
      <c r="O197" s="376">
        <v>0.149464223650524</v>
      </c>
      <c r="P197" s="376">
        <v>0.210745295599348</v>
      </c>
      <c r="Q197" s="376">
        <v>0.0263077858880777</v>
      </c>
      <c r="R197" s="376">
        <v>0.165131112686038</v>
      </c>
      <c r="S197" s="376">
        <v>0.262075134168157</v>
      </c>
      <c r="T197" s="376">
        <v>0.104743083003953</v>
      </c>
      <c r="U197" s="376">
        <v>0.0119999999999999</v>
      </c>
      <c r="V197" s="376" t="s">
        <v>129</v>
      </c>
      <c r="W197" s="376" t="s">
        <v>129</v>
      </c>
      <c r="X197" s="376" t="s">
        <v>129</v>
      </c>
      <c r="Y197" s="376" t="s">
        <v>129</v>
      </c>
      <c r="Z197" s="376" t="s">
        <v>129</v>
      </c>
      <c r="AA197" s="376"/>
      <c r="AB197" s="376"/>
      <c r="AC197" s="376"/>
      <c r="AS197" s="361" t="s">
        <v>436</v>
      </c>
      <c r="AT197" s="364">
        <v>0.18</v>
      </c>
      <c r="AU197" s="365">
        <v>45716</v>
      </c>
      <c r="AV197" s="364">
        <v>5169.8542</v>
      </c>
      <c r="AW197" s="3"/>
      <c r="AX197" s="376">
        <v>0.006722</v>
      </c>
      <c r="AY197" s="376">
        <v>0.018143</v>
      </c>
      <c r="AZ197" s="376">
        <v>0.035953</v>
      </c>
      <c r="BA197" s="376">
        <v>0.073235</v>
      </c>
      <c r="BB197" s="376">
        <v>0.067322</v>
      </c>
      <c r="BC197" s="376">
        <v>0.054231</v>
      </c>
      <c r="BD197" s="376">
        <v>0.058465</v>
      </c>
      <c r="BE197" s="4"/>
      <c r="BF197" s="376">
        <v>0.018143</v>
      </c>
      <c r="BG197" s="376">
        <v>0.0735326716433809</v>
      </c>
      <c r="BH197" s="376">
        <v>0.0704846409286675</v>
      </c>
      <c r="BI197" s="376">
        <v>0.0484347100814816</v>
      </c>
      <c r="BJ197" s="376">
        <v>0.0328370446741807</v>
      </c>
      <c r="BK197" s="376">
        <v>0.0431156275910544</v>
      </c>
      <c r="BL197" s="376">
        <v>0.0638835163198646</v>
      </c>
      <c r="BM197" s="376">
        <v>0.0360806830348244</v>
      </c>
      <c r="BN197" s="376">
        <v>0.0646637969981427</v>
      </c>
      <c r="BO197" s="376">
        <v>0.0743609049876737</v>
      </c>
      <c r="BP197" s="376">
        <v>0.0818929669276046</v>
      </c>
      <c r="BQ197" s="376">
        <v>0.0904497099049845</v>
      </c>
      <c r="BR197" s="376">
        <v>0.0927065695328603</v>
      </c>
      <c r="BS197" s="376">
        <v>0.0974932019926196</v>
      </c>
      <c r="BT197" s="376">
        <v>0.0482803095442821</v>
      </c>
      <c r="BU197" s="376" t="s">
        <v>129</v>
      </c>
    </row>
    <row r="198" spans="2:73">
      <c r="B198" s="361" t="s">
        <v>437</v>
      </c>
      <c r="C198" s="364">
        <v>2.09</v>
      </c>
      <c r="D198" s="365">
        <v>45838</v>
      </c>
      <c r="E198" s="364">
        <v>1506.9815</v>
      </c>
      <c r="F198" s="376">
        <v>-0.012548</v>
      </c>
      <c r="G198" s="376">
        <v>0.030211</v>
      </c>
      <c r="H198" s="376">
        <v>0.050308</v>
      </c>
      <c r="I198" s="376" t="s">
        <v>129</v>
      </c>
      <c r="J198" s="376" t="s">
        <v>129</v>
      </c>
      <c r="K198" s="376" t="s">
        <v>129</v>
      </c>
      <c r="L198" s="376" t="s">
        <v>129</v>
      </c>
      <c r="M198" s="4"/>
      <c r="N198" s="376">
        <v>0.021978</v>
      </c>
      <c r="O198" s="376">
        <v>0.000999999999999979</v>
      </c>
      <c r="P198" s="376" t="s">
        <v>129</v>
      </c>
      <c r="Q198" s="376" t="s">
        <v>129</v>
      </c>
      <c r="R198" s="376" t="s">
        <v>129</v>
      </c>
      <c r="S198" s="376" t="s">
        <v>129</v>
      </c>
      <c r="T198" s="376" t="s">
        <v>129</v>
      </c>
      <c r="U198" s="376" t="s">
        <v>129</v>
      </c>
      <c r="V198" s="376" t="s">
        <v>129</v>
      </c>
      <c r="W198" s="376" t="s">
        <v>129</v>
      </c>
      <c r="X198" s="376" t="s">
        <v>129</v>
      </c>
      <c r="Y198" s="376" t="s">
        <v>129</v>
      </c>
      <c r="Z198" s="376" t="s">
        <v>129</v>
      </c>
      <c r="AA198" s="376"/>
      <c r="AB198" s="376"/>
      <c r="AC198" s="376"/>
      <c r="AS198" s="361" t="s">
        <v>438</v>
      </c>
      <c r="AT198" s="364">
        <v>0.24</v>
      </c>
      <c r="AU198" s="365">
        <v>45716</v>
      </c>
      <c r="AV198" s="364">
        <v>24805.0723</v>
      </c>
      <c r="AW198" s="3"/>
      <c r="AX198" s="376">
        <v>0.006821</v>
      </c>
      <c r="AY198" s="376">
        <v>0.018211</v>
      </c>
      <c r="AZ198" s="376">
        <v>0.035928</v>
      </c>
      <c r="BA198" s="376">
        <v>0.07317</v>
      </c>
      <c r="BB198" s="376">
        <v>0.067163</v>
      </c>
      <c r="BC198" s="376">
        <v>0.05411</v>
      </c>
      <c r="BD198" s="376">
        <v>0.062855</v>
      </c>
      <c r="BE198" s="4"/>
      <c r="BF198" s="376">
        <v>0.018211</v>
      </c>
      <c r="BG198" s="376">
        <v>0.0733402192128902</v>
      </c>
      <c r="BH198" s="376">
        <v>0.0702709340456087</v>
      </c>
      <c r="BI198" s="376">
        <v>0.0482981011370551</v>
      </c>
      <c r="BJ198" s="376">
        <v>0.0328200508988868</v>
      </c>
      <c r="BK198" s="376">
        <v>0.0418075941756132</v>
      </c>
      <c r="BL198" s="376">
        <v>0.0662846096136798</v>
      </c>
      <c r="BM198" s="376">
        <v>0.0743590202505761</v>
      </c>
      <c r="BN198" s="376">
        <v>0.0667120914400765</v>
      </c>
      <c r="BO198" s="376">
        <v>0.0765586105273131</v>
      </c>
      <c r="BP198" s="376">
        <v>0.0828008589522238</v>
      </c>
      <c r="BQ198" s="376">
        <v>0.0908158422652575</v>
      </c>
      <c r="BR198" s="376">
        <v>0.0910537427043961</v>
      </c>
      <c r="BS198" s="376">
        <v>0.0959584392544835</v>
      </c>
      <c r="BT198" s="376">
        <v>0.0891737062453571</v>
      </c>
      <c r="BU198" s="376">
        <v>0.0539973471538135</v>
      </c>
    </row>
    <row r="199" ht="15.15" spans="2:73">
      <c r="B199" s="361" t="s">
        <v>439</v>
      </c>
      <c r="C199" s="364">
        <v>1.35</v>
      </c>
      <c r="D199" s="365">
        <v>45838</v>
      </c>
      <c r="E199" s="364">
        <v>102789.7656</v>
      </c>
      <c r="F199" s="376">
        <v>-0.018125</v>
      </c>
      <c r="G199" s="376">
        <v>0.025625</v>
      </c>
      <c r="H199" s="376">
        <v>0.053416</v>
      </c>
      <c r="I199" s="376">
        <v>0.007032</v>
      </c>
      <c r="J199" s="376">
        <v>0.199142</v>
      </c>
      <c r="K199" s="376">
        <v>0.238984</v>
      </c>
      <c r="L199" s="376">
        <v>0.141137</v>
      </c>
      <c r="M199" s="4"/>
      <c r="N199" s="376">
        <v>0.032344</v>
      </c>
      <c r="O199" s="376">
        <v>0.167102243082056</v>
      </c>
      <c r="P199" s="376">
        <v>0.312961176680204</v>
      </c>
      <c r="Q199" s="376">
        <v>0.187751989462508</v>
      </c>
      <c r="R199" s="376">
        <v>0.263608029728808</v>
      </c>
      <c r="S199" s="376">
        <v>0.0757136905588511</v>
      </c>
      <c r="T199" s="376">
        <v>0.0688847185555096</v>
      </c>
      <c r="U199" s="376">
        <v>-0.00779524080035361</v>
      </c>
      <c r="V199" s="376">
        <v>0.354170079704829</v>
      </c>
      <c r="W199" s="376">
        <v>0.0659089528668611</v>
      </c>
      <c r="X199" s="376">
        <v>-0.00365369340746627</v>
      </c>
      <c r="Y199" s="376">
        <v>0.428517397881997</v>
      </c>
      <c r="Z199" s="376">
        <v>-0.0139899630272872</v>
      </c>
      <c r="AA199" s="376"/>
      <c r="AB199" s="376"/>
      <c r="AC199" s="376"/>
      <c r="AS199" s="361" t="s">
        <v>440</v>
      </c>
      <c r="AT199" s="364">
        <v>0.3</v>
      </c>
      <c r="AU199" s="365">
        <v>45716</v>
      </c>
      <c r="AV199" s="364">
        <v>347.1612</v>
      </c>
      <c r="AW199" s="3"/>
      <c r="AX199" s="376">
        <v>0.00652</v>
      </c>
      <c r="AY199" s="376">
        <v>0.017856</v>
      </c>
      <c r="AZ199" s="376">
        <v>0.035404</v>
      </c>
      <c r="BA199" s="376">
        <v>0.072019</v>
      </c>
      <c r="BB199" s="376">
        <v>0.06529</v>
      </c>
      <c r="BC199" s="376">
        <v>0.051115</v>
      </c>
      <c r="BD199" s="376" t="s">
        <v>129</v>
      </c>
      <c r="BE199" s="4"/>
      <c r="BF199" s="376">
        <v>0.017856</v>
      </c>
      <c r="BG199" s="376">
        <v>0.0725518128493844</v>
      </c>
      <c r="BH199" s="376">
        <v>0.0685326065396241</v>
      </c>
      <c r="BI199" s="376">
        <v>0.04438131566903</v>
      </c>
      <c r="BJ199" s="376">
        <v>0.0292736693761902</v>
      </c>
      <c r="BK199" s="376">
        <v>0.0360567737316534</v>
      </c>
      <c r="BL199" s="376">
        <v>0.0633969200515534</v>
      </c>
      <c r="BM199" s="376" t="s">
        <v>129</v>
      </c>
      <c r="BN199" s="376" t="s">
        <v>129</v>
      </c>
      <c r="BO199" s="376" t="s">
        <v>129</v>
      </c>
      <c r="BP199" s="376" t="s">
        <v>129</v>
      </c>
      <c r="BQ199" s="376" t="s">
        <v>129</v>
      </c>
      <c r="BR199" s="376" t="s">
        <v>129</v>
      </c>
      <c r="BS199" s="376" t="s">
        <v>129</v>
      </c>
      <c r="BT199" s="376" t="s">
        <v>129</v>
      </c>
      <c r="BU199" s="376" t="s">
        <v>129</v>
      </c>
    </row>
    <row r="200" ht="15.15" spans="2:73">
      <c r="B200" s="361" t="s">
        <v>441</v>
      </c>
      <c r="C200" s="364">
        <v>2.11</v>
      </c>
      <c r="D200" s="365">
        <v>45838</v>
      </c>
      <c r="E200" s="364">
        <v>1555.1272</v>
      </c>
      <c r="F200" s="376">
        <v>0.003091</v>
      </c>
      <c r="G200" s="376">
        <v>0.035117</v>
      </c>
      <c r="H200" s="376">
        <v>0.049197</v>
      </c>
      <c r="I200" s="376">
        <v>0.029967</v>
      </c>
      <c r="J200" s="376">
        <v>0.123627</v>
      </c>
      <c r="K200" s="376">
        <v>0.105275</v>
      </c>
      <c r="L200" s="376">
        <v>0.076082</v>
      </c>
      <c r="M200" s="4"/>
      <c r="N200" s="376">
        <v>0.013958</v>
      </c>
      <c r="O200" s="376">
        <v>0.153874076384482</v>
      </c>
      <c r="P200" s="376">
        <v>0.179742739773827</v>
      </c>
      <c r="Q200" s="376">
        <v>0.0180687873405458</v>
      </c>
      <c r="R200" s="376">
        <v>0.0836016237402015</v>
      </c>
      <c r="S200" s="376">
        <v>0.127970316570617</v>
      </c>
      <c r="T200" s="376">
        <v>0.0816788352333376</v>
      </c>
      <c r="U200" s="376">
        <v>0.0340853900834473</v>
      </c>
      <c r="V200" s="376">
        <v>0.11445160655415</v>
      </c>
      <c r="W200" s="376">
        <v>0.0194121187800963</v>
      </c>
      <c r="X200" s="376">
        <v>0.0382792562887349</v>
      </c>
      <c r="Y200" s="376">
        <v>0.496687193078182</v>
      </c>
      <c r="Z200" s="376">
        <v>0.0723898687620163</v>
      </c>
      <c r="AA200" s="376"/>
      <c r="AB200" s="376"/>
      <c r="AC200" s="376"/>
      <c r="AS200" s="312" t="s">
        <v>162</v>
      </c>
      <c r="AT200"/>
      <c r="AU200"/>
      <c r="AV200"/>
      <c r="AW200" s="377"/>
      <c r="AX200" s="378">
        <f t="shared" ref="AX200:BD200" si="27">AVERAGE(AX161:AX199)</f>
        <v>0.00652648717948718</v>
      </c>
      <c r="AY200" s="378">
        <f t="shared" si="27"/>
        <v>0.0177760256410256</v>
      </c>
      <c r="AZ200" s="378">
        <f t="shared" si="27"/>
        <v>0.0353601842105263</v>
      </c>
      <c r="BA200" s="378">
        <f t="shared" si="27"/>
        <v>0.0715978684210526</v>
      </c>
      <c r="BB200" s="378">
        <f t="shared" si="27"/>
        <v>0.0662704857142857</v>
      </c>
      <c r="BC200" s="378">
        <f t="shared" si="27"/>
        <v>0.0532033823529412</v>
      </c>
      <c r="BD200" s="378">
        <f t="shared" si="27"/>
        <v>0.0617918275862069</v>
      </c>
      <c r="BE200" s="377"/>
      <c r="BF200" s="378">
        <f t="shared" ref="BF200:BU200" si="28">AVERAGE(BF161:BF199)</f>
        <v>0.0177760256410256</v>
      </c>
      <c r="BG200" s="378">
        <f t="shared" si="28"/>
        <v>0.0699363034044772</v>
      </c>
      <c r="BH200" s="378">
        <f t="shared" si="28"/>
        <v>0.0646936136830093</v>
      </c>
      <c r="BI200" s="378">
        <f t="shared" si="28"/>
        <v>0.0476390119226116</v>
      </c>
      <c r="BJ200" s="378">
        <f t="shared" si="28"/>
        <v>0.0320466153114921</v>
      </c>
      <c r="BK200" s="378">
        <f t="shared" si="28"/>
        <v>0.0402914671651325</v>
      </c>
      <c r="BL200" s="378">
        <f t="shared" si="28"/>
        <v>0.0638293378615622</v>
      </c>
      <c r="BM200" s="378">
        <f t="shared" si="28"/>
        <v>0.0660677940261568</v>
      </c>
      <c r="BN200" s="378">
        <f t="shared" si="28"/>
        <v>0.0662102932373132</v>
      </c>
      <c r="BO200" s="378">
        <f t="shared" si="28"/>
        <v>0.0743055044226096</v>
      </c>
      <c r="BP200" s="378">
        <f t="shared" si="28"/>
        <v>0.0829967389524803</v>
      </c>
      <c r="BQ200" s="378">
        <f t="shared" si="28"/>
        <v>0.0906550523200219</v>
      </c>
      <c r="BR200" s="378">
        <f t="shared" si="28"/>
        <v>0.0891880675872744</v>
      </c>
      <c r="BS200" s="378">
        <f t="shared" si="28"/>
        <v>0.0956511951191601</v>
      </c>
      <c r="BT200" s="378">
        <f t="shared" si="28"/>
        <v>0.071089904157708</v>
      </c>
      <c r="BU200" s="378">
        <f t="shared" si="28"/>
        <v>0.053545358605131</v>
      </c>
    </row>
    <row r="201" spans="2:73">
      <c r="B201" s="361" t="s">
        <v>44</v>
      </c>
      <c r="C201" s="364">
        <v>1.44</v>
      </c>
      <c r="D201" s="365">
        <v>45838</v>
      </c>
      <c r="E201" s="364">
        <v>65297.8735882379</v>
      </c>
      <c r="F201" s="376">
        <v>-0.007679</v>
      </c>
      <c r="G201" s="376">
        <v>0.029922</v>
      </c>
      <c r="H201" s="376">
        <v>0.067536</v>
      </c>
      <c r="I201" s="376">
        <v>0.059856</v>
      </c>
      <c r="J201" s="376">
        <v>0.132507</v>
      </c>
      <c r="K201" s="376">
        <v>0.147989</v>
      </c>
      <c r="L201" s="376">
        <v>0.107756</v>
      </c>
      <c r="M201" s="4"/>
      <c r="N201" s="376">
        <v>0.064913</v>
      </c>
      <c r="O201" s="376">
        <v>0.123071927260919</v>
      </c>
      <c r="P201" s="376">
        <v>0.165153234960273</v>
      </c>
      <c r="Q201" s="376">
        <v>0.0789957134109001</v>
      </c>
      <c r="R201" s="376">
        <v>0.151351351351351</v>
      </c>
      <c r="S201" s="376">
        <v>0.117091100026253</v>
      </c>
      <c r="T201" s="376">
        <v>0.107911576497964</v>
      </c>
      <c r="U201" s="376">
        <v>0.0244338498212157</v>
      </c>
      <c r="V201" s="376">
        <v>0.190070921985816</v>
      </c>
      <c r="W201" s="376">
        <v>0.0734678340312143</v>
      </c>
      <c r="X201" s="376">
        <v>0.0670186839967506</v>
      </c>
      <c r="Y201" s="376">
        <v>0.290356394129979</v>
      </c>
      <c r="Z201" s="376">
        <v>0.109302325581395</v>
      </c>
      <c r="AA201" s="376"/>
      <c r="AB201" s="376"/>
      <c r="AC201" s="376"/>
      <c r="AN201" s="281">
        <v>1.17</v>
      </c>
      <c r="AO201" s="281">
        <v>0.53</v>
      </c>
      <c r="AP201" s="281">
        <v>25.93</v>
      </c>
      <c r="AQ201" s="281">
        <v>3.96</v>
      </c>
      <c r="AS201" s="312" t="s">
        <v>178</v>
      </c>
      <c r="AT201"/>
      <c r="AU201"/>
      <c r="AV201"/>
      <c r="AW201"/>
      <c r="AX201" s="379">
        <v>0.0087263867959253</v>
      </c>
      <c r="AY201" s="379">
        <v>0.0207643930788102</v>
      </c>
      <c r="AZ201" s="379">
        <v>0.0377184412193585</v>
      </c>
      <c r="BA201" s="379">
        <v>0.080280059411505</v>
      </c>
      <c r="BB201" s="379">
        <v>0.0659301709109001</v>
      </c>
      <c r="BC201" s="379">
        <v>0.0655149768088614</v>
      </c>
      <c r="BD201" s="379">
        <v>0.0738047315298365</v>
      </c>
      <c r="BE201" s="382"/>
      <c r="BF201" s="379">
        <v>0.0207643930788102</v>
      </c>
      <c r="BG201" s="379">
        <v>0.0797029257152309</v>
      </c>
      <c r="BH201" s="379">
        <v>0.0725988870220093</v>
      </c>
      <c r="BI201" s="379">
        <v>0.0358682288812193</v>
      </c>
      <c r="BJ201" s="379">
        <v>0.0437965988907254</v>
      </c>
      <c r="BK201" s="379">
        <v>0.104161972570555</v>
      </c>
      <c r="BL201" s="379">
        <v>0.0953364838894115</v>
      </c>
      <c r="BM201" s="379">
        <v>0.0665068187794211</v>
      </c>
      <c r="BN201" s="379">
        <v>0.0602957159773323</v>
      </c>
      <c r="BO201" s="379">
        <v>0.0986738756953636</v>
      </c>
      <c r="BP201" s="379">
        <v>0.0865549936165921</v>
      </c>
      <c r="BQ201" s="379">
        <v>0.104681934209951</v>
      </c>
      <c r="BR201" s="379">
        <v>0.0827206164504672</v>
      </c>
      <c r="BS201" s="379">
        <v>0.0912371315059957</v>
      </c>
      <c r="BT201" s="379">
        <v>0.0786771029274067</v>
      </c>
      <c r="BU201" s="379">
        <v>0.0470040326565153</v>
      </c>
    </row>
    <row r="202" ht="15.15" spans="2:73">
      <c r="B202" s="361" t="s">
        <v>442</v>
      </c>
      <c r="C202" s="364">
        <v>2.37</v>
      </c>
      <c r="D202" s="365">
        <v>45838</v>
      </c>
      <c r="E202" s="364">
        <v>408.1451</v>
      </c>
      <c r="F202" s="376">
        <v>-0.016236</v>
      </c>
      <c r="G202" s="376">
        <v>0.029542</v>
      </c>
      <c r="H202" s="376">
        <v>0.04628</v>
      </c>
      <c r="I202" s="376">
        <v>0.019077</v>
      </c>
      <c r="J202" s="376">
        <v>0.115878</v>
      </c>
      <c r="K202" s="376">
        <v>0.107243</v>
      </c>
      <c r="L202" s="376" t="s">
        <v>129</v>
      </c>
      <c r="M202" s="4"/>
      <c r="N202" s="376">
        <v>0.014781</v>
      </c>
      <c r="O202" s="376">
        <v>0.135216451948468</v>
      </c>
      <c r="P202" s="376">
        <v>0.171458300134047</v>
      </c>
      <c r="Q202" s="376">
        <v>-0.0310453509178271</v>
      </c>
      <c r="R202" s="376">
        <v>0.220939516933928</v>
      </c>
      <c r="S202" s="376">
        <v>-0.09826</v>
      </c>
      <c r="T202" s="376">
        <v>0</v>
      </c>
      <c r="U202" s="376" t="s">
        <v>129</v>
      </c>
      <c r="V202" s="376" t="s">
        <v>129</v>
      </c>
      <c r="W202" s="376" t="s">
        <v>129</v>
      </c>
      <c r="X202" s="376" t="s">
        <v>129</v>
      </c>
      <c r="Y202" s="376" t="s">
        <v>129</v>
      </c>
      <c r="Z202" s="376" t="s">
        <v>129</v>
      </c>
      <c r="AA202" s="376"/>
      <c r="AB202" s="376"/>
      <c r="AC202" s="376"/>
      <c r="AS202"/>
      <c r="AT202"/>
      <c r="AU202"/>
      <c r="AV202"/>
      <c r="AW202"/>
      <c r="AX202"/>
      <c r="AY202"/>
      <c r="AZ202"/>
      <c r="BA202"/>
      <c r="BB202"/>
      <c r="BC202"/>
      <c r="BD202"/>
      <c r="BE202"/>
      <c r="BF202"/>
      <c r="BG202"/>
      <c r="BH202"/>
      <c r="BI202"/>
      <c r="BJ202"/>
      <c r="BK202"/>
      <c r="BL202"/>
      <c r="BM202"/>
      <c r="BN202"/>
      <c r="BO202"/>
      <c r="BP202"/>
      <c r="BQ202"/>
      <c r="BR202"/>
      <c r="BS202"/>
      <c r="BT202"/>
      <c r="BU202"/>
    </row>
    <row r="203" ht="15.15" spans="2:73">
      <c r="B203" s="361" t="s">
        <v>46</v>
      </c>
      <c r="C203" s="364">
        <v>1.65</v>
      </c>
      <c r="D203" s="365">
        <v>45838</v>
      </c>
      <c r="E203" s="364">
        <v>17677.4963</v>
      </c>
      <c r="F203" s="376">
        <v>-0.011369</v>
      </c>
      <c r="G203" s="376">
        <v>0.028053</v>
      </c>
      <c r="H203" s="376">
        <v>0.05268</v>
      </c>
      <c r="I203" s="376">
        <v>0.039089</v>
      </c>
      <c r="J203" s="376">
        <v>0.124126</v>
      </c>
      <c r="K203" s="376">
        <v>0.124873</v>
      </c>
      <c r="L203" s="376" t="s">
        <v>129</v>
      </c>
      <c r="M203" s="4"/>
      <c r="N203" s="376">
        <v>0.033177</v>
      </c>
      <c r="O203" s="376">
        <v>0.14339166474787</v>
      </c>
      <c r="P203" s="376">
        <v>0.160609299839658</v>
      </c>
      <c r="Q203" s="376">
        <v>0.0375710522667406</v>
      </c>
      <c r="R203" s="376">
        <v>0.129590478427688</v>
      </c>
      <c r="S203" s="376">
        <v>0.136412172984517</v>
      </c>
      <c r="T203" s="376">
        <v>0.121444965572298</v>
      </c>
      <c r="U203" s="376">
        <v>0.00210000000000008</v>
      </c>
      <c r="V203" s="376" t="s">
        <v>129</v>
      </c>
      <c r="W203" s="376" t="s">
        <v>129</v>
      </c>
      <c r="X203" s="376" t="s">
        <v>129</v>
      </c>
      <c r="Y203" s="376" t="s">
        <v>129</v>
      </c>
      <c r="Z203" s="376" t="s">
        <v>129</v>
      </c>
      <c r="AA203" s="376"/>
      <c r="AB203" s="376"/>
      <c r="AC203" s="376"/>
      <c r="AN203" s="281">
        <v>0.85</v>
      </c>
      <c r="AO203" s="281">
        <v>0.69</v>
      </c>
      <c r="AP203" s="281">
        <v>23.65</v>
      </c>
      <c r="AQ203" s="281">
        <v>3.7</v>
      </c>
      <c r="AS203" s="320" t="s">
        <v>443</v>
      </c>
      <c r="AT203" s="351" t="s">
        <v>87</v>
      </c>
      <c r="AU203" s="393" t="s">
        <v>110</v>
      </c>
      <c r="AV203" s="394"/>
      <c r="AW203" s="368"/>
      <c r="AX203" s="325" t="s">
        <v>113</v>
      </c>
      <c r="AY203" s="326"/>
      <c r="AZ203" s="326"/>
      <c r="BA203" s="326"/>
      <c r="BB203" s="326"/>
      <c r="BC203" s="326"/>
      <c r="BD203" s="345"/>
      <c r="BE203" s="368"/>
      <c r="BF203" s="393" t="s">
        <v>114</v>
      </c>
      <c r="BG203" s="396"/>
      <c r="BH203" s="396"/>
      <c r="BI203" s="396"/>
      <c r="BJ203" s="396"/>
      <c r="BK203" s="396"/>
      <c r="BL203" s="396"/>
      <c r="BM203" s="396"/>
      <c r="BN203" s="396"/>
      <c r="BO203" s="396"/>
      <c r="BP203" s="396"/>
      <c r="BQ203" s="396"/>
      <c r="BR203" s="396"/>
      <c r="BS203" s="396"/>
      <c r="BT203" s="396"/>
      <c r="BU203" s="398"/>
    </row>
    <row r="204" ht="17.5" customHeight="1" spans="2:73">
      <c r="B204" s="361" t="s">
        <v>444</v>
      </c>
      <c r="C204" s="364">
        <v>2.21</v>
      </c>
      <c r="D204" s="365">
        <v>45838</v>
      </c>
      <c r="E204" s="364">
        <v>845.3469</v>
      </c>
      <c r="F204" s="376">
        <v>-0.019874</v>
      </c>
      <c r="G204" s="376">
        <v>0.027909</v>
      </c>
      <c r="H204" s="376">
        <v>0.049187</v>
      </c>
      <c r="I204" s="376">
        <v>0.046303</v>
      </c>
      <c r="J204" s="376">
        <v>0.106492</v>
      </c>
      <c r="K204" s="376" t="s">
        <v>129</v>
      </c>
      <c r="L204" s="376" t="s">
        <v>129</v>
      </c>
      <c r="M204" s="4"/>
      <c r="N204" s="376">
        <v>0.032221</v>
      </c>
      <c r="O204" s="376">
        <v>0.120799250386203</v>
      </c>
      <c r="P204" s="376">
        <v>0.132546822566613</v>
      </c>
      <c r="Q204" s="376">
        <v>0.0537572661971973</v>
      </c>
      <c r="R204" s="376">
        <v>-0.00739000000000001</v>
      </c>
      <c r="S204" s="376" t="s">
        <v>129</v>
      </c>
      <c r="T204" s="376" t="s">
        <v>129</v>
      </c>
      <c r="U204" s="376" t="s">
        <v>129</v>
      </c>
      <c r="V204" s="376" t="s">
        <v>129</v>
      </c>
      <c r="W204" s="376" t="s">
        <v>129</v>
      </c>
      <c r="X204" s="376" t="s">
        <v>129</v>
      </c>
      <c r="Y204" s="376" t="s">
        <v>129</v>
      </c>
      <c r="Z204" s="376" t="s">
        <v>129</v>
      </c>
      <c r="AA204" s="376"/>
      <c r="AB204" s="376"/>
      <c r="AC204" s="376"/>
      <c r="AS204" s="322"/>
      <c r="AT204" s="355" t="s">
        <v>121</v>
      </c>
      <c r="AU204" s="356" t="s">
        <v>115</v>
      </c>
      <c r="AV204" s="357" t="s">
        <v>116</v>
      </c>
      <c r="AW204" s="369"/>
      <c r="AX204" s="266" t="s">
        <v>122</v>
      </c>
      <c r="AY204" s="268" t="s">
        <v>123</v>
      </c>
      <c r="AZ204" s="268" t="s">
        <v>124</v>
      </c>
      <c r="BA204" s="268" t="s">
        <v>91</v>
      </c>
      <c r="BB204" s="268" t="s">
        <v>125</v>
      </c>
      <c r="BC204" s="268" t="s">
        <v>126</v>
      </c>
      <c r="BD204" s="269" t="s">
        <v>127</v>
      </c>
      <c r="BE204" s="369"/>
      <c r="BF204" s="266">
        <v>2025</v>
      </c>
      <c r="BG204" s="266">
        <v>2024</v>
      </c>
      <c r="BH204" s="266">
        <v>2023</v>
      </c>
      <c r="BI204" s="268">
        <v>2022</v>
      </c>
      <c r="BJ204" s="268">
        <v>2021</v>
      </c>
      <c r="BK204" s="268">
        <v>2020</v>
      </c>
      <c r="BL204" s="268">
        <v>2019</v>
      </c>
      <c r="BM204" s="268">
        <v>2018</v>
      </c>
      <c r="BN204" s="268">
        <v>2017</v>
      </c>
      <c r="BO204" s="268">
        <v>2016</v>
      </c>
      <c r="BP204" s="268">
        <v>2015</v>
      </c>
      <c r="BQ204" s="268">
        <v>2014</v>
      </c>
      <c r="BR204" s="268">
        <v>2013</v>
      </c>
      <c r="BS204" s="268">
        <v>2012</v>
      </c>
      <c r="BT204" s="268">
        <v>2011</v>
      </c>
      <c r="BU204" s="269">
        <v>2010</v>
      </c>
    </row>
    <row r="205" spans="2:73">
      <c r="B205" s="361" t="s">
        <v>445</v>
      </c>
      <c r="C205" s="364">
        <v>2.19</v>
      </c>
      <c r="D205" s="365">
        <v>45838</v>
      </c>
      <c r="E205" s="364">
        <v>932.6537</v>
      </c>
      <c r="F205" s="376">
        <v>-0.012968</v>
      </c>
      <c r="G205" s="376">
        <v>0.039624</v>
      </c>
      <c r="H205" s="376">
        <v>0.05999</v>
      </c>
      <c r="I205" s="376">
        <v>0.02053</v>
      </c>
      <c r="J205" s="376">
        <v>0.135562</v>
      </c>
      <c r="K205" s="376" t="s">
        <v>129</v>
      </c>
      <c r="L205" s="376" t="s">
        <v>129</v>
      </c>
      <c r="M205" s="4"/>
      <c r="N205" s="376">
        <v>0.02493</v>
      </c>
      <c r="O205" s="376">
        <v>0.141407181017081</v>
      </c>
      <c r="P205" s="376">
        <v>0.199103731858347</v>
      </c>
      <c r="Q205" s="376">
        <v>0.0287100000000001</v>
      </c>
      <c r="R205" s="376">
        <v>0</v>
      </c>
      <c r="S205" s="376" t="s">
        <v>129</v>
      </c>
      <c r="T205" s="376" t="s">
        <v>129</v>
      </c>
      <c r="U205" s="376" t="s">
        <v>129</v>
      </c>
      <c r="V205" s="376" t="s">
        <v>129</v>
      </c>
      <c r="W205" s="376" t="s">
        <v>129</v>
      </c>
      <c r="X205" s="376" t="s">
        <v>129</v>
      </c>
      <c r="Y205" s="376" t="s">
        <v>129</v>
      </c>
      <c r="Z205" s="376" t="s">
        <v>129</v>
      </c>
      <c r="AA205" s="376"/>
      <c r="AB205" s="376"/>
      <c r="AC205" s="376"/>
      <c r="AS205" s="361" t="s">
        <v>446</v>
      </c>
      <c r="AT205" s="364">
        <v>1.09</v>
      </c>
      <c r="AU205" s="365">
        <v>45716</v>
      </c>
      <c r="AV205" s="364">
        <v>150.8095</v>
      </c>
      <c r="AW205" s="3"/>
      <c r="AX205" s="376">
        <v>0.026649</v>
      </c>
      <c r="AY205" s="376">
        <v>0.026741</v>
      </c>
      <c r="AZ205" s="376">
        <v>0.03388</v>
      </c>
      <c r="BA205" s="376">
        <v>0.093116</v>
      </c>
      <c r="BB205" s="376" t="s">
        <v>129</v>
      </c>
      <c r="BC205" s="376" t="s">
        <v>129</v>
      </c>
      <c r="BD205" s="376" t="s">
        <v>129</v>
      </c>
      <c r="BE205" s="4"/>
      <c r="BF205" s="376">
        <v>0.026741</v>
      </c>
      <c r="BG205" s="376">
        <v>0.105014531614134</v>
      </c>
      <c r="BH205" s="376">
        <v>0.0727095478939036</v>
      </c>
      <c r="BI205" s="376">
        <v>0.03604</v>
      </c>
      <c r="BJ205" s="376" t="s">
        <v>129</v>
      </c>
      <c r="BK205" s="376" t="s">
        <v>129</v>
      </c>
      <c r="BL205" s="376" t="s">
        <v>129</v>
      </c>
      <c r="BM205" s="376" t="s">
        <v>129</v>
      </c>
      <c r="BN205" s="376" t="s">
        <v>129</v>
      </c>
      <c r="BO205" s="376" t="s">
        <v>129</v>
      </c>
      <c r="BP205" s="376" t="s">
        <v>129</v>
      </c>
      <c r="BQ205" s="376" t="s">
        <v>129</v>
      </c>
      <c r="BR205" s="376" t="s">
        <v>129</v>
      </c>
      <c r="BS205" s="376" t="s">
        <v>129</v>
      </c>
      <c r="BT205" s="376" t="s">
        <v>129</v>
      </c>
      <c r="BU205" s="376" t="s">
        <v>129</v>
      </c>
    </row>
    <row r="206" spans="2:73">
      <c r="B206" s="361" t="s">
        <v>447</v>
      </c>
      <c r="C206" s="364">
        <v>1.74</v>
      </c>
      <c r="D206" s="365">
        <v>45838</v>
      </c>
      <c r="E206" s="364">
        <v>9390.8935</v>
      </c>
      <c r="F206" s="376">
        <v>-0.007947</v>
      </c>
      <c r="G206" s="376">
        <v>0.022717</v>
      </c>
      <c r="H206" s="376">
        <v>0.050583</v>
      </c>
      <c r="I206" s="376">
        <v>0.027673</v>
      </c>
      <c r="J206" s="376">
        <v>0.12653</v>
      </c>
      <c r="K206" s="376">
        <v>0.140432</v>
      </c>
      <c r="L206" s="376">
        <v>0.096531</v>
      </c>
      <c r="M206" s="4"/>
      <c r="N206" s="376">
        <v>0.039729</v>
      </c>
      <c r="O206" s="376">
        <v>0.130026592901433</v>
      </c>
      <c r="P206" s="376">
        <v>0.175053663484805</v>
      </c>
      <c r="Q206" s="376">
        <v>0.0508773000971936</v>
      </c>
      <c r="R206" s="376">
        <v>0.157058356308759</v>
      </c>
      <c r="S206" s="376">
        <v>0.111653998892056</v>
      </c>
      <c r="T206" s="376">
        <v>0.0825672263211469</v>
      </c>
      <c r="U206" s="376">
        <v>0.00448802059711784</v>
      </c>
      <c r="V206" s="376">
        <v>0.252278304299947</v>
      </c>
      <c r="W206" s="376">
        <v>0.063912028708752</v>
      </c>
      <c r="X206" s="376">
        <v>0.00940036037042726</v>
      </c>
      <c r="Y206" s="376">
        <v>0.383597059890873</v>
      </c>
      <c r="Z206" s="376">
        <v>0.0461809767713527</v>
      </c>
      <c r="AA206" s="376"/>
      <c r="AB206" s="376"/>
      <c r="AC206" s="376"/>
      <c r="AS206" s="361" t="s">
        <v>448</v>
      </c>
      <c r="AT206" s="364">
        <v>0.76</v>
      </c>
      <c r="AU206" s="365">
        <v>45716</v>
      </c>
      <c r="AV206" s="364">
        <v>474.126499</v>
      </c>
      <c r="AW206" s="3"/>
      <c r="AX206" s="376">
        <v>0.030169</v>
      </c>
      <c r="AY206" s="376">
        <v>0.027005</v>
      </c>
      <c r="AZ206" s="376">
        <v>0.028551</v>
      </c>
      <c r="BA206" s="376">
        <v>0.092004</v>
      </c>
      <c r="BB206" s="376" t="s">
        <v>129</v>
      </c>
      <c r="BC206" s="376" t="s">
        <v>129</v>
      </c>
      <c r="BD206" s="376" t="s">
        <v>129</v>
      </c>
      <c r="BE206" s="4"/>
      <c r="BF206" s="376">
        <v>0.027005</v>
      </c>
      <c r="BG206" s="376">
        <v>0.111280362714652</v>
      </c>
      <c r="BH206" s="376">
        <v>0.0715121359794994</v>
      </c>
      <c r="BI206" s="376">
        <v>0.00196280000000002</v>
      </c>
      <c r="BJ206" s="376" t="s">
        <v>129</v>
      </c>
      <c r="BK206" s="376" t="s">
        <v>129</v>
      </c>
      <c r="BL206" s="376" t="s">
        <v>129</v>
      </c>
      <c r="BM206" s="376" t="s">
        <v>129</v>
      </c>
      <c r="BN206" s="376" t="s">
        <v>129</v>
      </c>
      <c r="BO206" s="376" t="s">
        <v>129</v>
      </c>
      <c r="BP206" s="376" t="s">
        <v>129</v>
      </c>
      <c r="BQ206" s="376" t="s">
        <v>129</v>
      </c>
      <c r="BR206" s="376" t="s">
        <v>129</v>
      </c>
      <c r="BS206" s="376" t="s">
        <v>129</v>
      </c>
      <c r="BT206" s="376" t="s">
        <v>129</v>
      </c>
      <c r="BU206" s="376" t="s">
        <v>129</v>
      </c>
    </row>
    <row r="207" spans="2:73">
      <c r="B207" s="361" t="s">
        <v>449</v>
      </c>
      <c r="C207" s="364">
        <v>1.89</v>
      </c>
      <c r="D207" s="365">
        <v>45838</v>
      </c>
      <c r="E207" s="364">
        <v>3837.88598</v>
      </c>
      <c r="F207" s="376">
        <v>-0.006579</v>
      </c>
      <c r="G207" s="376">
        <v>0.036613</v>
      </c>
      <c r="H207" s="376">
        <v>0.031891</v>
      </c>
      <c r="I207" s="376">
        <v>-0.046316</v>
      </c>
      <c r="J207" s="376">
        <v>0.122092</v>
      </c>
      <c r="K207" s="376" t="s">
        <v>129</v>
      </c>
      <c r="L207" s="376" t="s">
        <v>129</v>
      </c>
      <c r="M207" s="4"/>
      <c r="N207" s="376">
        <v>0.008909</v>
      </c>
      <c r="O207" s="376">
        <v>0.100490196078431</v>
      </c>
      <c r="P207" s="376">
        <v>0.230150753768844</v>
      </c>
      <c r="Q207" s="376">
        <v>-0.00200601805416262</v>
      </c>
      <c r="R207" s="376">
        <v>-0.00299999999999994</v>
      </c>
      <c r="S207" s="376" t="s">
        <v>129</v>
      </c>
      <c r="T207" s="376" t="s">
        <v>129</v>
      </c>
      <c r="U207" s="376" t="s">
        <v>129</v>
      </c>
      <c r="V207" s="376" t="s">
        <v>129</v>
      </c>
      <c r="W207" s="376" t="s">
        <v>129</v>
      </c>
      <c r="X207" s="376" t="s">
        <v>129</v>
      </c>
      <c r="Y207" s="376" t="s">
        <v>129</v>
      </c>
      <c r="Z207" s="376" t="s">
        <v>129</v>
      </c>
      <c r="AA207" s="376"/>
      <c r="AB207" s="376"/>
      <c r="AC207" s="376"/>
      <c r="AS207" s="361" t="s">
        <v>450</v>
      </c>
      <c r="AT207" s="364">
        <v>0.67</v>
      </c>
      <c r="AU207" s="365">
        <v>45716</v>
      </c>
      <c r="AV207" s="364">
        <v>186.2824</v>
      </c>
      <c r="AW207" s="3"/>
      <c r="AX207" s="376">
        <v>0.030852</v>
      </c>
      <c r="AY207" s="376">
        <v>0.02848</v>
      </c>
      <c r="AZ207" s="376">
        <v>0.029279</v>
      </c>
      <c r="BA207" s="376">
        <v>0.091836</v>
      </c>
      <c r="BB207" s="376" t="s">
        <v>129</v>
      </c>
      <c r="BC207" s="376" t="s">
        <v>129</v>
      </c>
      <c r="BD207" s="376" t="s">
        <v>129</v>
      </c>
      <c r="BE207" s="4"/>
      <c r="BF207" s="376">
        <v>0.02848</v>
      </c>
      <c r="BG207" s="376">
        <v>0.0691599999999999</v>
      </c>
      <c r="BH207" s="376" t="s">
        <v>129</v>
      </c>
      <c r="BI207" s="376" t="s">
        <v>129</v>
      </c>
      <c r="BJ207" s="376" t="s">
        <v>129</v>
      </c>
      <c r="BK207" s="376" t="s">
        <v>129</v>
      </c>
      <c r="BL207" s="376" t="s">
        <v>129</v>
      </c>
      <c r="BM207" s="376" t="s">
        <v>129</v>
      </c>
      <c r="BN207" s="376" t="s">
        <v>129</v>
      </c>
      <c r="BO207" s="376" t="s">
        <v>129</v>
      </c>
      <c r="BP207" s="376" t="s">
        <v>129</v>
      </c>
      <c r="BQ207" s="376" t="s">
        <v>129</v>
      </c>
      <c r="BR207" s="376" t="s">
        <v>129</v>
      </c>
      <c r="BS207" s="376" t="s">
        <v>129</v>
      </c>
      <c r="BT207" s="376" t="s">
        <v>129</v>
      </c>
      <c r="BU207" s="376" t="s">
        <v>129</v>
      </c>
    </row>
    <row r="208" ht="15" customHeight="1" spans="2:73">
      <c r="B208" s="361" t="s">
        <v>451</v>
      </c>
      <c r="C208" s="364">
        <v>1.56</v>
      </c>
      <c r="D208" s="365">
        <v>45838</v>
      </c>
      <c r="E208" s="364">
        <v>36637.4701</v>
      </c>
      <c r="F208" s="376">
        <v>-0.019406</v>
      </c>
      <c r="G208" s="376">
        <v>0.015102</v>
      </c>
      <c r="H208" s="376">
        <v>0.047542</v>
      </c>
      <c r="I208" s="376">
        <v>0.03322</v>
      </c>
      <c r="J208" s="376">
        <v>0.139721</v>
      </c>
      <c r="K208" s="376" t="s">
        <v>129</v>
      </c>
      <c r="L208" s="376" t="s">
        <v>129</v>
      </c>
      <c r="M208" s="4"/>
      <c r="N208" s="376">
        <v>0.040899</v>
      </c>
      <c r="O208" s="376">
        <v>0.134637256191441</v>
      </c>
      <c r="P208" s="376">
        <v>0.203902757078987</v>
      </c>
      <c r="Q208" s="376">
        <v>0.0506640047757456</v>
      </c>
      <c r="R208" s="376">
        <v>0.0218299999999999</v>
      </c>
      <c r="S208" s="376" t="s">
        <v>129</v>
      </c>
      <c r="T208" s="376" t="s">
        <v>129</v>
      </c>
      <c r="U208" s="376" t="s">
        <v>129</v>
      </c>
      <c r="V208" s="376" t="s">
        <v>129</v>
      </c>
      <c r="W208" s="376" t="s">
        <v>129</v>
      </c>
      <c r="X208" s="376" t="s">
        <v>129</v>
      </c>
      <c r="Y208" s="376" t="s">
        <v>129</v>
      </c>
      <c r="Z208" s="376" t="s">
        <v>129</v>
      </c>
      <c r="AA208" s="376"/>
      <c r="AB208" s="376"/>
      <c r="AC208" s="376"/>
      <c r="AS208" s="361" t="s">
        <v>452</v>
      </c>
      <c r="AT208" s="364">
        <v>0.85</v>
      </c>
      <c r="AU208" s="365">
        <v>45716</v>
      </c>
      <c r="AV208" s="364">
        <v>27.991403794</v>
      </c>
      <c r="AW208" s="3"/>
      <c r="AX208" s="376">
        <v>0.023149</v>
      </c>
      <c r="AY208" s="376">
        <v>0.029659</v>
      </c>
      <c r="AZ208" s="376" t="s">
        <v>129</v>
      </c>
      <c r="BA208" s="376" t="s">
        <v>129</v>
      </c>
      <c r="BB208" s="376" t="s">
        <v>129</v>
      </c>
      <c r="BC208" s="376" t="s">
        <v>129</v>
      </c>
      <c r="BD208" s="376" t="s">
        <v>129</v>
      </c>
      <c r="BE208" s="4"/>
      <c r="BF208" s="376">
        <v>0.029659</v>
      </c>
      <c r="BG208" s="376">
        <v>0.00103000000000009</v>
      </c>
      <c r="BH208" s="376" t="s">
        <v>129</v>
      </c>
      <c r="BI208" s="376" t="s">
        <v>129</v>
      </c>
      <c r="BJ208" s="376" t="s">
        <v>129</v>
      </c>
      <c r="BK208" s="376" t="s">
        <v>129</v>
      </c>
      <c r="BL208" s="376" t="s">
        <v>129</v>
      </c>
      <c r="BM208" s="376" t="s">
        <v>129</v>
      </c>
      <c r="BN208" s="376" t="s">
        <v>129</v>
      </c>
      <c r="BO208" s="376" t="s">
        <v>129</v>
      </c>
      <c r="BP208" s="376" t="s">
        <v>129</v>
      </c>
      <c r="BQ208" s="376" t="s">
        <v>129</v>
      </c>
      <c r="BR208" s="376" t="s">
        <v>129</v>
      </c>
      <c r="BS208" s="376" t="s">
        <v>129</v>
      </c>
      <c r="BT208" s="376" t="s">
        <v>129</v>
      </c>
      <c r="BU208" s="376" t="s">
        <v>129</v>
      </c>
    </row>
    <row r="209" spans="2:73">
      <c r="B209" s="361" t="s">
        <v>45</v>
      </c>
      <c r="C209" s="364">
        <v>1.69</v>
      </c>
      <c r="D209" s="365">
        <v>45838</v>
      </c>
      <c r="E209" s="364">
        <v>10353.0941156144</v>
      </c>
      <c r="F209" s="376">
        <v>-0.009833</v>
      </c>
      <c r="G209" s="376">
        <v>0.026203</v>
      </c>
      <c r="H209" s="376">
        <v>0.04154</v>
      </c>
      <c r="I209" s="376">
        <v>0.009206</v>
      </c>
      <c r="J209" s="376">
        <v>0.114158</v>
      </c>
      <c r="K209" s="376">
        <v>0.13002</v>
      </c>
      <c r="L209" s="376" t="s">
        <v>129</v>
      </c>
      <c r="M209" s="4"/>
      <c r="N209" s="376">
        <v>0.027955</v>
      </c>
      <c r="O209" s="376">
        <v>0.107589676656459</v>
      </c>
      <c r="P209" s="376">
        <v>0.170086541097231</v>
      </c>
      <c r="Q209" s="376">
        <v>0.0547539719690504</v>
      </c>
      <c r="R209" s="376">
        <v>0.164697015858762</v>
      </c>
      <c r="S209" s="376">
        <v>0.155351766939929</v>
      </c>
      <c r="T209" s="376">
        <v>0.0795500000000001</v>
      </c>
      <c r="U209" s="376" t="s">
        <v>129</v>
      </c>
      <c r="V209" s="376" t="s">
        <v>129</v>
      </c>
      <c r="W209" s="376" t="s">
        <v>129</v>
      </c>
      <c r="X209" s="376" t="s">
        <v>129</v>
      </c>
      <c r="Y209" s="376" t="s">
        <v>129</v>
      </c>
      <c r="Z209" s="376" t="s">
        <v>129</v>
      </c>
      <c r="AA209" s="376"/>
      <c r="AB209" s="376"/>
      <c r="AC209" s="376"/>
      <c r="AN209" s="281">
        <v>0.81</v>
      </c>
      <c r="AO209" s="281">
        <v>0.67</v>
      </c>
      <c r="AP209" s="281">
        <v>23.28</v>
      </c>
      <c r="AQ209" s="281">
        <v>3.25</v>
      </c>
      <c r="AS209" s="361" t="s">
        <v>453</v>
      </c>
      <c r="AT209" s="364">
        <v>0.65</v>
      </c>
      <c r="AU209" s="365">
        <v>45716</v>
      </c>
      <c r="AV209" s="364">
        <v>5604.3653</v>
      </c>
      <c r="AW209" s="3"/>
      <c r="AX209" s="376">
        <v>0.030444</v>
      </c>
      <c r="AY209" s="376">
        <v>0.027959</v>
      </c>
      <c r="AZ209" s="376">
        <v>0.029591</v>
      </c>
      <c r="BA209" s="376">
        <v>0.091371</v>
      </c>
      <c r="BB209" s="376" t="s">
        <v>129</v>
      </c>
      <c r="BC209" s="376" t="s">
        <v>129</v>
      </c>
      <c r="BD209" s="376" t="s">
        <v>129</v>
      </c>
      <c r="BE209" s="4"/>
      <c r="BF209" s="376">
        <v>0.027959</v>
      </c>
      <c r="BG209" s="376">
        <v>0.113781283748885</v>
      </c>
      <c r="BH209" s="376">
        <v>0.06485</v>
      </c>
      <c r="BI209" s="376" t="s">
        <v>129</v>
      </c>
      <c r="BJ209" s="376" t="s">
        <v>129</v>
      </c>
      <c r="BK209" s="376" t="s">
        <v>129</v>
      </c>
      <c r="BL209" s="376" t="s">
        <v>129</v>
      </c>
      <c r="BM209" s="376" t="s">
        <v>129</v>
      </c>
      <c r="BN209" s="376" t="s">
        <v>129</v>
      </c>
      <c r="BO209" s="376" t="s">
        <v>129</v>
      </c>
      <c r="BP209" s="376" t="s">
        <v>129</v>
      </c>
      <c r="BQ209" s="376" t="s">
        <v>129</v>
      </c>
      <c r="BR209" s="376" t="s">
        <v>129</v>
      </c>
      <c r="BS209" s="376" t="s">
        <v>129</v>
      </c>
      <c r="BT209" s="376" t="s">
        <v>129</v>
      </c>
      <c r="BU209" s="376" t="s">
        <v>129</v>
      </c>
    </row>
    <row r="210" spans="2:73">
      <c r="B210" s="361" t="s">
        <v>454</v>
      </c>
      <c r="C210" s="364">
        <v>2.15</v>
      </c>
      <c r="D210" s="365">
        <v>45838</v>
      </c>
      <c r="E210" s="364">
        <v>1395.3116</v>
      </c>
      <c r="F210" s="376">
        <v>-0.006893</v>
      </c>
      <c r="G210" s="376">
        <v>0.030659</v>
      </c>
      <c r="H210" s="376">
        <v>0.057682</v>
      </c>
      <c r="I210" s="376">
        <v>0.017659</v>
      </c>
      <c r="J210" s="376">
        <v>0.104434</v>
      </c>
      <c r="K210" s="376">
        <v>0.11236</v>
      </c>
      <c r="L210" s="376" t="s">
        <v>129</v>
      </c>
      <c r="M210" s="4"/>
      <c r="N210" s="376">
        <v>0.031714</v>
      </c>
      <c r="O210" s="376">
        <v>0.100168823860439</v>
      </c>
      <c r="P210" s="376">
        <v>0.155396618985696</v>
      </c>
      <c r="Q210" s="376">
        <v>0.0253333333333334</v>
      </c>
      <c r="R210" s="376">
        <v>0.0940919037199124</v>
      </c>
      <c r="S210" s="376">
        <v>0.219750889679715</v>
      </c>
      <c r="T210" s="376">
        <v>0.0998043052837573</v>
      </c>
      <c r="U210" s="376">
        <v>0.0220000000000001</v>
      </c>
      <c r="V210" s="376">
        <v>0</v>
      </c>
      <c r="W210" s="376" t="s">
        <v>129</v>
      </c>
      <c r="X210" s="376" t="s">
        <v>129</v>
      </c>
      <c r="Y210" s="376" t="s">
        <v>129</v>
      </c>
      <c r="Z210" s="376" t="s">
        <v>129</v>
      </c>
      <c r="AA210" s="376"/>
      <c r="AB210" s="376"/>
      <c r="AC210" s="376"/>
      <c r="AS210" s="361" t="s">
        <v>455</v>
      </c>
      <c r="AT210" s="364">
        <v>0.97</v>
      </c>
      <c r="AU210" s="365">
        <v>45716</v>
      </c>
      <c r="AV210" s="364">
        <v>1207.0483964707</v>
      </c>
      <c r="AW210" s="3"/>
      <c r="AX210" s="376">
        <v>0.024965</v>
      </c>
      <c r="AY210" s="376">
        <v>0.031288</v>
      </c>
      <c r="AZ210" s="376">
        <v>0.044289</v>
      </c>
      <c r="BA210" s="376">
        <v>0.098277</v>
      </c>
      <c r="BB210" s="376">
        <v>0.072787</v>
      </c>
      <c r="BC210" s="376">
        <v>0.05703</v>
      </c>
      <c r="BD210" s="376">
        <v>0.07293</v>
      </c>
      <c r="BE210" s="4"/>
      <c r="BF210" s="376">
        <v>0.031288</v>
      </c>
      <c r="BG210" s="376">
        <v>0.101126153491971</v>
      </c>
      <c r="BH210" s="376">
        <v>0.0682500081977068</v>
      </c>
      <c r="BI210" s="376">
        <v>0.0125532968659644</v>
      </c>
      <c r="BJ210" s="376">
        <v>0.00401557336859526</v>
      </c>
      <c r="BK210" s="376">
        <v>0.110242898934242</v>
      </c>
      <c r="BL210" s="376">
        <v>0.12133101847849</v>
      </c>
      <c r="BM210" s="376">
        <v>0.0678970169484014</v>
      </c>
      <c r="BN210" s="376">
        <v>0.0412379657705849</v>
      </c>
      <c r="BO210" s="376">
        <v>0.157454432154541</v>
      </c>
      <c r="BP210" s="376">
        <v>0.0508332670711002</v>
      </c>
      <c r="BQ210" s="376">
        <v>0.169203257190045</v>
      </c>
      <c r="BR210" s="376">
        <v>0.00857684967623082</v>
      </c>
      <c r="BS210" s="376">
        <v>0.102149867627972</v>
      </c>
      <c r="BT210" s="376">
        <v>0.0697106552606509</v>
      </c>
      <c r="BU210" s="376">
        <v>0.0295242972915977</v>
      </c>
    </row>
    <row r="211" spans="2:73">
      <c r="B211" s="361" t="s">
        <v>456</v>
      </c>
      <c r="C211" s="364">
        <v>2.05</v>
      </c>
      <c r="D211" s="365">
        <v>45838</v>
      </c>
      <c r="E211" s="364">
        <v>1654.0077</v>
      </c>
      <c r="F211" s="376">
        <v>-0.009145</v>
      </c>
      <c r="G211" s="376">
        <v>0.033979</v>
      </c>
      <c r="H211" s="376">
        <v>0.068031</v>
      </c>
      <c r="I211" s="376">
        <v>0.07091</v>
      </c>
      <c r="J211" s="376" t="s">
        <v>129</v>
      </c>
      <c r="K211" s="376" t="s">
        <v>129</v>
      </c>
      <c r="L211" s="376" t="s">
        <v>129</v>
      </c>
      <c r="M211" s="4"/>
      <c r="N211" s="376">
        <v>0.043332</v>
      </c>
      <c r="O211" s="376">
        <v>0.16763202725724</v>
      </c>
      <c r="P211" s="376">
        <v>0.174</v>
      </c>
      <c r="Q211" s="376" t="s">
        <v>129</v>
      </c>
      <c r="R211" s="376" t="s">
        <v>129</v>
      </c>
      <c r="S211" s="376" t="s">
        <v>129</v>
      </c>
      <c r="T211" s="376" t="s">
        <v>129</v>
      </c>
      <c r="U211" s="376" t="s">
        <v>129</v>
      </c>
      <c r="V211" s="376" t="s">
        <v>129</v>
      </c>
      <c r="W211" s="376" t="s">
        <v>129</v>
      </c>
      <c r="X211" s="376" t="s">
        <v>129</v>
      </c>
      <c r="Y211" s="376" t="s">
        <v>129</v>
      </c>
      <c r="Z211" s="376" t="s">
        <v>129</v>
      </c>
      <c r="AA211" s="376"/>
      <c r="AB211" s="376"/>
      <c r="AC211" s="376"/>
      <c r="AS211" s="361" t="s">
        <v>457</v>
      </c>
      <c r="AT211" s="364">
        <v>0.62</v>
      </c>
      <c r="AU211" s="365">
        <v>45716</v>
      </c>
      <c r="AV211" s="364">
        <v>148.892</v>
      </c>
      <c r="AW211" s="3"/>
      <c r="AX211" s="376">
        <v>0.030616</v>
      </c>
      <c r="AY211" s="376">
        <v>0.029457</v>
      </c>
      <c r="AZ211" s="376">
        <v>0.031807</v>
      </c>
      <c r="BA211" s="376">
        <v>0.094458</v>
      </c>
      <c r="BB211" s="376" t="s">
        <v>129</v>
      </c>
      <c r="BC211" s="376" t="s">
        <v>129</v>
      </c>
      <c r="BD211" s="376" t="s">
        <v>129</v>
      </c>
      <c r="BE211" s="4"/>
      <c r="BF211" s="376">
        <v>0.029457</v>
      </c>
      <c r="BG211" s="376">
        <v>0.06699</v>
      </c>
      <c r="BH211" s="376" t="s">
        <v>129</v>
      </c>
      <c r="BI211" s="376" t="s">
        <v>129</v>
      </c>
      <c r="BJ211" s="376" t="s">
        <v>129</v>
      </c>
      <c r="BK211" s="376" t="s">
        <v>129</v>
      </c>
      <c r="BL211" s="376" t="s">
        <v>129</v>
      </c>
      <c r="BM211" s="376" t="s">
        <v>129</v>
      </c>
      <c r="BN211" s="376" t="s">
        <v>129</v>
      </c>
      <c r="BO211" s="376" t="s">
        <v>129</v>
      </c>
      <c r="BP211" s="376" t="s">
        <v>129</v>
      </c>
      <c r="BQ211" s="376" t="s">
        <v>129</v>
      </c>
      <c r="BR211" s="376" t="s">
        <v>129</v>
      </c>
      <c r="BS211" s="376" t="s">
        <v>129</v>
      </c>
      <c r="BT211" s="376" t="s">
        <v>129</v>
      </c>
      <c r="BU211" s="376" t="s">
        <v>129</v>
      </c>
    </row>
    <row r="212" spans="2:73">
      <c r="B212" s="361" t="s">
        <v>458</v>
      </c>
      <c r="C212" s="364">
        <v>1.9</v>
      </c>
      <c r="D212" s="365">
        <v>45838</v>
      </c>
      <c r="E212" s="364">
        <v>3453.7215</v>
      </c>
      <c r="F212" s="376">
        <v>0.000399</v>
      </c>
      <c r="G212" s="376">
        <v>0.025193</v>
      </c>
      <c r="H212" s="376">
        <v>0.054303</v>
      </c>
      <c r="I212" s="376">
        <v>0.058435</v>
      </c>
      <c r="J212" s="376">
        <v>0.115537</v>
      </c>
      <c r="K212" s="376">
        <v>0.109321</v>
      </c>
      <c r="L212" s="376">
        <v>0.089706</v>
      </c>
      <c r="M212" s="4"/>
      <c r="N212" s="376">
        <v>0.050204</v>
      </c>
      <c r="O212" s="376">
        <v>0.123709573784536</v>
      </c>
      <c r="P212" s="376">
        <v>0.170644870123358</v>
      </c>
      <c r="Q212" s="376">
        <v>0.000752747528478977</v>
      </c>
      <c r="R212" s="376">
        <v>0.0930883159626988</v>
      </c>
      <c r="S212" s="376">
        <v>0.129282041751843</v>
      </c>
      <c r="T212" s="376">
        <v>0.0879498584714922</v>
      </c>
      <c r="U212" s="376">
        <v>0.0361008309475595</v>
      </c>
      <c r="V212" s="376">
        <v>0.125165973962712</v>
      </c>
      <c r="W212" s="376">
        <v>0.0766829647926641</v>
      </c>
      <c r="X212" s="376">
        <v>0.0447085855684681</v>
      </c>
      <c r="Y212" s="376">
        <v>0.13155</v>
      </c>
      <c r="Z212" s="376" t="s">
        <v>129</v>
      </c>
      <c r="AA212" s="376"/>
      <c r="AB212" s="376"/>
      <c r="AC212" s="376"/>
      <c r="AS212" s="361" t="s">
        <v>459</v>
      </c>
      <c r="AT212" s="364">
        <v>0.76</v>
      </c>
      <c r="AU212" s="365">
        <v>45716</v>
      </c>
      <c r="AV212" s="364">
        <v>36.79647855</v>
      </c>
      <c r="AW212" s="3"/>
      <c r="AX212" s="376">
        <v>0.029207</v>
      </c>
      <c r="AY212" s="376">
        <v>0.027696</v>
      </c>
      <c r="AZ212" s="376" t="s">
        <v>129</v>
      </c>
      <c r="BA212" s="376" t="s">
        <v>129</v>
      </c>
      <c r="BB212" s="376" t="s">
        <v>129</v>
      </c>
      <c r="BC212" s="376" t="s">
        <v>129</v>
      </c>
      <c r="BD212" s="376" t="s">
        <v>129</v>
      </c>
      <c r="BE212" s="4"/>
      <c r="BF212" s="376">
        <v>0.027696</v>
      </c>
      <c r="BG212" s="376">
        <v>0.00122999999999998</v>
      </c>
      <c r="BH212" s="376" t="s">
        <v>129</v>
      </c>
      <c r="BI212" s="376" t="s">
        <v>129</v>
      </c>
      <c r="BJ212" s="376" t="s">
        <v>129</v>
      </c>
      <c r="BK212" s="376" t="s">
        <v>129</v>
      </c>
      <c r="BL212" s="376" t="s">
        <v>129</v>
      </c>
      <c r="BM212" s="376" t="s">
        <v>129</v>
      </c>
      <c r="BN212" s="376" t="s">
        <v>129</v>
      </c>
      <c r="BO212" s="376" t="s">
        <v>129</v>
      </c>
      <c r="BP212" s="376" t="s">
        <v>129</v>
      </c>
      <c r="BQ212" s="376" t="s">
        <v>129</v>
      </c>
      <c r="BR212" s="376" t="s">
        <v>129</v>
      </c>
      <c r="BS212" s="376" t="s">
        <v>129</v>
      </c>
      <c r="BT212" s="376" t="s">
        <v>129</v>
      </c>
      <c r="BU212" s="376" t="s">
        <v>129</v>
      </c>
    </row>
    <row r="213" spans="2:73">
      <c r="B213" s="361" t="s">
        <v>47</v>
      </c>
      <c r="C213" s="364">
        <v>1.68</v>
      </c>
      <c r="D213" s="365">
        <v>45838</v>
      </c>
      <c r="E213" s="364">
        <v>13046.9552</v>
      </c>
      <c r="F213" s="376">
        <v>-0.020448</v>
      </c>
      <c r="G213" s="376">
        <v>0.025484</v>
      </c>
      <c r="H213" s="376">
        <v>0.044002</v>
      </c>
      <c r="I213" s="376">
        <v>-0.000199</v>
      </c>
      <c r="J213" s="376">
        <v>0.12387</v>
      </c>
      <c r="K213" s="376">
        <v>0.141532</v>
      </c>
      <c r="L213" s="376">
        <v>0.100384</v>
      </c>
      <c r="M213" s="4"/>
      <c r="N213" s="376">
        <v>0.02132</v>
      </c>
      <c r="O213" s="376">
        <v>0.130624426078971</v>
      </c>
      <c r="P213" s="376">
        <v>0.187892009817289</v>
      </c>
      <c r="Q213" s="376">
        <v>0.0214484679665739</v>
      </c>
      <c r="R213" s="376">
        <v>0.187562024478994</v>
      </c>
      <c r="S213" s="376">
        <v>0.226369168356998</v>
      </c>
      <c r="T213" s="376">
        <v>0.0778312199387843</v>
      </c>
      <c r="U213" s="376">
        <v>0.0187082405345212</v>
      </c>
      <c r="V213" s="376">
        <v>0.238962472406181</v>
      </c>
      <c r="W213" s="376">
        <v>-0.0152173913043477</v>
      </c>
      <c r="X213" s="376">
        <v>0.0372040586245772</v>
      </c>
      <c r="Y213" s="376">
        <v>0.290181818181818</v>
      </c>
      <c r="Z213" s="376">
        <v>0.0938743038981702</v>
      </c>
      <c r="AA213" s="376"/>
      <c r="AB213" s="376"/>
      <c r="AC213" s="376"/>
      <c r="AN213" s="281">
        <v>0.73</v>
      </c>
      <c r="AO213" s="281">
        <v>0.82</v>
      </c>
      <c r="AP213" s="281">
        <v>22.65</v>
      </c>
      <c r="AQ213" s="281">
        <v>3.56</v>
      </c>
      <c r="AS213" s="361" t="s">
        <v>460</v>
      </c>
      <c r="AT213" s="364">
        <v>0.62</v>
      </c>
      <c r="AU213" s="365">
        <v>45716</v>
      </c>
      <c r="AV213" s="364">
        <v>9489.0931</v>
      </c>
      <c r="AW213" s="3"/>
      <c r="AX213" s="376">
        <v>0.023208</v>
      </c>
      <c r="AY213" s="376">
        <v>0.029094</v>
      </c>
      <c r="AZ213" s="376">
        <v>0.03419</v>
      </c>
      <c r="BA213" s="376">
        <v>0.095567</v>
      </c>
      <c r="BB213" s="376">
        <v>0.079124</v>
      </c>
      <c r="BC213" s="376">
        <v>0.063706</v>
      </c>
      <c r="BD213" s="376" t="s">
        <v>129</v>
      </c>
      <c r="BE213" s="4"/>
      <c r="BF213" s="376">
        <v>0.029094</v>
      </c>
      <c r="BG213" s="376">
        <v>0.113060012805836</v>
      </c>
      <c r="BH213" s="376">
        <v>0.0725448983414147</v>
      </c>
      <c r="BI213" s="376">
        <v>0.0241111071644231</v>
      </c>
      <c r="BJ213" s="376">
        <v>0.00822971579188622</v>
      </c>
      <c r="BK213" s="376">
        <v>0.134277914987651</v>
      </c>
      <c r="BL213" s="376">
        <v>0.12722077731785</v>
      </c>
      <c r="BM213" s="376">
        <v>0.0919600000000001</v>
      </c>
      <c r="BN213" s="376" t="s">
        <v>129</v>
      </c>
      <c r="BO213" s="376" t="s">
        <v>129</v>
      </c>
      <c r="BP213" s="376" t="s">
        <v>129</v>
      </c>
      <c r="BQ213" s="376" t="s">
        <v>129</v>
      </c>
      <c r="BR213" s="376" t="s">
        <v>129</v>
      </c>
      <c r="BS213" s="376" t="s">
        <v>129</v>
      </c>
      <c r="BT213" s="376" t="s">
        <v>129</v>
      </c>
      <c r="BU213" s="376" t="s">
        <v>129</v>
      </c>
    </row>
    <row r="214" spans="2:73">
      <c r="B214" s="361" t="s">
        <v>461</v>
      </c>
      <c r="C214" s="364">
        <v>1.93</v>
      </c>
      <c r="D214" s="365">
        <v>45838</v>
      </c>
      <c r="E214" s="364">
        <v>2737.640097164</v>
      </c>
      <c r="F214" s="376">
        <v>-0.005974</v>
      </c>
      <c r="G214" s="376">
        <v>0.026284</v>
      </c>
      <c r="H214" s="376">
        <v>0.050736</v>
      </c>
      <c r="I214" s="376">
        <v>0.039951</v>
      </c>
      <c r="J214" s="376" t="s">
        <v>129</v>
      </c>
      <c r="K214" s="376" t="s">
        <v>129</v>
      </c>
      <c r="L214" s="376" t="s">
        <v>129</v>
      </c>
      <c r="M214" s="4"/>
      <c r="N214" s="376">
        <v>0.027509</v>
      </c>
      <c r="O214" s="376">
        <v>0.153533504814668</v>
      </c>
      <c r="P214" s="376">
        <v>0.189794697244647</v>
      </c>
      <c r="Q214" s="376">
        <v>0.0194699999999999</v>
      </c>
      <c r="R214" s="376" t="s">
        <v>129</v>
      </c>
      <c r="S214" s="376" t="s">
        <v>129</v>
      </c>
      <c r="T214" s="376" t="s">
        <v>129</v>
      </c>
      <c r="U214" s="376" t="s">
        <v>129</v>
      </c>
      <c r="V214" s="376" t="s">
        <v>129</v>
      </c>
      <c r="W214" s="376" t="s">
        <v>129</v>
      </c>
      <c r="X214" s="376" t="s">
        <v>129</v>
      </c>
      <c r="Y214" s="376" t="s">
        <v>129</v>
      </c>
      <c r="Z214" s="376" t="s">
        <v>129</v>
      </c>
      <c r="AA214" s="376"/>
      <c r="AB214" s="376"/>
      <c r="AC214" s="376"/>
      <c r="AS214" s="361" t="s">
        <v>462</v>
      </c>
      <c r="AT214" s="364">
        <v>0.66</v>
      </c>
      <c r="AU214" s="365">
        <v>45716</v>
      </c>
      <c r="AV214" s="364">
        <v>2901.2718</v>
      </c>
      <c r="AW214" s="3"/>
      <c r="AX214" s="376">
        <v>0.028742</v>
      </c>
      <c r="AY214" s="376">
        <v>0.027772</v>
      </c>
      <c r="AZ214" s="376">
        <v>0.029534</v>
      </c>
      <c r="BA214" s="376">
        <v>0.0905</v>
      </c>
      <c r="BB214" s="376" t="s">
        <v>129</v>
      </c>
      <c r="BC214" s="376" t="s">
        <v>129</v>
      </c>
      <c r="BD214" s="376" t="s">
        <v>129</v>
      </c>
      <c r="BE214" s="4"/>
      <c r="BF214" s="376">
        <v>0.027772</v>
      </c>
      <c r="BG214" s="376">
        <v>0.112063680778733</v>
      </c>
      <c r="BH214" s="376">
        <v>0.0781941634786788</v>
      </c>
      <c r="BI214" s="376">
        <v>-0.00145999999999997</v>
      </c>
      <c r="BJ214" s="376" t="s">
        <v>129</v>
      </c>
      <c r="BK214" s="376" t="s">
        <v>129</v>
      </c>
      <c r="BL214" s="376" t="s">
        <v>129</v>
      </c>
      <c r="BM214" s="376" t="s">
        <v>129</v>
      </c>
      <c r="BN214" s="376" t="s">
        <v>129</v>
      </c>
      <c r="BO214" s="376" t="s">
        <v>129</v>
      </c>
      <c r="BP214" s="376" t="s">
        <v>129</v>
      </c>
      <c r="BQ214" s="376" t="s">
        <v>129</v>
      </c>
      <c r="BR214" s="376" t="s">
        <v>129</v>
      </c>
      <c r="BS214" s="376" t="s">
        <v>129</v>
      </c>
      <c r="BT214" s="376" t="s">
        <v>129</v>
      </c>
      <c r="BU214" s="376" t="s">
        <v>129</v>
      </c>
    </row>
    <row r="215" ht="15.15" spans="2:73">
      <c r="B215" s="361" t="s">
        <v>463</v>
      </c>
      <c r="C215" s="364">
        <v>2.41</v>
      </c>
      <c r="D215" s="365">
        <v>45838</v>
      </c>
      <c r="E215" s="364">
        <v>313.348227778</v>
      </c>
      <c r="F215" s="376">
        <v>-0.009709</v>
      </c>
      <c r="G215" s="376">
        <v>0.037928</v>
      </c>
      <c r="H215" s="376">
        <v>0.054511</v>
      </c>
      <c r="I215" s="376">
        <v>0.015385</v>
      </c>
      <c r="J215" s="376" t="s">
        <v>129</v>
      </c>
      <c r="K215" s="376" t="s">
        <v>129</v>
      </c>
      <c r="L215" s="376" t="s">
        <v>129</v>
      </c>
      <c r="M215" s="4"/>
      <c r="N215" s="376">
        <v>0.006278</v>
      </c>
      <c r="O215" s="376">
        <v>0.115</v>
      </c>
      <c r="P215" s="376" t="s">
        <v>129</v>
      </c>
      <c r="Q215" s="376" t="s">
        <v>129</v>
      </c>
      <c r="R215" s="376" t="s">
        <v>129</v>
      </c>
      <c r="S215" s="376" t="s">
        <v>129</v>
      </c>
      <c r="T215" s="376" t="s">
        <v>129</v>
      </c>
      <c r="U215" s="376" t="s">
        <v>129</v>
      </c>
      <c r="V215" s="376" t="s">
        <v>129</v>
      </c>
      <c r="W215" s="376" t="s">
        <v>129</v>
      </c>
      <c r="X215" s="376" t="s">
        <v>129</v>
      </c>
      <c r="Y215" s="376" t="s">
        <v>129</v>
      </c>
      <c r="Z215" s="376" t="s">
        <v>129</v>
      </c>
      <c r="AA215" s="376"/>
      <c r="AB215" s="376"/>
      <c r="AC215" s="376"/>
      <c r="AS215" s="361" t="s">
        <v>464</v>
      </c>
      <c r="AT215" s="364">
        <v>1.5</v>
      </c>
      <c r="AU215" s="365">
        <v>45716</v>
      </c>
      <c r="AV215" s="364">
        <v>119.6313</v>
      </c>
      <c r="AW215" s="3"/>
      <c r="AX215" s="376">
        <v>0.030904</v>
      </c>
      <c r="AY215" s="376">
        <v>0.027485</v>
      </c>
      <c r="AZ215" s="376">
        <v>0.028521</v>
      </c>
      <c r="BA215" s="376">
        <v>0.083282</v>
      </c>
      <c r="BB215" s="376" t="s">
        <v>129</v>
      </c>
      <c r="BC215" s="376" t="s">
        <v>129</v>
      </c>
      <c r="BD215" s="376" t="s">
        <v>129</v>
      </c>
      <c r="BE215" s="4"/>
      <c r="BF215" s="376">
        <v>0.027485</v>
      </c>
      <c r="BG215" s="376">
        <v>0.102658346867254</v>
      </c>
      <c r="BH215" s="376">
        <v>0.05291</v>
      </c>
      <c r="BI215" s="376" t="s">
        <v>129</v>
      </c>
      <c r="BJ215" s="376" t="s">
        <v>129</v>
      </c>
      <c r="BK215" s="376" t="s">
        <v>129</v>
      </c>
      <c r="BL215" s="376" t="s">
        <v>129</v>
      </c>
      <c r="BM215" s="376" t="s">
        <v>129</v>
      </c>
      <c r="BN215" s="376" t="s">
        <v>129</v>
      </c>
      <c r="BO215" s="376" t="s">
        <v>129</v>
      </c>
      <c r="BP215" s="376" t="s">
        <v>129</v>
      </c>
      <c r="BQ215" s="376" t="s">
        <v>129</v>
      </c>
      <c r="BR215" s="376" t="s">
        <v>129</v>
      </c>
      <c r="BS215" s="376" t="s">
        <v>129</v>
      </c>
      <c r="BT215" s="376" t="s">
        <v>129</v>
      </c>
      <c r="BU215" s="376" t="s">
        <v>129</v>
      </c>
    </row>
    <row r="216" ht="15.15" spans="2:73">
      <c r="B216" s="361" t="s">
        <v>465</v>
      </c>
      <c r="C216" s="364">
        <v>2.09</v>
      </c>
      <c r="D216" s="365">
        <v>45838</v>
      </c>
      <c r="E216" s="364">
        <v>1024.3373</v>
      </c>
      <c r="F216" s="376">
        <v>-0.011029</v>
      </c>
      <c r="G216" s="376">
        <v>0.033026</v>
      </c>
      <c r="H216" s="376">
        <v>0.04203</v>
      </c>
      <c r="I216" s="376">
        <v>0.030059</v>
      </c>
      <c r="J216" s="376">
        <v>0.140046</v>
      </c>
      <c r="K216" s="376">
        <v>0.127469</v>
      </c>
      <c r="L216" s="376">
        <v>0.090865</v>
      </c>
      <c r="M216" s="4"/>
      <c r="N216" s="376">
        <v>0.011088</v>
      </c>
      <c r="O216" s="376">
        <v>0.158754355400697</v>
      </c>
      <c r="P216" s="376">
        <v>0.201465201465202</v>
      </c>
      <c r="Q216" s="376">
        <v>0.0405662945820855</v>
      </c>
      <c r="R216" s="376">
        <v>0.1311980289498</v>
      </c>
      <c r="S216" s="376">
        <v>0.0783792759880438</v>
      </c>
      <c r="T216" s="376">
        <v>0.0905469032959073</v>
      </c>
      <c r="U216" s="376">
        <v>-0.0459571527297858</v>
      </c>
      <c r="V216" s="376">
        <v>0.30477908025248</v>
      </c>
      <c r="W216" s="376">
        <v>0.0273274664196387</v>
      </c>
      <c r="X216" s="376">
        <v>0.054714215925745</v>
      </c>
      <c r="Y216" s="376">
        <v>0.254289215686274</v>
      </c>
      <c r="Z216" s="376">
        <v>0.192982456140351</v>
      </c>
      <c r="AA216" s="376"/>
      <c r="AB216" s="376"/>
      <c r="AC216" s="376"/>
      <c r="AS216" s="312" t="s">
        <v>162</v>
      </c>
      <c r="AT216"/>
      <c r="AU216"/>
      <c r="AV216"/>
      <c r="AW216" s="377"/>
      <c r="AX216" s="378">
        <f t="shared" ref="AX216:BD216" si="29">AVERAGE(AX205:AX215)</f>
        <v>0.0280822727272727</v>
      </c>
      <c r="AY216" s="378">
        <f t="shared" si="29"/>
        <v>0.0284214545454545</v>
      </c>
      <c r="AZ216" s="378">
        <f t="shared" si="29"/>
        <v>0.0321824444444444</v>
      </c>
      <c r="BA216" s="378">
        <f t="shared" si="29"/>
        <v>0.0922678888888889</v>
      </c>
      <c r="BB216" s="378">
        <f t="shared" si="29"/>
        <v>0.0759555</v>
      </c>
      <c r="BC216" s="378">
        <f t="shared" si="29"/>
        <v>0.060368</v>
      </c>
      <c r="BD216" s="378">
        <f t="shared" si="29"/>
        <v>0.07293</v>
      </c>
      <c r="BE216" s="377"/>
      <c r="BF216" s="378">
        <f t="shared" ref="BF216:BU216" si="30">AVERAGE(BF205:BF215)</f>
        <v>0.0284214545454545</v>
      </c>
      <c r="BG216" s="378">
        <f t="shared" si="30"/>
        <v>0.0815813065474059</v>
      </c>
      <c r="BH216" s="378">
        <f t="shared" si="30"/>
        <v>0.0687101076987433</v>
      </c>
      <c r="BI216" s="378">
        <f t="shared" si="30"/>
        <v>0.0146414408060775</v>
      </c>
      <c r="BJ216" s="378">
        <f t="shared" si="30"/>
        <v>0.00612264458024074</v>
      </c>
      <c r="BK216" s="378">
        <f t="shared" si="30"/>
        <v>0.122260406960946</v>
      </c>
      <c r="BL216" s="378">
        <f t="shared" si="30"/>
        <v>0.12427589789817</v>
      </c>
      <c r="BM216" s="378">
        <f t="shared" si="30"/>
        <v>0.0799285084742007</v>
      </c>
      <c r="BN216" s="378">
        <f t="shared" si="30"/>
        <v>0.0412379657705849</v>
      </c>
      <c r="BO216" s="378">
        <f t="shared" si="30"/>
        <v>0.157454432154541</v>
      </c>
      <c r="BP216" s="378">
        <f t="shared" si="30"/>
        <v>0.0508332670711002</v>
      </c>
      <c r="BQ216" s="378">
        <f t="shared" si="30"/>
        <v>0.169203257190045</v>
      </c>
      <c r="BR216" s="378">
        <f t="shared" si="30"/>
        <v>0.00857684967623082</v>
      </c>
      <c r="BS216" s="378">
        <f t="shared" si="30"/>
        <v>0.102149867627972</v>
      </c>
      <c r="BT216" s="378">
        <f t="shared" si="30"/>
        <v>0.0697106552606509</v>
      </c>
      <c r="BU216" s="378">
        <f t="shared" si="30"/>
        <v>0.0295242972915977</v>
      </c>
    </row>
    <row r="217" spans="2:73">
      <c r="B217" s="361" t="s">
        <v>466</v>
      </c>
      <c r="C217" s="364">
        <v>2.05</v>
      </c>
      <c r="D217" s="365">
        <v>45838</v>
      </c>
      <c r="E217" s="364">
        <v>1899.1373</v>
      </c>
      <c r="F217" s="376">
        <v>-0.008655</v>
      </c>
      <c r="G217" s="376">
        <v>0.03383</v>
      </c>
      <c r="H217" s="376">
        <v>0.063647</v>
      </c>
      <c r="I217" s="376">
        <v>0.041473</v>
      </c>
      <c r="J217" s="376" t="s">
        <v>129</v>
      </c>
      <c r="K217" s="376" t="s">
        <v>129</v>
      </c>
      <c r="L217" s="376" t="s">
        <v>129</v>
      </c>
      <c r="M217" s="4"/>
      <c r="N217" s="376">
        <v>0.050324</v>
      </c>
      <c r="O217" s="376">
        <v>0.11145177328472</v>
      </c>
      <c r="P217" s="376">
        <v>0.18174696435566</v>
      </c>
      <c r="Q217" s="376">
        <v>0.0212</v>
      </c>
      <c r="R217" s="376" t="s">
        <v>129</v>
      </c>
      <c r="S217" s="376" t="s">
        <v>129</v>
      </c>
      <c r="T217" s="376" t="s">
        <v>129</v>
      </c>
      <c r="U217" s="376" t="s">
        <v>129</v>
      </c>
      <c r="V217" s="376" t="s">
        <v>129</v>
      </c>
      <c r="W217" s="376" t="s">
        <v>129</v>
      </c>
      <c r="X217" s="376" t="s">
        <v>129</v>
      </c>
      <c r="Y217" s="376" t="s">
        <v>129</v>
      </c>
      <c r="Z217" s="376" t="s">
        <v>129</v>
      </c>
      <c r="AA217" s="376"/>
      <c r="AB217" s="376"/>
      <c r="AC217" s="376"/>
      <c r="AS217" s="312" t="s">
        <v>178</v>
      </c>
      <c r="AT217"/>
      <c r="AU217"/>
      <c r="AV217"/>
      <c r="AW217"/>
      <c r="AX217" s="379">
        <v>0.0087263867959253</v>
      </c>
      <c r="AY217" s="379">
        <v>0.0207643930788102</v>
      </c>
      <c r="AZ217" s="379">
        <v>0.0377184412193585</v>
      </c>
      <c r="BA217" s="379">
        <v>0.080280059411505</v>
      </c>
      <c r="BB217" s="379">
        <v>0.0659301709109001</v>
      </c>
      <c r="BC217" s="379">
        <v>0.0655149768088614</v>
      </c>
      <c r="BD217" s="379">
        <v>0.0738047315298365</v>
      </c>
      <c r="BE217" s="382"/>
      <c r="BF217" s="379">
        <v>0.0207643930788102</v>
      </c>
      <c r="BG217" s="379">
        <v>0.0797029257152309</v>
      </c>
      <c r="BH217" s="379">
        <v>0.0725988870220093</v>
      </c>
      <c r="BI217" s="379">
        <v>0.0358682288812193</v>
      </c>
      <c r="BJ217" s="379">
        <v>0.0437965988907254</v>
      </c>
      <c r="BK217" s="379">
        <v>0.104161972570555</v>
      </c>
      <c r="BL217" s="379">
        <v>0.0953364838894115</v>
      </c>
      <c r="BM217" s="379">
        <v>0.0665068187794211</v>
      </c>
      <c r="BN217" s="379">
        <v>0.0602957159773323</v>
      </c>
      <c r="BO217" s="379">
        <v>0.0986738756953636</v>
      </c>
      <c r="BP217" s="379">
        <v>0.0865549936165921</v>
      </c>
      <c r="BQ217" s="379">
        <v>0.104681934209951</v>
      </c>
      <c r="BR217" s="379">
        <v>0.0827206164504672</v>
      </c>
      <c r="BS217" s="379">
        <v>0.0912371315059957</v>
      </c>
      <c r="BT217" s="379">
        <v>0.0786771029274067</v>
      </c>
      <c r="BU217" s="379">
        <v>0.0470040326565153</v>
      </c>
    </row>
    <row r="218" ht="15.15" spans="2:73">
      <c r="B218" s="361" t="s">
        <v>467</v>
      </c>
      <c r="C218" s="364">
        <v>2.24</v>
      </c>
      <c r="D218" s="365">
        <v>45838</v>
      </c>
      <c r="E218" s="364">
        <v>913.1023</v>
      </c>
      <c r="F218" s="376">
        <v>0.006885</v>
      </c>
      <c r="G218" s="376">
        <v>0.088681</v>
      </c>
      <c r="H218" s="376">
        <v>0.028317</v>
      </c>
      <c r="I218" s="376">
        <v>-0.105971</v>
      </c>
      <c r="J218" s="376">
        <v>0.090867</v>
      </c>
      <c r="K218" s="376">
        <v>0.079296</v>
      </c>
      <c r="L218" s="376" t="s">
        <v>129</v>
      </c>
      <c r="M218" s="4"/>
      <c r="N218" s="376">
        <v>-0.0547</v>
      </c>
      <c r="O218" s="376">
        <v>0.0936573424359771</v>
      </c>
      <c r="P218" s="376">
        <v>0.241042899795715</v>
      </c>
      <c r="Q218" s="376">
        <v>-0.0110788078140884</v>
      </c>
      <c r="R218" s="376">
        <v>0.0740668618600866</v>
      </c>
      <c r="S218" s="376">
        <v>0.0880165257988604</v>
      </c>
      <c r="T218" s="376">
        <v>0.109043914637933</v>
      </c>
      <c r="U218" s="376">
        <v>-0.00842930368792439</v>
      </c>
      <c r="V218" s="376">
        <v>0.24391632422809</v>
      </c>
      <c r="W218" s="376">
        <v>-0.0338900000000001</v>
      </c>
      <c r="X218" s="376" t="s">
        <v>129</v>
      </c>
      <c r="Y218" s="376" t="s">
        <v>129</v>
      </c>
      <c r="Z218" s="376" t="s">
        <v>129</v>
      </c>
      <c r="AA218" s="376"/>
      <c r="AB218" s="376"/>
      <c r="AC218" s="376"/>
      <c r="AS218"/>
      <c r="AT218"/>
      <c r="AU218"/>
      <c r="AV218"/>
      <c r="AW218"/>
      <c r="AX218"/>
      <c r="AY218"/>
      <c r="AZ218"/>
      <c r="BA218"/>
      <c r="BB218"/>
      <c r="BC218"/>
      <c r="BD218"/>
      <c r="BE218"/>
      <c r="BF218"/>
      <c r="BG218"/>
      <c r="BH218"/>
      <c r="BI218"/>
      <c r="BJ218"/>
      <c r="BK218"/>
      <c r="BL218"/>
      <c r="BM218"/>
      <c r="BN218"/>
      <c r="BO218"/>
      <c r="BP218"/>
      <c r="BQ218"/>
      <c r="BR218"/>
      <c r="BS218"/>
      <c r="BT218"/>
      <c r="BU218"/>
    </row>
    <row r="219" ht="15.15" spans="2:73">
      <c r="B219" s="361" t="s">
        <v>468</v>
      </c>
      <c r="C219" s="364">
        <v>0.63</v>
      </c>
      <c r="D219" s="365">
        <v>45838</v>
      </c>
      <c r="E219" s="364">
        <v>2238.3492</v>
      </c>
      <c r="F219" s="376">
        <v>0.004483</v>
      </c>
      <c r="G219" s="376">
        <v>0.014603</v>
      </c>
      <c r="H219" s="376">
        <v>0.040255</v>
      </c>
      <c r="I219" s="376">
        <v>0.060464</v>
      </c>
      <c r="J219" s="376" t="s">
        <v>129</v>
      </c>
      <c r="K219" s="376" t="s">
        <v>129</v>
      </c>
      <c r="L219" s="376" t="s">
        <v>129</v>
      </c>
      <c r="M219" s="4"/>
      <c r="N219" s="376">
        <v>0.045839</v>
      </c>
      <c r="O219" s="376">
        <v>0.0862</v>
      </c>
      <c r="P219" s="376" t="s">
        <v>129</v>
      </c>
      <c r="Q219" s="376" t="s">
        <v>129</v>
      </c>
      <c r="R219" s="376" t="s">
        <v>129</v>
      </c>
      <c r="S219" s="376" t="s">
        <v>129</v>
      </c>
      <c r="T219" s="376" t="s">
        <v>129</v>
      </c>
      <c r="U219" s="376" t="s">
        <v>129</v>
      </c>
      <c r="V219" s="376" t="s">
        <v>129</v>
      </c>
      <c r="W219" s="376" t="s">
        <v>129</v>
      </c>
      <c r="X219" s="376" t="s">
        <v>129</v>
      </c>
      <c r="Y219" s="376" t="s">
        <v>129</v>
      </c>
      <c r="Z219" s="376" t="s">
        <v>129</v>
      </c>
      <c r="AA219" s="376"/>
      <c r="AB219" s="376"/>
      <c r="AC219" s="376"/>
      <c r="AS219" s="320" t="s">
        <v>469</v>
      </c>
      <c r="AT219" s="351" t="s">
        <v>87</v>
      </c>
      <c r="AU219" s="393" t="s">
        <v>110</v>
      </c>
      <c r="AV219" s="394"/>
      <c r="AW219" s="368"/>
      <c r="AX219" s="325" t="s">
        <v>113</v>
      </c>
      <c r="AY219" s="326"/>
      <c r="AZ219" s="326"/>
      <c r="BA219" s="326"/>
      <c r="BB219" s="326"/>
      <c r="BC219" s="326"/>
      <c r="BD219" s="345"/>
      <c r="BE219" s="368"/>
      <c r="BF219" s="393" t="s">
        <v>114</v>
      </c>
      <c r="BG219" s="396"/>
      <c r="BH219" s="396"/>
      <c r="BI219" s="396"/>
      <c r="BJ219" s="396"/>
      <c r="BK219" s="396"/>
      <c r="BL219" s="396"/>
      <c r="BM219" s="396"/>
      <c r="BN219" s="396"/>
      <c r="BO219" s="396"/>
      <c r="BP219" s="396"/>
      <c r="BQ219" s="396"/>
      <c r="BR219" s="396"/>
      <c r="BS219" s="396"/>
      <c r="BT219" s="396"/>
      <c r="BU219" s="398"/>
    </row>
    <row r="220" ht="15.15" spans="2:73">
      <c r="B220" s="361" t="s">
        <v>470</v>
      </c>
      <c r="C220" s="364">
        <v>2.18</v>
      </c>
      <c r="D220" s="365">
        <v>45838</v>
      </c>
      <c r="E220" s="364">
        <v>994.7332</v>
      </c>
      <c r="F220" s="376">
        <v>-0.016688</v>
      </c>
      <c r="G220" s="376">
        <v>0.033041</v>
      </c>
      <c r="H220" s="376">
        <v>0.065369</v>
      </c>
      <c r="I220" s="376">
        <v>0.028878</v>
      </c>
      <c r="J220" s="376">
        <v>0.106796</v>
      </c>
      <c r="K220" s="376" t="s">
        <v>129</v>
      </c>
      <c r="L220" s="376" t="s">
        <v>129</v>
      </c>
      <c r="M220" s="4"/>
      <c r="N220" s="376">
        <v>0.046448</v>
      </c>
      <c r="O220" s="376">
        <v>0.101580135440181</v>
      </c>
      <c r="P220" s="376">
        <v>0.154648132059079</v>
      </c>
      <c r="Q220" s="376">
        <v>0.0105355575065847</v>
      </c>
      <c r="R220" s="376">
        <v>0.139</v>
      </c>
      <c r="S220" s="376" t="s">
        <v>129</v>
      </c>
      <c r="T220" s="376" t="s">
        <v>129</v>
      </c>
      <c r="U220" s="376" t="s">
        <v>129</v>
      </c>
      <c r="V220" s="376" t="s">
        <v>129</v>
      </c>
      <c r="W220" s="376" t="s">
        <v>129</v>
      </c>
      <c r="X220" s="376" t="s">
        <v>129</v>
      </c>
      <c r="Y220" s="376" t="s">
        <v>129</v>
      </c>
      <c r="Z220" s="376" t="s">
        <v>129</v>
      </c>
      <c r="AA220" s="376"/>
      <c r="AB220" s="376"/>
      <c r="AC220" s="376"/>
      <c r="AS220" s="322"/>
      <c r="AT220" s="355" t="s">
        <v>121</v>
      </c>
      <c r="AU220" s="356" t="s">
        <v>115</v>
      </c>
      <c r="AV220" s="357" t="s">
        <v>116</v>
      </c>
      <c r="AW220" s="369"/>
      <c r="AX220" s="266" t="s">
        <v>122</v>
      </c>
      <c r="AY220" s="268" t="s">
        <v>123</v>
      </c>
      <c r="AZ220" s="268" t="s">
        <v>124</v>
      </c>
      <c r="BA220" s="268" t="s">
        <v>91</v>
      </c>
      <c r="BB220" s="268" t="s">
        <v>125</v>
      </c>
      <c r="BC220" s="268" t="s">
        <v>126</v>
      </c>
      <c r="BD220" s="269" t="s">
        <v>127</v>
      </c>
      <c r="BE220" s="369"/>
      <c r="BF220" s="266">
        <v>2025</v>
      </c>
      <c r="BG220" s="266">
        <v>2024</v>
      </c>
      <c r="BH220" s="266">
        <v>2023</v>
      </c>
      <c r="BI220" s="268">
        <v>2022</v>
      </c>
      <c r="BJ220" s="268">
        <v>2021</v>
      </c>
      <c r="BK220" s="268">
        <v>2020</v>
      </c>
      <c r="BL220" s="268">
        <v>2019</v>
      </c>
      <c r="BM220" s="268">
        <v>2018</v>
      </c>
      <c r="BN220" s="268">
        <v>2017</v>
      </c>
      <c r="BO220" s="268">
        <v>2016</v>
      </c>
      <c r="BP220" s="268">
        <v>2015</v>
      </c>
      <c r="BQ220" s="268">
        <v>2014</v>
      </c>
      <c r="BR220" s="268">
        <v>2013</v>
      </c>
      <c r="BS220" s="268">
        <v>2012</v>
      </c>
      <c r="BT220" s="268">
        <v>2011</v>
      </c>
      <c r="BU220" s="269">
        <v>2010</v>
      </c>
    </row>
    <row r="221" spans="2:73">
      <c r="B221" s="361" t="s">
        <v>471</v>
      </c>
      <c r="C221" s="364">
        <v>2.13</v>
      </c>
      <c r="D221" s="365">
        <v>45838</v>
      </c>
      <c r="E221" s="364">
        <v>1260.432</v>
      </c>
      <c r="F221" s="376">
        <v>-0.022506</v>
      </c>
      <c r="G221" s="376">
        <v>0.040115</v>
      </c>
      <c r="H221" s="376">
        <v>0.053641</v>
      </c>
      <c r="I221" s="376">
        <v>-0.059724</v>
      </c>
      <c r="J221" s="376" t="s">
        <v>129</v>
      </c>
      <c r="K221" s="376" t="s">
        <v>129</v>
      </c>
      <c r="L221" s="376" t="s">
        <v>129</v>
      </c>
      <c r="M221" s="4"/>
      <c r="N221" s="376">
        <v>0.031273</v>
      </c>
      <c r="O221" s="376">
        <v>0.202389708641679</v>
      </c>
      <c r="P221" s="376">
        <v>0.33238</v>
      </c>
      <c r="Q221" s="376" t="s">
        <v>129</v>
      </c>
      <c r="R221" s="376" t="s">
        <v>129</v>
      </c>
      <c r="S221" s="376" t="s">
        <v>129</v>
      </c>
      <c r="T221" s="376" t="s">
        <v>129</v>
      </c>
      <c r="U221" s="376" t="s">
        <v>129</v>
      </c>
      <c r="V221" s="376" t="s">
        <v>129</v>
      </c>
      <c r="W221" s="376" t="s">
        <v>129</v>
      </c>
      <c r="X221" s="376" t="s">
        <v>129</v>
      </c>
      <c r="Y221" s="376" t="s">
        <v>129</v>
      </c>
      <c r="Z221" s="376" t="s">
        <v>129</v>
      </c>
      <c r="AA221" s="376"/>
      <c r="AB221" s="376"/>
      <c r="AC221" s="376"/>
      <c r="AS221" s="361" t="s">
        <v>472</v>
      </c>
      <c r="AT221" s="364">
        <v>1.19</v>
      </c>
      <c r="AU221" s="365">
        <v>45716</v>
      </c>
      <c r="AV221" s="364">
        <v>12214.0372</v>
      </c>
      <c r="AW221" s="3"/>
      <c r="AX221" s="376">
        <v>0.008041</v>
      </c>
      <c r="AY221" s="376">
        <v>0.018093</v>
      </c>
      <c r="AZ221" s="376">
        <v>0.035219</v>
      </c>
      <c r="BA221" s="376">
        <v>0.071114</v>
      </c>
      <c r="BB221" s="376">
        <v>0.062913</v>
      </c>
      <c r="BC221" s="376">
        <v>0.05879</v>
      </c>
      <c r="BD221" s="376">
        <v>0.067155</v>
      </c>
      <c r="BE221" s="4"/>
      <c r="BF221" s="376">
        <v>0.018093</v>
      </c>
      <c r="BG221" s="376">
        <v>0.0713159768860095</v>
      </c>
      <c r="BH221" s="376">
        <v>0.0670078778452168</v>
      </c>
      <c r="BI221" s="376">
        <v>0.0428937757254991</v>
      </c>
      <c r="BJ221" s="376">
        <v>0.0350089975073168</v>
      </c>
      <c r="BK221" s="376">
        <v>0.0770855907505363</v>
      </c>
      <c r="BL221" s="376">
        <v>0.0820774584377985</v>
      </c>
      <c r="BM221" s="376">
        <v>0.0715309677746408</v>
      </c>
      <c r="BN221" s="376">
        <v>0.0640509777195499</v>
      </c>
      <c r="BO221" s="376">
        <v>0.0846847181353211</v>
      </c>
      <c r="BP221" s="376">
        <v>0.08067184793139</v>
      </c>
      <c r="BQ221" s="376">
        <v>0.0906253916198492</v>
      </c>
      <c r="BR221" s="376">
        <v>0.0875810687097766</v>
      </c>
      <c r="BS221" s="376">
        <v>0.0910647702658365</v>
      </c>
      <c r="BT221" s="376">
        <v>0.0865954791053964</v>
      </c>
      <c r="BU221" s="376">
        <v>0.0514119291496065</v>
      </c>
    </row>
    <row r="222" spans="2:73">
      <c r="B222" s="361" t="s">
        <v>473</v>
      </c>
      <c r="C222" s="364">
        <v>2.41</v>
      </c>
      <c r="D222" s="365">
        <v>45838</v>
      </c>
      <c r="E222" s="364">
        <v>426.7757</v>
      </c>
      <c r="F222" s="376">
        <v>0.002844</v>
      </c>
      <c r="G222" s="376">
        <v>0.055888</v>
      </c>
      <c r="H222" s="376">
        <v>0.021236</v>
      </c>
      <c r="I222" s="376">
        <v>-0.076789</v>
      </c>
      <c r="J222" s="376" t="s">
        <v>129</v>
      </c>
      <c r="K222" s="376" t="s">
        <v>129</v>
      </c>
      <c r="L222" s="376" t="s">
        <v>129</v>
      </c>
      <c r="M222" s="4"/>
      <c r="N222" s="376">
        <v>-0.030247</v>
      </c>
      <c r="O222" s="376">
        <v>0.091</v>
      </c>
      <c r="P222" s="376">
        <v>0</v>
      </c>
      <c r="Q222" s="376" t="s">
        <v>129</v>
      </c>
      <c r="R222" s="376" t="s">
        <v>129</v>
      </c>
      <c r="S222" s="376" t="s">
        <v>129</v>
      </c>
      <c r="T222" s="376" t="s">
        <v>129</v>
      </c>
      <c r="U222" s="376" t="s">
        <v>129</v>
      </c>
      <c r="V222" s="376" t="s">
        <v>129</v>
      </c>
      <c r="W222" s="376" t="s">
        <v>129</v>
      </c>
      <c r="X222" s="376" t="s">
        <v>129</v>
      </c>
      <c r="Y222" s="376" t="s">
        <v>129</v>
      </c>
      <c r="Z222" s="376" t="s">
        <v>129</v>
      </c>
      <c r="AA222" s="376"/>
      <c r="AB222" s="376"/>
      <c r="AC222" s="376"/>
      <c r="AS222" s="361" t="s">
        <v>474</v>
      </c>
      <c r="AT222" s="364">
        <v>0.66</v>
      </c>
      <c r="AU222" s="365">
        <v>45716</v>
      </c>
      <c r="AV222" s="364">
        <v>5933.175601</v>
      </c>
      <c r="AW222" s="3"/>
      <c r="AX222" s="376">
        <v>0.008512</v>
      </c>
      <c r="AY222" s="376">
        <v>0.01991</v>
      </c>
      <c r="AZ222" s="376">
        <v>0.03825</v>
      </c>
      <c r="BA222" s="376">
        <v>0.07722</v>
      </c>
      <c r="BB222" s="376">
        <v>0.066686</v>
      </c>
      <c r="BC222" s="376">
        <v>0.06085</v>
      </c>
      <c r="BD222" s="376">
        <v>0.069228</v>
      </c>
      <c r="BE222" s="4"/>
      <c r="BF222" s="376">
        <v>0.01991</v>
      </c>
      <c r="BG222" s="376">
        <v>0.0766819469972341</v>
      </c>
      <c r="BH222" s="376">
        <v>0.0702154687924531</v>
      </c>
      <c r="BI222" s="376">
        <v>0.0438435997134425</v>
      </c>
      <c r="BJ222" s="376">
        <v>0.0372403444242619</v>
      </c>
      <c r="BK222" s="376">
        <v>0.0734659644360929</v>
      </c>
      <c r="BL222" s="376">
        <v>0.0879532787119515</v>
      </c>
      <c r="BM222" s="376">
        <v>0.0729522162084371</v>
      </c>
      <c r="BN222" s="376">
        <v>0.0658550024371119</v>
      </c>
      <c r="BO222" s="376">
        <v>0.0815536882891269</v>
      </c>
      <c r="BP222" s="376">
        <v>0.0853359273373511</v>
      </c>
      <c r="BQ222" s="376">
        <v>0.0872093306128968</v>
      </c>
      <c r="BR222" s="376">
        <v>0.0942227756244016</v>
      </c>
      <c r="BS222" s="376">
        <v>0.0971451326933446</v>
      </c>
      <c r="BT222" s="376">
        <v>0.0914942097239061</v>
      </c>
      <c r="BU222" s="376">
        <v>0.0557481059753077</v>
      </c>
    </row>
    <row r="223" spans="2:73">
      <c r="B223" s="361" t="s">
        <v>475</v>
      </c>
      <c r="C223" s="364">
        <v>2.38</v>
      </c>
      <c r="D223" s="365">
        <v>45838</v>
      </c>
      <c r="E223" s="364">
        <v>62.7768</v>
      </c>
      <c r="F223" s="376">
        <v>-0.024076</v>
      </c>
      <c r="G223" s="376">
        <v>0.008572</v>
      </c>
      <c r="H223" s="376">
        <v>0.033858</v>
      </c>
      <c r="I223" s="376">
        <v>-0.06973</v>
      </c>
      <c r="J223" s="376">
        <v>0.084704</v>
      </c>
      <c r="K223" s="376">
        <v>0.095688</v>
      </c>
      <c r="L223" s="376" t="s">
        <v>129</v>
      </c>
      <c r="M223" s="4"/>
      <c r="N223" s="376">
        <v>-0.038375</v>
      </c>
      <c r="O223" s="376">
        <v>0.093844302625196</v>
      </c>
      <c r="P223" s="376">
        <v>0.192605337500751</v>
      </c>
      <c r="Q223" s="376">
        <v>0.0268089275657494</v>
      </c>
      <c r="R223" s="376">
        <v>0.0939034887842423</v>
      </c>
      <c r="S223" s="376">
        <v>0.139737991266376</v>
      </c>
      <c r="T223" s="376">
        <v>0.0396599999999999</v>
      </c>
      <c r="U223" s="376" t="s">
        <v>129</v>
      </c>
      <c r="V223" s="376" t="s">
        <v>129</v>
      </c>
      <c r="W223" s="376" t="s">
        <v>129</v>
      </c>
      <c r="X223" s="376" t="s">
        <v>129</v>
      </c>
      <c r="Y223" s="376" t="s">
        <v>129</v>
      </c>
      <c r="Z223" s="376" t="s">
        <v>129</v>
      </c>
      <c r="AA223" s="376"/>
      <c r="AB223" s="376"/>
      <c r="AC223" s="376"/>
      <c r="AS223" s="361" t="s">
        <v>476</v>
      </c>
      <c r="AT223" s="364">
        <v>0.6</v>
      </c>
      <c r="AU223" s="365">
        <v>45716</v>
      </c>
      <c r="AV223" s="364">
        <v>5374.2574</v>
      </c>
      <c r="AW223" s="3"/>
      <c r="AX223" s="376">
        <v>0.007911</v>
      </c>
      <c r="AY223" s="376">
        <v>0.019593</v>
      </c>
      <c r="AZ223" s="376">
        <v>0.036927</v>
      </c>
      <c r="BA223" s="376">
        <v>0.074352</v>
      </c>
      <c r="BB223" s="376">
        <v>0.064359</v>
      </c>
      <c r="BC223" s="376">
        <v>0.057667</v>
      </c>
      <c r="BD223" s="376">
        <v>0.068179</v>
      </c>
      <c r="BE223" s="4"/>
      <c r="BF223" s="376">
        <v>0.019593</v>
      </c>
      <c r="BG223" s="376">
        <v>0.073148290139549</v>
      </c>
      <c r="BH223" s="376">
        <v>0.0694298754544751</v>
      </c>
      <c r="BI223" s="376">
        <v>0.0403454780744395</v>
      </c>
      <c r="BJ223" s="376">
        <v>0.0347903716880192</v>
      </c>
      <c r="BK223" s="376">
        <v>0.0694391997321041</v>
      </c>
      <c r="BL223" s="376">
        <v>0.0832799487508007</v>
      </c>
      <c r="BM223" s="376">
        <v>0.0722440382840852</v>
      </c>
      <c r="BN223" s="376">
        <v>0.0698011058039212</v>
      </c>
      <c r="BO223" s="376">
        <v>0.0877367848303623</v>
      </c>
      <c r="BP223" s="376">
        <v>0.0869324010299998</v>
      </c>
      <c r="BQ223" s="376">
        <v>0.0943435130243535</v>
      </c>
      <c r="BR223" s="376">
        <v>0.0942067132937253</v>
      </c>
      <c r="BS223" s="376">
        <v>0.102486682189717</v>
      </c>
      <c r="BT223" s="376">
        <v>0.0953847783967063</v>
      </c>
      <c r="BU223" s="376">
        <v>0.0560777543321183</v>
      </c>
    </row>
    <row r="224" spans="2:73">
      <c r="B224" s="361" t="s">
        <v>477</v>
      </c>
      <c r="C224" s="364">
        <v>2.06</v>
      </c>
      <c r="D224" s="365">
        <v>45838</v>
      </c>
      <c r="E224" s="364">
        <v>1596.75538843876</v>
      </c>
      <c r="F224" s="376">
        <v>-0.010118</v>
      </c>
      <c r="G224" s="376">
        <v>0.020234</v>
      </c>
      <c r="H224" s="376">
        <v>0.050705</v>
      </c>
      <c r="I224" s="376">
        <v>0.019531</v>
      </c>
      <c r="J224" s="376">
        <v>0.115095</v>
      </c>
      <c r="K224" s="376">
        <v>0.105145</v>
      </c>
      <c r="L224" s="376">
        <v>0.075618</v>
      </c>
      <c r="M224" s="4"/>
      <c r="N224" s="376">
        <v>0.024124</v>
      </c>
      <c r="O224" s="376">
        <v>0.126406462243827</v>
      </c>
      <c r="P224" s="376">
        <v>0.141028431608022</v>
      </c>
      <c r="Q224" s="376">
        <v>0.0573758457173468</v>
      </c>
      <c r="R224" s="376">
        <v>0.108688957325121</v>
      </c>
      <c r="S224" s="376">
        <v>0.100193610842207</v>
      </c>
      <c r="T224" s="376">
        <v>0.0102689486552568</v>
      </c>
      <c r="U224" s="376">
        <v>0.0323069156991419</v>
      </c>
      <c r="V224" s="376">
        <v>0.131353512278698</v>
      </c>
      <c r="W224" s="376">
        <v>0.0453731343283583</v>
      </c>
      <c r="X224" s="376">
        <v>0.0339506172839507</v>
      </c>
      <c r="Y224" s="376">
        <v>0.341059602649007</v>
      </c>
      <c r="Z224" s="376">
        <v>0.0541012216404886</v>
      </c>
      <c r="AA224" s="376"/>
      <c r="AB224" s="376"/>
      <c r="AC224" s="376"/>
      <c r="AS224" s="361" t="s">
        <v>478</v>
      </c>
      <c r="AT224" s="364">
        <v>1.1</v>
      </c>
      <c r="AU224" s="365">
        <v>45716</v>
      </c>
      <c r="AV224" s="364">
        <v>283.978</v>
      </c>
      <c r="AW224" s="3"/>
      <c r="AX224" s="376">
        <v>0.008148</v>
      </c>
      <c r="AY224" s="376">
        <v>0.018772</v>
      </c>
      <c r="AZ224" s="376">
        <v>0.035163</v>
      </c>
      <c r="BA224" s="376">
        <v>0.070755</v>
      </c>
      <c r="BB224" s="376">
        <v>0.061114</v>
      </c>
      <c r="BC224" s="376">
        <v>0.055373</v>
      </c>
      <c r="BD224" s="376">
        <v>0.064229</v>
      </c>
      <c r="BE224" s="4"/>
      <c r="BF224" s="376">
        <v>0.018772</v>
      </c>
      <c r="BG224" s="376">
        <v>0.069786844804169</v>
      </c>
      <c r="BH224" s="376">
        <v>0.0673194976554295</v>
      </c>
      <c r="BI224" s="376">
        <v>0.0373585971114833</v>
      </c>
      <c r="BJ224" s="376">
        <v>0.0335757810294459</v>
      </c>
      <c r="BK224" s="376">
        <v>0.0732116656624148</v>
      </c>
      <c r="BL224" s="376">
        <v>0.0700960624241828</v>
      </c>
      <c r="BM224" s="376">
        <v>0.0706738588628998</v>
      </c>
      <c r="BN224" s="376">
        <v>0.063779733379803</v>
      </c>
      <c r="BO224" s="376">
        <v>0.081351369540346</v>
      </c>
      <c r="BP224" s="376">
        <v>0.0788969242833493</v>
      </c>
      <c r="BQ224" s="376">
        <v>0.0856263006327119</v>
      </c>
      <c r="BR224" s="376">
        <v>0.0908986677062074</v>
      </c>
      <c r="BS224" s="376">
        <v>0.0997793329550469</v>
      </c>
      <c r="BT224" s="376">
        <v>0.0921146854687673</v>
      </c>
      <c r="BU224" s="376">
        <v>0.057594139364855</v>
      </c>
    </row>
    <row r="225" spans="2:73">
      <c r="B225" s="361" t="s">
        <v>479</v>
      </c>
      <c r="C225" s="364">
        <v>1.52</v>
      </c>
      <c r="D225" s="365">
        <v>45838</v>
      </c>
      <c r="E225" s="364">
        <v>668.242170106</v>
      </c>
      <c r="F225" s="376">
        <v>0.006853</v>
      </c>
      <c r="G225" s="376">
        <v>0.017071</v>
      </c>
      <c r="H225" s="376" t="s">
        <v>129</v>
      </c>
      <c r="I225" s="376" t="s">
        <v>129</v>
      </c>
      <c r="J225" s="376" t="s">
        <v>129</v>
      </c>
      <c r="K225" s="376" t="s">
        <v>129</v>
      </c>
      <c r="L225" s="376" t="s">
        <v>129</v>
      </c>
      <c r="M225" s="4"/>
      <c r="N225" s="376" t="s">
        <v>129</v>
      </c>
      <c r="O225" s="376" t="s">
        <v>129</v>
      </c>
      <c r="P225" s="376" t="s">
        <v>129</v>
      </c>
      <c r="Q225" s="376" t="s">
        <v>129</v>
      </c>
      <c r="R225" s="376" t="s">
        <v>129</v>
      </c>
      <c r="S225" s="376" t="s">
        <v>129</v>
      </c>
      <c r="T225" s="376" t="s">
        <v>129</v>
      </c>
      <c r="U225" s="376" t="s">
        <v>129</v>
      </c>
      <c r="V225" s="376" t="s">
        <v>129</v>
      </c>
      <c r="W225" s="376" t="s">
        <v>129</v>
      </c>
      <c r="X225" s="376" t="s">
        <v>129</v>
      </c>
      <c r="Y225" s="376" t="s">
        <v>129</v>
      </c>
      <c r="Z225" s="376" t="s">
        <v>129</v>
      </c>
      <c r="AA225" s="376"/>
      <c r="AB225" s="376"/>
      <c r="AC225" s="376"/>
      <c r="AS225" s="361" t="s">
        <v>480</v>
      </c>
      <c r="AT225" s="364">
        <v>0.63</v>
      </c>
      <c r="AU225" s="365">
        <v>45716</v>
      </c>
      <c r="AV225" s="364">
        <v>770.2555</v>
      </c>
      <c r="AW225" s="3"/>
      <c r="AX225" s="376">
        <v>0.008248</v>
      </c>
      <c r="AY225" s="376">
        <v>0.018899</v>
      </c>
      <c r="AZ225" s="376">
        <v>0.036583</v>
      </c>
      <c r="BA225" s="376">
        <v>0.074032</v>
      </c>
      <c r="BB225" s="376">
        <v>0.064653</v>
      </c>
      <c r="BC225" s="376">
        <v>0.056401</v>
      </c>
      <c r="BD225" s="376">
        <v>0.066086</v>
      </c>
      <c r="BE225" s="4"/>
      <c r="BF225" s="376">
        <v>0.018899</v>
      </c>
      <c r="BG225" s="376">
        <v>0.0737073794785815</v>
      </c>
      <c r="BH225" s="376">
        <v>0.0696927884765221</v>
      </c>
      <c r="BI225" s="376">
        <v>0.0409202710912661</v>
      </c>
      <c r="BJ225" s="376">
        <v>0.031121518063496</v>
      </c>
      <c r="BK225" s="376">
        <v>0.0640934786899781</v>
      </c>
      <c r="BL225" s="376">
        <v>0.0809318106297767</v>
      </c>
      <c r="BM225" s="376">
        <v>0.0693060048996691</v>
      </c>
      <c r="BN225" s="376">
        <v>0.0678283582685656</v>
      </c>
      <c r="BO225" s="376">
        <v>0.0842427076837802</v>
      </c>
      <c r="BP225" s="376">
        <v>0.083395886503528</v>
      </c>
      <c r="BQ225" s="376">
        <v>0.0904142665670818</v>
      </c>
      <c r="BR225" s="376">
        <v>0.0903016375886841</v>
      </c>
      <c r="BS225" s="376">
        <v>0.0995553647542241</v>
      </c>
      <c r="BT225" s="376">
        <v>0.095785002889746</v>
      </c>
      <c r="BU225" s="376">
        <v>0.0571477287258984</v>
      </c>
    </row>
    <row r="226" spans="2:73">
      <c r="B226" s="361" t="s">
        <v>481</v>
      </c>
      <c r="C226" s="364">
        <v>1.9</v>
      </c>
      <c r="D226" s="365">
        <v>45838</v>
      </c>
      <c r="E226" s="364">
        <v>3035.69</v>
      </c>
      <c r="F226" s="376">
        <v>-0.015381</v>
      </c>
      <c r="G226" s="376">
        <v>0.01693</v>
      </c>
      <c r="H226" s="376">
        <v>0.050291</v>
      </c>
      <c r="I226" s="376">
        <v>0.050423</v>
      </c>
      <c r="J226" s="376" t="s">
        <v>129</v>
      </c>
      <c r="K226" s="376" t="s">
        <v>129</v>
      </c>
      <c r="L226" s="376" t="s">
        <v>129</v>
      </c>
      <c r="M226" s="4"/>
      <c r="N226" s="376">
        <v>0.046381</v>
      </c>
      <c r="O226" s="376">
        <v>0.109088558261528</v>
      </c>
      <c r="P226" s="376">
        <v>0.08279</v>
      </c>
      <c r="Q226" s="376" t="s">
        <v>129</v>
      </c>
      <c r="R226" s="376" t="s">
        <v>129</v>
      </c>
      <c r="S226" s="376" t="s">
        <v>129</v>
      </c>
      <c r="T226" s="376" t="s">
        <v>129</v>
      </c>
      <c r="U226" s="376" t="s">
        <v>129</v>
      </c>
      <c r="V226" s="376" t="s">
        <v>129</v>
      </c>
      <c r="W226" s="376" t="s">
        <v>129</v>
      </c>
      <c r="X226" s="376" t="s">
        <v>129</v>
      </c>
      <c r="Y226" s="376" t="s">
        <v>129</v>
      </c>
      <c r="Z226" s="376" t="s">
        <v>129</v>
      </c>
      <c r="AA226" s="376"/>
      <c r="AB226" s="376"/>
      <c r="AC226" s="376"/>
      <c r="AS226" s="361" t="s">
        <v>482</v>
      </c>
      <c r="AT226" s="364">
        <v>0.57</v>
      </c>
      <c r="AU226" s="365">
        <v>45716</v>
      </c>
      <c r="AV226" s="364">
        <v>4741.7627</v>
      </c>
      <c r="AW226" s="3"/>
      <c r="AX226" s="376">
        <v>0.008208</v>
      </c>
      <c r="AY226" s="376">
        <v>0.019487</v>
      </c>
      <c r="AZ226" s="376">
        <v>0.037104</v>
      </c>
      <c r="BA226" s="376">
        <v>0.074889</v>
      </c>
      <c r="BB226" s="376">
        <v>0.064856</v>
      </c>
      <c r="BC226" s="376">
        <v>0.058064</v>
      </c>
      <c r="BD226" s="376">
        <v>0.067847</v>
      </c>
      <c r="BE226" s="4"/>
      <c r="BF226" s="376">
        <v>0.019487</v>
      </c>
      <c r="BG226" s="376">
        <v>0.0739994144012252</v>
      </c>
      <c r="BH226" s="376">
        <v>0.0690375435660668</v>
      </c>
      <c r="BI226" s="376">
        <v>0.0419797533775732</v>
      </c>
      <c r="BJ226" s="376">
        <v>0.034681030566552</v>
      </c>
      <c r="BK226" s="376">
        <v>0.066846678436667</v>
      </c>
      <c r="BL226" s="376">
        <v>0.0867782275661766</v>
      </c>
      <c r="BM226" s="376">
        <v>0.0732010626872422</v>
      </c>
      <c r="BN226" s="376">
        <v>0.0651637264430893</v>
      </c>
      <c r="BO226" s="376">
        <v>0.0852126348803344</v>
      </c>
      <c r="BP226" s="376">
        <v>0.0713200000000001</v>
      </c>
      <c r="BQ226" s="376" t="s">
        <v>129</v>
      </c>
      <c r="BR226" s="376" t="s">
        <v>129</v>
      </c>
      <c r="BS226" s="376" t="s">
        <v>129</v>
      </c>
      <c r="BT226" s="376" t="s">
        <v>129</v>
      </c>
      <c r="BU226" s="376" t="s">
        <v>129</v>
      </c>
    </row>
    <row r="227" ht="15.15" spans="2:73">
      <c r="B227" s="361" t="s">
        <v>483</v>
      </c>
      <c r="C227" s="364">
        <v>1.64</v>
      </c>
      <c r="D227" s="365">
        <v>45838</v>
      </c>
      <c r="E227" s="364">
        <v>5489.2341</v>
      </c>
      <c r="F227" s="376">
        <v>-0.00644</v>
      </c>
      <c r="G227" s="376">
        <v>0.018028</v>
      </c>
      <c r="H227" s="376">
        <v>0.051116</v>
      </c>
      <c r="I227" s="376">
        <v>0.072013</v>
      </c>
      <c r="J227" s="376">
        <v>0.092669</v>
      </c>
      <c r="K227" s="376">
        <v>0.107804</v>
      </c>
      <c r="L227" s="376">
        <v>0.079625</v>
      </c>
      <c r="M227" s="4"/>
      <c r="N227" s="376">
        <v>0.041815</v>
      </c>
      <c r="O227" s="376">
        <v>0.114450796840794</v>
      </c>
      <c r="P227" s="376">
        <v>0.119633921313482</v>
      </c>
      <c r="Q227" s="376">
        <v>-0.0236942083171119</v>
      </c>
      <c r="R227" s="376">
        <v>0.145830235846937</v>
      </c>
      <c r="S227" s="376">
        <v>0.140348871136905</v>
      </c>
      <c r="T227" s="376">
        <v>0.00235948794764191</v>
      </c>
      <c r="U227" s="376">
        <v>0.0254559455297101</v>
      </c>
      <c r="V227" s="376">
        <v>0.170704396428199</v>
      </c>
      <c r="W227" s="376">
        <v>0.0696026836236999</v>
      </c>
      <c r="X227" s="376">
        <v>0.0620246956165552</v>
      </c>
      <c r="Y227" s="376">
        <v>0.217304626629265</v>
      </c>
      <c r="Z227" s="376">
        <v>0.0362821666082775</v>
      </c>
      <c r="AA227" s="378"/>
      <c r="AB227" s="378"/>
      <c r="AC227" s="378"/>
      <c r="AS227" s="361" t="s">
        <v>484</v>
      </c>
      <c r="AT227" s="364">
        <v>1.01</v>
      </c>
      <c r="AU227" s="365">
        <v>45716</v>
      </c>
      <c r="AV227" s="364">
        <v>18130.9015</v>
      </c>
      <c r="AW227" s="3"/>
      <c r="AX227" s="376">
        <v>0.008323</v>
      </c>
      <c r="AY227" s="376">
        <v>0.019163</v>
      </c>
      <c r="AZ227" s="376">
        <v>0.036476</v>
      </c>
      <c r="BA227" s="376">
        <v>0.074506</v>
      </c>
      <c r="BB227" s="376">
        <v>0.065115</v>
      </c>
      <c r="BC227" s="376">
        <v>0.060979</v>
      </c>
      <c r="BD227" s="376">
        <v>0.067194</v>
      </c>
      <c r="BE227" s="4"/>
      <c r="BF227" s="376">
        <v>0.019163</v>
      </c>
      <c r="BG227" s="376">
        <v>0.0739294868694684</v>
      </c>
      <c r="BH227" s="376">
        <v>0.0703422486246075</v>
      </c>
      <c r="BI227" s="376">
        <v>0.0409950553311462</v>
      </c>
      <c r="BJ227" s="376">
        <v>0.0367819431253142</v>
      </c>
      <c r="BK227" s="376">
        <v>0.0814739803366172</v>
      </c>
      <c r="BL227" s="376">
        <v>0.0796274987149279</v>
      </c>
      <c r="BM227" s="376">
        <v>0.0653740305228922</v>
      </c>
      <c r="BN227" s="376">
        <v>0.063723460878822</v>
      </c>
      <c r="BO227" s="376">
        <v>0.086169628490032</v>
      </c>
      <c r="BP227" s="376">
        <v>0.076664787797262</v>
      </c>
      <c r="BQ227" s="376">
        <v>0.0840412052691162</v>
      </c>
      <c r="BR227" s="376">
        <v>0.082339289481799</v>
      </c>
      <c r="BS227" s="376">
        <v>0.0891013857466062</v>
      </c>
      <c r="BT227" s="376">
        <v>0.0858491833483677</v>
      </c>
      <c r="BU227" s="376">
        <v>0.054017832307529</v>
      </c>
    </row>
    <row r="228" ht="15.15" spans="2:73">
      <c r="B228" s="312" t="s">
        <v>162</v>
      </c>
      <c r="C228"/>
      <c r="D228"/>
      <c r="E228"/>
      <c r="F228" s="378">
        <f>AVERAGE(F192:F227)</f>
        <v>-0.0104328055555556</v>
      </c>
      <c r="G228" s="378">
        <f t="shared" ref="G228:Z228" si="31">AVERAGE(G192:G227)</f>
        <v>0.0298560277777778</v>
      </c>
      <c r="H228" s="378">
        <f t="shared" si="31"/>
        <v>0.0504744571428571</v>
      </c>
      <c r="I228" s="378">
        <f t="shared" si="31"/>
        <v>0.017165794117647</v>
      </c>
      <c r="J228" s="378">
        <f t="shared" si="31"/>
        <v>0.12227436</v>
      </c>
      <c r="K228" s="378">
        <f t="shared" si="31"/>
        <v>0.126014</v>
      </c>
      <c r="L228" s="378">
        <f t="shared" si="31"/>
        <v>0.0931376666666667</v>
      </c>
      <c r="M228"/>
      <c r="N228" s="378">
        <f t="shared" si="31"/>
        <v>0.0265322</v>
      </c>
      <c r="O228" s="378">
        <f t="shared" si="31"/>
        <v>0.122108351341286</v>
      </c>
      <c r="P228" s="378">
        <f t="shared" si="31"/>
        <v>0.173339140243329</v>
      </c>
      <c r="Q228" s="378">
        <f t="shared" si="31"/>
        <v>0.0340661953456594</v>
      </c>
      <c r="R228" s="378">
        <f t="shared" si="31"/>
        <v>0.117324536952824</v>
      </c>
      <c r="S228" s="378">
        <f t="shared" si="31"/>
        <v>0.123022315079707</v>
      </c>
      <c r="T228" s="378">
        <f t="shared" si="31"/>
        <v>0.0677126130509905</v>
      </c>
      <c r="U228" s="378">
        <f t="shared" si="31"/>
        <v>0.0115098912489797</v>
      </c>
      <c r="V228" s="378">
        <f t="shared" si="31"/>
        <v>0.174972696821512</v>
      </c>
      <c r="W228" s="378">
        <f t="shared" si="31"/>
        <v>0.0491910905651</v>
      </c>
      <c r="X228" s="378">
        <f t="shared" si="31"/>
        <v>0.0377539628962097</v>
      </c>
      <c r="Y228" s="378">
        <f t="shared" si="31"/>
        <v>0.277953130588772</v>
      </c>
      <c r="Z228" s="378">
        <f t="shared" si="31"/>
        <v>0.0722571703161503</v>
      </c>
      <c r="AA228" s="379"/>
      <c r="AB228" s="379"/>
      <c r="AC228" s="379"/>
      <c r="AS228" s="361" t="s">
        <v>485</v>
      </c>
      <c r="AT228" s="364">
        <v>1.08</v>
      </c>
      <c r="AU228" s="365">
        <v>45716</v>
      </c>
      <c r="AV228" s="364">
        <v>531.3069</v>
      </c>
      <c r="AW228" s="3"/>
      <c r="AX228" s="376">
        <v>0.009384</v>
      </c>
      <c r="AY228" s="376">
        <v>0.019994</v>
      </c>
      <c r="AZ228" s="376">
        <v>0.037326</v>
      </c>
      <c r="BA228" s="376">
        <v>0.075848</v>
      </c>
      <c r="BB228" s="376">
        <v>0.065352</v>
      </c>
      <c r="BC228" s="376">
        <v>0.057718</v>
      </c>
      <c r="BD228" s="376">
        <v>0.067127</v>
      </c>
      <c r="BE228" s="4"/>
      <c r="BF228" s="376">
        <v>0.019994</v>
      </c>
      <c r="BG228" s="376">
        <v>0.0747062490629167</v>
      </c>
      <c r="BH228" s="376">
        <v>0.0711641195563972</v>
      </c>
      <c r="BI228" s="376">
        <v>0.0394640307523338</v>
      </c>
      <c r="BJ228" s="376">
        <v>0.0343863890428886</v>
      </c>
      <c r="BK228" s="376">
        <v>0.0687096304210577</v>
      </c>
      <c r="BL228" s="376">
        <v>0.0511135954098327</v>
      </c>
      <c r="BM228" s="376">
        <v>0.0659610937287443</v>
      </c>
      <c r="BN228" s="376">
        <v>0.0832085725400511</v>
      </c>
      <c r="BO228" s="376">
        <v>0.0979679005953923</v>
      </c>
      <c r="BP228" s="376">
        <v>0.0884679595100063</v>
      </c>
      <c r="BQ228" s="376">
        <v>0.102335730148623</v>
      </c>
      <c r="BR228" s="376">
        <v>0.0770697600508502</v>
      </c>
      <c r="BS228" s="376">
        <v>0.0920258286069175</v>
      </c>
      <c r="BT228" s="376">
        <v>0.089321779272333</v>
      </c>
      <c r="BU228" s="376">
        <v>0.00512999999999995</v>
      </c>
    </row>
    <row r="229" spans="2:73">
      <c r="B229" s="312" t="s">
        <v>486</v>
      </c>
      <c r="C229"/>
      <c r="D229"/>
      <c r="E229"/>
      <c r="F229" s="379">
        <v>-0.0116284987700614</v>
      </c>
      <c r="G229" s="379">
        <v>0.02937935006152</v>
      </c>
      <c r="H229" s="379">
        <v>0.0542720523586115</v>
      </c>
      <c r="I229" s="379">
        <v>0.0280292519567873</v>
      </c>
      <c r="J229" s="436">
        <v>0.11763739546963</v>
      </c>
      <c r="K229" s="379">
        <v>0.133154908114355</v>
      </c>
      <c r="L229" s="379">
        <v>0.102254024682437</v>
      </c>
      <c r="M229" s="382"/>
      <c r="N229" s="379">
        <v>0.0394817439618318</v>
      </c>
      <c r="O229" s="379">
        <v>0.115148190648015</v>
      </c>
      <c r="P229" s="379">
        <v>0.158535642831628</v>
      </c>
      <c r="Q229" s="379">
        <v>0.0384086093157168</v>
      </c>
      <c r="R229" s="379">
        <v>0.168711766321198</v>
      </c>
      <c r="S229" s="379">
        <v>0.148189449432945</v>
      </c>
      <c r="T229" s="379">
        <v>0.0888221485237766</v>
      </c>
      <c r="U229" s="379">
        <v>0.0188333181532216</v>
      </c>
      <c r="V229" s="379">
        <v>0.201956865520734</v>
      </c>
      <c r="W229" s="379">
        <v>0.070857183193495</v>
      </c>
      <c r="X229" s="379">
        <v>0.0413438415560257</v>
      </c>
      <c r="Y229" s="379">
        <v>0.232549751336473</v>
      </c>
      <c r="Z229" s="379">
        <v>0.0607850113233515</v>
      </c>
      <c r="AS229" s="361" t="s">
        <v>487</v>
      </c>
      <c r="AT229" s="364">
        <v>0.53</v>
      </c>
      <c r="AU229" s="365">
        <v>45716</v>
      </c>
      <c r="AV229" s="364">
        <v>22237.6478447949</v>
      </c>
      <c r="AW229" s="3"/>
      <c r="AX229" s="376">
        <v>0.008483</v>
      </c>
      <c r="AY229" s="376">
        <v>0.019917</v>
      </c>
      <c r="AZ229" s="376">
        <v>0.038688</v>
      </c>
      <c r="BA229" s="376">
        <v>0.078997</v>
      </c>
      <c r="BB229" s="376">
        <v>0.071019</v>
      </c>
      <c r="BC229" s="376">
        <v>0.065687</v>
      </c>
      <c r="BD229" s="376">
        <v>0.072989</v>
      </c>
      <c r="BE229" s="4"/>
      <c r="BF229" s="376">
        <v>0.019917</v>
      </c>
      <c r="BG229" s="376">
        <v>0.0796774463711682</v>
      </c>
      <c r="BH229" s="376">
        <v>0.0762801871511003</v>
      </c>
      <c r="BI229" s="376">
        <v>0.0449640802275311</v>
      </c>
      <c r="BJ229" s="376">
        <v>0.0376976580298877</v>
      </c>
      <c r="BK229" s="376">
        <v>0.0858713449801984</v>
      </c>
      <c r="BL229" s="376">
        <v>0.0877845143031117</v>
      </c>
      <c r="BM229" s="376">
        <v>0.0725415437298396</v>
      </c>
      <c r="BN229" s="376">
        <v>0.071019007955402</v>
      </c>
      <c r="BO229" s="376">
        <v>0.0906666809528148</v>
      </c>
      <c r="BP229" s="376">
        <v>0.0880512798591706</v>
      </c>
      <c r="BQ229" s="376">
        <v>0.0949133691222968</v>
      </c>
      <c r="BR229" s="376">
        <v>0.0962494210341951</v>
      </c>
      <c r="BS229" s="376">
        <v>0.0966892288678862</v>
      </c>
      <c r="BT229" s="376">
        <v>0.0917774840147686</v>
      </c>
      <c r="BU229" s="376">
        <v>0.0575068701722017</v>
      </c>
    </row>
    <row r="230" spans="15:73">
      <c r="O230" s="281"/>
      <c r="AS230" s="361" t="s">
        <v>488</v>
      </c>
      <c r="AT230" s="364">
        <v>0.6</v>
      </c>
      <c r="AU230" s="365">
        <v>45716</v>
      </c>
      <c r="AV230" s="364">
        <v>1501.7798</v>
      </c>
      <c r="AW230" s="3"/>
      <c r="AX230" s="376">
        <v>0.008095</v>
      </c>
      <c r="AY230" s="376">
        <v>0.01908</v>
      </c>
      <c r="AZ230" s="376">
        <v>0.036982</v>
      </c>
      <c r="BA230" s="376">
        <v>0.074807</v>
      </c>
      <c r="BB230" s="376">
        <v>0.064662</v>
      </c>
      <c r="BC230" s="376">
        <v>0.058554</v>
      </c>
      <c r="BD230" s="376">
        <v>0.067682</v>
      </c>
      <c r="BE230" s="4"/>
      <c r="BF230" s="376">
        <v>0.01908</v>
      </c>
      <c r="BG230" s="376">
        <v>0.0758233947092528</v>
      </c>
      <c r="BH230" s="376">
        <v>0.0683652437374447</v>
      </c>
      <c r="BI230" s="376">
        <v>0.0399995927246834</v>
      </c>
      <c r="BJ230" s="376">
        <v>0.0347726257137416</v>
      </c>
      <c r="BK230" s="376">
        <v>0.0708558147081356</v>
      </c>
      <c r="BL230" s="376">
        <v>0.0892052806050335</v>
      </c>
      <c r="BM230" s="376">
        <v>0.0705249032045166</v>
      </c>
      <c r="BN230" s="376">
        <v>0.0628620925632676</v>
      </c>
      <c r="BO230" s="376">
        <v>0.0851741161156543</v>
      </c>
      <c r="BP230" s="376">
        <v>0.0838583575699141</v>
      </c>
      <c r="BQ230" s="376">
        <v>0.0902485552603308</v>
      </c>
      <c r="BR230" s="376">
        <v>0.0887014740843536</v>
      </c>
      <c r="BS230" s="376">
        <v>0.0979842427614769</v>
      </c>
      <c r="BT230" s="376">
        <v>0.0925622256970412</v>
      </c>
      <c r="BU230" s="376">
        <v>0.0574322435318832</v>
      </c>
    </row>
    <row r="231" spans="2:73">
      <c r="B231" s="399" t="s">
        <v>109</v>
      </c>
      <c r="C231" s="400"/>
      <c r="D231" s="400"/>
      <c r="E231" s="400"/>
      <c r="F231" s="401" t="s">
        <v>489</v>
      </c>
      <c r="G231" s="402" t="s">
        <v>490</v>
      </c>
      <c r="H231" s="402" t="s">
        <v>491</v>
      </c>
      <c r="I231" s="402" t="s">
        <v>492</v>
      </c>
      <c r="J231" s="437" t="s">
        <v>493</v>
      </c>
      <c r="K231" s="437" t="s">
        <v>494</v>
      </c>
      <c r="L231" s="438" t="s">
        <v>495</v>
      </c>
      <c r="M231" s="428"/>
      <c r="N231" s="439" t="s">
        <v>496</v>
      </c>
      <c r="O231" s="437">
        <v>2024</v>
      </c>
      <c r="P231" s="402">
        <v>2023</v>
      </c>
      <c r="Q231" s="402">
        <v>2022</v>
      </c>
      <c r="R231" s="402">
        <v>2021</v>
      </c>
      <c r="S231" s="402">
        <v>2020</v>
      </c>
      <c r="T231" s="402">
        <v>2019</v>
      </c>
      <c r="U231" s="402">
        <v>2018</v>
      </c>
      <c r="V231" s="402">
        <v>2017</v>
      </c>
      <c r="W231" s="402">
        <v>2016</v>
      </c>
      <c r="X231" s="402">
        <v>2015</v>
      </c>
      <c r="Y231" s="402">
        <v>2014</v>
      </c>
      <c r="Z231" s="402">
        <v>2013</v>
      </c>
      <c r="AA231" s="402">
        <v>2012</v>
      </c>
      <c r="AB231" s="402">
        <v>2011</v>
      </c>
      <c r="AC231" s="402">
        <v>2010</v>
      </c>
      <c r="AD231" s="402">
        <v>2009</v>
      </c>
      <c r="AE231" s="450">
        <v>2008</v>
      </c>
      <c r="AS231" s="361" t="s">
        <v>497</v>
      </c>
      <c r="AT231" s="364">
        <v>0.7</v>
      </c>
      <c r="AU231" s="365">
        <v>45716</v>
      </c>
      <c r="AV231" s="364">
        <v>219.356769731</v>
      </c>
      <c r="AW231" s="3"/>
      <c r="AX231" s="376">
        <v>0.008261</v>
      </c>
      <c r="AY231" s="376">
        <v>0.019432</v>
      </c>
      <c r="AZ231" s="376">
        <v>0.036813</v>
      </c>
      <c r="BA231" s="376">
        <v>0.074784</v>
      </c>
      <c r="BB231" s="376">
        <v>0.063316</v>
      </c>
      <c r="BC231" s="376">
        <v>0.093807</v>
      </c>
      <c r="BD231" s="376">
        <v>0.062544</v>
      </c>
      <c r="BE231" s="4"/>
      <c r="BF231" s="376">
        <v>0.019432</v>
      </c>
      <c r="BG231" s="376">
        <v>0.0735117389274581</v>
      </c>
      <c r="BH231" s="376">
        <v>0.0657184768617936</v>
      </c>
      <c r="BI231" s="376">
        <v>0.0408257355815329</v>
      </c>
      <c r="BJ231" s="376">
        <v>0.0312772401057045</v>
      </c>
      <c r="BK231" s="376">
        <v>0.26784084009313</v>
      </c>
      <c r="BL231" s="376">
        <v>-0.120462115943922</v>
      </c>
      <c r="BM231" s="376">
        <v>0.0699528084714548</v>
      </c>
      <c r="BN231" s="376">
        <v>0.0672235359149955</v>
      </c>
      <c r="BO231" s="376">
        <v>0.0857176879658959</v>
      </c>
      <c r="BP231" s="376">
        <v>0.0834920290864801</v>
      </c>
      <c r="BQ231" s="376">
        <v>0.0905268963654168</v>
      </c>
      <c r="BR231" s="376">
        <v>0.0914731158356421</v>
      </c>
      <c r="BS231" s="376">
        <v>0.100757319629454</v>
      </c>
      <c r="BT231" s="376">
        <v>0.0922855349163558</v>
      </c>
      <c r="BU231" s="376">
        <v>0.0548150110237693</v>
      </c>
    </row>
    <row r="232" spans="2:73">
      <c r="B232" s="403" t="s">
        <v>498</v>
      </c>
      <c r="C232" s="404"/>
      <c r="D232" s="404"/>
      <c r="E232" s="404"/>
      <c r="F232" s="405">
        <v>-0.0425</v>
      </c>
      <c r="G232" s="406">
        <v>-0.00890367087499988</v>
      </c>
      <c r="H232" s="406">
        <v>0.00732384902929395</v>
      </c>
      <c r="I232" s="406">
        <v>-0.0343478236971326</v>
      </c>
      <c r="J232" s="406">
        <v>0.0608824617032582</v>
      </c>
      <c r="K232" s="406">
        <v>0.132488637080043</v>
      </c>
      <c r="L232" s="440" t="s">
        <v>129</v>
      </c>
      <c r="M232" s="441"/>
      <c r="N232" s="405">
        <v>0.0078275109538084</v>
      </c>
      <c r="O232" s="406">
        <v>0.00610338981834713</v>
      </c>
      <c r="P232" s="406">
        <v>0.14078202961083</v>
      </c>
      <c r="Q232" s="406">
        <v>-0.022324356202355</v>
      </c>
      <c r="R232" s="406">
        <v>0.286863662027515</v>
      </c>
      <c r="S232" s="406">
        <v>0.249212498038064</v>
      </c>
      <c r="T232" s="406" t="s">
        <v>129</v>
      </c>
      <c r="U232" s="406" t="s">
        <v>129</v>
      </c>
      <c r="V232" s="406" t="s">
        <v>129</v>
      </c>
      <c r="W232" s="406" t="s">
        <v>129</v>
      </c>
      <c r="X232" s="406" t="s">
        <v>129</v>
      </c>
      <c r="Y232" s="406" t="s">
        <v>129</v>
      </c>
      <c r="Z232" s="406" t="s">
        <v>129</v>
      </c>
      <c r="AA232" s="406" t="s">
        <v>129</v>
      </c>
      <c r="AB232" s="406" t="s">
        <v>129</v>
      </c>
      <c r="AC232" s="406" t="s">
        <v>129</v>
      </c>
      <c r="AD232" s="406" t="s">
        <v>129</v>
      </c>
      <c r="AE232" s="440" t="s">
        <v>129</v>
      </c>
      <c r="AS232" s="361" t="s">
        <v>499</v>
      </c>
      <c r="AT232" s="364">
        <v>1.17</v>
      </c>
      <c r="AU232" s="365">
        <v>45716</v>
      </c>
      <c r="AV232" s="364">
        <v>11754.8171</v>
      </c>
      <c r="AW232" s="3"/>
      <c r="AX232" s="376">
        <v>0.008169</v>
      </c>
      <c r="AY232" s="376">
        <v>0.018531</v>
      </c>
      <c r="AZ232" s="376">
        <v>0.036697</v>
      </c>
      <c r="BA232" s="376">
        <v>0.073594</v>
      </c>
      <c r="BB232" s="376">
        <v>0.062924</v>
      </c>
      <c r="BC232" s="376">
        <v>0.058618</v>
      </c>
      <c r="BD232" s="376">
        <v>0.069548</v>
      </c>
      <c r="BE232" s="4"/>
      <c r="BF232" s="376">
        <v>0.018531</v>
      </c>
      <c r="BG232" s="376">
        <v>0.0734746159138425</v>
      </c>
      <c r="BH232" s="376">
        <v>0.066743612603924</v>
      </c>
      <c r="BI232" s="376">
        <v>0.0388938129504915</v>
      </c>
      <c r="BJ232" s="376">
        <v>0.0346168417541875</v>
      </c>
      <c r="BK232" s="376">
        <v>0.0790463205517948</v>
      </c>
      <c r="BL232" s="376">
        <v>0.0834001093491267</v>
      </c>
      <c r="BM232" s="376">
        <v>0.0734176929578188</v>
      </c>
      <c r="BN232" s="376">
        <v>0.0714308125796619</v>
      </c>
      <c r="BO232" s="376">
        <v>0.0892729678880424</v>
      </c>
      <c r="BP232" s="376">
        <v>0.0929077992036084</v>
      </c>
      <c r="BQ232" s="376">
        <v>0.0948052478268189</v>
      </c>
      <c r="BR232" s="376">
        <v>0.0709820583349483</v>
      </c>
      <c r="BS232" s="376">
        <v>0.101623619656746</v>
      </c>
      <c r="BT232" s="376">
        <v>0.0983674561162776</v>
      </c>
      <c r="BU232" s="376">
        <v>0.049115983926036</v>
      </c>
    </row>
    <row r="233" ht="15" customHeight="1" spans="2:73">
      <c r="B233" s="407" t="s">
        <v>500</v>
      </c>
      <c r="C233" s="408"/>
      <c r="D233" s="408"/>
      <c r="E233" s="408"/>
      <c r="F233" s="409">
        <v>-0.0369</v>
      </c>
      <c r="G233" s="410">
        <v>0.0277690541869999</v>
      </c>
      <c r="H233" s="410">
        <v>0.0517365436369168</v>
      </c>
      <c r="I233" s="410">
        <v>-0.0444099239932316</v>
      </c>
      <c r="J233" s="410">
        <v>0.11994832801275</v>
      </c>
      <c r="K233" s="410">
        <v>0.123277212829608</v>
      </c>
      <c r="L233" s="442">
        <v>0.107196748947359</v>
      </c>
      <c r="M233" s="441"/>
      <c r="N233" s="409">
        <v>-0.00400549317583987</v>
      </c>
      <c r="O233" s="410">
        <v>0.0947777934731668</v>
      </c>
      <c r="P233" s="410">
        <v>0.261559921681226</v>
      </c>
      <c r="Q233" s="410">
        <v>-0.0369070004948769</v>
      </c>
      <c r="R233" s="410">
        <v>0.151297494077957</v>
      </c>
      <c r="S233" s="410">
        <v>0.236756430732611</v>
      </c>
      <c r="T233" s="410">
        <v>0.110154475988539</v>
      </c>
      <c r="U233" s="410">
        <v>0.02458101398562</v>
      </c>
      <c r="V233" s="410">
        <v>0.353755584275492</v>
      </c>
      <c r="W233" s="410">
        <v>0.00403697304920914</v>
      </c>
      <c r="X233" s="410">
        <v>0.0961626197597198</v>
      </c>
      <c r="Y233" s="410">
        <v>0.474298611422507</v>
      </c>
      <c r="Z233" s="410">
        <v>0.164512675909245</v>
      </c>
      <c r="AA233" s="410">
        <v>0.229711362493177</v>
      </c>
      <c r="AB233" s="410" t="s">
        <v>129</v>
      </c>
      <c r="AC233" s="410" t="s">
        <v>129</v>
      </c>
      <c r="AD233" s="410" t="s">
        <v>129</v>
      </c>
      <c r="AE233" s="442" t="s">
        <v>129</v>
      </c>
      <c r="AN233" s="281">
        <v>0.5</v>
      </c>
      <c r="AO233" s="281">
        <v>0.96</v>
      </c>
      <c r="AP233" s="281">
        <v>22.3</v>
      </c>
      <c r="AQ233" s="281" t="s">
        <v>129</v>
      </c>
      <c r="AS233" s="361" t="s">
        <v>501</v>
      </c>
      <c r="AT233" s="364">
        <v>0.96</v>
      </c>
      <c r="AU233" s="365">
        <v>45716</v>
      </c>
      <c r="AV233" s="364">
        <v>2058.9186</v>
      </c>
      <c r="AW233" s="3"/>
      <c r="AX233" s="376">
        <v>0.007999</v>
      </c>
      <c r="AY233" s="376">
        <v>0.018652</v>
      </c>
      <c r="AZ233" s="376">
        <v>0.035637</v>
      </c>
      <c r="BA233" s="376">
        <v>0.071825</v>
      </c>
      <c r="BB233" s="376">
        <v>0.06161</v>
      </c>
      <c r="BC233" s="376">
        <v>0.057699</v>
      </c>
      <c r="BD233" s="376">
        <v>0.061005</v>
      </c>
      <c r="BE233" s="4"/>
      <c r="BF233" s="376">
        <v>0.018652</v>
      </c>
      <c r="BG233" s="376">
        <v>0.0713548419758852</v>
      </c>
      <c r="BH233" s="376">
        <v>0.0653125552436112</v>
      </c>
      <c r="BI233" s="376">
        <v>0.0384128337321056</v>
      </c>
      <c r="BJ233" s="376">
        <v>0.0374264060321233</v>
      </c>
      <c r="BK233" s="376">
        <v>0.0697494544349603</v>
      </c>
      <c r="BL233" s="376">
        <v>0.0350425120531231</v>
      </c>
      <c r="BM233" s="376">
        <v>0.0720092870716606</v>
      </c>
      <c r="BN233" s="376">
        <v>0.0649084655588151</v>
      </c>
      <c r="BO233" s="376">
        <v>0.0829467228687821</v>
      </c>
      <c r="BP233" s="376">
        <v>0.0773939867090657</v>
      </c>
      <c r="BQ233" s="376">
        <v>0.0846473971725682</v>
      </c>
      <c r="BR233" s="376">
        <v>0.0830970556161396</v>
      </c>
      <c r="BS233" s="376">
        <v>0.0865787186981593</v>
      </c>
      <c r="BT233" s="376">
        <v>0.0782158043360044</v>
      </c>
      <c r="BU233" s="376">
        <v>0.0555912885310981</v>
      </c>
    </row>
    <row r="234" spans="2:73">
      <c r="B234" s="74" t="s">
        <v>18</v>
      </c>
      <c r="C234" s="408">
        <v>2.5</v>
      </c>
      <c r="D234" s="408"/>
      <c r="E234" s="408"/>
      <c r="F234" s="409">
        <v>-0.0338000000000001</v>
      </c>
      <c r="G234" s="410">
        <v>0.0129786502960001</v>
      </c>
      <c r="H234" s="410">
        <v>0.033656097499881</v>
      </c>
      <c r="I234" s="410">
        <v>-0.0271648364434391</v>
      </c>
      <c r="J234" s="410">
        <v>0.183371252542426</v>
      </c>
      <c r="K234" s="410">
        <v>0.259155398552223</v>
      </c>
      <c r="L234" s="442" t="s">
        <v>129</v>
      </c>
      <c r="M234" s="441"/>
      <c r="N234" s="409">
        <v>-0.0157526639606131</v>
      </c>
      <c r="O234" s="410">
        <v>0.246137661220227</v>
      </c>
      <c r="P234" s="410">
        <v>0.27255977580347</v>
      </c>
      <c r="Q234" s="410">
        <v>0.100871060698555</v>
      </c>
      <c r="R234" s="410">
        <v>0.363589982277438</v>
      </c>
      <c r="S234" s="410">
        <v>0.0893649385219928</v>
      </c>
      <c r="T234" s="410">
        <v>0.109299961060874</v>
      </c>
      <c r="U234" s="410">
        <v>-0.0771779924938113</v>
      </c>
      <c r="V234" s="410" t="s">
        <v>129</v>
      </c>
      <c r="W234" s="410" t="s">
        <v>129</v>
      </c>
      <c r="X234" s="410" t="s">
        <v>129</v>
      </c>
      <c r="Y234" s="410" t="s">
        <v>129</v>
      </c>
      <c r="Z234" s="410" t="s">
        <v>129</v>
      </c>
      <c r="AA234" s="410" t="s">
        <v>129</v>
      </c>
      <c r="AB234" s="410" t="s">
        <v>129</v>
      </c>
      <c r="AC234" s="410" t="s">
        <v>129</v>
      </c>
      <c r="AD234" s="410" t="s">
        <v>129</v>
      </c>
      <c r="AE234" s="442" t="s">
        <v>129</v>
      </c>
      <c r="AS234" s="361" t="s">
        <v>502</v>
      </c>
      <c r="AT234" s="364">
        <v>1.09</v>
      </c>
      <c r="AU234" s="365">
        <v>45716</v>
      </c>
      <c r="AV234" s="364">
        <v>613.2332</v>
      </c>
      <c r="AW234" s="3"/>
      <c r="AX234" s="376">
        <v>0.007952</v>
      </c>
      <c r="AY234" s="376">
        <v>0.01853</v>
      </c>
      <c r="AZ234" s="376">
        <v>0.035857</v>
      </c>
      <c r="BA234" s="376">
        <v>0.072756</v>
      </c>
      <c r="BB234" s="376">
        <v>0.061968</v>
      </c>
      <c r="BC234" s="376">
        <v>0.05429</v>
      </c>
      <c r="BD234" s="376" t="s">
        <v>129</v>
      </c>
      <c r="BE234" s="4"/>
      <c r="BF234" s="376">
        <v>0.01853</v>
      </c>
      <c r="BG234" s="376">
        <v>0.0717292980764552</v>
      </c>
      <c r="BH234" s="376">
        <v>0.0667033928438267</v>
      </c>
      <c r="BI234" s="376">
        <v>0.0370998209649817</v>
      </c>
      <c r="BJ234" s="376">
        <v>0.0314803048568305</v>
      </c>
      <c r="BK234" s="376">
        <v>0.0634566305458303</v>
      </c>
      <c r="BL234" s="376">
        <v>0.0793025865748879</v>
      </c>
      <c r="BM234" s="376">
        <v>0.0650519715203266</v>
      </c>
      <c r="BN234" s="376">
        <v>0.0531441</v>
      </c>
      <c r="BO234" s="376" t="s">
        <v>129</v>
      </c>
      <c r="BP234" s="376" t="s">
        <v>129</v>
      </c>
      <c r="BQ234" s="376" t="s">
        <v>129</v>
      </c>
      <c r="BR234" s="376" t="s">
        <v>129</v>
      </c>
      <c r="BS234" s="376" t="s">
        <v>129</v>
      </c>
      <c r="BT234" s="376" t="s">
        <v>129</v>
      </c>
      <c r="BU234" s="376" t="s">
        <v>129</v>
      </c>
    </row>
    <row r="235" spans="2:73">
      <c r="B235" s="407" t="s">
        <v>503</v>
      </c>
      <c r="C235" s="408"/>
      <c r="D235" s="408"/>
      <c r="E235" s="408"/>
      <c r="F235" s="409">
        <v>-0.0135999999999999</v>
      </c>
      <c r="G235" s="410">
        <v>0.0504377587520002</v>
      </c>
      <c r="H235" s="410">
        <v>0.0760207551283589</v>
      </c>
      <c r="I235" s="410">
        <v>0.021250036867114</v>
      </c>
      <c r="J235" s="410" t="s">
        <v>129</v>
      </c>
      <c r="K235" s="410" t="s">
        <v>129</v>
      </c>
      <c r="L235" s="442" t="s">
        <v>129</v>
      </c>
      <c r="M235" s="441"/>
      <c r="N235" s="409">
        <v>0.0548231462523303</v>
      </c>
      <c r="O235" s="410">
        <v>0.20686180240832</v>
      </c>
      <c r="P235" s="410" t="s">
        <v>129</v>
      </c>
      <c r="Q235" s="410" t="s">
        <v>129</v>
      </c>
      <c r="R235" s="410" t="s">
        <v>129</v>
      </c>
      <c r="S235" s="410" t="s">
        <v>129</v>
      </c>
      <c r="T235" s="410" t="s">
        <v>129</v>
      </c>
      <c r="U235" s="410" t="s">
        <v>129</v>
      </c>
      <c r="V235" s="410" t="s">
        <v>129</v>
      </c>
      <c r="W235" s="410" t="s">
        <v>129</v>
      </c>
      <c r="X235" s="410" t="s">
        <v>129</v>
      </c>
      <c r="Y235" s="410" t="s">
        <v>129</v>
      </c>
      <c r="Z235" s="410" t="s">
        <v>129</v>
      </c>
      <c r="AA235" s="410" t="s">
        <v>129</v>
      </c>
      <c r="AB235" s="410" t="s">
        <v>129</v>
      </c>
      <c r="AC235" s="410" t="s">
        <v>129</v>
      </c>
      <c r="AD235" s="410" t="s">
        <v>129</v>
      </c>
      <c r="AE235" s="442" t="s">
        <v>129</v>
      </c>
      <c r="AS235" s="361" t="s">
        <v>504</v>
      </c>
      <c r="AT235" s="364">
        <v>0.86</v>
      </c>
      <c r="AU235" s="365">
        <v>45716</v>
      </c>
      <c r="AV235" s="364">
        <v>1199.970995513</v>
      </c>
      <c r="AW235" s="3"/>
      <c r="AX235" s="376">
        <v>0.008058</v>
      </c>
      <c r="AY235" s="376">
        <v>0.019169</v>
      </c>
      <c r="AZ235" s="376">
        <v>0.036409</v>
      </c>
      <c r="BA235" s="376">
        <v>0.074431</v>
      </c>
      <c r="BB235" s="376">
        <v>0.063422</v>
      </c>
      <c r="BC235" s="376">
        <v>0.056097</v>
      </c>
      <c r="BD235" s="376">
        <v>0.059672</v>
      </c>
      <c r="BE235" s="4"/>
      <c r="BF235" s="376">
        <v>0.019169</v>
      </c>
      <c r="BG235" s="376">
        <v>0.0738253007464485</v>
      </c>
      <c r="BH235" s="376">
        <v>0.065979598959918</v>
      </c>
      <c r="BI235" s="376">
        <v>0.0395615359328183</v>
      </c>
      <c r="BJ235" s="376">
        <v>0.0306860569733079</v>
      </c>
      <c r="BK235" s="376">
        <v>0.0667939776882027</v>
      </c>
      <c r="BL235" s="376">
        <v>0.057635557842077</v>
      </c>
      <c r="BM235" s="376">
        <v>0.0661488105553962</v>
      </c>
      <c r="BN235" s="376">
        <v>0.0576513322702101</v>
      </c>
      <c r="BO235" s="376">
        <v>0.0688744693957629</v>
      </c>
      <c r="BP235" s="376">
        <v>0.0696365259579285</v>
      </c>
      <c r="BQ235" s="376">
        <v>0.0798550930567683</v>
      </c>
      <c r="BR235" s="376">
        <v>0.0800633058029107</v>
      </c>
      <c r="BS235" s="376" t="s">
        <v>129</v>
      </c>
      <c r="BT235" s="376" t="s">
        <v>129</v>
      </c>
      <c r="BU235" s="376" t="s">
        <v>129</v>
      </c>
    </row>
    <row r="236" spans="2:73">
      <c r="B236" s="407" t="s">
        <v>505</v>
      </c>
      <c r="C236" s="408"/>
      <c r="D236" s="408"/>
      <c r="E236" s="408"/>
      <c r="F236" s="409">
        <v>-0.0561</v>
      </c>
      <c r="G236" s="410">
        <v>0.022929518862</v>
      </c>
      <c r="H236" s="410">
        <v>0.0517142059567102</v>
      </c>
      <c r="I236" s="410">
        <v>-0.0245867931608245</v>
      </c>
      <c r="J236" s="410">
        <v>0.0647212377264432</v>
      </c>
      <c r="K236" s="410">
        <v>0.129904475878289</v>
      </c>
      <c r="L236" s="442" t="s">
        <v>129</v>
      </c>
      <c r="M236" s="441"/>
      <c r="N236" s="409">
        <v>0.0240541223400488</v>
      </c>
      <c r="O236" s="410">
        <v>0.0353386383038319</v>
      </c>
      <c r="P236" s="410">
        <v>0.158302432801721</v>
      </c>
      <c r="Q236" s="410">
        <v>-0.0882150679327712</v>
      </c>
      <c r="R236" s="410">
        <v>0.20569431757001</v>
      </c>
      <c r="S236" s="410">
        <v>0.337910696250677</v>
      </c>
      <c r="T236" s="410">
        <v>0.274004267094112</v>
      </c>
      <c r="U236" s="410" t="s">
        <v>129</v>
      </c>
      <c r="V236" s="410" t="s">
        <v>129</v>
      </c>
      <c r="W236" s="410" t="s">
        <v>129</v>
      </c>
      <c r="X236" s="410" t="s">
        <v>129</v>
      </c>
      <c r="Y236" s="410" t="s">
        <v>129</v>
      </c>
      <c r="Z236" s="410" t="s">
        <v>129</v>
      </c>
      <c r="AA236" s="410" t="s">
        <v>129</v>
      </c>
      <c r="AB236" s="410" t="s">
        <v>129</v>
      </c>
      <c r="AC236" s="410" t="s">
        <v>129</v>
      </c>
      <c r="AD236" s="410" t="s">
        <v>129</v>
      </c>
      <c r="AE236" s="442" t="s">
        <v>129</v>
      </c>
      <c r="AS236" s="361" t="s">
        <v>506</v>
      </c>
      <c r="AT236" s="364">
        <v>0.95</v>
      </c>
      <c r="AU236" s="365">
        <v>45716</v>
      </c>
      <c r="AV236" s="364">
        <v>7275.8194</v>
      </c>
      <c r="AW236" s="3"/>
      <c r="AX236" s="376">
        <v>0.007966</v>
      </c>
      <c r="AY236" s="376">
        <v>0.01906</v>
      </c>
      <c r="AZ236" s="376">
        <v>0.037153</v>
      </c>
      <c r="BA236" s="376">
        <v>0.074483</v>
      </c>
      <c r="BB236" s="376">
        <v>0.063887</v>
      </c>
      <c r="BC236" s="376">
        <v>0.059209</v>
      </c>
      <c r="BD236" s="376">
        <v>0.067207</v>
      </c>
      <c r="BE236" s="4"/>
      <c r="BF236" s="376">
        <v>0.01906</v>
      </c>
      <c r="BG236" s="376">
        <v>0.0740606554177517</v>
      </c>
      <c r="BH236" s="376">
        <v>0.0673587401302848</v>
      </c>
      <c r="BI236" s="376">
        <v>0.0416380516713523</v>
      </c>
      <c r="BJ236" s="376">
        <v>0.0409114340851854</v>
      </c>
      <c r="BK236" s="376">
        <v>0.0728329713653326</v>
      </c>
      <c r="BL236" s="376">
        <v>0.0698633557540744</v>
      </c>
      <c r="BM236" s="376">
        <v>0.0738957376978868</v>
      </c>
      <c r="BN236" s="376">
        <v>0.0662986019854785</v>
      </c>
      <c r="BO236" s="376">
        <v>0.0853080778756998</v>
      </c>
      <c r="BP236" s="376">
        <v>0.0844365139905968</v>
      </c>
      <c r="BQ236" s="376">
        <v>0.0898653850731384</v>
      </c>
      <c r="BR236" s="376">
        <v>0.094512166379724</v>
      </c>
      <c r="BS236" s="376">
        <v>0.0970736151842891</v>
      </c>
      <c r="BT236" s="376">
        <v>0.0917751887676478</v>
      </c>
      <c r="BU236" s="376">
        <v>0.0564343914452606</v>
      </c>
    </row>
    <row r="237" spans="2:73">
      <c r="B237" s="407" t="s">
        <v>507</v>
      </c>
      <c r="C237" s="408"/>
      <c r="D237" s="408"/>
      <c r="E237" s="408"/>
      <c r="F237" s="409">
        <v>-0.0327</v>
      </c>
      <c r="G237" s="410">
        <v>0.056671390999</v>
      </c>
      <c r="H237" s="410">
        <v>0.0917060848391089</v>
      </c>
      <c r="I237" s="410">
        <v>0.0300494817570276</v>
      </c>
      <c r="J237" s="410">
        <v>0.241369679192846</v>
      </c>
      <c r="K237" s="410" t="s">
        <v>129</v>
      </c>
      <c r="L237" s="442" t="s">
        <v>129</v>
      </c>
      <c r="M237" s="441"/>
      <c r="N237" s="409">
        <v>0.0429251002789908</v>
      </c>
      <c r="O237" s="410">
        <v>0.28816029143898</v>
      </c>
      <c r="P237" s="410">
        <v>0.378427237119615</v>
      </c>
      <c r="Q237" s="410" t="s">
        <v>129</v>
      </c>
      <c r="R237" s="410" t="s">
        <v>129</v>
      </c>
      <c r="S237" s="410" t="s">
        <v>129</v>
      </c>
      <c r="T237" s="410" t="s">
        <v>129</v>
      </c>
      <c r="U237" s="410" t="s">
        <v>129</v>
      </c>
      <c r="V237" s="410" t="s">
        <v>129</v>
      </c>
      <c r="W237" s="410" t="s">
        <v>129</v>
      </c>
      <c r="X237" s="410" t="s">
        <v>129</v>
      </c>
      <c r="Y237" s="410" t="s">
        <v>129</v>
      </c>
      <c r="Z237" s="410" t="s">
        <v>129</v>
      </c>
      <c r="AA237" s="410" t="s">
        <v>129</v>
      </c>
      <c r="AB237" s="410" t="s">
        <v>129</v>
      </c>
      <c r="AC237" s="410" t="s">
        <v>129</v>
      </c>
      <c r="AD237" s="410" t="s">
        <v>129</v>
      </c>
      <c r="AE237" s="442" t="s">
        <v>129</v>
      </c>
      <c r="AS237" s="361" t="s">
        <v>508</v>
      </c>
      <c r="AT237" s="364">
        <v>0.97</v>
      </c>
      <c r="AU237" s="365">
        <v>45716</v>
      </c>
      <c r="AV237" s="364">
        <v>12334.9351</v>
      </c>
      <c r="AW237" s="3"/>
      <c r="AX237" s="376">
        <v>0.008243</v>
      </c>
      <c r="AY237" s="376">
        <v>0.018964</v>
      </c>
      <c r="AZ237" s="376">
        <v>0.036067</v>
      </c>
      <c r="BA237" s="376">
        <v>0.073171</v>
      </c>
      <c r="BB237" s="376">
        <v>0.063438</v>
      </c>
      <c r="BC237" s="376">
        <v>0.056384</v>
      </c>
      <c r="BD237" s="376">
        <v>0.066679</v>
      </c>
      <c r="BE237" s="4"/>
      <c r="BF237" s="376">
        <v>0.018964</v>
      </c>
      <c r="BG237" s="376">
        <v>0.0728491593790012</v>
      </c>
      <c r="BH237" s="376">
        <v>0.0674669216473213</v>
      </c>
      <c r="BI237" s="376">
        <v>0.0402515186445019</v>
      </c>
      <c r="BJ237" s="376">
        <v>0.0319522311748004</v>
      </c>
      <c r="BK237" s="376">
        <v>0.0671750836411934</v>
      </c>
      <c r="BL237" s="376">
        <v>0.0827732819721269</v>
      </c>
      <c r="BM237" s="376">
        <v>0.0750383995157274</v>
      </c>
      <c r="BN237" s="376">
        <v>0.0662139211612377</v>
      </c>
      <c r="BO237" s="376">
        <v>0.0831224363341893</v>
      </c>
      <c r="BP237" s="376">
        <v>0.0863297328123215</v>
      </c>
      <c r="BQ237" s="376">
        <v>0.0916919702222083</v>
      </c>
      <c r="BR237" s="376">
        <v>0.0896133740819525</v>
      </c>
      <c r="BS237" s="376">
        <v>0.0947058605203577</v>
      </c>
      <c r="BT237" s="376">
        <v>0.0898390097888522</v>
      </c>
      <c r="BU237" s="376">
        <v>0.0539015074005864</v>
      </c>
    </row>
    <row r="238" spans="2:73">
      <c r="B238" s="407" t="s">
        <v>509</v>
      </c>
      <c r="C238" s="408"/>
      <c r="D238" s="408"/>
      <c r="E238" s="408"/>
      <c r="F238" s="409">
        <v>-0.0233</v>
      </c>
      <c r="G238" s="410">
        <v>0.04979280955</v>
      </c>
      <c r="H238" s="410">
        <v>0.0936034244476103</v>
      </c>
      <c r="I238" s="410">
        <v>-0.00730380535751685</v>
      </c>
      <c r="J238" s="410">
        <v>0.231457106640928</v>
      </c>
      <c r="K238" s="410">
        <v>0.247610717258348</v>
      </c>
      <c r="L238" s="442">
        <v>0.145281823293009</v>
      </c>
      <c r="M238" s="441"/>
      <c r="N238" s="409">
        <v>0.0535775391128281</v>
      </c>
      <c r="O238" s="410">
        <v>0.206780866086016</v>
      </c>
      <c r="P238" s="410">
        <v>0.318647722773833</v>
      </c>
      <c r="Q238" s="410">
        <v>0.132464358091978</v>
      </c>
      <c r="R238" s="410">
        <v>0.335536863207879</v>
      </c>
      <c r="S238" s="410">
        <v>0.134303305098298</v>
      </c>
      <c r="T238" s="410">
        <v>0.0834138664163238</v>
      </c>
      <c r="U238" s="410">
        <v>0.00276120717863537</v>
      </c>
      <c r="V238" s="410">
        <v>0.313047185619243</v>
      </c>
      <c r="W238" s="410">
        <v>-0.0302615596145029</v>
      </c>
      <c r="X238" s="410" t="s">
        <v>129</v>
      </c>
      <c r="Y238" s="410" t="s">
        <v>129</v>
      </c>
      <c r="Z238" s="410" t="s">
        <v>129</v>
      </c>
      <c r="AA238" s="410" t="s">
        <v>129</v>
      </c>
      <c r="AB238" s="410" t="s">
        <v>129</v>
      </c>
      <c r="AC238" s="410" t="s">
        <v>129</v>
      </c>
      <c r="AD238" s="410" t="s">
        <v>129</v>
      </c>
      <c r="AE238" s="442" t="s">
        <v>129</v>
      </c>
      <c r="AS238" s="361" t="s">
        <v>510</v>
      </c>
      <c r="AT238" s="364">
        <v>1.24</v>
      </c>
      <c r="AU238" s="365">
        <v>45716</v>
      </c>
      <c r="AV238" s="364">
        <v>372.683169</v>
      </c>
      <c r="AW238" s="3"/>
      <c r="AX238" s="376">
        <v>0.008036</v>
      </c>
      <c r="AY238" s="376">
        <v>0.018614</v>
      </c>
      <c r="AZ238" s="376">
        <v>0.035328</v>
      </c>
      <c r="BA238" s="376">
        <v>0.073835</v>
      </c>
      <c r="BB238" s="376">
        <v>0.062973</v>
      </c>
      <c r="BC238" s="376">
        <v>0.052971</v>
      </c>
      <c r="BD238" s="376">
        <v>0.04426</v>
      </c>
      <c r="BE238" s="4"/>
      <c r="BF238" s="376">
        <v>0.018614</v>
      </c>
      <c r="BG238" s="376">
        <v>0.0727288548465908</v>
      </c>
      <c r="BH238" s="376">
        <v>0.0648126262074193</v>
      </c>
      <c r="BI238" s="376">
        <v>0.0415282809391229</v>
      </c>
      <c r="BJ238" s="376">
        <v>0.0338100946797767</v>
      </c>
      <c r="BK238" s="376">
        <v>0.0601903833829022</v>
      </c>
      <c r="BL238" s="376">
        <v>-0.115685904244013</v>
      </c>
      <c r="BM238" s="376">
        <v>0.064104599927972</v>
      </c>
      <c r="BN238" s="376">
        <v>0.0731438283365395</v>
      </c>
      <c r="BO238" s="376">
        <v>0.0863861579250792</v>
      </c>
      <c r="BP238" s="376">
        <v>0.0817803995609282</v>
      </c>
      <c r="BQ238" s="376">
        <v>0.083943726636926</v>
      </c>
      <c r="BR238" s="376">
        <v>0.0898321102863017</v>
      </c>
      <c r="BS238" s="376">
        <v>0.0993173189428409</v>
      </c>
      <c r="BT238" s="376">
        <v>0.0915751166448403</v>
      </c>
      <c r="BU238" s="376">
        <v>0.0541734883591863</v>
      </c>
    </row>
    <row r="239" spans="2:73">
      <c r="B239" s="411" t="s">
        <v>511</v>
      </c>
      <c r="C239" s="412"/>
      <c r="D239" s="412"/>
      <c r="E239" s="412"/>
      <c r="F239" s="413">
        <v>-0.0227000000000001</v>
      </c>
      <c r="G239" s="414">
        <v>0.043457111648</v>
      </c>
      <c r="H239" s="414">
        <v>0.100908645397526</v>
      </c>
      <c r="I239" s="414">
        <v>0.0624846069145912</v>
      </c>
      <c r="J239" s="414">
        <v>0.128171004985121</v>
      </c>
      <c r="K239" s="414">
        <v>0.162141950025213</v>
      </c>
      <c r="L239" s="443" t="s">
        <v>129</v>
      </c>
      <c r="M239" s="441"/>
      <c r="N239" s="413">
        <v>0.0613860250277551</v>
      </c>
      <c r="O239" s="414">
        <v>0.15744104361876</v>
      </c>
      <c r="P239" s="414">
        <v>0.164611495145132</v>
      </c>
      <c r="Q239" s="414">
        <v>-0.0463633300582881</v>
      </c>
      <c r="R239" s="414">
        <v>0.219941582384843</v>
      </c>
      <c r="S239" s="414">
        <v>0.2212725726205</v>
      </c>
      <c r="T239" s="414">
        <v>0.194663520524868</v>
      </c>
      <c r="U239" s="414">
        <v>0.145377507515834</v>
      </c>
      <c r="V239" s="414" t="s">
        <v>129</v>
      </c>
      <c r="W239" s="414" t="s">
        <v>129</v>
      </c>
      <c r="X239" s="414" t="s">
        <v>129</v>
      </c>
      <c r="Y239" s="414" t="s">
        <v>129</v>
      </c>
      <c r="Z239" s="414" t="s">
        <v>129</v>
      </c>
      <c r="AA239" s="414" t="s">
        <v>129</v>
      </c>
      <c r="AB239" s="414" t="s">
        <v>129</v>
      </c>
      <c r="AC239" s="414" t="s">
        <v>129</v>
      </c>
      <c r="AD239" s="414" t="s">
        <v>129</v>
      </c>
      <c r="AE239" s="443" t="s">
        <v>129</v>
      </c>
      <c r="AS239" s="361" t="s">
        <v>512</v>
      </c>
      <c r="AT239" s="364">
        <v>0.59</v>
      </c>
      <c r="AU239" s="365">
        <v>45716</v>
      </c>
      <c r="AV239" s="364">
        <v>2366.4477442253</v>
      </c>
      <c r="AW239" s="3"/>
      <c r="AX239" s="376">
        <v>0.008027</v>
      </c>
      <c r="AY239" s="376">
        <v>0.01945</v>
      </c>
      <c r="AZ239" s="376">
        <v>0.037001</v>
      </c>
      <c r="BA239" s="376">
        <v>0.074945</v>
      </c>
      <c r="BB239" s="376">
        <v>0.064537</v>
      </c>
      <c r="BC239" s="376">
        <v>0.059456</v>
      </c>
      <c r="BD239" s="376">
        <v>0.062503</v>
      </c>
      <c r="BE239" s="4"/>
      <c r="BF239" s="376">
        <v>0.01945</v>
      </c>
      <c r="BG239" s="376">
        <v>0.0741971799670573</v>
      </c>
      <c r="BH239" s="376">
        <v>0.0686022266707941</v>
      </c>
      <c r="BI239" s="376">
        <v>0.0407116949163791</v>
      </c>
      <c r="BJ239" s="376">
        <v>0.036273388864625</v>
      </c>
      <c r="BK239" s="376">
        <v>0.0748479907869216</v>
      </c>
      <c r="BL239" s="376">
        <v>0.0215037709969531</v>
      </c>
      <c r="BM239" s="376">
        <v>0.0751954450223523</v>
      </c>
      <c r="BN239" s="376">
        <v>0.0687519590781273</v>
      </c>
      <c r="BO239" s="376">
        <v>0.08463122460203</v>
      </c>
      <c r="BP239" s="376">
        <v>0.0859029276239362</v>
      </c>
      <c r="BQ239" s="376">
        <v>0.0922210965805353</v>
      </c>
      <c r="BR239" s="376">
        <v>0.0936666072928418</v>
      </c>
      <c r="BS239" s="376">
        <v>0.0965115345143011</v>
      </c>
      <c r="BT239" s="376">
        <v>0.0924506096754201</v>
      </c>
      <c r="BU239" s="376">
        <v>0.0576083194013802</v>
      </c>
    </row>
    <row r="240" ht="15.15" spans="2:73">
      <c r="B240" s="415" t="s">
        <v>513</v>
      </c>
      <c r="C240" s="416"/>
      <c r="D240" s="416"/>
      <c r="E240" s="416"/>
      <c r="F240" s="417">
        <v>-0.0289556572542361</v>
      </c>
      <c r="G240" s="418">
        <v>0.0117561523706218</v>
      </c>
      <c r="H240" s="418">
        <v>0.047565212203861</v>
      </c>
      <c r="I240" s="418">
        <v>-0.00678321857555053</v>
      </c>
      <c r="J240" s="418">
        <v>0.121405172241125</v>
      </c>
      <c r="K240" s="418">
        <v>0.166389483059368</v>
      </c>
      <c r="L240" s="444">
        <v>0.111873579085552</v>
      </c>
      <c r="M240" s="445"/>
      <c r="N240" s="417">
        <v>0.0390055568549432</v>
      </c>
      <c r="O240" s="418">
        <v>0.0816551313744194</v>
      </c>
      <c r="P240" s="418">
        <v>0.18736599521487</v>
      </c>
      <c r="Q240" s="418">
        <v>0.0444077074656732</v>
      </c>
      <c r="R240" s="418">
        <v>0.219939902672325</v>
      </c>
      <c r="S240" s="418">
        <v>0.157503388375106</v>
      </c>
      <c r="T240" s="418">
        <v>0.143766290260736</v>
      </c>
      <c r="U240" s="418">
        <v>0.059063042567379</v>
      </c>
      <c r="V240" s="418">
        <v>0.27905962715284</v>
      </c>
      <c r="W240" s="418">
        <v>0.0194857555497188</v>
      </c>
      <c r="X240" s="418">
        <v>-0.0502512416625513</v>
      </c>
      <c r="Y240" s="418">
        <v>0.298938909850794</v>
      </c>
      <c r="Z240" s="418">
        <v>0.0897717626916756</v>
      </c>
      <c r="AA240" s="418">
        <v>0.256991948195138</v>
      </c>
      <c r="AB240" s="418">
        <v>-0.246435604895195</v>
      </c>
      <c r="AC240" s="418">
        <v>0.174309368381333</v>
      </c>
      <c r="AD240" s="418">
        <v>0.810329511542595</v>
      </c>
      <c r="AE240" s="444">
        <v>-0.524458285827518</v>
      </c>
      <c r="AS240" s="361" t="s">
        <v>514</v>
      </c>
      <c r="AT240" s="364">
        <v>0.46</v>
      </c>
      <c r="AU240" s="365">
        <v>45716</v>
      </c>
      <c r="AV240" s="364">
        <v>3236.6936</v>
      </c>
      <c r="AW240" s="3"/>
      <c r="AX240" s="376">
        <v>0.008787</v>
      </c>
      <c r="AY240" s="376">
        <v>0.019981</v>
      </c>
      <c r="AZ240" s="376">
        <v>0.037899</v>
      </c>
      <c r="BA240" s="376">
        <v>0.07753</v>
      </c>
      <c r="BB240" s="376">
        <v>0.067553</v>
      </c>
      <c r="BC240" s="376">
        <v>0.071641</v>
      </c>
      <c r="BD240" s="376">
        <v>0.062352</v>
      </c>
      <c r="BE240" s="4"/>
      <c r="BF240" s="376">
        <v>0.019981</v>
      </c>
      <c r="BG240" s="376">
        <v>0.0769238183865964</v>
      </c>
      <c r="BH240" s="376">
        <v>0.071225948351544</v>
      </c>
      <c r="BI240" s="376">
        <v>0.0448066263069012</v>
      </c>
      <c r="BJ240" s="376">
        <v>0.0895477688969295</v>
      </c>
      <c r="BK240" s="376">
        <v>0.0728259766725011</v>
      </c>
      <c r="BL240" s="376">
        <v>-0.0422872654883846</v>
      </c>
      <c r="BM240" s="376">
        <v>0.072934277528302</v>
      </c>
      <c r="BN240" s="376">
        <v>0.070469801099531</v>
      </c>
      <c r="BO240" s="376">
        <v>0.0889631484237897</v>
      </c>
      <c r="BP240" s="376">
        <v>0.0875964010975101</v>
      </c>
      <c r="BQ240" s="376">
        <v>0.0931153374379783</v>
      </c>
      <c r="BR240" s="376">
        <v>0.0955070670902878</v>
      </c>
      <c r="BS240" s="376">
        <v>0.0972744726090484</v>
      </c>
      <c r="BT240" s="376">
        <v>0.0930843033184962</v>
      </c>
      <c r="BU240" s="376">
        <v>0.0569793475878808</v>
      </c>
    </row>
    <row r="241" ht="15.15" spans="2:73">
      <c r="B241" s="419" t="s">
        <v>515</v>
      </c>
      <c r="C241" s="420"/>
      <c r="D241" s="420"/>
      <c r="E241" s="420"/>
      <c r="F241" s="421">
        <v>-0.0293411660046911</v>
      </c>
      <c r="G241" s="422">
        <v>0.0178411453838629</v>
      </c>
      <c r="H241" s="422">
        <v>0.0535509223736246</v>
      </c>
      <c r="I241" s="422">
        <v>-0.00736933178309651</v>
      </c>
      <c r="J241" s="422">
        <v>0.130147960511475</v>
      </c>
      <c r="K241" s="422">
        <v>0.174678915684015</v>
      </c>
      <c r="L241" s="446">
        <v>0.112444800803657</v>
      </c>
      <c r="M241" s="445"/>
      <c r="N241" s="421">
        <v>0.0474729871024513</v>
      </c>
      <c r="O241" s="422">
        <v>0.0880471758705632</v>
      </c>
      <c r="P241" s="422">
        <v>0.200280152799043</v>
      </c>
      <c r="Q241" s="422">
        <v>0.0432895364311634</v>
      </c>
      <c r="R241" s="422">
        <v>0.241192889456564</v>
      </c>
      <c r="S241" s="422">
        <v>0.149016438373398</v>
      </c>
      <c r="T241" s="422">
        <v>0.120220390239861</v>
      </c>
      <c r="U241" s="422">
        <v>0.0315126249916911</v>
      </c>
      <c r="V241" s="422">
        <v>0.286459478609299</v>
      </c>
      <c r="W241" s="422">
        <v>0.0301333316554147</v>
      </c>
      <c r="X241" s="422">
        <v>-0.0406087386963186</v>
      </c>
      <c r="Y241" s="422">
        <v>0.313880076142132</v>
      </c>
      <c r="Z241" s="422">
        <v>0.0675517772772691</v>
      </c>
      <c r="AA241" s="422">
        <v>0.276971649763208</v>
      </c>
      <c r="AB241" s="422">
        <v>-0.246181432879615</v>
      </c>
      <c r="AC241" s="422">
        <v>0.179473375568395</v>
      </c>
      <c r="AD241" s="422">
        <v>0.757616207356842</v>
      </c>
      <c r="AE241" s="446">
        <v>-0.517943830840908</v>
      </c>
      <c r="AS241" s="312" t="s">
        <v>162</v>
      </c>
      <c r="AT241"/>
      <c r="AU241"/>
      <c r="AV241"/>
      <c r="AW241" s="377"/>
      <c r="AX241" s="378">
        <f t="shared" ref="AX241:BD241" si="32">AVERAGE(AX221:AX240)</f>
        <v>0.00824255</v>
      </c>
      <c r="AY241" s="378">
        <f t="shared" si="32"/>
        <v>0.01916455</v>
      </c>
      <c r="AZ241" s="378">
        <f t="shared" si="32"/>
        <v>0.03667895</v>
      </c>
      <c r="BA241" s="378">
        <f t="shared" si="32"/>
        <v>0.0743937</v>
      </c>
      <c r="BB241" s="378">
        <f t="shared" si="32"/>
        <v>0.06431785</v>
      </c>
      <c r="BC241" s="378">
        <f t="shared" si="32"/>
        <v>0.06051275</v>
      </c>
      <c r="BD241" s="378">
        <f t="shared" si="32"/>
        <v>0.0649203157894737</v>
      </c>
      <c r="BE241" s="377"/>
      <c r="BF241" s="378">
        <f t="shared" ref="BF241:BU241" si="33">AVERAGE(BF221:BF240)</f>
        <v>0.01916455</v>
      </c>
      <c r="BG241" s="378">
        <f t="shared" si="33"/>
        <v>0.0738715946678331</v>
      </c>
      <c r="BH241" s="378">
        <f t="shared" si="33"/>
        <v>0.0684389475190075</v>
      </c>
      <c r="BI241" s="378">
        <f t="shared" si="33"/>
        <v>0.0408247072884793</v>
      </c>
      <c r="BJ241" s="378">
        <f t="shared" si="33"/>
        <v>0.0374019213307197</v>
      </c>
      <c r="BK241" s="378">
        <f t="shared" si="33"/>
        <v>0.0812906488658286</v>
      </c>
      <c r="BL241" s="378">
        <f t="shared" si="33"/>
        <v>0.0474966782209821</v>
      </c>
      <c r="BM241" s="378">
        <f t="shared" si="33"/>
        <v>0.0706029375085932</v>
      </c>
      <c r="BN241" s="378">
        <f t="shared" si="33"/>
        <v>0.066826419798709</v>
      </c>
      <c r="BO241" s="378">
        <f t="shared" si="33"/>
        <v>0.0852622696206545</v>
      </c>
      <c r="BP241" s="378">
        <f t="shared" si="33"/>
        <v>0.0827932467297025</v>
      </c>
      <c r="BQ241" s="378">
        <f t="shared" si="33"/>
        <v>0.0900238784794233</v>
      </c>
      <c r="BR241" s="378">
        <f t="shared" si="33"/>
        <v>0.0883509815719301</v>
      </c>
      <c r="BS241" s="378">
        <f t="shared" si="33"/>
        <v>0.0964514369762501</v>
      </c>
      <c r="BT241" s="378">
        <f t="shared" si="33"/>
        <v>0.0910869324400545</v>
      </c>
      <c r="BU241" s="378">
        <f t="shared" si="33"/>
        <v>0.0523932906608587</v>
      </c>
    </row>
    <row r="242" spans="2:73">
      <c r="B242" s="419" t="s">
        <v>516</v>
      </c>
      <c r="C242" s="420"/>
      <c r="D242" s="420"/>
      <c r="E242" s="420"/>
      <c r="F242" s="423">
        <v>-0.0299314384913704</v>
      </c>
      <c r="G242" s="424">
        <v>0.0231146582258925</v>
      </c>
      <c r="H242" s="424">
        <v>0.0542314259423737</v>
      </c>
      <c r="I242" s="424">
        <v>-0.0180278378540574</v>
      </c>
      <c r="J242" s="424">
        <v>0.144909071195625</v>
      </c>
      <c r="K242" s="424">
        <v>0.187114735762761</v>
      </c>
      <c r="L242" s="447">
        <v>0.117610552714823</v>
      </c>
      <c r="M242" s="445"/>
      <c r="N242" s="423">
        <v>0.0359299683880137</v>
      </c>
      <c r="O242" s="424">
        <v>0.134532873040178</v>
      </c>
      <c r="P242" s="424">
        <v>0.21488429032018</v>
      </c>
      <c r="Q242" s="424">
        <v>0.0453884917446525</v>
      </c>
      <c r="R242" s="424">
        <v>0.249994961729553</v>
      </c>
      <c r="S242" s="424">
        <v>0.152318711455303</v>
      </c>
      <c r="T242" s="424">
        <v>0.0963325932576053</v>
      </c>
      <c r="U242" s="424">
        <v>0.0118986960755338</v>
      </c>
      <c r="V242" s="424">
        <v>0.315152938763684</v>
      </c>
      <c r="W242" s="424">
        <v>0.0357045385220502</v>
      </c>
      <c r="X242" s="424">
        <v>-0.0324640022367546</v>
      </c>
      <c r="Y242" s="424">
        <v>0.322845012897678</v>
      </c>
      <c r="Z242" s="424">
        <v>0.0587341484067243</v>
      </c>
      <c r="AA242" s="424">
        <v>0.299579619025665</v>
      </c>
      <c r="AB242" s="424">
        <v>-0.257336255614543</v>
      </c>
      <c r="AC242" s="424">
        <v>0.15659330908629</v>
      </c>
      <c r="AD242" s="424">
        <v>0.850369504953232</v>
      </c>
      <c r="AE242" s="447">
        <v>-0.552814136530293</v>
      </c>
      <c r="AS242" s="312" t="s">
        <v>178</v>
      </c>
      <c r="AT242"/>
      <c r="AU242"/>
      <c r="AV242"/>
      <c r="AW242"/>
      <c r="AX242" s="379">
        <v>0.0087263867959253</v>
      </c>
      <c r="AY242" s="379">
        <v>0.0207643930788102</v>
      </c>
      <c r="AZ242" s="379">
        <v>0.0377184412193585</v>
      </c>
      <c r="BA242" s="379">
        <v>0.080280059411505</v>
      </c>
      <c r="BB242" s="379">
        <v>0.0659301709109001</v>
      </c>
      <c r="BC242" s="379">
        <v>0.0655149768088614</v>
      </c>
      <c r="BD242" s="379">
        <v>0.0738047315298365</v>
      </c>
      <c r="BE242" s="382"/>
      <c r="BF242" s="379">
        <v>0.0207643930788102</v>
      </c>
      <c r="BG242" s="379">
        <v>0.0797029257152309</v>
      </c>
      <c r="BH242" s="379">
        <v>0.0725988870220093</v>
      </c>
      <c r="BI242" s="379">
        <v>0.0358682288812193</v>
      </c>
      <c r="BJ242" s="379">
        <v>0.0437965988907254</v>
      </c>
      <c r="BK242" s="379">
        <v>0.104161972570555</v>
      </c>
      <c r="BL242" s="379">
        <v>0.0953364838894115</v>
      </c>
      <c r="BM242" s="379">
        <v>0.0665068187794211</v>
      </c>
      <c r="BN242" s="379">
        <v>0.0602957159773323</v>
      </c>
      <c r="BO242" s="379">
        <v>0.0986738756953636</v>
      </c>
      <c r="BP242" s="379">
        <v>0.0865549936165921</v>
      </c>
      <c r="BQ242" s="379">
        <v>0.104681934209951</v>
      </c>
      <c r="BR242" s="379">
        <v>0.0827206164504672</v>
      </c>
      <c r="BS242" s="379">
        <v>0.0912371315059957</v>
      </c>
      <c r="BT242" s="379">
        <v>0.0786771029274067</v>
      </c>
      <c r="BU242" s="379">
        <v>0.0470040326565153</v>
      </c>
    </row>
    <row r="243" ht="15.15" spans="2:73">
      <c r="B243" s="399" t="s">
        <v>162</v>
      </c>
      <c r="C243" s="400"/>
      <c r="D243" s="400"/>
      <c r="E243" s="400"/>
      <c r="F243" s="425">
        <f t="shared" ref="F243:L243" si="34">+AVERAGE(F232:F239)</f>
        <v>-0.0327</v>
      </c>
      <c r="G243" s="426">
        <f t="shared" si="34"/>
        <v>0.031891577927375</v>
      </c>
      <c r="H243" s="426">
        <f t="shared" si="34"/>
        <v>0.0633337007419258</v>
      </c>
      <c r="I243" s="426">
        <f t="shared" si="34"/>
        <v>-0.00300363213917648</v>
      </c>
      <c r="J243" s="426">
        <f t="shared" si="34"/>
        <v>0.147131581543396</v>
      </c>
      <c r="K243" s="426">
        <f t="shared" si="34"/>
        <v>0.175763065270621</v>
      </c>
      <c r="L243" s="448">
        <f t="shared" si="34"/>
        <v>0.126239286120184</v>
      </c>
      <c r="M243" s="441"/>
      <c r="N243" s="425">
        <f t="shared" ref="N243:AA243" si="35">+AVERAGE(N232:N239)</f>
        <v>0.0281044108536636</v>
      </c>
      <c r="O243" s="426">
        <f t="shared" si="35"/>
        <v>0.155200185795956</v>
      </c>
      <c r="P243" s="426">
        <f t="shared" si="35"/>
        <v>0.242127230705118</v>
      </c>
      <c r="Q243" s="426">
        <f t="shared" si="35"/>
        <v>0.00658761068370696</v>
      </c>
      <c r="R243" s="426">
        <f t="shared" si="35"/>
        <v>0.260487316924274</v>
      </c>
      <c r="S243" s="426">
        <f t="shared" si="35"/>
        <v>0.21147007354369</v>
      </c>
      <c r="T243" s="426">
        <f t="shared" si="35"/>
        <v>0.154307218216944</v>
      </c>
      <c r="U243" s="426">
        <f t="shared" si="35"/>
        <v>0.0238854340465696</v>
      </c>
      <c r="V243" s="426">
        <f t="shared" si="35"/>
        <v>0.333401384947368</v>
      </c>
      <c r="W243" s="426">
        <f t="shared" si="35"/>
        <v>-0.0131122932826469</v>
      </c>
      <c r="X243" s="426">
        <f t="shared" si="35"/>
        <v>0.0961626197597198</v>
      </c>
      <c r="Y243" s="426">
        <f t="shared" si="35"/>
        <v>0.474298611422507</v>
      </c>
      <c r="Z243" s="426">
        <f t="shared" si="35"/>
        <v>0.164512675909245</v>
      </c>
      <c r="AA243" s="426">
        <f t="shared" si="35"/>
        <v>0.229711362493177</v>
      </c>
      <c r="AB243" s="426" t="s">
        <v>129</v>
      </c>
      <c r="AC243" s="426" t="s">
        <v>129</v>
      </c>
      <c r="AD243" s="426" t="s">
        <v>129</v>
      </c>
      <c r="AE243" s="448" t="s">
        <v>129</v>
      </c>
      <c r="AS243"/>
      <c r="AT243"/>
      <c r="AU243"/>
      <c r="AV243"/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/>
      <c r="BL243"/>
      <c r="BM243"/>
      <c r="BN243"/>
      <c r="BO243"/>
      <c r="BP243"/>
      <c r="BQ243"/>
      <c r="BR243"/>
      <c r="BS243"/>
      <c r="BT243"/>
      <c r="BU243"/>
    </row>
    <row r="244" ht="15.15" spans="2:73">
      <c r="B244" s="427" t="s">
        <v>517</v>
      </c>
      <c r="C244" s="427"/>
      <c r="D244" s="427"/>
      <c r="E244" s="427"/>
      <c r="F244" s="428"/>
      <c r="G244" s="428"/>
      <c r="H244" s="428"/>
      <c r="I244" s="428"/>
      <c r="J244" s="428"/>
      <c r="K244" s="428"/>
      <c r="L244" s="428"/>
      <c r="M244" s="428"/>
      <c r="N244" s="449"/>
      <c r="O244" s="449"/>
      <c r="P244" s="428"/>
      <c r="Q244" s="428"/>
      <c r="R244" s="428"/>
      <c r="S244" s="428"/>
      <c r="T244" s="428"/>
      <c r="U244" s="428"/>
      <c r="V244" s="428"/>
      <c r="W244" s="428"/>
      <c r="X244" s="428"/>
      <c r="Y244" s="428"/>
      <c r="Z244" s="428"/>
      <c r="AA244" s="428"/>
      <c r="AB244" s="428"/>
      <c r="AC244" s="428"/>
      <c r="AD244" s="428"/>
      <c r="AE244" s="428"/>
      <c r="AS244" s="320" t="s">
        <v>518</v>
      </c>
      <c r="AT244" s="351" t="s">
        <v>87</v>
      </c>
      <c r="AU244" s="352" t="s">
        <v>110</v>
      </c>
      <c r="AV244" s="353"/>
      <c r="AW244" s="368"/>
      <c r="AX244" s="332" t="s">
        <v>113</v>
      </c>
      <c r="AY244" s="333"/>
      <c r="AZ244" s="333"/>
      <c r="BA244" s="333"/>
      <c r="BB244" s="333"/>
      <c r="BC244" s="333"/>
      <c r="BD244" s="346"/>
      <c r="BE244" s="368"/>
      <c r="BF244" s="380" t="s">
        <v>114</v>
      </c>
      <c r="BG244" s="381"/>
      <c r="BH244" s="381"/>
      <c r="BI244" s="381"/>
      <c r="BJ244" s="381"/>
      <c r="BK244" s="381"/>
      <c r="BL244" s="381"/>
      <c r="BM244" s="381"/>
      <c r="BN244" s="381"/>
      <c r="BO244" s="381"/>
      <c r="BP244" s="381"/>
      <c r="BQ244" s="381"/>
      <c r="BR244" s="381"/>
      <c r="BS244" s="381"/>
      <c r="BT244" s="381"/>
      <c r="BU244" s="383"/>
    </row>
    <row r="245" ht="15.15" spans="2:73">
      <c r="B245" s="428"/>
      <c r="C245" s="428"/>
      <c r="D245" s="428"/>
      <c r="E245" s="428"/>
      <c r="F245" s="428"/>
      <c r="G245" s="428"/>
      <c r="H245" s="428"/>
      <c r="I245" s="428"/>
      <c r="J245" s="428"/>
      <c r="K245" s="428"/>
      <c r="L245" s="428"/>
      <c r="M245" s="428"/>
      <c r="N245" s="428"/>
      <c r="O245" s="428"/>
      <c r="P245" s="428"/>
      <c r="Q245" s="428"/>
      <c r="R245" s="428"/>
      <c r="S245" s="428"/>
      <c r="T245" s="428"/>
      <c r="U245" s="428"/>
      <c r="V245" s="428"/>
      <c r="W245" s="428"/>
      <c r="X245" s="428"/>
      <c r="Y245" s="428"/>
      <c r="Z245" s="428"/>
      <c r="AA245" s="428"/>
      <c r="AB245" s="428"/>
      <c r="AC245" s="428"/>
      <c r="AD245" s="428"/>
      <c r="AE245" s="428"/>
      <c r="AS245" s="322"/>
      <c r="AT245" s="355" t="s">
        <v>121</v>
      </c>
      <c r="AU245" s="356" t="s">
        <v>115</v>
      </c>
      <c r="AV245" s="357" t="s">
        <v>116</v>
      </c>
      <c r="AW245" s="369"/>
      <c r="AX245" s="266" t="s">
        <v>122</v>
      </c>
      <c r="AY245" s="268" t="s">
        <v>123</v>
      </c>
      <c r="AZ245" s="268" t="s">
        <v>124</v>
      </c>
      <c r="BA245" s="268" t="s">
        <v>91</v>
      </c>
      <c r="BB245" s="268" t="s">
        <v>125</v>
      </c>
      <c r="BC245" s="268" t="s">
        <v>126</v>
      </c>
      <c r="BD245" s="269" t="s">
        <v>127</v>
      </c>
      <c r="BE245" s="369"/>
      <c r="BF245" s="266">
        <v>2025</v>
      </c>
      <c r="BG245" s="266">
        <v>2024</v>
      </c>
      <c r="BH245" s="266">
        <v>2023</v>
      </c>
      <c r="BI245" s="268">
        <v>2022</v>
      </c>
      <c r="BJ245" s="268">
        <v>2021</v>
      </c>
      <c r="BK245" s="268">
        <v>2020</v>
      </c>
      <c r="BL245" s="268">
        <v>2019</v>
      </c>
      <c r="BM245" s="268">
        <v>2018</v>
      </c>
      <c r="BN245" s="268">
        <v>2017</v>
      </c>
      <c r="BO245" s="268">
        <v>2016</v>
      </c>
      <c r="BP245" s="268">
        <v>2015</v>
      </c>
      <c r="BQ245" s="268">
        <v>2014</v>
      </c>
      <c r="BR245" s="268">
        <v>2013</v>
      </c>
      <c r="BS245" s="268">
        <v>2012</v>
      </c>
      <c r="BT245" s="268">
        <v>2011</v>
      </c>
      <c r="BU245" s="269">
        <v>2010</v>
      </c>
    </row>
    <row r="246" spans="2:73">
      <c r="B246" s="428"/>
      <c r="C246" s="428"/>
      <c r="D246" s="428"/>
      <c r="E246" s="428"/>
      <c r="F246" s="429" t="s">
        <v>519</v>
      </c>
      <c r="G246" s="428"/>
      <c r="H246" s="428"/>
      <c r="I246" s="428"/>
      <c r="J246" s="428"/>
      <c r="K246" s="428"/>
      <c r="L246" s="428"/>
      <c r="M246" s="428"/>
      <c r="N246" s="429" t="s">
        <v>520</v>
      </c>
      <c r="O246" s="429"/>
      <c r="P246" s="429"/>
      <c r="Q246" s="429"/>
      <c r="R246" s="428"/>
      <c r="S246" s="428"/>
      <c r="T246" s="428"/>
      <c r="U246" s="428"/>
      <c r="V246" s="428"/>
      <c r="W246" s="428"/>
      <c r="X246" s="428"/>
      <c r="Y246" s="428"/>
      <c r="Z246" s="428"/>
      <c r="AA246" s="428"/>
      <c r="AB246" s="428"/>
      <c r="AC246" s="428"/>
      <c r="AD246" s="428"/>
      <c r="AE246" s="428"/>
      <c r="AS246" s="361" t="s">
        <v>521</v>
      </c>
      <c r="AT246" s="364">
        <v>1.56</v>
      </c>
      <c r="AU246" s="365">
        <v>45716</v>
      </c>
      <c r="AV246" s="364">
        <v>2144.4946</v>
      </c>
      <c r="AW246" s="3"/>
      <c r="AX246" s="376">
        <v>0.011243</v>
      </c>
      <c r="AY246" s="376">
        <v>0.04412</v>
      </c>
      <c r="AZ246" s="376">
        <v>0.075793</v>
      </c>
      <c r="BA246" s="376">
        <v>0.130327</v>
      </c>
      <c r="BB246" s="376">
        <v>0.13681</v>
      </c>
      <c r="BC246" s="376">
        <v>0.120557</v>
      </c>
      <c r="BD246" s="376">
        <v>0.085705</v>
      </c>
      <c r="BE246" s="4"/>
      <c r="BF246" s="376">
        <v>0.04412</v>
      </c>
      <c r="BG246" s="376">
        <v>0.104612952872177</v>
      </c>
      <c r="BH246" s="376">
        <v>0.0691982934709062</v>
      </c>
      <c r="BI246" s="376">
        <v>0.248026610527651</v>
      </c>
      <c r="BJ246" s="376">
        <v>0.0710263944561451</v>
      </c>
      <c r="BK246" s="376">
        <v>0.0810969619625594</v>
      </c>
      <c r="BL246" s="376">
        <v>-0.04395797308803</v>
      </c>
      <c r="BM246" s="376">
        <v>0.0561362361698872</v>
      </c>
      <c r="BN246" s="376">
        <v>0.0702174732622974</v>
      </c>
      <c r="BO246" s="376">
        <v>0.108668034251962</v>
      </c>
      <c r="BP246" s="376">
        <v>0.0951970799402496</v>
      </c>
      <c r="BQ246" s="376">
        <v>0.119741013016794</v>
      </c>
      <c r="BR246" s="376">
        <v>0.102485742116338</v>
      </c>
      <c r="BS246" s="376">
        <v>0.110866063684797</v>
      </c>
      <c r="BT246" s="376">
        <v>0.0936610748258762</v>
      </c>
      <c r="BU246" s="376">
        <v>0.0592507535524615</v>
      </c>
    </row>
    <row r="247" spans="2:73">
      <c r="B247" s="399" t="s">
        <v>522</v>
      </c>
      <c r="C247" s="400"/>
      <c r="D247" s="400"/>
      <c r="E247" s="400"/>
      <c r="F247" s="401" t="s">
        <v>489</v>
      </c>
      <c r="G247" s="402" t="s">
        <v>490</v>
      </c>
      <c r="H247" s="402" t="s">
        <v>491</v>
      </c>
      <c r="I247" s="402" t="s">
        <v>492</v>
      </c>
      <c r="J247" s="437" t="s">
        <v>493</v>
      </c>
      <c r="K247" s="437" t="s">
        <v>494</v>
      </c>
      <c r="L247" s="438" t="s">
        <v>495</v>
      </c>
      <c r="M247" s="428"/>
      <c r="N247" s="439" t="s">
        <v>496</v>
      </c>
      <c r="O247" s="437">
        <v>2024</v>
      </c>
      <c r="P247" s="437">
        <v>2023</v>
      </c>
      <c r="Q247" s="437">
        <v>2022</v>
      </c>
      <c r="R247" s="437">
        <v>2021</v>
      </c>
      <c r="S247" s="437">
        <v>2020</v>
      </c>
      <c r="T247" s="437">
        <v>2019</v>
      </c>
      <c r="U247" s="437">
        <v>2018</v>
      </c>
      <c r="V247" s="437">
        <v>2017</v>
      </c>
      <c r="W247" s="437">
        <v>2016</v>
      </c>
      <c r="X247" s="437">
        <v>2015</v>
      </c>
      <c r="Y247" s="437">
        <v>2014</v>
      </c>
      <c r="Z247" s="437">
        <v>2013</v>
      </c>
      <c r="AA247" s="437">
        <v>2012</v>
      </c>
      <c r="AB247" s="437">
        <v>2011</v>
      </c>
      <c r="AC247" s="437">
        <v>2010</v>
      </c>
      <c r="AD247" s="437">
        <v>2009</v>
      </c>
      <c r="AE247" s="438">
        <v>2008</v>
      </c>
      <c r="AS247" s="361" t="s">
        <v>523</v>
      </c>
      <c r="AT247" s="364">
        <v>1.16</v>
      </c>
      <c r="AU247" s="365">
        <v>45716</v>
      </c>
      <c r="AV247" s="364">
        <v>1986.747701</v>
      </c>
      <c r="AW247" s="3"/>
      <c r="AX247" s="376">
        <v>0.012997</v>
      </c>
      <c r="AY247" s="376">
        <v>0.023721</v>
      </c>
      <c r="AZ247" s="376">
        <v>0.040929</v>
      </c>
      <c r="BA247" s="376">
        <v>0.087154</v>
      </c>
      <c r="BB247" s="376">
        <v>0.070305</v>
      </c>
      <c r="BC247" s="376">
        <v>0.069451</v>
      </c>
      <c r="BD247" s="376">
        <v>0.074548</v>
      </c>
      <c r="BE247" s="4"/>
      <c r="BF247" s="376">
        <v>0.023721</v>
      </c>
      <c r="BG247" s="376">
        <v>0.0869128553770088</v>
      </c>
      <c r="BH247" s="376">
        <v>0.0727570925079387</v>
      </c>
      <c r="BI247" s="376">
        <v>0.0380479323350826</v>
      </c>
      <c r="BJ247" s="376">
        <v>0.0520817454268292</v>
      </c>
      <c r="BK247" s="376">
        <v>0.105051483438967</v>
      </c>
      <c r="BL247" s="376">
        <v>0.070660046103468</v>
      </c>
      <c r="BM247" s="376">
        <v>0.0665628719477739</v>
      </c>
      <c r="BN247" s="376">
        <v>0.0749090533144655</v>
      </c>
      <c r="BO247" s="376">
        <v>0.11617491146964</v>
      </c>
      <c r="BP247" s="376">
        <v>0.0676045059404187</v>
      </c>
      <c r="BQ247" s="376">
        <v>0.150102282086023</v>
      </c>
      <c r="BR247" s="376">
        <v>0.047241465653952</v>
      </c>
      <c r="BS247" s="376">
        <v>0.07829</v>
      </c>
      <c r="BT247" s="376" t="s">
        <v>129</v>
      </c>
      <c r="BU247" s="376" t="s">
        <v>129</v>
      </c>
    </row>
    <row r="248" spans="2:73">
      <c r="B248" s="430" t="s">
        <v>524</v>
      </c>
      <c r="C248" s="431"/>
      <c r="D248" s="431"/>
      <c r="E248" s="431"/>
      <c r="F248" s="405">
        <v>-0.0266</v>
      </c>
      <c r="G248" s="406">
        <v>0.0182774778559998</v>
      </c>
      <c r="H248" s="406">
        <v>0.0499408222943751</v>
      </c>
      <c r="I248" s="406">
        <v>0.0163637892622248</v>
      </c>
      <c r="J248" s="406">
        <v>0.0776515912966698</v>
      </c>
      <c r="K248" s="406">
        <v>0.15725786732042</v>
      </c>
      <c r="L248" s="440" t="s">
        <v>129</v>
      </c>
      <c r="M248" s="441"/>
      <c r="N248" s="405">
        <v>0.0444811300184444</v>
      </c>
      <c r="O248" s="406">
        <v>0.0191365852811034</v>
      </c>
      <c r="P248" s="406">
        <v>0.141475074823632</v>
      </c>
      <c r="Q248" s="406">
        <v>-0.0525874554534582</v>
      </c>
      <c r="R248" s="406">
        <v>0.426502256755386</v>
      </c>
      <c r="S248" s="406">
        <v>0.256968396691786</v>
      </c>
      <c r="T248" s="406" t="s">
        <v>129</v>
      </c>
      <c r="U248" s="406" t="s">
        <v>129</v>
      </c>
      <c r="V248" s="406" t="s">
        <v>129</v>
      </c>
      <c r="W248" s="406" t="s">
        <v>129</v>
      </c>
      <c r="X248" s="406" t="s">
        <v>129</v>
      </c>
      <c r="Y248" s="406" t="s">
        <v>129</v>
      </c>
      <c r="Z248" s="406" t="s">
        <v>129</v>
      </c>
      <c r="AA248" s="406" t="s">
        <v>129</v>
      </c>
      <c r="AB248" s="406" t="s">
        <v>129</v>
      </c>
      <c r="AC248" s="406" t="s">
        <v>129</v>
      </c>
      <c r="AD248" s="406" t="s">
        <v>129</v>
      </c>
      <c r="AE248" s="440" t="s">
        <v>129</v>
      </c>
      <c r="AS248" s="361" t="s">
        <v>525</v>
      </c>
      <c r="AT248" s="364">
        <v>1.31</v>
      </c>
      <c r="AU248" s="365">
        <v>45716</v>
      </c>
      <c r="AV248" s="364">
        <v>1469.5722</v>
      </c>
      <c r="AW248" s="3"/>
      <c r="AX248" s="376">
        <v>0.012222</v>
      </c>
      <c r="AY248" s="376">
        <v>0.022909</v>
      </c>
      <c r="AZ248" s="376">
        <v>0.036183</v>
      </c>
      <c r="BA248" s="376">
        <v>0.079459</v>
      </c>
      <c r="BB248" s="376">
        <v>0.055523</v>
      </c>
      <c r="BC248" s="376">
        <v>0.055739</v>
      </c>
      <c r="BD248" s="376">
        <v>0.066303</v>
      </c>
      <c r="BE248" s="4"/>
      <c r="BF248" s="376">
        <v>0.022909</v>
      </c>
      <c r="BG248" s="376">
        <v>0.0760489446043219</v>
      </c>
      <c r="BH248" s="376">
        <v>0.0642484255016425</v>
      </c>
      <c r="BI248" s="376">
        <v>0.0119364588681802</v>
      </c>
      <c r="BJ248" s="376">
        <v>0.0242068397198187</v>
      </c>
      <c r="BK248" s="376">
        <v>0.109358930407953</v>
      </c>
      <c r="BL248" s="376">
        <v>0.0912652964784873</v>
      </c>
      <c r="BM248" s="376">
        <v>0.0626292425558031</v>
      </c>
      <c r="BN248" s="376">
        <v>0.0516420045106992</v>
      </c>
      <c r="BO248" s="376">
        <v>0.0989513645962633</v>
      </c>
      <c r="BP248" s="376">
        <v>0.0781129156999226</v>
      </c>
      <c r="BQ248" s="376">
        <v>0.108209224724457</v>
      </c>
      <c r="BR248" s="376">
        <v>0.0575412081616857</v>
      </c>
      <c r="BS248" s="376">
        <v>0.0994776416050344</v>
      </c>
      <c r="BT248" s="376">
        <v>0.0915796807392378</v>
      </c>
      <c r="BU248" s="376">
        <v>0.0671414503075007</v>
      </c>
    </row>
    <row r="249" spans="2:73">
      <c r="B249" s="83" t="s">
        <v>41</v>
      </c>
      <c r="C249" s="432">
        <v>2.5</v>
      </c>
      <c r="D249" s="432"/>
      <c r="E249" s="432"/>
      <c r="F249" s="409">
        <v>-0.0367</v>
      </c>
      <c r="G249" s="410">
        <v>0.0194171956279998</v>
      </c>
      <c r="H249" s="410">
        <v>0.0546409767529512</v>
      </c>
      <c r="I249" s="410">
        <v>-0.0305041125051421</v>
      </c>
      <c r="J249" s="410">
        <v>0.0952005465113257</v>
      </c>
      <c r="K249" s="410">
        <v>0.163436795643984</v>
      </c>
      <c r="L249" s="442">
        <v>0.122053881104137</v>
      </c>
      <c r="M249" s="441"/>
      <c r="N249" s="409">
        <v>0.0166739015898452</v>
      </c>
      <c r="O249" s="410">
        <v>0.0859705926887144</v>
      </c>
      <c r="P249" s="410">
        <v>0.204666462914041</v>
      </c>
      <c r="Q249" s="410">
        <v>-0.0853755845023828</v>
      </c>
      <c r="R249" s="410">
        <v>0.336597834226857</v>
      </c>
      <c r="S249" s="410">
        <v>0.204662134151056</v>
      </c>
      <c r="T249" s="410">
        <v>0.124383448127695</v>
      </c>
      <c r="U249" s="410">
        <v>0.0176548379468167</v>
      </c>
      <c r="V249" s="410">
        <v>0.371785340389539</v>
      </c>
      <c r="W249" s="410">
        <v>0.0619231780702474</v>
      </c>
      <c r="X249" s="410">
        <v>0.0756087474418305</v>
      </c>
      <c r="Y249" s="410">
        <v>0.695782689659787</v>
      </c>
      <c r="Z249" s="410">
        <v>0.219615224175961</v>
      </c>
      <c r="AA249" s="410">
        <v>0.298239690449825</v>
      </c>
      <c r="AB249" s="410">
        <v>-0.132168404567515</v>
      </c>
      <c r="AC249" s="410" t="s">
        <v>129</v>
      </c>
      <c r="AD249" s="410" t="s">
        <v>129</v>
      </c>
      <c r="AE249" s="442" t="s">
        <v>129</v>
      </c>
      <c r="AS249" s="361" t="s">
        <v>526</v>
      </c>
      <c r="AT249" s="364">
        <v>0.75</v>
      </c>
      <c r="AU249" s="365">
        <v>45716</v>
      </c>
      <c r="AV249" s="364">
        <v>302.8243</v>
      </c>
      <c r="AW249" s="3"/>
      <c r="AX249" s="376">
        <v>0.015377</v>
      </c>
      <c r="AY249" s="376">
        <v>0.027118</v>
      </c>
      <c r="AZ249" s="376">
        <v>0.040641</v>
      </c>
      <c r="BA249" s="376">
        <v>0.084195</v>
      </c>
      <c r="BB249" s="376">
        <v>0.065177</v>
      </c>
      <c r="BC249" s="376">
        <v>0.061985</v>
      </c>
      <c r="BD249" s="376">
        <v>0.060871</v>
      </c>
      <c r="BE249" s="4"/>
      <c r="BF249" s="376">
        <v>0.027118</v>
      </c>
      <c r="BG249" s="376">
        <v>0.0760686051556105</v>
      </c>
      <c r="BH249" s="376">
        <v>0.0704383243168098</v>
      </c>
      <c r="BI249" s="376">
        <v>0.0290372949659558</v>
      </c>
      <c r="BJ249" s="376">
        <v>0.0343413036976404</v>
      </c>
      <c r="BK249" s="376">
        <v>0.0996766420628436</v>
      </c>
      <c r="BL249" s="376">
        <v>0.030035143525015</v>
      </c>
      <c r="BM249" s="376">
        <v>0.0363469722251479</v>
      </c>
      <c r="BN249" s="376">
        <v>0.0500078579896352</v>
      </c>
      <c r="BO249" s="376">
        <v>0.128597768201247</v>
      </c>
      <c r="BP249" s="376">
        <v>0.0604741889789378</v>
      </c>
      <c r="BQ249" s="376">
        <v>0.140164843747932</v>
      </c>
      <c r="BR249" s="376">
        <v>0.033659740771555</v>
      </c>
      <c r="BS249" s="376">
        <v>0.0933660492534188</v>
      </c>
      <c r="BT249" s="376">
        <v>0.0655889292774695</v>
      </c>
      <c r="BU249" s="376">
        <v>0.0398230822024541</v>
      </c>
    </row>
    <row r="250" spans="2:73">
      <c r="B250" s="433" t="s">
        <v>527</v>
      </c>
      <c r="C250" s="432"/>
      <c r="D250" s="432"/>
      <c r="E250" s="432"/>
      <c r="F250" s="409">
        <v>-0.0273</v>
      </c>
      <c r="G250" s="410">
        <v>0.050543196692</v>
      </c>
      <c r="H250" s="410">
        <v>0.0745731316668361</v>
      </c>
      <c r="I250" s="410">
        <v>0.0268251686419816</v>
      </c>
      <c r="J250" s="410">
        <v>0.148790068791534</v>
      </c>
      <c r="K250" s="410">
        <v>0.189876449886283</v>
      </c>
      <c r="L250" s="442" t="s">
        <v>129</v>
      </c>
      <c r="M250" s="441"/>
      <c r="N250" s="409">
        <v>0.0219402860431694</v>
      </c>
      <c r="O250" s="410">
        <v>0.177494329015246</v>
      </c>
      <c r="P250" s="410">
        <v>0.219370254823872</v>
      </c>
      <c r="Q250" s="410">
        <v>-0.0660471631096652</v>
      </c>
      <c r="R250" s="410">
        <v>0.34439300524387</v>
      </c>
      <c r="S250" s="422">
        <v>0.349181244359715</v>
      </c>
      <c r="T250" s="422" t="s">
        <v>129</v>
      </c>
      <c r="U250" s="422" t="s">
        <v>129</v>
      </c>
      <c r="V250" s="422" t="s">
        <v>129</v>
      </c>
      <c r="W250" s="422" t="s">
        <v>129</v>
      </c>
      <c r="X250" s="422" t="s">
        <v>129</v>
      </c>
      <c r="Y250" s="410" t="s">
        <v>129</v>
      </c>
      <c r="Z250" s="410" t="s">
        <v>129</v>
      </c>
      <c r="AA250" s="410" t="s">
        <v>129</v>
      </c>
      <c r="AB250" s="410" t="s">
        <v>129</v>
      </c>
      <c r="AC250" s="410" t="s">
        <v>129</v>
      </c>
      <c r="AD250" s="410" t="s">
        <v>129</v>
      </c>
      <c r="AE250" s="442" t="s">
        <v>129</v>
      </c>
      <c r="AS250" s="361" t="s">
        <v>528</v>
      </c>
      <c r="AT250" s="364">
        <v>1.27</v>
      </c>
      <c r="AU250" s="365">
        <v>45716</v>
      </c>
      <c r="AV250" s="364">
        <v>3945.0193</v>
      </c>
      <c r="AW250" s="3"/>
      <c r="AX250" s="376">
        <v>0.013033</v>
      </c>
      <c r="AY250" s="376">
        <v>0.023168</v>
      </c>
      <c r="AZ250" s="376">
        <v>0.036362</v>
      </c>
      <c r="BA250" s="376">
        <v>0.081983</v>
      </c>
      <c r="BB250" s="376">
        <v>0.063869</v>
      </c>
      <c r="BC250" s="376">
        <v>0.064541</v>
      </c>
      <c r="BD250" s="376">
        <v>0.071527</v>
      </c>
      <c r="BE250" s="4"/>
      <c r="BF250" s="376">
        <v>0.023168</v>
      </c>
      <c r="BG250" s="376">
        <v>0.0805076924311613</v>
      </c>
      <c r="BH250" s="376">
        <v>0.067462246714056</v>
      </c>
      <c r="BI250" s="376">
        <v>0.0288778514261537</v>
      </c>
      <c r="BJ250" s="376">
        <v>0.0503283086031436</v>
      </c>
      <c r="BK250" s="376">
        <v>0.100091151668228</v>
      </c>
      <c r="BL250" s="376">
        <v>0.0913627863162838</v>
      </c>
      <c r="BM250" s="376">
        <v>0.0558662332175382</v>
      </c>
      <c r="BN250" s="376">
        <v>0.05524990169883</v>
      </c>
      <c r="BO250" s="376">
        <v>0.115336669118434</v>
      </c>
      <c r="BP250" s="376">
        <v>0.0740640461690243</v>
      </c>
      <c r="BQ250" s="376">
        <v>0.111776373030502</v>
      </c>
      <c r="BR250" s="376">
        <v>0.0704051906779662</v>
      </c>
      <c r="BS250" s="376">
        <v>0.098403494567615</v>
      </c>
      <c r="BT250" s="376">
        <v>0.0842992845389982</v>
      </c>
      <c r="BU250" s="376">
        <v>0.0498700266569532</v>
      </c>
    </row>
    <row r="251" ht="15" customHeight="1" spans="2:73">
      <c r="B251" s="433" t="s">
        <v>529</v>
      </c>
      <c r="C251" s="432"/>
      <c r="D251" s="432"/>
      <c r="E251" s="432"/>
      <c r="F251" s="409">
        <v>-0.035</v>
      </c>
      <c r="G251" s="410">
        <v>0.03073773</v>
      </c>
      <c r="H251" s="410">
        <v>0.00949671358558035</v>
      </c>
      <c r="I251" s="410">
        <v>-0.0734511829097704</v>
      </c>
      <c r="J251" s="410">
        <v>0.105424841397854</v>
      </c>
      <c r="K251" s="410">
        <v>0.139161126108039</v>
      </c>
      <c r="L251" s="442" t="s">
        <v>129</v>
      </c>
      <c r="M251" s="441"/>
      <c r="N251" s="409">
        <v>-0.0823674873507078</v>
      </c>
      <c r="O251" s="410">
        <v>0.198484509630165</v>
      </c>
      <c r="P251" s="410">
        <v>0.231084631853905</v>
      </c>
      <c r="Q251" s="410">
        <v>-0.126318986054013</v>
      </c>
      <c r="R251" s="410">
        <v>0.357513372982012</v>
      </c>
      <c r="S251" s="410">
        <v>0.191264502105668</v>
      </c>
      <c r="T251" s="410">
        <v>0.0639762900173297</v>
      </c>
      <c r="U251" s="410" t="s">
        <v>129</v>
      </c>
      <c r="V251" s="410" t="s">
        <v>129</v>
      </c>
      <c r="W251" s="410" t="s">
        <v>129</v>
      </c>
      <c r="X251" s="410" t="s">
        <v>129</v>
      </c>
      <c r="Y251" s="410" t="s">
        <v>129</v>
      </c>
      <c r="Z251" s="410" t="s">
        <v>129</v>
      </c>
      <c r="AA251" s="410" t="s">
        <v>129</v>
      </c>
      <c r="AB251" s="410" t="s">
        <v>129</v>
      </c>
      <c r="AC251" s="410" t="s">
        <v>129</v>
      </c>
      <c r="AD251" s="410" t="s">
        <v>129</v>
      </c>
      <c r="AE251" s="442" t="s">
        <v>129</v>
      </c>
      <c r="AS251" s="361" t="s">
        <v>530</v>
      </c>
      <c r="AT251" s="364">
        <v>1.09</v>
      </c>
      <c r="AU251" s="365">
        <v>45716</v>
      </c>
      <c r="AV251" s="364">
        <v>656.2666</v>
      </c>
      <c r="AW251" s="3"/>
      <c r="AX251" s="376">
        <v>0.014158</v>
      </c>
      <c r="AY251" s="376">
        <v>0.025614</v>
      </c>
      <c r="AZ251" s="376">
        <v>0.040408</v>
      </c>
      <c r="BA251" s="376">
        <v>0.085368</v>
      </c>
      <c r="BB251" s="376">
        <v>0.065244</v>
      </c>
      <c r="BC251" s="376">
        <v>0.063056</v>
      </c>
      <c r="BD251" s="376">
        <v>0.069834</v>
      </c>
      <c r="BE251" s="4"/>
      <c r="BF251" s="376">
        <v>0.025614</v>
      </c>
      <c r="BG251" s="376">
        <v>0.082232696546249</v>
      </c>
      <c r="BH251" s="376">
        <v>0.0697601216318142</v>
      </c>
      <c r="BI251" s="376">
        <v>0.0258133300840746</v>
      </c>
      <c r="BJ251" s="376">
        <v>0.0453911459560674</v>
      </c>
      <c r="BK251" s="376">
        <v>0.096696910644064</v>
      </c>
      <c r="BL251" s="376">
        <v>0.0734481491756202</v>
      </c>
      <c r="BM251" s="376">
        <v>0.0442445310909633</v>
      </c>
      <c r="BN251" s="376">
        <v>0.0634195079305607</v>
      </c>
      <c r="BO251" s="376">
        <v>0.108041035481669</v>
      </c>
      <c r="BP251" s="376">
        <v>0.0839399999999999</v>
      </c>
      <c r="BQ251" s="376" t="s">
        <v>129</v>
      </c>
      <c r="BR251" s="376" t="s">
        <v>129</v>
      </c>
      <c r="BS251" s="376" t="s">
        <v>129</v>
      </c>
      <c r="BT251" s="376" t="s">
        <v>129</v>
      </c>
      <c r="BU251" s="376" t="s">
        <v>129</v>
      </c>
    </row>
    <row r="252" spans="2:73">
      <c r="B252" s="434" t="s">
        <v>531</v>
      </c>
      <c r="C252" s="435"/>
      <c r="D252" s="435"/>
      <c r="E252" s="435"/>
      <c r="F252" s="409">
        <v>-0.0255</v>
      </c>
      <c r="G252" s="410">
        <v>0.036626324</v>
      </c>
      <c r="H252" s="410">
        <v>0.0362475096424208</v>
      </c>
      <c r="I252" s="410">
        <v>-0.0163770086743655</v>
      </c>
      <c r="J252" s="410">
        <v>0.183393045936816</v>
      </c>
      <c r="K252" s="410" t="s">
        <v>129</v>
      </c>
      <c r="L252" s="442" t="s">
        <v>129</v>
      </c>
      <c r="M252" s="441"/>
      <c r="N252" s="409">
        <v>-0.0528697761868274</v>
      </c>
      <c r="O252" s="410">
        <v>0.382448330550708</v>
      </c>
      <c r="P252" s="410">
        <v>0.289081218337024</v>
      </c>
      <c r="Q252" s="410">
        <v>-0.0825741303125541</v>
      </c>
      <c r="R252" s="410" t="s">
        <v>129</v>
      </c>
      <c r="S252" s="410" t="s">
        <v>129</v>
      </c>
      <c r="T252" s="410" t="s">
        <v>129</v>
      </c>
      <c r="U252" s="410" t="s">
        <v>129</v>
      </c>
      <c r="V252" s="410" t="s">
        <v>129</v>
      </c>
      <c r="W252" s="410" t="s">
        <v>129</v>
      </c>
      <c r="X252" s="410" t="s">
        <v>129</v>
      </c>
      <c r="Y252" s="410" t="s">
        <v>129</v>
      </c>
      <c r="Z252" s="410" t="s">
        <v>129</v>
      </c>
      <c r="AA252" s="410" t="s">
        <v>129</v>
      </c>
      <c r="AB252" s="410" t="s">
        <v>129</v>
      </c>
      <c r="AC252" s="410" t="s">
        <v>129</v>
      </c>
      <c r="AD252" s="410" t="s">
        <v>129</v>
      </c>
      <c r="AE252" s="442" t="s">
        <v>129</v>
      </c>
      <c r="AS252" s="361" t="s">
        <v>532</v>
      </c>
      <c r="AT252" s="364">
        <v>1.35</v>
      </c>
      <c r="AU252" s="365">
        <v>45716</v>
      </c>
      <c r="AV252" s="364">
        <v>5690.2616040845</v>
      </c>
      <c r="AW252" s="3"/>
      <c r="AX252" s="376">
        <v>0.011743</v>
      </c>
      <c r="AY252" s="376">
        <v>0.024397</v>
      </c>
      <c r="AZ252" s="376">
        <v>0.041508</v>
      </c>
      <c r="BA252" s="376">
        <v>0.084694</v>
      </c>
      <c r="BB252" s="376">
        <v>0.069742</v>
      </c>
      <c r="BC252" s="376">
        <v>0.06928</v>
      </c>
      <c r="BD252" s="376">
        <v>0.07404</v>
      </c>
      <c r="BE252" s="4"/>
      <c r="BF252" s="376">
        <v>0.024397</v>
      </c>
      <c r="BG252" s="376">
        <v>0.0802367575736897</v>
      </c>
      <c r="BH252" s="376">
        <v>0.0702646996770373</v>
      </c>
      <c r="BI252" s="376">
        <v>0.0417221995238028</v>
      </c>
      <c r="BJ252" s="376">
        <v>0.0551422931011929</v>
      </c>
      <c r="BK252" s="376">
        <v>0.103945805079461</v>
      </c>
      <c r="BL252" s="376">
        <v>0.0918558230542635</v>
      </c>
      <c r="BM252" s="376">
        <v>0.0511078130767898</v>
      </c>
      <c r="BN252" s="376">
        <v>0.0652398091638277</v>
      </c>
      <c r="BO252" s="376">
        <v>0.101700609602454</v>
      </c>
      <c r="BP252" s="376">
        <v>0.084184847206779</v>
      </c>
      <c r="BQ252" s="376">
        <v>0.124417307516127</v>
      </c>
      <c r="BR252" s="376">
        <v>0.059488871886812</v>
      </c>
      <c r="BS252" s="376">
        <v>0.0966319994489978</v>
      </c>
      <c r="BT252" s="376">
        <v>0.0814311735270817</v>
      </c>
      <c r="BU252" s="376">
        <v>0.0494215792166448</v>
      </c>
    </row>
    <row r="253" spans="2:73">
      <c r="B253" s="433" t="s">
        <v>533</v>
      </c>
      <c r="C253" s="432"/>
      <c r="D253" s="432"/>
      <c r="E253" s="432"/>
      <c r="F253" s="409">
        <v>0.00259999999999994</v>
      </c>
      <c r="G253" s="410">
        <v>0.0475883463679998</v>
      </c>
      <c r="H253" s="410">
        <v>0.0604744275933631</v>
      </c>
      <c r="I253" s="410">
        <v>-0.0437867721140037</v>
      </c>
      <c r="J253" s="410">
        <v>0.138970144545674</v>
      </c>
      <c r="K253" s="410">
        <v>0.198968469684339</v>
      </c>
      <c r="L253" s="442">
        <v>0.133650063400509</v>
      </c>
      <c r="M253" s="441"/>
      <c r="N253" s="409">
        <v>-0.00739593577261255</v>
      </c>
      <c r="O253" s="410">
        <v>0.125413870404136</v>
      </c>
      <c r="P253" s="410">
        <v>0.213814999193868</v>
      </c>
      <c r="Q253" s="410">
        <v>0.058150553042855</v>
      </c>
      <c r="R253" s="410">
        <v>0.357408578097646</v>
      </c>
      <c r="S253" s="410">
        <v>0.199074047078992</v>
      </c>
      <c r="T253" s="410">
        <v>0.040298928455526</v>
      </c>
      <c r="U253" s="410">
        <v>-0.136699143012</v>
      </c>
      <c r="V253" s="410">
        <v>0.547038736830165</v>
      </c>
      <c r="W253" s="410">
        <v>0.103200954521689</v>
      </c>
      <c r="X253" s="410">
        <v>0.104695190280843</v>
      </c>
      <c r="Y253" s="410">
        <v>0.511314208975267</v>
      </c>
      <c r="Z253" s="410">
        <v>0.1085976593193</v>
      </c>
      <c r="AA253" s="410">
        <v>0.39732565933939</v>
      </c>
      <c r="AB253" s="410" t="s">
        <v>129</v>
      </c>
      <c r="AC253" s="410" t="s">
        <v>129</v>
      </c>
      <c r="AD253" s="410" t="s">
        <v>129</v>
      </c>
      <c r="AE253" s="442" t="s">
        <v>129</v>
      </c>
      <c r="AN253" s="281">
        <v>0.75</v>
      </c>
      <c r="AO253" s="35">
        <v>0.85</v>
      </c>
      <c r="AP253" s="281">
        <v>38.5</v>
      </c>
      <c r="AQ253" s="281">
        <v>9</v>
      </c>
      <c r="AS253" s="361" t="s">
        <v>534</v>
      </c>
      <c r="AT253" s="364">
        <v>1.15</v>
      </c>
      <c r="AU253" s="365">
        <v>45716</v>
      </c>
      <c r="AV253" s="364">
        <v>163.3776</v>
      </c>
      <c r="AW253" s="3"/>
      <c r="AX253" s="376">
        <v>0.013309</v>
      </c>
      <c r="AY253" s="376">
        <v>0.023487</v>
      </c>
      <c r="AZ253" s="376">
        <v>0.036346</v>
      </c>
      <c r="BA253" s="376">
        <v>0.079597</v>
      </c>
      <c r="BB253" s="376">
        <v>0.057986</v>
      </c>
      <c r="BC253" s="376" t="s">
        <v>129</v>
      </c>
      <c r="BD253" s="376" t="s">
        <v>129</v>
      </c>
      <c r="BE253" s="4"/>
      <c r="BF253" s="376">
        <v>0.023487</v>
      </c>
      <c r="BG253" s="376">
        <v>0.0783043871336556</v>
      </c>
      <c r="BH253" s="376">
        <v>0.061393408456204</v>
      </c>
      <c r="BI253" s="376">
        <v>0.0165771653777492</v>
      </c>
      <c r="BJ253" s="376">
        <v>0.0187749</v>
      </c>
      <c r="BK253" s="376" t="s">
        <v>129</v>
      </c>
      <c r="BL253" s="376" t="s">
        <v>129</v>
      </c>
      <c r="BM253" s="376" t="s">
        <v>129</v>
      </c>
      <c r="BN253" s="376" t="s">
        <v>129</v>
      </c>
      <c r="BO253" s="376" t="s">
        <v>129</v>
      </c>
      <c r="BP253" s="376" t="s">
        <v>129</v>
      </c>
      <c r="BQ253" s="376" t="s">
        <v>129</v>
      </c>
      <c r="BR253" s="376" t="s">
        <v>129</v>
      </c>
      <c r="BS253" s="376" t="s">
        <v>129</v>
      </c>
      <c r="BT253" s="376" t="s">
        <v>129</v>
      </c>
      <c r="BU253" s="376" t="s">
        <v>129</v>
      </c>
    </row>
    <row r="254" spans="2:73">
      <c r="B254" s="74" t="s">
        <v>33</v>
      </c>
      <c r="C254" s="432">
        <v>2.5</v>
      </c>
      <c r="D254" s="432"/>
      <c r="E254" s="432"/>
      <c r="F254" s="409">
        <v>-0.0252</v>
      </c>
      <c r="G254" s="410">
        <v>0.0541296626599999</v>
      </c>
      <c r="H254" s="410">
        <v>0.0637155154087725</v>
      </c>
      <c r="I254" s="410">
        <v>0.0163617833409517</v>
      </c>
      <c r="J254" s="410">
        <v>0.18887300543174</v>
      </c>
      <c r="K254" s="410">
        <v>0.232159490453977</v>
      </c>
      <c r="L254" s="442">
        <v>0.142144863530426</v>
      </c>
      <c r="M254" s="441"/>
      <c r="N254" s="409">
        <v>0.0110136311855222</v>
      </c>
      <c r="O254" s="410">
        <v>0.253613431974587</v>
      </c>
      <c r="P254" s="410">
        <v>0.283488890231462</v>
      </c>
      <c r="Q254" s="410">
        <v>0.00848193267314068</v>
      </c>
      <c r="R254" s="410">
        <v>0.359310461440436</v>
      </c>
      <c r="S254" s="410">
        <v>0.231691759517991</v>
      </c>
      <c r="T254" s="410">
        <v>0.0413219331197714</v>
      </c>
      <c r="U254" s="410">
        <v>-0.146768458588377</v>
      </c>
      <c r="V254" s="410">
        <v>0.538849673202615</v>
      </c>
      <c r="W254" s="410">
        <v>0.0447394296951833</v>
      </c>
      <c r="X254" s="410">
        <v>0.185122843362575</v>
      </c>
      <c r="Y254" s="410">
        <v>0.709913101234293</v>
      </c>
      <c r="Z254" s="410">
        <v>0.0786912651501595</v>
      </c>
      <c r="AA254" s="410">
        <v>0.474513601549433</v>
      </c>
      <c r="AB254" s="410">
        <v>-0.149393440167739</v>
      </c>
      <c r="AC254" s="410">
        <v>0.277161438408569</v>
      </c>
      <c r="AD254" s="410" t="s">
        <v>129</v>
      </c>
      <c r="AE254" s="442" t="s">
        <v>129</v>
      </c>
      <c r="AS254" s="361" t="s">
        <v>535</v>
      </c>
      <c r="AT254" s="364">
        <v>1.63</v>
      </c>
      <c r="AU254" s="365">
        <v>45716</v>
      </c>
      <c r="AV254" s="364">
        <v>1879.6128</v>
      </c>
      <c r="AW254" s="3"/>
      <c r="AX254" s="376">
        <v>0.009384</v>
      </c>
      <c r="AY254" s="376">
        <v>0.021774</v>
      </c>
      <c r="AZ254" s="376">
        <v>0.034027</v>
      </c>
      <c r="BA254" s="376">
        <v>0.082643</v>
      </c>
      <c r="BB254" s="376">
        <v>0.064163</v>
      </c>
      <c r="BC254" s="376">
        <v>0.063409</v>
      </c>
      <c r="BD254" s="376">
        <v>0.070251</v>
      </c>
      <c r="BE254" s="4"/>
      <c r="BF254" s="376">
        <v>0.021774</v>
      </c>
      <c r="BG254" s="376">
        <v>0.0901445691076528</v>
      </c>
      <c r="BH254" s="376">
        <v>0.0611844281096305</v>
      </c>
      <c r="BI254" s="376">
        <v>0.031688203051049</v>
      </c>
      <c r="BJ254" s="376">
        <v>0.0466146358321574</v>
      </c>
      <c r="BK254" s="376">
        <v>0.0853515209862342</v>
      </c>
      <c r="BL254" s="376">
        <v>0.0701374115254418</v>
      </c>
      <c r="BM254" s="376">
        <v>0.0543697538266207</v>
      </c>
      <c r="BN254" s="376">
        <v>0.0655312624482342</v>
      </c>
      <c r="BO254" s="376">
        <v>0.109414737052756</v>
      </c>
      <c r="BP254" s="376">
        <v>0.0927172833544413</v>
      </c>
      <c r="BQ254" s="376">
        <v>0.0975300000000001</v>
      </c>
      <c r="BR254" s="376" t="s">
        <v>129</v>
      </c>
      <c r="BS254" s="376" t="s">
        <v>129</v>
      </c>
      <c r="BT254" s="376" t="s">
        <v>129</v>
      </c>
      <c r="BU254" s="376" t="s">
        <v>129</v>
      </c>
    </row>
    <row r="255" spans="2:73">
      <c r="B255" s="433" t="s">
        <v>536</v>
      </c>
      <c r="C255" s="432"/>
      <c r="D255" s="432"/>
      <c r="E255" s="432"/>
      <c r="F255" s="409">
        <v>-0.022</v>
      </c>
      <c r="G255" s="410">
        <v>0.0573872816937662</v>
      </c>
      <c r="H255" s="410">
        <v>0.0652931595619437</v>
      </c>
      <c r="I255" s="410">
        <v>0.0227035243221196</v>
      </c>
      <c r="J255" s="410" t="s">
        <v>129</v>
      </c>
      <c r="K255" s="410" t="s">
        <v>129</v>
      </c>
      <c r="L255" s="442" t="s">
        <v>129</v>
      </c>
      <c r="M255" s="441"/>
      <c r="N255" s="409">
        <v>0.0172144712848283</v>
      </c>
      <c r="O255" s="410">
        <v>0.260740910483487</v>
      </c>
      <c r="P255" s="410" t="s">
        <v>129</v>
      </c>
      <c r="Q255" s="410" t="s">
        <v>129</v>
      </c>
      <c r="R255" s="410" t="s">
        <v>129</v>
      </c>
      <c r="S255" s="410" t="s">
        <v>129</v>
      </c>
      <c r="T255" s="410" t="s">
        <v>129</v>
      </c>
      <c r="U255" s="410" t="s">
        <v>129</v>
      </c>
      <c r="V255" s="410" t="s">
        <v>129</v>
      </c>
      <c r="W255" s="410" t="s">
        <v>129</v>
      </c>
      <c r="X255" s="410" t="s">
        <v>129</v>
      </c>
      <c r="Y255" s="410" t="s">
        <v>129</v>
      </c>
      <c r="Z255" s="410" t="s">
        <v>129</v>
      </c>
      <c r="AA255" s="410" t="s">
        <v>129</v>
      </c>
      <c r="AB255" s="410" t="s">
        <v>129</v>
      </c>
      <c r="AC255" s="410" t="s">
        <v>129</v>
      </c>
      <c r="AD255" s="410" t="s">
        <v>129</v>
      </c>
      <c r="AE255" s="442" t="s">
        <v>129</v>
      </c>
      <c r="AN255" s="281">
        <v>2.8</v>
      </c>
      <c r="AO255" s="37">
        <v>1</v>
      </c>
      <c r="AP255" s="281">
        <v>22.5</v>
      </c>
      <c r="AQ255" s="281" t="s">
        <v>129</v>
      </c>
      <c r="AS255" s="361" t="s">
        <v>537</v>
      </c>
      <c r="AT255" s="364">
        <v>1.09</v>
      </c>
      <c r="AU255" s="365">
        <v>45716</v>
      </c>
      <c r="AV255" s="364">
        <v>102.7368</v>
      </c>
      <c r="AW255" s="3"/>
      <c r="AX255" s="376">
        <v>0.012265</v>
      </c>
      <c r="AY255" s="376">
        <v>0.023089</v>
      </c>
      <c r="AZ255" s="376">
        <v>0.040256</v>
      </c>
      <c r="BA255" s="376">
        <v>0.085677</v>
      </c>
      <c r="BB255" s="376">
        <v>0.06329</v>
      </c>
      <c r="BC255" s="376">
        <v>0.075296</v>
      </c>
      <c r="BD255" s="376">
        <v>0.033107</v>
      </c>
      <c r="BE255" s="4"/>
      <c r="BF255" s="376">
        <v>0.023089</v>
      </c>
      <c r="BG255" s="376">
        <v>0.0832278411543893</v>
      </c>
      <c r="BH255" s="376">
        <v>0.0703482953343934</v>
      </c>
      <c r="BI255" s="376">
        <v>0.020354505642042</v>
      </c>
      <c r="BJ255" s="376">
        <v>0.174430063727744</v>
      </c>
      <c r="BK255" s="376">
        <v>-0.235432991762106</v>
      </c>
      <c r="BL255" s="376">
        <v>-0.0341548612458761</v>
      </c>
      <c r="BM255" s="376">
        <v>0.0470309064389019</v>
      </c>
      <c r="BN255" s="376">
        <v>0.0690856336017627</v>
      </c>
      <c r="BO255" s="376">
        <v>0.111074716408647</v>
      </c>
      <c r="BP255" s="376">
        <v>0.090000281867466</v>
      </c>
      <c r="BQ255" s="376">
        <v>0.06433</v>
      </c>
      <c r="BR255" s="376" t="s">
        <v>129</v>
      </c>
      <c r="BS255" s="376" t="s">
        <v>129</v>
      </c>
      <c r="BT255" s="376" t="s">
        <v>129</v>
      </c>
      <c r="BU255" s="376" t="s">
        <v>129</v>
      </c>
    </row>
    <row r="256" spans="2:73">
      <c r="B256" s="433" t="s">
        <v>538</v>
      </c>
      <c r="C256" s="432"/>
      <c r="D256" s="432"/>
      <c r="E256" s="432"/>
      <c r="F256" s="409">
        <v>-0.0198</v>
      </c>
      <c r="G256" s="410">
        <v>0.0756111388879999</v>
      </c>
      <c r="H256" s="410">
        <v>0.0660038686859807</v>
      </c>
      <c r="I256" s="410">
        <v>-0.0561315773496831</v>
      </c>
      <c r="J256" s="410">
        <v>0.162225624244084</v>
      </c>
      <c r="K256" s="410">
        <v>0.181334819302343</v>
      </c>
      <c r="L256" s="442" t="s">
        <v>129</v>
      </c>
      <c r="M256" s="441"/>
      <c r="N256" s="409">
        <v>-0.0565865762129072</v>
      </c>
      <c r="O256" s="410">
        <v>0.213400511631959</v>
      </c>
      <c r="P256" s="410">
        <v>0.336270273093</v>
      </c>
      <c r="Q256" s="410">
        <v>-0.0665824131582218</v>
      </c>
      <c r="R256" s="410">
        <v>0.299959086597239</v>
      </c>
      <c r="S256" s="410">
        <v>0.270846324642403</v>
      </c>
      <c r="T256" s="410">
        <v>0.0299981969914263</v>
      </c>
      <c r="U256" s="410">
        <v>-0.155895354588289</v>
      </c>
      <c r="V256" s="410">
        <v>0.589490710019907</v>
      </c>
      <c r="W256" s="410">
        <v>0.0248550096298865</v>
      </c>
      <c r="X256" s="410" t="s">
        <v>129</v>
      </c>
      <c r="Y256" s="410" t="s">
        <v>129</v>
      </c>
      <c r="Z256" s="410" t="s">
        <v>129</v>
      </c>
      <c r="AA256" s="410" t="s">
        <v>129</v>
      </c>
      <c r="AB256" s="410" t="s">
        <v>129</v>
      </c>
      <c r="AC256" s="410" t="s">
        <v>129</v>
      </c>
      <c r="AD256" s="410" t="s">
        <v>129</v>
      </c>
      <c r="AE256" s="442" t="s">
        <v>129</v>
      </c>
      <c r="AS256" s="361" t="s">
        <v>539</v>
      </c>
      <c r="AT256" s="364">
        <v>1.22</v>
      </c>
      <c r="AU256" s="365">
        <v>45716</v>
      </c>
      <c r="AV256" s="364">
        <v>6514.8326</v>
      </c>
      <c r="AW256" s="3"/>
      <c r="AX256" s="376">
        <v>0.012485</v>
      </c>
      <c r="AY256" s="376">
        <v>0.022803</v>
      </c>
      <c r="AZ256" s="376">
        <v>0.038623</v>
      </c>
      <c r="BA256" s="376">
        <v>0.083101</v>
      </c>
      <c r="BB256" s="376">
        <v>0.067398</v>
      </c>
      <c r="BC256" s="376">
        <v>0.068077</v>
      </c>
      <c r="BD256" s="376">
        <v>0.079023</v>
      </c>
      <c r="BE256" s="4"/>
      <c r="BF256" s="376">
        <v>0.022803</v>
      </c>
      <c r="BG256" s="376">
        <v>0.0810953970019598</v>
      </c>
      <c r="BH256" s="376">
        <v>0.0723911860074319</v>
      </c>
      <c r="BI256" s="376">
        <v>0.0342075954324599</v>
      </c>
      <c r="BJ256" s="376">
        <v>0.0384511753700991</v>
      </c>
      <c r="BK256" s="376">
        <v>0.122685257849933</v>
      </c>
      <c r="BL256" s="376">
        <v>0.11054523097206</v>
      </c>
      <c r="BM256" s="376">
        <v>0.0618780477134367</v>
      </c>
      <c r="BN256" s="376">
        <v>0.076357722163662</v>
      </c>
      <c r="BO256" s="376">
        <v>0.140479377354749</v>
      </c>
      <c r="BP256" s="376">
        <v>0.0662766829062013</v>
      </c>
      <c r="BQ256" s="376">
        <v>0.165312376484115</v>
      </c>
      <c r="BR256" s="376">
        <v>0.0404343042693413</v>
      </c>
      <c r="BS256" s="376">
        <v>0.139745806043193</v>
      </c>
      <c r="BT256" s="376">
        <v>0.0133981444926963</v>
      </c>
      <c r="BU256" s="376">
        <v>0.0444822431833412</v>
      </c>
    </row>
    <row r="257" spans="2:73">
      <c r="B257" s="74" t="s">
        <v>39</v>
      </c>
      <c r="C257" s="432">
        <v>2.5</v>
      </c>
      <c r="D257" s="432"/>
      <c r="E257" s="432"/>
      <c r="F257" s="409">
        <v>-0.0113</v>
      </c>
      <c r="G257" s="410">
        <v>0.0866783394976434</v>
      </c>
      <c r="H257" s="410">
        <v>0.12478948432681</v>
      </c>
      <c r="I257" s="410">
        <v>0.0882452413004589</v>
      </c>
      <c r="J257" s="410">
        <v>0.254639016738173</v>
      </c>
      <c r="K257" s="410">
        <v>0.361147801929451</v>
      </c>
      <c r="L257" s="442" t="s">
        <v>129</v>
      </c>
      <c r="M257" s="441"/>
      <c r="N257" s="409">
        <v>0.0958445895822839</v>
      </c>
      <c r="O257" s="410">
        <v>0.187776582985235</v>
      </c>
      <c r="P257" s="410">
        <v>0.403467020353436</v>
      </c>
      <c r="Q257" s="410">
        <v>0.0320461747668199</v>
      </c>
      <c r="R257" s="410">
        <v>0.693845349893203</v>
      </c>
      <c r="S257" s="410">
        <v>0.114968406880908</v>
      </c>
      <c r="T257" s="410">
        <v>0.0713294426364621</v>
      </c>
      <c r="U257" s="410">
        <v>-0.201017799384091</v>
      </c>
      <c r="V257" s="410">
        <v>1.0635478907296</v>
      </c>
      <c r="W257" s="410" t="s">
        <v>129</v>
      </c>
      <c r="X257" s="410" t="s">
        <v>129</v>
      </c>
      <c r="Y257" s="410" t="s">
        <v>129</v>
      </c>
      <c r="Z257" s="410" t="s">
        <v>129</v>
      </c>
      <c r="AA257" s="410" t="s">
        <v>129</v>
      </c>
      <c r="AB257" s="410" t="s">
        <v>129</v>
      </c>
      <c r="AC257" s="410" t="s">
        <v>129</v>
      </c>
      <c r="AD257" s="410" t="s">
        <v>129</v>
      </c>
      <c r="AE257" s="442" t="s">
        <v>129</v>
      </c>
      <c r="AS257" s="361" t="s">
        <v>540</v>
      </c>
      <c r="AT257" s="364">
        <v>2.19</v>
      </c>
      <c r="AU257" s="365">
        <v>45716</v>
      </c>
      <c r="AV257" s="364">
        <v>43.352531</v>
      </c>
      <c r="AW257" s="3"/>
      <c r="AX257" s="376">
        <v>0.010116</v>
      </c>
      <c r="AY257" s="376">
        <v>0.018839</v>
      </c>
      <c r="AZ257" s="376">
        <v>0.029347</v>
      </c>
      <c r="BA257" s="376">
        <v>0.065394</v>
      </c>
      <c r="BB257" s="376">
        <v>0.046294</v>
      </c>
      <c r="BC257" s="376">
        <v>0.042447</v>
      </c>
      <c r="BD257" s="376">
        <v>0.05408</v>
      </c>
      <c r="BE257" s="4"/>
      <c r="BF257" s="376">
        <v>0.018839</v>
      </c>
      <c r="BG257" s="376">
        <v>0.0619539126643551</v>
      </c>
      <c r="BH257" s="376">
        <v>0.0547114765916878</v>
      </c>
      <c r="BI257" s="376">
        <v>0.00657511020684988</v>
      </c>
      <c r="BJ257" s="376">
        <v>0.0166756876954316</v>
      </c>
      <c r="BK257" s="376">
        <v>0.0632807917888562</v>
      </c>
      <c r="BL257" s="376">
        <v>0.0814239276936495</v>
      </c>
      <c r="BM257" s="376">
        <v>0.04744999117644</v>
      </c>
      <c r="BN257" s="376">
        <v>0.0570153878564971</v>
      </c>
      <c r="BO257" s="376">
        <v>0.111383729863542</v>
      </c>
      <c r="BP257" s="376">
        <v>0.0509809651240881</v>
      </c>
      <c r="BQ257" s="376">
        <v>0.131016368348728</v>
      </c>
      <c r="BR257" s="376">
        <v>0.0402863898472748</v>
      </c>
      <c r="BS257" s="376">
        <v>0.107357312226564</v>
      </c>
      <c r="BT257" s="376">
        <v>0.0665816526441024</v>
      </c>
      <c r="BU257" s="376">
        <v>0.0415989552028375</v>
      </c>
    </row>
    <row r="258" ht="15.15" spans="2:73">
      <c r="B258" s="74" t="s">
        <v>37</v>
      </c>
      <c r="C258" s="432">
        <v>2.5</v>
      </c>
      <c r="D258" s="432"/>
      <c r="E258" s="432"/>
      <c r="F258" s="409">
        <v>-0.0275</v>
      </c>
      <c r="G258" s="410">
        <v>0.0475909262</v>
      </c>
      <c r="H258" s="410">
        <v>0.0594559350127788</v>
      </c>
      <c r="I258" s="410">
        <v>-0.00220320738768287</v>
      </c>
      <c r="J258" s="410">
        <v>0.23473099029685</v>
      </c>
      <c r="K258" s="410">
        <v>0.375347952234186</v>
      </c>
      <c r="L258" s="442" t="s">
        <v>129</v>
      </c>
      <c r="M258" s="441"/>
      <c r="N258" s="409">
        <v>-0.00803140804753522</v>
      </c>
      <c r="O258" s="410">
        <v>0.325926523207921</v>
      </c>
      <c r="P258" s="410">
        <v>0.283352081613203</v>
      </c>
      <c r="Q258" s="410">
        <v>0.221931814334564</v>
      </c>
      <c r="R258" s="410">
        <v>0.67405350260712</v>
      </c>
      <c r="S258" s="410">
        <v>-0.0545594838764992</v>
      </c>
      <c r="T258" s="410">
        <v>0.0458412257204019</v>
      </c>
      <c r="U258" s="410" t="s">
        <v>129</v>
      </c>
      <c r="V258" s="410" t="s">
        <v>129</v>
      </c>
      <c r="W258" s="410" t="s">
        <v>129</v>
      </c>
      <c r="X258" s="410" t="s">
        <v>129</v>
      </c>
      <c r="Y258" s="410" t="s">
        <v>129</v>
      </c>
      <c r="Z258" s="410" t="s">
        <v>129</v>
      </c>
      <c r="AA258" s="410" t="s">
        <v>129</v>
      </c>
      <c r="AB258" s="410" t="s">
        <v>129</v>
      </c>
      <c r="AC258" s="410" t="s">
        <v>129</v>
      </c>
      <c r="AD258" s="410" t="s">
        <v>129</v>
      </c>
      <c r="AE258" s="442" t="s">
        <v>129</v>
      </c>
      <c r="AS258" s="361" t="s">
        <v>541</v>
      </c>
      <c r="AT258" s="364">
        <v>1.49</v>
      </c>
      <c r="AU258" s="365">
        <v>45716</v>
      </c>
      <c r="AV258" s="364">
        <v>38.9471</v>
      </c>
      <c r="AW258" s="3"/>
      <c r="AX258" s="376">
        <v>0.011683</v>
      </c>
      <c r="AY258" s="376">
        <v>0.022386</v>
      </c>
      <c r="AZ258" s="376">
        <v>0.036282</v>
      </c>
      <c r="BA258" s="376">
        <v>0.07898</v>
      </c>
      <c r="BB258" s="376">
        <v>0.06061</v>
      </c>
      <c r="BC258" s="376">
        <v>0.055686</v>
      </c>
      <c r="BD258" s="376">
        <v>0.059999</v>
      </c>
      <c r="BE258" s="4"/>
      <c r="BF258" s="376">
        <v>0.022386</v>
      </c>
      <c r="BG258" s="376">
        <v>0.0760728737481349</v>
      </c>
      <c r="BH258" s="376">
        <v>0.0645361606442502</v>
      </c>
      <c r="BI258" s="376">
        <v>0.0241812387863857</v>
      </c>
      <c r="BJ258" s="376">
        <v>0.0618761907470071</v>
      </c>
      <c r="BK258" s="376">
        <v>0.00018486654057828</v>
      </c>
      <c r="BL258" s="376">
        <v>0.0607285617316539</v>
      </c>
      <c r="BM258" s="376">
        <v>0.0546368546225372</v>
      </c>
      <c r="BN258" s="376">
        <v>0.0694380646149135</v>
      </c>
      <c r="BO258" s="376">
        <v>0.110231758683868</v>
      </c>
      <c r="BP258" s="376">
        <v>0.05886</v>
      </c>
      <c r="BQ258" s="376" t="s">
        <v>129</v>
      </c>
      <c r="BR258" s="376" t="s">
        <v>129</v>
      </c>
      <c r="BS258" s="376" t="s">
        <v>129</v>
      </c>
      <c r="BT258" s="376" t="s">
        <v>129</v>
      </c>
      <c r="BU258" s="376" t="s">
        <v>129</v>
      </c>
    </row>
    <row r="259" ht="15.15" spans="2:73">
      <c r="B259" s="433" t="s">
        <v>542</v>
      </c>
      <c r="C259" s="432"/>
      <c r="D259" s="432"/>
      <c r="E259" s="432"/>
      <c r="F259" s="409">
        <v>-0.0205</v>
      </c>
      <c r="G259" s="410">
        <v>0.036514432355</v>
      </c>
      <c r="H259" s="410">
        <v>0.0547485169813782</v>
      </c>
      <c r="I259" s="410">
        <v>0.0169403494562044</v>
      </c>
      <c r="J259" s="410" t="s">
        <v>129</v>
      </c>
      <c r="K259" s="410" t="s">
        <v>129</v>
      </c>
      <c r="L259" s="442" t="s">
        <v>129</v>
      </c>
      <c r="M259" s="441"/>
      <c r="N259" s="409">
        <v>0.0233170111753334</v>
      </c>
      <c r="O259" s="410">
        <v>0.118269877734096</v>
      </c>
      <c r="P259" s="410" t="s">
        <v>129</v>
      </c>
      <c r="Q259" s="410" t="s">
        <v>129</v>
      </c>
      <c r="R259" s="410" t="s">
        <v>129</v>
      </c>
      <c r="S259" s="410" t="s">
        <v>129</v>
      </c>
      <c r="T259" s="410" t="s">
        <v>129</v>
      </c>
      <c r="U259" s="410" t="s">
        <v>129</v>
      </c>
      <c r="V259" s="410" t="s">
        <v>129</v>
      </c>
      <c r="W259" s="410" t="s">
        <v>129</v>
      </c>
      <c r="X259" s="410" t="s">
        <v>129</v>
      </c>
      <c r="Y259" s="410" t="s">
        <v>129</v>
      </c>
      <c r="Z259" s="410" t="s">
        <v>129</v>
      </c>
      <c r="AA259" s="410" t="s">
        <v>129</v>
      </c>
      <c r="AB259" s="410" t="s">
        <v>129</v>
      </c>
      <c r="AC259" s="410" t="s">
        <v>129</v>
      </c>
      <c r="AD259" s="410" t="s">
        <v>129</v>
      </c>
      <c r="AE259" s="442" t="s">
        <v>129</v>
      </c>
      <c r="AS259" s="312" t="s">
        <v>162</v>
      </c>
      <c r="AT259"/>
      <c r="AU259"/>
      <c r="AV259"/>
      <c r="AW259" s="377"/>
      <c r="AX259" s="378">
        <f t="shared" ref="AX259:BD259" si="36">AVERAGE(AX246:AX258)</f>
        <v>0.0123088461538462</v>
      </c>
      <c r="AY259" s="378">
        <f t="shared" si="36"/>
        <v>0.0248788461538462</v>
      </c>
      <c r="AZ259" s="378">
        <f t="shared" si="36"/>
        <v>0.0405157692307692</v>
      </c>
      <c r="BA259" s="378">
        <f t="shared" si="36"/>
        <v>0.0852747692307692</v>
      </c>
      <c r="BB259" s="378">
        <f t="shared" si="36"/>
        <v>0.0681854615384615</v>
      </c>
      <c r="BC259" s="378">
        <f t="shared" si="36"/>
        <v>0.0674603333333333</v>
      </c>
      <c r="BD259" s="378">
        <f t="shared" si="36"/>
        <v>0.0666073333333334</v>
      </c>
      <c r="BE259" s="377"/>
      <c r="BF259" s="378">
        <f t="shared" ref="BF259:BU259" si="37">AVERAGE(BF246:BF258)</f>
        <v>0.0248788461538462</v>
      </c>
      <c r="BG259" s="378">
        <f t="shared" si="37"/>
        <v>0.0813399604131051</v>
      </c>
      <c r="BH259" s="378">
        <f t="shared" si="37"/>
        <v>0.0668226276126002</v>
      </c>
      <c r="BI259" s="378">
        <f t="shared" si="37"/>
        <v>0.0428496535559566</v>
      </c>
      <c r="BJ259" s="378">
        <f t="shared" si="37"/>
        <v>0.0530262064871751</v>
      </c>
      <c r="BK259" s="378">
        <f t="shared" si="37"/>
        <v>0.0609989442222977</v>
      </c>
      <c r="BL259" s="378">
        <f t="shared" si="37"/>
        <v>0.0577791285201697</v>
      </c>
      <c r="BM259" s="378">
        <f t="shared" si="37"/>
        <v>0.0531882878384867</v>
      </c>
      <c r="BN259" s="378">
        <f t="shared" si="37"/>
        <v>0.0640094732129488</v>
      </c>
      <c r="BO259" s="378">
        <f t="shared" si="37"/>
        <v>0.113337892673769</v>
      </c>
      <c r="BP259" s="378">
        <f t="shared" si="37"/>
        <v>0.0752010664322941</v>
      </c>
      <c r="BQ259" s="378">
        <f t="shared" si="37"/>
        <v>0.121259978895468</v>
      </c>
      <c r="BR259" s="378">
        <f t="shared" si="37"/>
        <v>0.0564428641731156</v>
      </c>
      <c r="BS259" s="378">
        <f t="shared" si="37"/>
        <v>0.103017295853702</v>
      </c>
      <c r="BT259" s="378">
        <f t="shared" si="37"/>
        <v>0.0709342771493517</v>
      </c>
      <c r="BU259" s="378">
        <f t="shared" si="37"/>
        <v>0.0502268700460276</v>
      </c>
    </row>
    <row r="260" spans="2:73">
      <c r="B260" s="433" t="s">
        <v>543</v>
      </c>
      <c r="C260" s="432"/>
      <c r="D260" s="432"/>
      <c r="E260" s="432"/>
      <c r="F260" s="409">
        <v>-0.0112</v>
      </c>
      <c r="G260" s="410">
        <v>0.16742587952</v>
      </c>
      <c r="H260" s="410">
        <v>0.155969555825346</v>
      </c>
      <c r="I260" s="410">
        <v>-0.116303995502518</v>
      </c>
      <c r="J260" s="410">
        <v>0.163930964218749</v>
      </c>
      <c r="K260" s="410">
        <v>0.181641996302666</v>
      </c>
      <c r="L260" s="442">
        <v>0.0974887495692442</v>
      </c>
      <c r="M260" s="441"/>
      <c r="N260" s="409">
        <v>0.0133229126364984</v>
      </c>
      <c r="O260" s="410">
        <v>0.169662328490298</v>
      </c>
      <c r="P260" s="410">
        <v>0.316222339069517</v>
      </c>
      <c r="Q260" s="410">
        <v>-0.077190992673831</v>
      </c>
      <c r="R260" s="410">
        <v>0.307952300684659</v>
      </c>
      <c r="S260" s="410">
        <v>-0.00522953662085945</v>
      </c>
      <c r="T260" s="410">
        <v>-0.00868027914307667</v>
      </c>
      <c r="U260" s="410">
        <v>-0.0820924898819304</v>
      </c>
      <c r="V260" s="410">
        <v>0.451535202352463</v>
      </c>
      <c r="W260" s="410">
        <v>0.0743560137445816</v>
      </c>
      <c r="X260" s="410">
        <v>0.0558836467138175</v>
      </c>
      <c r="Y260" s="410">
        <v>0.574566820968059</v>
      </c>
      <c r="Z260" s="410">
        <v>-0.00832379361894153</v>
      </c>
      <c r="AA260" s="410">
        <v>0.539215787891666</v>
      </c>
      <c r="AB260" s="410">
        <v>-0.214907473185085</v>
      </c>
      <c r="AC260" s="410">
        <v>0.176005558070255</v>
      </c>
      <c r="AD260" s="410">
        <v>0.593975041681095</v>
      </c>
      <c r="AE260" s="442">
        <v>-0.559581840803373</v>
      </c>
      <c r="AS260" s="312" t="s">
        <v>178</v>
      </c>
      <c r="AT260"/>
      <c r="AU260"/>
      <c r="AV260"/>
      <c r="AW260"/>
      <c r="AX260" s="379">
        <v>0.0087263867959253</v>
      </c>
      <c r="AY260" s="379">
        <v>0.0207643930788102</v>
      </c>
      <c r="AZ260" s="379">
        <v>0.0377184412193585</v>
      </c>
      <c r="BA260" s="379">
        <v>0.080280059411505</v>
      </c>
      <c r="BB260" s="379">
        <v>0.0659301709109001</v>
      </c>
      <c r="BC260" s="379">
        <v>0.0655149768088614</v>
      </c>
      <c r="BD260" s="379">
        <v>0.0738047315298365</v>
      </c>
      <c r="BE260" s="382"/>
      <c r="BF260" s="379">
        <v>0.0207643930788102</v>
      </c>
      <c r="BG260" s="379">
        <v>0.0797029257152309</v>
      </c>
      <c r="BH260" s="379">
        <v>0.0725988870220093</v>
      </c>
      <c r="BI260" s="379">
        <v>0.0358682288812193</v>
      </c>
      <c r="BJ260" s="379">
        <v>0.0437965988907254</v>
      </c>
      <c r="BK260" s="379">
        <v>0.104161972570555</v>
      </c>
      <c r="BL260" s="379">
        <v>0.0953364838894115</v>
      </c>
      <c r="BM260" s="379">
        <v>0.0665068187794211</v>
      </c>
      <c r="BN260" s="379">
        <v>0.0602957159773323</v>
      </c>
      <c r="BO260" s="379">
        <v>0.0986738756953636</v>
      </c>
      <c r="BP260" s="379">
        <v>0.0865549936165921</v>
      </c>
      <c r="BQ260" s="379">
        <v>0.104681934209951</v>
      </c>
      <c r="BR260" s="379">
        <v>0.0827206164504672</v>
      </c>
      <c r="BS260" s="379">
        <v>0.0912371315059957</v>
      </c>
      <c r="BT260" s="379">
        <v>0.0786771029274067</v>
      </c>
      <c r="BU260" s="379">
        <v>0.0470040326565153</v>
      </c>
    </row>
    <row r="261" ht="15.15" spans="2:73">
      <c r="B261" s="433" t="s">
        <v>544</v>
      </c>
      <c r="C261" s="432"/>
      <c r="D261" s="432"/>
      <c r="E261" s="432"/>
      <c r="F261" s="409">
        <v>-0.0125</v>
      </c>
      <c r="G261" s="410">
        <v>0.12142712</v>
      </c>
      <c r="H261" s="410">
        <v>0.11960126980047</v>
      </c>
      <c r="I261" s="410">
        <v>0.0628526004111094</v>
      </c>
      <c r="J261" s="410">
        <v>0.21029963767538</v>
      </c>
      <c r="K261" s="410">
        <v>0.261059787273138</v>
      </c>
      <c r="L261" s="442">
        <v>0.148875645921253</v>
      </c>
      <c r="M261" s="441"/>
      <c r="N261" s="409">
        <v>-0.0274023769243315</v>
      </c>
      <c r="O261" s="410">
        <v>0.383278694900138</v>
      </c>
      <c r="P261" s="410">
        <v>0.339880126804527</v>
      </c>
      <c r="Q261" s="410">
        <v>-0.0478157400134499</v>
      </c>
      <c r="R261" s="410">
        <v>0.471305306321816</v>
      </c>
      <c r="S261" s="410">
        <v>0.0250123841454222</v>
      </c>
      <c r="T261" s="410">
        <v>0.0417512723574045</v>
      </c>
      <c r="U261" s="410">
        <v>-0.00207607722161385</v>
      </c>
      <c r="V261" s="410">
        <v>0.462994742521879</v>
      </c>
      <c r="W261" s="410">
        <v>0.0342086888112216</v>
      </c>
      <c r="X261" s="410">
        <v>0.166989898901157</v>
      </c>
      <c r="Y261" s="410">
        <v>0.641366456492507</v>
      </c>
      <c r="Z261" s="410">
        <v>0.0355281627045752</v>
      </c>
      <c r="AA261" s="410">
        <v>0.600019113834832</v>
      </c>
      <c r="AB261" s="410">
        <v>-0.127963122118916</v>
      </c>
      <c r="AC261" s="410">
        <v>0.219463394184229</v>
      </c>
      <c r="AD261" s="410">
        <v>0.556363995847956</v>
      </c>
      <c r="AE261" s="442" t="s">
        <v>129</v>
      </c>
      <c r="AS261"/>
      <c r="AT261"/>
      <c r="AU261"/>
      <c r="AV261"/>
      <c r="AW261"/>
      <c r="AX261"/>
      <c r="AY261"/>
      <c r="AZ261"/>
      <c r="BA261"/>
      <c r="BB261"/>
      <c r="BC261"/>
      <c r="BD261"/>
      <c r="BE261"/>
      <c r="BF261"/>
      <c r="BG261"/>
      <c r="BH261"/>
      <c r="BI261"/>
      <c r="BJ261"/>
      <c r="BK261"/>
      <c r="BL261"/>
      <c r="BM261"/>
      <c r="BN261"/>
      <c r="BO261"/>
      <c r="BP261"/>
      <c r="BQ261"/>
      <c r="BR261"/>
      <c r="BS261"/>
      <c r="BT261"/>
      <c r="BU261"/>
    </row>
    <row r="262" ht="15.15" spans="2:73">
      <c r="B262" s="433" t="s">
        <v>545</v>
      </c>
      <c r="C262" s="432"/>
      <c r="D262" s="432"/>
      <c r="E262" s="432"/>
      <c r="F262" s="409">
        <v>-0.0237000000000001</v>
      </c>
      <c r="G262" s="410">
        <v>0.10203796989</v>
      </c>
      <c r="H262" s="410">
        <v>0.0851124880326832</v>
      </c>
      <c r="I262" s="410">
        <v>-0.0323231379650817</v>
      </c>
      <c r="J262" s="410">
        <v>0.141340550341622</v>
      </c>
      <c r="K262" s="410">
        <v>0.179038645551295</v>
      </c>
      <c r="L262" s="442">
        <v>0.112365538985869</v>
      </c>
      <c r="M262" s="441"/>
      <c r="N262" s="409">
        <v>-0.0482478367465337</v>
      </c>
      <c r="O262" s="410">
        <v>0.241597142735367</v>
      </c>
      <c r="P262" s="410">
        <v>0.287304020926978</v>
      </c>
      <c r="Q262" s="410">
        <v>-0.121015903061972</v>
      </c>
      <c r="R262" s="410">
        <v>0.335521113512856</v>
      </c>
      <c r="S262" s="410">
        <v>0.109993692908887</v>
      </c>
      <c r="T262" s="410">
        <v>0.0520814564304426</v>
      </c>
      <c r="U262" s="410">
        <v>-0.0534142829497409</v>
      </c>
      <c r="V262" s="410">
        <v>0.42129038273274</v>
      </c>
      <c r="W262" s="410">
        <v>0.129395288350923</v>
      </c>
      <c r="X262" s="410">
        <v>0.134144630184184</v>
      </c>
      <c r="Y262" s="410">
        <v>0.718092609786249</v>
      </c>
      <c r="Z262" s="410">
        <v>0.155919620992464</v>
      </c>
      <c r="AA262" s="410">
        <v>0.542121192725146</v>
      </c>
      <c r="AB262" s="410">
        <v>-0.186505102799846</v>
      </c>
      <c r="AC262" s="410">
        <v>0.216010130704174</v>
      </c>
      <c r="AD262" s="410">
        <v>1.11152068451812</v>
      </c>
      <c r="AE262" s="442">
        <v>-0.53683111736242</v>
      </c>
      <c r="AS262" s="320" t="s">
        <v>546</v>
      </c>
      <c r="AT262" s="351" t="s">
        <v>87</v>
      </c>
      <c r="AU262" s="352" t="s">
        <v>110</v>
      </c>
      <c r="AV262" s="353"/>
      <c r="AW262" s="368"/>
      <c r="AX262" s="332" t="s">
        <v>113</v>
      </c>
      <c r="AY262" s="333"/>
      <c r="AZ262" s="333"/>
      <c r="BA262" s="333"/>
      <c r="BB262" s="333"/>
      <c r="BC262" s="333"/>
      <c r="BD262" s="346"/>
      <c r="BE262" s="368"/>
      <c r="BF262" s="380" t="s">
        <v>114</v>
      </c>
      <c r="BG262" s="381"/>
      <c r="BH262" s="381"/>
      <c r="BI262" s="381"/>
      <c r="BJ262" s="381"/>
      <c r="BK262" s="381"/>
      <c r="BL262" s="381"/>
      <c r="BM262" s="381"/>
      <c r="BN262" s="381"/>
      <c r="BO262" s="381"/>
      <c r="BP262" s="381"/>
      <c r="BQ262" s="381"/>
      <c r="BR262" s="381"/>
      <c r="BS262" s="381"/>
      <c r="BT262" s="381"/>
      <c r="BU262" s="383"/>
    </row>
    <row r="263" ht="15.15" spans="2:73">
      <c r="B263" s="433" t="s">
        <v>547</v>
      </c>
      <c r="C263" s="432"/>
      <c r="D263" s="432"/>
      <c r="E263" s="432"/>
      <c r="F263" s="409">
        <v>-0.0317</v>
      </c>
      <c r="G263" s="410">
        <v>0.035803891906</v>
      </c>
      <c r="H263" s="410">
        <v>0.0174112566572</v>
      </c>
      <c r="I263" s="410">
        <v>-0.104394209636171</v>
      </c>
      <c r="J263" s="410">
        <v>0.086759869075095</v>
      </c>
      <c r="K263" s="410">
        <v>0.134460744074754</v>
      </c>
      <c r="L263" s="442">
        <v>0.101859060375398</v>
      </c>
      <c r="M263" s="441"/>
      <c r="N263" s="409">
        <v>-0.0454647590042149</v>
      </c>
      <c r="O263" s="410">
        <v>0.104496967032479</v>
      </c>
      <c r="P263" s="410">
        <v>0.226948122150904</v>
      </c>
      <c r="Q263" s="410">
        <v>-0.0769245096906992</v>
      </c>
      <c r="R263" s="410">
        <v>0.269431725289546</v>
      </c>
      <c r="S263" s="410">
        <v>0.144702439669868</v>
      </c>
      <c r="T263" s="410">
        <v>0.145188910448145</v>
      </c>
      <c r="U263" s="410">
        <v>-0.0752334196916091</v>
      </c>
      <c r="V263" s="410">
        <v>0.386552501918035</v>
      </c>
      <c r="W263" s="410">
        <v>0.0454621046390982</v>
      </c>
      <c r="X263" s="410">
        <v>0.144023623986185</v>
      </c>
      <c r="Y263" s="410">
        <v>0.698981187943027</v>
      </c>
      <c r="Z263" s="410">
        <v>0.19986173350411</v>
      </c>
      <c r="AA263" s="410">
        <v>0.270407022066102</v>
      </c>
      <c r="AB263" s="410">
        <v>-0.173840439704545</v>
      </c>
      <c r="AC263" s="410" t="s">
        <v>129</v>
      </c>
      <c r="AD263" s="410" t="s">
        <v>129</v>
      </c>
      <c r="AE263" s="442" t="s">
        <v>129</v>
      </c>
      <c r="AN263" s="281" t="s">
        <v>129</v>
      </c>
      <c r="AO263" s="37">
        <v>1.1</v>
      </c>
      <c r="AP263" s="281">
        <v>23.9</v>
      </c>
      <c r="AQ263" s="281">
        <v>2.8</v>
      </c>
      <c r="AS263" s="322"/>
      <c r="AT263" s="355" t="s">
        <v>121</v>
      </c>
      <c r="AU263" s="356" t="s">
        <v>115</v>
      </c>
      <c r="AV263" s="357" t="s">
        <v>116</v>
      </c>
      <c r="AW263" s="369"/>
      <c r="AX263" s="266" t="s">
        <v>122</v>
      </c>
      <c r="AY263" s="268" t="s">
        <v>123</v>
      </c>
      <c r="AZ263" s="268" t="s">
        <v>124</v>
      </c>
      <c r="BA263" s="268" t="s">
        <v>91</v>
      </c>
      <c r="BB263" s="268" t="s">
        <v>125</v>
      </c>
      <c r="BC263" s="268" t="s">
        <v>126</v>
      </c>
      <c r="BD263" s="269" t="s">
        <v>127</v>
      </c>
      <c r="BE263" s="369"/>
      <c r="BF263" s="266">
        <v>2025</v>
      </c>
      <c r="BG263" s="266">
        <v>2024</v>
      </c>
      <c r="BH263" s="266">
        <v>2023</v>
      </c>
      <c r="BI263" s="268">
        <v>2022</v>
      </c>
      <c r="BJ263" s="268">
        <v>2021</v>
      </c>
      <c r="BK263" s="268">
        <v>2020</v>
      </c>
      <c r="BL263" s="268">
        <v>2019</v>
      </c>
      <c r="BM263" s="268">
        <v>2018</v>
      </c>
      <c r="BN263" s="268">
        <v>2017</v>
      </c>
      <c r="BO263" s="268">
        <v>2016</v>
      </c>
      <c r="BP263" s="268">
        <v>2015</v>
      </c>
      <c r="BQ263" s="268">
        <v>2014</v>
      </c>
      <c r="BR263" s="268">
        <v>2013</v>
      </c>
      <c r="BS263" s="268">
        <v>2012</v>
      </c>
      <c r="BT263" s="268">
        <v>2011</v>
      </c>
      <c r="BU263" s="269">
        <v>2010</v>
      </c>
    </row>
    <row r="264" spans="2:73">
      <c r="B264" s="433" t="s">
        <v>548</v>
      </c>
      <c r="C264" s="432"/>
      <c r="D264" s="432"/>
      <c r="E264" s="432"/>
      <c r="F264" s="409">
        <v>-0.0681</v>
      </c>
      <c r="G264" s="410">
        <v>0.0226317596279999</v>
      </c>
      <c r="H264" s="410">
        <v>0.0238766356428803</v>
      </c>
      <c r="I264" s="410">
        <v>-0.0674255579376267</v>
      </c>
      <c r="J264" s="410">
        <v>0.118629288674455</v>
      </c>
      <c r="K264" s="410">
        <v>0.176506834675574</v>
      </c>
      <c r="L264" s="442">
        <v>0.113704690059819</v>
      </c>
      <c r="M264" s="441"/>
      <c r="N264" s="409">
        <v>-0.039780165061583</v>
      </c>
      <c r="O264" s="410">
        <v>0.130190942770951</v>
      </c>
      <c r="P264" s="410">
        <v>0.267173926252355</v>
      </c>
      <c r="Q264" s="410">
        <v>-0.106045688434293</v>
      </c>
      <c r="R264" s="410">
        <v>0.43424344928181</v>
      </c>
      <c r="S264" s="410">
        <v>0.149660846800749</v>
      </c>
      <c r="T264" s="410">
        <v>0.181300374422213</v>
      </c>
      <c r="U264" s="410">
        <v>-0.109701649715174</v>
      </c>
      <c r="V264" s="410">
        <v>0.367873835603805</v>
      </c>
      <c r="W264" s="410">
        <v>0.0468356781596981</v>
      </c>
      <c r="X264" s="410">
        <v>0.117874089266956</v>
      </c>
      <c r="Y264" s="410">
        <v>0.725969496387252</v>
      </c>
      <c r="Z264" s="410">
        <v>0.155019937307867</v>
      </c>
      <c r="AA264" s="410">
        <v>0.317887174184449</v>
      </c>
      <c r="AB264" s="410">
        <v>-0.224336354071114</v>
      </c>
      <c r="AC264" s="410" t="s">
        <v>129</v>
      </c>
      <c r="AD264" s="410" t="s">
        <v>129</v>
      </c>
      <c r="AE264" s="442" t="s">
        <v>129</v>
      </c>
      <c r="AS264" s="361" t="s">
        <v>549</v>
      </c>
      <c r="AT264" s="364">
        <v>1.16</v>
      </c>
      <c r="AU264" s="365">
        <v>45716</v>
      </c>
      <c r="AV264" s="364">
        <v>2208.5073</v>
      </c>
      <c r="AW264" s="3"/>
      <c r="AX264" s="376">
        <v>0.020171</v>
      </c>
      <c r="AY264" s="376">
        <v>0.025575</v>
      </c>
      <c r="AZ264" s="376">
        <v>0.036063</v>
      </c>
      <c r="BA264" s="376">
        <v>0.085909</v>
      </c>
      <c r="BB264" s="376">
        <v>0.063118</v>
      </c>
      <c r="BC264" s="376">
        <v>0.065458</v>
      </c>
      <c r="BD264" s="376">
        <v>0.069585</v>
      </c>
      <c r="BE264" s="4"/>
      <c r="BF264" s="376">
        <v>0.025575</v>
      </c>
      <c r="BG264" s="376">
        <v>0.0838770022004325</v>
      </c>
      <c r="BH264" s="376">
        <v>0.0663884830047668</v>
      </c>
      <c r="BI264" s="376">
        <v>0.0235359074843382</v>
      </c>
      <c r="BJ264" s="376">
        <v>0.040054834425738</v>
      </c>
      <c r="BK264" s="376">
        <v>0.128039267124139</v>
      </c>
      <c r="BL264" s="376">
        <v>0.0946215026542989</v>
      </c>
      <c r="BM264" s="376">
        <v>0.0508445190304641</v>
      </c>
      <c r="BN264" s="376">
        <v>0.027668704563847</v>
      </c>
      <c r="BO264" s="376">
        <v>0.144005228066627</v>
      </c>
      <c r="BP264" s="376">
        <v>0.0456198293323789</v>
      </c>
      <c r="BQ264" s="376">
        <v>0.160303023438444</v>
      </c>
      <c r="BR264" s="376">
        <v>0.0265350218492932</v>
      </c>
      <c r="BS264" s="376">
        <v>0.106995911257556</v>
      </c>
      <c r="BT264" s="376">
        <v>0.0834357910003045</v>
      </c>
      <c r="BU264" s="376">
        <v>0.0318431775068889</v>
      </c>
    </row>
    <row r="265" spans="2:73">
      <c r="B265" s="433" t="s">
        <v>550</v>
      </c>
      <c r="C265" s="432"/>
      <c r="D265" s="432"/>
      <c r="E265" s="432"/>
      <c r="F265" s="409">
        <v>-0.0301</v>
      </c>
      <c r="G265" s="410">
        <v>0.0694487998790001</v>
      </c>
      <c r="H265" s="410">
        <v>0.0595487337405702</v>
      </c>
      <c r="I265" s="410">
        <v>0.0237051335411276</v>
      </c>
      <c r="J265" s="410">
        <v>0.224690654013915</v>
      </c>
      <c r="K265" s="410">
        <v>0.265054457762949</v>
      </c>
      <c r="L265" s="442">
        <v>0.146984465870219</v>
      </c>
      <c r="M265" s="441"/>
      <c r="N265" s="409">
        <v>0.0189680172383064</v>
      </c>
      <c r="O265" s="410">
        <v>0.172737026031342</v>
      </c>
      <c r="P265" s="410">
        <v>0.427839684593267</v>
      </c>
      <c r="Q265" s="410">
        <v>-0.0814381523468097</v>
      </c>
      <c r="R265" s="410">
        <v>0.597958991184126</v>
      </c>
      <c r="S265" s="410">
        <v>0.22224191536545</v>
      </c>
      <c r="T265" s="410">
        <v>-0.108212268497526</v>
      </c>
      <c r="U265" s="410">
        <v>-0.244611749860689</v>
      </c>
      <c r="V265" s="410">
        <v>0.601830858095362</v>
      </c>
      <c r="W265" s="410">
        <v>0.124291177147103</v>
      </c>
      <c r="X265" s="410">
        <v>0.194399718145398</v>
      </c>
      <c r="Y265" s="410">
        <v>0.63434801343977</v>
      </c>
      <c r="Z265" s="410">
        <v>-0.100279779549706</v>
      </c>
      <c r="AA265" s="410">
        <v>0.630161260435455</v>
      </c>
      <c r="AB265" s="410">
        <v>-0.335851981686044</v>
      </c>
      <c r="AC265" s="410">
        <v>0.102020037235708</v>
      </c>
      <c r="AD265" s="410">
        <v>1.05880660040825</v>
      </c>
      <c r="AE265" s="442">
        <v>-0.503211238128511</v>
      </c>
      <c r="AS265" s="361" t="s">
        <v>551</v>
      </c>
      <c r="AT265" s="364">
        <v>1.98</v>
      </c>
      <c r="AU265" s="365">
        <v>45716</v>
      </c>
      <c r="AV265" s="364">
        <v>482.8482</v>
      </c>
      <c r="AW265" s="3"/>
      <c r="AX265" s="376">
        <v>0.019114</v>
      </c>
      <c r="AY265" s="376">
        <v>0.021565</v>
      </c>
      <c r="AZ265" s="376">
        <v>0.027581</v>
      </c>
      <c r="BA265" s="376">
        <v>0.073616</v>
      </c>
      <c r="BB265" s="376">
        <v>0.053228</v>
      </c>
      <c r="BC265" s="376">
        <v>0.051614</v>
      </c>
      <c r="BD265" s="376">
        <v>0.064821</v>
      </c>
      <c r="BE265" s="4"/>
      <c r="BF265" s="376">
        <v>0.021565</v>
      </c>
      <c r="BG265" s="376">
        <v>0.0793240231635647</v>
      </c>
      <c r="BH265" s="376">
        <v>0.0595813351324738</v>
      </c>
      <c r="BI265" s="376">
        <v>0.00605566960002498</v>
      </c>
      <c r="BJ265" s="376">
        <v>0.0123519383127375</v>
      </c>
      <c r="BK265" s="376">
        <v>0.11775194973149</v>
      </c>
      <c r="BL265" s="376">
        <v>0.103866820957597</v>
      </c>
      <c r="BM265" s="376">
        <v>0.0659493655426779</v>
      </c>
      <c r="BN265" s="376">
        <v>0.0312598395445786</v>
      </c>
      <c r="BO265" s="376">
        <v>0.129019873275166</v>
      </c>
      <c r="BP265" s="376">
        <v>0.0593023501022766</v>
      </c>
      <c r="BQ265" s="376">
        <v>0.155380053045228</v>
      </c>
      <c r="BR265" s="376">
        <v>0.0467214130094215</v>
      </c>
      <c r="BS265" s="376">
        <v>0.103535617506815</v>
      </c>
      <c r="BT265" s="376">
        <v>0.085931087476642</v>
      </c>
      <c r="BU265" s="376">
        <v>0.0391724513406832</v>
      </c>
    </row>
    <row r="266" spans="2:73">
      <c r="B266" s="433" t="s">
        <v>552</v>
      </c>
      <c r="C266" s="432"/>
      <c r="D266" s="432"/>
      <c r="E266" s="432"/>
      <c r="F266" s="409">
        <v>-0.0229</v>
      </c>
      <c r="G266" s="410">
        <v>0.0581351631559999</v>
      </c>
      <c r="H266" s="410">
        <v>0.0651630761826871</v>
      </c>
      <c r="I266" s="410">
        <v>-0.0054056673494931</v>
      </c>
      <c r="J266" s="410">
        <v>0.199255773130776</v>
      </c>
      <c r="K266" s="410">
        <v>0.266018565419387</v>
      </c>
      <c r="L266" s="442">
        <v>0.110099507529047</v>
      </c>
      <c r="M266" s="441"/>
      <c r="N266" s="409">
        <v>-0.00513768684537041</v>
      </c>
      <c r="O266" s="410">
        <v>0.274407163363458</v>
      </c>
      <c r="P266" s="410">
        <v>0.324409795339976</v>
      </c>
      <c r="Q266" s="410">
        <v>-0.0304673242458753</v>
      </c>
      <c r="R266" s="410">
        <v>0.57094746051818</v>
      </c>
      <c r="S266" s="410">
        <v>0.0145192881581129</v>
      </c>
      <c r="T266" s="410">
        <v>-0.0197436585416196</v>
      </c>
      <c r="U266" s="410">
        <v>-0.283527839064007</v>
      </c>
      <c r="V266" s="410">
        <v>0.35519839679359</v>
      </c>
      <c r="W266" s="410">
        <v>0.0807088063690344</v>
      </c>
      <c r="X266" s="410">
        <v>0.141668191416237</v>
      </c>
      <c r="Y266" s="410">
        <v>0.875089248458435</v>
      </c>
      <c r="Z266" s="410">
        <v>-0.0254470861459771</v>
      </c>
      <c r="AA266" s="410" t="s">
        <v>129</v>
      </c>
      <c r="AB266" s="410" t="s">
        <v>129</v>
      </c>
      <c r="AC266" s="410" t="s">
        <v>129</v>
      </c>
      <c r="AD266" s="410" t="s">
        <v>129</v>
      </c>
      <c r="AE266" s="442" t="s">
        <v>129</v>
      </c>
      <c r="AS266" s="361" t="s">
        <v>553</v>
      </c>
      <c r="AT266" s="364">
        <v>1.88</v>
      </c>
      <c r="AU266" s="365">
        <v>45716</v>
      </c>
      <c r="AV266" s="364">
        <v>119.3081</v>
      </c>
      <c r="AW266" s="3"/>
      <c r="AX266" s="376">
        <v>0.017776</v>
      </c>
      <c r="AY266" s="376">
        <v>0.022892</v>
      </c>
      <c r="AZ266" s="376">
        <v>0.029686</v>
      </c>
      <c r="BA266" s="376">
        <v>0.076088</v>
      </c>
      <c r="BB266" s="376">
        <v>0.056606</v>
      </c>
      <c r="BC266" s="376">
        <v>0.051877</v>
      </c>
      <c r="BD266" s="376">
        <v>0.06283</v>
      </c>
      <c r="BE266" s="4"/>
      <c r="BF266" s="376">
        <v>0.022892</v>
      </c>
      <c r="BG266" s="376">
        <v>0.0762302240502915</v>
      </c>
      <c r="BH266" s="376">
        <v>0.0561593817877319</v>
      </c>
      <c r="BI266" s="376">
        <v>0.0158031770430788</v>
      </c>
      <c r="BJ266" s="376">
        <v>0.0187318141730136</v>
      </c>
      <c r="BK266" s="376">
        <v>0.100893196549244</v>
      </c>
      <c r="BL266" s="376">
        <v>0.103272062850106</v>
      </c>
      <c r="BM266" s="376">
        <v>0.0518757252963704</v>
      </c>
      <c r="BN266" s="376">
        <v>0.0348648876559689</v>
      </c>
      <c r="BO266" s="376">
        <v>0.127149669785811</v>
      </c>
      <c r="BP266" s="376">
        <v>0.0562858537564871</v>
      </c>
      <c r="BQ266" s="376">
        <v>0.139310056482913</v>
      </c>
      <c r="BR266" s="376">
        <v>0.0526429422584274</v>
      </c>
      <c r="BS266" s="376">
        <v>0.0992701929264853</v>
      </c>
      <c r="BT266" s="376">
        <v>0.0775749289318632</v>
      </c>
      <c r="BU266" s="376">
        <v>0.0497550196448946</v>
      </c>
    </row>
    <row r="267" spans="2:73">
      <c r="B267" s="74" t="s">
        <v>36</v>
      </c>
      <c r="C267" s="432">
        <v>2.5</v>
      </c>
      <c r="D267" s="432"/>
      <c r="E267" s="432"/>
      <c r="F267" s="409">
        <v>-0.0266</v>
      </c>
      <c r="G267" s="410">
        <v>0.0767400376000003</v>
      </c>
      <c r="H267" s="410">
        <v>0.0926773279587556</v>
      </c>
      <c r="I267" s="410">
        <v>-0.00603086781450479</v>
      </c>
      <c r="J267" s="410">
        <v>0.201192575670456</v>
      </c>
      <c r="K267" s="410" t="s">
        <v>129</v>
      </c>
      <c r="L267" s="442" t="s">
        <v>129</v>
      </c>
      <c r="M267" s="441"/>
      <c r="N267" s="409">
        <v>0.0274444914796179</v>
      </c>
      <c r="O267" s="410">
        <v>0.134248800950535</v>
      </c>
      <c r="P267" s="410">
        <v>0.362138909888519</v>
      </c>
      <c r="Q267" s="410">
        <v>-0.0133525234273231</v>
      </c>
      <c r="R267" s="410">
        <v>0.714635684049357</v>
      </c>
      <c r="S267" s="410" t="s">
        <v>129</v>
      </c>
      <c r="T267" s="410" t="s">
        <v>129</v>
      </c>
      <c r="U267" s="410" t="s">
        <v>129</v>
      </c>
      <c r="V267" s="410" t="s">
        <v>129</v>
      </c>
      <c r="W267" s="410" t="s">
        <v>129</v>
      </c>
      <c r="X267" s="410" t="s">
        <v>129</v>
      </c>
      <c r="Y267" s="410" t="s">
        <v>129</v>
      </c>
      <c r="Z267" s="410" t="s">
        <v>129</v>
      </c>
      <c r="AA267" s="410" t="s">
        <v>129</v>
      </c>
      <c r="AB267" s="410" t="s">
        <v>129</v>
      </c>
      <c r="AC267" s="410" t="s">
        <v>129</v>
      </c>
      <c r="AD267" s="410" t="s">
        <v>129</v>
      </c>
      <c r="AE267" s="442" t="s">
        <v>129</v>
      </c>
      <c r="AS267" s="361" t="s">
        <v>554</v>
      </c>
      <c r="AT267" s="364">
        <v>0.76</v>
      </c>
      <c r="AU267" s="365">
        <v>45716</v>
      </c>
      <c r="AV267" s="364">
        <v>50.406352808</v>
      </c>
      <c r="AW267" s="3"/>
      <c r="AX267" s="376">
        <v>0.013704</v>
      </c>
      <c r="AY267" s="376">
        <v>0.025358</v>
      </c>
      <c r="AZ267" s="376">
        <v>0.038391</v>
      </c>
      <c r="BA267" s="376" t="s">
        <v>129</v>
      </c>
      <c r="BB267" s="376" t="s">
        <v>129</v>
      </c>
      <c r="BC267" s="376" t="s">
        <v>129</v>
      </c>
      <c r="BD267" s="376" t="s">
        <v>129</v>
      </c>
      <c r="BE267" s="4"/>
      <c r="BF267" s="376">
        <v>0.025358</v>
      </c>
      <c r="BG267" s="376">
        <v>0.0150700000000001</v>
      </c>
      <c r="BH267" s="376" t="s">
        <v>129</v>
      </c>
      <c r="BI267" s="376" t="s">
        <v>129</v>
      </c>
      <c r="BJ267" s="376" t="s">
        <v>129</v>
      </c>
      <c r="BK267" s="376" t="s">
        <v>129</v>
      </c>
      <c r="BL267" s="376" t="s">
        <v>129</v>
      </c>
      <c r="BM267" s="376" t="s">
        <v>129</v>
      </c>
      <c r="BN267" s="376" t="s">
        <v>129</v>
      </c>
      <c r="BO267" s="376" t="s">
        <v>129</v>
      </c>
      <c r="BP267" s="376" t="s">
        <v>129</v>
      </c>
      <c r="BQ267" s="376" t="s">
        <v>129</v>
      </c>
      <c r="BR267" s="376" t="s">
        <v>129</v>
      </c>
      <c r="BS267" s="376" t="s">
        <v>129</v>
      </c>
      <c r="BT267" s="376" t="s">
        <v>129</v>
      </c>
      <c r="BU267" s="376" t="s">
        <v>129</v>
      </c>
    </row>
    <row r="268" spans="2:73">
      <c r="B268" s="433" t="s">
        <v>555</v>
      </c>
      <c r="C268" s="432"/>
      <c r="D268" s="432"/>
      <c r="E268" s="432"/>
      <c r="F268" s="409">
        <v>-0.0292</v>
      </c>
      <c r="G268" s="410">
        <v>0.03224076704</v>
      </c>
      <c r="H268" s="410">
        <v>0.0329096691090025</v>
      </c>
      <c r="I268" s="410">
        <v>-0.0923677056556129</v>
      </c>
      <c r="J268" s="410">
        <v>0.165520693688905</v>
      </c>
      <c r="K268" s="410">
        <v>0.209295226657811</v>
      </c>
      <c r="L268" s="442" t="s">
        <v>129</v>
      </c>
      <c r="M268" s="441"/>
      <c r="N268" s="409">
        <v>-0.0315438942433992</v>
      </c>
      <c r="O268" s="410">
        <v>0.177984171940503</v>
      </c>
      <c r="P268" s="410">
        <v>0.279890488396526</v>
      </c>
      <c r="Q268" s="410">
        <v>0.0780608351184571</v>
      </c>
      <c r="R268" s="410">
        <v>0.357662379040892</v>
      </c>
      <c r="S268" s="410">
        <v>0.119235252576155</v>
      </c>
      <c r="T268" s="410">
        <v>0.105632855440674</v>
      </c>
      <c r="U268" s="410">
        <v>-0.0544602133343024</v>
      </c>
      <c r="V268" s="410" t="s">
        <v>129</v>
      </c>
      <c r="W268" s="410" t="s">
        <v>129</v>
      </c>
      <c r="X268" s="410" t="s">
        <v>129</v>
      </c>
      <c r="Y268" s="410" t="s">
        <v>129</v>
      </c>
      <c r="Z268" s="410" t="s">
        <v>129</v>
      </c>
      <c r="AA268" s="410" t="s">
        <v>129</v>
      </c>
      <c r="AB268" s="410" t="s">
        <v>129</v>
      </c>
      <c r="AC268" s="410" t="s">
        <v>129</v>
      </c>
      <c r="AD268" s="410" t="s">
        <v>129</v>
      </c>
      <c r="AE268" s="442" t="s">
        <v>129</v>
      </c>
      <c r="AS268" s="361" t="s">
        <v>556</v>
      </c>
      <c r="AT268" s="364">
        <v>1.39</v>
      </c>
      <c r="AU268" s="365">
        <v>45716</v>
      </c>
      <c r="AV268" s="364">
        <v>869.9588</v>
      </c>
      <c r="AW268" s="3"/>
      <c r="AX268" s="376">
        <v>0.01887</v>
      </c>
      <c r="AY268" s="376">
        <v>0.026321</v>
      </c>
      <c r="AZ268" s="376">
        <v>0.03516</v>
      </c>
      <c r="BA268" s="376">
        <v>0.085255</v>
      </c>
      <c r="BB268" s="376">
        <v>0.062192</v>
      </c>
      <c r="BC268" s="376">
        <v>0.053958</v>
      </c>
      <c r="BD268" s="376">
        <v>0.059736</v>
      </c>
      <c r="BE268" s="4"/>
      <c r="BF268" s="376">
        <v>0.026321</v>
      </c>
      <c r="BG268" s="376">
        <v>0.089873417721519</v>
      </c>
      <c r="BH268" s="376">
        <v>0.060624581744047</v>
      </c>
      <c r="BI268" s="376">
        <v>0.0090417992448792</v>
      </c>
      <c r="BJ268" s="376">
        <v>0.0213893580630214</v>
      </c>
      <c r="BK268" s="376">
        <v>0.0927305605786617</v>
      </c>
      <c r="BL268" s="376">
        <v>0.0872543324005977</v>
      </c>
      <c r="BM268" s="376">
        <v>0.035868205564841</v>
      </c>
      <c r="BN268" s="376">
        <v>0.0129799603892922</v>
      </c>
      <c r="BO268" s="376">
        <v>0.1449436147516</v>
      </c>
      <c r="BP268" s="376">
        <v>0.0532398118870682</v>
      </c>
      <c r="BQ268" s="376">
        <v>0.15674967137266</v>
      </c>
      <c r="BR268" s="376">
        <v>0.0216932742503338</v>
      </c>
      <c r="BS268" s="376">
        <v>0.105067435844761</v>
      </c>
      <c r="BT268" s="376">
        <v>0.0628609368315984</v>
      </c>
      <c r="BU268" s="376">
        <v>0.0559311905669344</v>
      </c>
    </row>
    <row r="269" ht="15" customHeight="1" spans="2:73">
      <c r="B269" s="433" t="s">
        <v>557</v>
      </c>
      <c r="C269" s="432"/>
      <c r="D269" s="432"/>
      <c r="E269" s="432"/>
      <c r="F269" s="409">
        <v>-0.018</v>
      </c>
      <c r="G269" s="410">
        <v>0.0948377705599999</v>
      </c>
      <c r="H269" s="410">
        <v>0.0940728913180762</v>
      </c>
      <c r="I269" s="410">
        <v>-0.0369646601224703</v>
      </c>
      <c r="J269" s="410">
        <v>0.209639506516088</v>
      </c>
      <c r="K269" s="410">
        <v>0.217184819153708</v>
      </c>
      <c r="L269" s="442" t="s">
        <v>129</v>
      </c>
      <c r="M269" s="441"/>
      <c r="N269" s="409">
        <v>0.0561085619893391</v>
      </c>
      <c r="O269" s="410">
        <v>0.1564451631276</v>
      </c>
      <c r="P269" s="410">
        <v>0.351131295814017</v>
      </c>
      <c r="Q269" s="410">
        <v>0.0542138702060699</v>
      </c>
      <c r="R269" s="410">
        <v>0.223491636646421</v>
      </c>
      <c r="S269" s="410">
        <v>0.279662003302633</v>
      </c>
      <c r="T269" s="410">
        <v>-0.0178660563191662</v>
      </c>
      <c r="U269" s="410">
        <v>-0.147489089201293</v>
      </c>
      <c r="V269" s="410">
        <v>0.748026996135633</v>
      </c>
      <c r="W269" s="410" t="s">
        <v>129</v>
      </c>
      <c r="X269" s="410" t="s">
        <v>129</v>
      </c>
      <c r="Y269" s="410" t="s">
        <v>129</v>
      </c>
      <c r="Z269" s="410" t="s">
        <v>129</v>
      </c>
      <c r="AA269" s="410" t="s">
        <v>129</v>
      </c>
      <c r="AB269" s="410" t="s">
        <v>129</v>
      </c>
      <c r="AC269" s="410" t="s">
        <v>129</v>
      </c>
      <c r="AD269" s="410" t="s">
        <v>129</v>
      </c>
      <c r="AE269" s="442" t="s">
        <v>129</v>
      </c>
      <c r="AS269" s="361" t="s">
        <v>558</v>
      </c>
      <c r="AT269" s="364">
        <v>1.89</v>
      </c>
      <c r="AU269" s="365">
        <v>45716</v>
      </c>
      <c r="AV269" s="364">
        <v>48.5262</v>
      </c>
      <c r="AW269" s="3"/>
      <c r="AX269" s="376">
        <v>0.019035</v>
      </c>
      <c r="AY269" s="376">
        <v>0.025971</v>
      </c>
      <c r="AZ269" s="376">
        <v>0.032721</v>
      </c>
      <c r="BA269" s="376">
        <v>0.079332</v>
      </c>
      <c r="BB269" s="376">
        <v>0.054456</v>
      </c>
      <c r="BC269" s="376">
        <v>0.048011</v>
      </c>
      <c r="BD269" s="376">
        <v>0.057101</v>
      </c>
      <c r="BE269" s="4"/>
      <c r="BF269" s="376">
        <v>0.025971</v>
      </c>
      <c r="BG269" s="376">
        <v>0.0761054127566256</v>
      </c>
      <c r="BH269" s="376">
        <v>0.056891954229908</v>
      </c>
      <c r="BI269" s="376">
        <v>0.00523092409222267</v>
      </c>
      <c r="BJ269" s="376">
        <v>0.0131954391795107</v>
      </c>
      <c r="BK269" s="376">
        <v>0.0960392371119777</v>
      </c>
      <c r="BL269" s="376">
        <v>0.0979855405736194</v>
      </c>
      <c r="BM269" s="376">
        <v>0.0534587083324253</v>
      </c>
      <c r="BN269" s="376">
        <v>0.0109267948802679</v>
      </c>
      <c r="BO269" s="376">
        <v>0.111402198663174</v>
      </c>
      <c r="BP269" s="376">
        <v>0.0558066392365525</v>
      </c>
      <c r="BQ269" s="376">
        <v>0.137903478840648</v>
      </c>
      <c r="BR269" s="376">
        <v>0.031567661605996</v>
      </c>
      <c r="BS269" s="376">
        <v>0.0987663925316737</v>
      </c>
      <c r="BT269" s="376">
        <v>0.088555528671667</v>
      </c>
      <c r="BU269" s="376">
        <v>0.0474295779109697</v>
      </c>
    </row>
    <row r="270" spans="2:73">
      <c r="B270" s="433" t="s">
        <v>559</v>
      </c>
      <c r="C270" s="432"/>
      <c r="D270" s="432"/>
      <c r="E270" s="432"/>
      <c r="F270" s="409">
        <v>-0.0372</v>
      </c>
      <c r="G270" s="410">
        <v>0.007977310352</v>
      </c>
      <c r="H270" s="410">
        <v>0.0222539859465321</v>
      </c>
      <c r="I270" s="410">
        <v>-0.0931548157959246</v>
      </c>
      <c r="J270" s="410">
        <v>0.0448225288378095</v>
      </c>
      <c r="K270" s="410">
        <v>0.12554246599299</v>
      </c>
      <c r="L270" s="442">
        <v>0.0904429511288229</v>
      </c>
      <c r="M270" s="441"/>
      <c r="N270" s="409">
        <v>-0.045638115311499</v>
      </c>
      <c r="O270" s="410">
        <v>0.050321712760286</v>
      </c>
      <c r="P270" s="410">
        <v>0.177257734378093</v>
      </c>
      <c r="Q270" s="410">
        <v>-0.111699392831357</v>
      </c>
      <c r="R270" s="410">
        <v>0.359299193675154</v>
      </c>
      <c r="S270" s="410">
        <v>0.173055915442975</v>
      </c>
      <c r="T270" s="410">
        <v>0.124552051272354</v>
      </c>
      <c r="U270" s="410">
        <v>-0.0605051034703555</v>
      </c>
      <c r="V270" s="410">
        <v>0.367487470010572</v>
      </c>
      <c r="W270" s="410">
        <v>-0.0116315211120084</v>
      </c>
      <c r="X270" s="410">
        <v>0.0460454296789969</v>
      </c>
      <c r="Y270" s="410">
        <v>0.532965157654408</v>
      </c>
      <c r="Z270" s="410">
        <v>0.147600572570584</v>
      </c>
      <c r="AA270" s="410">
        <v>0.242187215457883</v>
      </c>
      <c r="AB270" s="410">
        <v>-0.0680145159796208</v>
      </c>
      <c r="AC270" s="410" t="s">
        <v>129</v>
      </c>
      <c r="AD270" s="410" t="s">
        <v>129</v>
      </c>
      <c r="AE270" s="442" t="s">
        <v>129</v>
      </c>
      <c r="AS270" s="361" t="s">
        <v>560</v>
      </c>
      <c r="AT270" s="364">
        <v>1.03</v>
      </c>
      <c r="AU270" s="365">
        <v>45716</v>
      </c>
      <c r="AV270" s="364">
        <v>2905.4022153492</v>
      </c>
      <c r="AW270" s="3"/>
      <c r="AX270" s="376">
        <v>0.01708</v>
      </c>
      <c r="AY270" s="376">
        <v>0.026952</v>
      </c>
      <c r="AZ270" s="376">
        <v>0.041825</v>
      </c>
      <c r="BA270" s="376">
        <v>0.089562</v>
      </c>
      <c r="BB270" s="376">
        <v>0.073711</v>
      </c>
      <c r="BC270" s="376">
        <v>0.066442</v>
      </c>
      <c r="BD270" s="376">
        <v>0.073319</v>
      </c>
      <c r="BE270" s="4"/>
      <c r="BF270" s="376">
        <v>0.026952</v>
      </c>
      <c r="BG270" s="376">
        <v>0.0861083632458098</v>
      </c>
      <c r="BH270" s="376">
        <v>0.0766375047546597</v>
      </c>
      <c r="BI270" s="376">
        <v>0.0310806698063183</v>
      </c>
      <c r="BJ270" s="376">
        <v>0.0285870115955219</v>
      </c>
      <c r="BK270" s="376">
        <v>0.115004983789191</v>
      </c>
      <c r="BL270" s="376">
        <v>0.108867315465431</v>
      </c>
      <c r="BM270" s="376">
        <v>0.0458018452602017</v>
      </c>
      <c r="BN270" s="376">
        <v>0.0529366017408268</v>
      </c>
      <c r="BO270" s="376">
        <v>0.113152823562786</v>
      </c>
      <c r="BP270" s="376">
        <v>0.0853199564721182</v>
      </c>
      <c r="BQ270" s="376">
        <v>0.145413421374241</v>
      </c>
      <c r="BR270" s="376">
        <v>0.0424473290571203</v>
      </c>
      <c r="BS270" s="376">
        <v>0.112676751648507</v>
      </c>
      <c r="BT270" s="376">
        <v>0.0698199047841801</v>
      </c>
      <c r="BU270" s="376">
        <v>0.0412604388438907</v>
      </c>
    </row>
    <row r="271" spans="2:73">
      <c r="B271" s="433" t="s">
        <v>561</v>
      </c>
      <c r="C271" s="432"/>
      <c r="D271" s="432"/>
      <c r="E271" s="432"/>
      <c r="F271" s="409">
        <v>-0.0296999999999999</v>
      </c>
      <c r="G271" s="410">
        <v>0.12798878965</v>
      </c>
      <c r="H271" s="410">
        <v>0.131797179079588</v>
      </c>
      <c r="I271" s="410">
        <v>0.047362864921038</v>
      </c>
      <c r="J271" s="410">
        <v>0.25063247439475</v>
      </c>
      <c r="K271" s="410">
        <v>0.231869795132867</v>
      </c>
      <c r="L271" s="442">
        <v>0.126169767031489</v>
      </c>
      <c r="M271" s="441"/>
      <c r="N271" s="409">
        <v>-0.0324265916048601</v>
      </c>
      <c r="O271" s="410">
        <v>0.389894621155732</v>
      </c>
      <c r="P271" s="410">
        <v>0.437219310607023</v>
      </c>
      <c r="Q271" s="410">
        <v>-0.0191843067153006</v>
      </c>
      <c r="R271" s="410">
        <v>0.238467138479246</v>
      </c>
      <c r="S271" s="410">
        <v>0.0475948887525379</v>
      </c>
      <c r="T271" s="410">
        <v>0.21551781528446</v>
      </c>
      <c r="U271" s="410">
        <v>-0.0484607914160776</v>
      </c>
      <c r="V271" s="410">
        <v>0.266791120196406</v>
      </c>
      <c r="W271" s="410">
        <v>0.00273222886591307</v>
      </c>
      <c r="X271" s="410">
        <v>-0.0321869878378038</v>
      </c>
      <c r="Y271" s="410">
        <v>0.547287949633932</v>
      </c>
      <c r="Z271" s="410">
        <v>0.0258517171897419</v>
      </c>
      <c r="AA271" s="410">
        <v>0.210379658263689</v>
      </c>
      <c r="AB271" s="410">
        <v>-0.135100239836152</v>
      </c>
      <c r="AC271" s="410">
        <v>0.177612658546926</v>
      </c>
      <c r="AD271" s="410">
        <v>0.762142910502756</v>
      </c>
      <c r="AE271" s="442">
        <v>-0.464316152421825</v>
      </c>
      <c r="AS271" s="361" t="s">
        <v>562</v>
      </c>
      <c r="AT271" s="364">
        <v>1.02</v>
      </c>
      <c r="AU271" s="365">
        <v>45716</v>
      </c>
      <c r="AV271" s="364">
        <v>24.95479199</v>
      </c>
      <c r="AW271" s="3"/>
      <c r="AX271" s="376">
        <v>0.014795</v>
      </c>
      <c r="AY271" s="376">
        <v>0.02627</v>
      </c>
      <c r="AZ271" s="376">
        <v>0.03562</v>
      </c>
      <c r="BA271" s="376">
        <v>0.083238</v>
      </c>
      <c r="BB271" s="376">
        <v>0.059327</v>
      </c>
      <c r="BC271" s="376">
        <v>0.053077</v>
      </c>
      <c r="BD271" s="376">
        <v>0.039242</v>
      </c>
      <c r="BE271" s="4"/>
      <c r="BF271" s="376">
        <v>0.02627</v>
      </c>
      <c r="BG271" s="376">
        <v>0.0798453582879319</v>
      </c>
      <c r="BH271" s="376">
        <v>0.0660180667525507</v>
      </c>
      <c r="BI271" s="376">
        <v>0.00680795121750815</v>
      </c>
      <c r="BJ271" s="376">
        <v>0.0157741306641709</v>
      </c>
      <c r="BK271" s="376">
        <v>0.103318314861709</v>
      </c>
      <c r="BL271" s="376">
        <v>-0.0735881056597641</v>
      </c>
      <c r="BM271" s="376">
        <v>0.0508930782169172</v>
      </c>
      <c r="BN271" s="376">
        <v>0.0422467530734012</v>
      </c>
      <c r="BO271" s="376">
        <v>0.0717969627388284</v>
      </c>
      <c r="BP271" s="376">
        <v>0.0418332087114429</v>
      </c>
      <c r="BQ271" s="376">
        <v>0.130377034771889</v>
      </c>
      <c r="BR271" s="376">
        <v>0.0459810964971539</v>
      </c>
      <c r="BS271" s="376">
        <v>0.0958277141744423</v>
      </c>
      <c r="BT271" s="376">
        <v>0.0670758303767992</v>
      </c>
      <c r="BU271" s="376">
        <v>0.0351615690094676</v>
      </c>
    </row>
    <row r="272" spans="2:73">
      <c r="B272" s="433" t="s">
        <v>563</v>
      </c>
      <c r="C272" s="432"/>
      <c r="D272" s="432"/>
      <c r="E272" s="432"/>
      <c r="F272" s="409">
        <v>-0.0136000000000001</v>
      </c>
      <c r="G272" s="410">
        <v>0.0522232808480001</v>
      </c>
      <c r="H272" s="410">
        <v>0.0442590554464255</v>
      </c>
      <c r="I272" s="410">
        <v>-0.0346406606829707</v>
      </c>
      <c r="J272" s="410">
        <v>0.243562469424054</v>
      </c>
      <c r="K272" s="410">
        <v>0.241263218987508</v>
      </c>
      <c r="L272" s="442">
        <v>0.179574690923549</v>
      </c>
      <c r="M272" s="441"/>
      <c r="N272" s="409">
        <v>-0.0207982837078867</v>
      </c>
      <c r="O272" s="410">
        <v>0.238505520029569</v>
      </c>
      <c r="P272" s="410">
        <v>0.513904958233747</v>
      </c>
      <c r="Q272" s="410">
        <v>-0.0825067259013156</v>
      </c>
      <c r="R272" s="410">
        <v>0.431133440035883</v>
      </c>
      <c r="S272" s="410">
        <v>0.273939847192341</v>
      </c>
      <c r="T272" s="410">
        <v>0.0872844055292226</v>
      </c>
      <c r="U272" s="410">
        <v>-0.24961470686832</v>
      </c>
      <c r="V272" s="410">
        <v>0.748665220836538</v>
      </c>
      <c r="W272" s="410">
        <v>0.212647388430555</v>
      </c>
      <c r="X272" s="410">
        <v>0.026044906772879</v>
      </c>
      <c r="Y272" s="410">
        <v>0.762736279087745</v>
      </c>
      <c r="Z272" s="410">
        <v>0.157935345770323</v>
      </c>
      <c r="AA272" s="410">
        <v>0.406755919312328</v>
      </c>
      <c r="AB272" s="410">
        <v>-0.173256801591118</v>
      </c>
      <c r="AC272" s="410">
        <v>0.389632358339804</v>
      </c>
      <c r="AD272" s="410" t="s">
        <v>129</v>
      </c>
      <c r="AE272" s="442" t="s">
        <v>129</v>
      </c>
      <c r="AS272" s="361" t="s">
        <v>564</v>
      </c>
      <c r="AT272" s="364">
        <v>1.65</v>
      </c>
      <c r="AU272" s="365">
        <v>45716</v>
      </c>
      <c r="AV272" s="364">
        <v>2133.9925</v>
      </c>
      <c r="AW272" s="3"/>
      <c r="AX272" s="376">
        <v>0.017274</v>
      </c>
      <c r="AY272" s="376">
        <v>0.023382</v>
      </c>
      <c r="AZ272" s="376">
        <v>0.031056</v>
      </c>
      <c r="BA272" s="376">
        <v>0.080254</v>
      </c>
      <c r="BB272" s="376">
        <v>0.062444</v>
      </c>
      <c r="BC272" s="376">
        <v>0.059598</v>
      </c>
      <c r="BD272" s="376">
        <v>0.065679</v>
      </c>
      <c r="BE272" s="4"/>
      <c r="BF272" s="376">
        <v>0.023382</v>
      </c>
      <c r="BG272" s="376">
        <v>0.0816090335413346</v>
      </c>
      <c r="BH272" s="376">
        <v>0.0679970297122769</v>
      </c>
      <c r="BI272" s="376">
        <v>0.0171133015287245</v>
      </c>
      <c r="BJ272" s="376">
        <v>0.0243928714836494</v>
      </c>
      <c r="BK272" s="376">
        <v>0.122600695214309</v>
      </c>
      <c r="BL272" s="376">
        <v>0.103059568301118</v>
      </c>
      <c r="BM272" s="376">
        <v>0.0515796767529055</v>
      </c>
      <c r="BN272" s="376">
        <v>0.00886041205633617</v>
      </c>
      <c r="BO272" s="376">
        <v>0.14321855648874</v>
      </c>
      <c r="BP272" s="376">
        <v>0.0460477222314824</v>
      </c>
      <c r="BQ272" s="376">
        <v>0.151266359044304</v>
      </c>
      <c r="BR272" s="376">
        <v>0.0210155084324276</v>
      </c>
      <c r="BS272" s="376">
        <v>0.129328744600239</v>
      </c>
      <c r="BT272" s="376">
        <v>0.0827816766431751</v>
      </c>
      <c r="BU272" s="376">
        <v>0.0445697036900143</v>
      </c>
    </row>
    <row r="273" spans="2:73">
      <c r="B273" s="451" t="s">
        <v>565</v>
      </c>
      <c r="C273" s="452"/>
      <c r="D273" s="452"/>
      <c r="E273" s="452"/>
      <c r="F273" s="413">
        <v>-0.0195</v>
      </c>
      <c r="G273" s="414">
        <v>0.0596332134999999</v>
      </c>
      <c r="H273" s="414">
        <v>0.0325555659118653</v>
      </c>
      <c r="I273" s="414">
        <v>-0.093003005718859</v>
      </c>
      <c r="J273" s="414">
        <v>0.172143344368169</v>
      </c>
      <c r="K273" s="414">
        <v>0.232391486055112</v>
      </c>
      <c r="L273" s="443" t="s">
        <v>129</v>
      </c>
      <c r="M273" s="441"/>
      <c r="N273" s="413">
        <v>-0.0567604905395113</v>
      </c>
      <c r="O273" s="414">
        <v>0.16220840060076</v>
      </c>
      <c r="P273" s="414">
        <v>0.352391019951245</v>
      </c>
      <c r="Q273" s="414">
        <v>0.0420047824434806</v>
      </c>
      <c r="R273" s="414">
        <v>0.404489937686061</v>
      </c>
      <c r="S273" s="414">
        <v>0.112568696890947</v>
      </c>
      <c r="T273" s="414">
        <v>0.134416007287747</v>
      </c>
      <c r="U273" s="414" t="s">
        <v>129</v>
      </c>
      <c r="V273" s="414" t="s">
        <v>129</v>
      </c>
      <c r="W273" s="414" t="s">
        <v>129</v>
      </c>
      <c r="X273" s="414" t="s">
        <v>129</v>
      </c>
      <c r="Y273" s="414" t="s">
        <v>129</v>
      </c>
      <c r="Z273" s="414" t="s">
        <v>129</v>
      </c>
      <c r="AA273" s="414" t="s">
        <v>129</v>
      </c>
      <c r="AB273" s="414" t="s">
        <v>129</v>
      </c>
      <c r="AC273" s="414" t="s">
        <v>129</v>
      </c>
      <c r="AD273" s="414" t="s">
        <v>129</v>
      </c>
      <c r="AE273" s="443" t="s">
        <v>129</v>
      </c>
      <c r="AS273" s="361" t="s">
        <v>566</v>
      </c>
      <c r="AT273" s="364">
        <v>1.22</v>
      </c>
      <c r="AU273" s="365">
        <v>45716</v>
      </c>
      <c r="AV273" s="364">
        <v>192.6956</v>
      </c>
      <c r="AW273" s="3"/>
      <c r="AX273" s="376">
        <v>0.017031</v>
      </c>
      <c r="AY273" s="376">
        <v>0.025705</v>
      </c>
      <c r="AZ273" s="376">
        <v>0.037947</v>
      </c>
      <c r="BA273" s="376">
        <v>0.087893</v>
      </c>
      <c r="BB273" s="376">
        <v>0.068891</v>
      </c>
      <c r="BC273" s="376">
        <v>0.056703</v>
      </c>
      <c r="BD273" s="376">
        <v>0.062463</v>
      </c>
      <c r="BE273" s="4"/>
      <c r="BF273" s="376">
        <v>0.025705</v>
      </c>
      <c r="BG273" s="376">
        <v>0.0900247450628083</v>
      </c>
      <c r="BH273" s="376">
        <v>0.0649079050282143</v>
      </c>
      <c r="BI273" s="376">
        <v>0.0284898514398561</v>
      </c>
      <c r="BJ273" s="376">
        <v>0.0127127977595268</v>
      </c>
      <c r="BK273" s="376">
        <v>0.0881976943271315</v>
      </c>
      <c r="BL273" s="376">
        <v>0.09689145227627</v>
      </c>
      <c r="BM273" s="376">
        <v>0.0492291052716851</v>
      </c>
      <c r="BN273" s="376">
        <v>0.0223202095037715</v>
      </c>
      <c r="BO273" s="376">
        <v>0.123079475525882</v>
      </c>
      <c r="BP273" s="376">
        <v>0.055694879000905</v>
      </c>
      <c r="BQ273" s="376">
        <v>0.124194491515311</v>
      </c>
      <c r="BR273" s="376">
        <v>0.0412017593996173</v>
      </c>
      <c r="BS273" s="376">
        <v>0.0891989552178208</v>
      </c>
      <c r="BT273" s="376">
        <v>0.0922179232767572</v>
      </c>
      <c r="BU273" s="376">
        <v>0.0579342429336565</v>
      </c>
    </row>
    <row r="274" spans="2:73">
      <c r="B274" s="399" t="s">
        <v>567</v>
      </c>
      <c r="C274" s="400"/>
      <c r="D274" s="400"/>
      <c r="E274" s="400"/>
      <c r="F274" s="425">
        <v>-0.0286536029863544</v>
      </c>
      <c r="G274" s="426">
        <v>0.038723338534397</v>
      </c>
      <c r="H274" s="426">
        <v>0.0594419320505775</v>
      </c>
      <c r="I274" s="426">
        <v>-0.0320490649446464</v>
      </c>
      <c r="J274" s="426">
        <v>0.154870314661939</v>
      </c>
      <c r="K274" s="426">
        <v>0.201893143944227</v>
      </c>
      <c r="L274" s="448">
        <v>0.123454160170467</v>
      </c>
      <c r="M274" s="441"/>
      <c r="N274" s="425">
        <v>0.0225193212766828</v>
      </c>
      <c r="O274" s="426">
        <v>0.145464068566304</v>
      </c>
      <c r="P274" s="426">
        <v>0.248462982034302</v>
      </c>
      <c r="Q274" s="426">
        <v>0.0333786487584729</v>
      </c>
      <c r="R274" s="426">
        <v>0.301140405230863</v>
      </c>
      <c r="S274" s="426">
        <v>0.168033270282623</v>
      </c>
      <c r="T274" s="426">
        <v>0.0775116760967209</v>
      </c>
      <c r="U274" s="426">
        <v>-0.0308170579621174</v>
      </c>
      <c r="V274" s="426">
        <v>0.359381285994397</v>
      </c>
      <c r="W274" s="426">
        <v>0.037823178380737</v>
      </c>
      <c r="X274" s="426">
        <v>-0.00815175318655215</v>
      </c>
      <c r="Y274" s="426">
        <v>0.369590487893985</v>
      </c>
      <c r="Z274" s="426">
        <v>0.0325486673604545</v>
      </c>
      <c r="AA274" s="426">
        <v>0.311989935417776</v>
      </c>
      <c r="AB274" s="426">
        <v>-0.274131836715211</v>
      </c>
      <c r="AC274" s="426">
        <v>0.163514925645803</v>
      </c>
      <c r="AD274" s="426">
        <v>0.902289503315401</v>
      </c>
      <c r="AE274" s="448">
        <v>-0.581393156534298</v>
      </c>
      <c r="AS274" s="361" t="s">
        <v>568</v>
      </c>
      <c r="AT274" s="364">
        <v>1.52</v>
      </c>
      <c r="AU274" s="365">
        <v>45716</v>
      </c>
      <c r="AV274" s="364">
        <v>411.2586</v>
      </c>
      <c r="AW274" s="3"/>
      <c r="AX274" s="376">
        <v>0.020007</v>
      </c>
      <c r="AY274" s="376">
        <v>0.026653</v>
      </c>
      <c r="AZ274" s="376">
        <v>0.033817</v>
      </c>
      <c r="BA274" s="376">
        <v>0.083034</v>
      </c>
      <c r="BB274" s="376">
        <v>0.069799</v>
      </c>
      <c r="BC274" s="376">
        <v>0.058072</v>
      </c>
      <c r="BD274" s="376">
        <v>0.068636</v>
      </c>
      <c r="BE274" s="4"/>
      <c r="BF274" s="376">
        <v>0.026653</v>
      </c>
      <c r="BG274" s="376">
        <v>0.0812249898736813</v>
      </c>
      <c r="BH274" s="376">
        <v>0.0684815320011041</v>
      </c>
      <c r="BI274" s="376">
        <v>0.0332950281750591</v>
      </c>
      <c r="BJ274" s="376">
        <v>0.0124603823202469</v>
      </c>
      <c r="BK274" s="376">
        <v>0.10538809700527</v>
      </c>
      <c r="BL274" s="376">
        <v>0.114415618502939</v>
      </c>
      <c r="BM274" s="376">
        <v>0.0614927780629079</v>
      </c>
      <c r="BN274" s="376">
        <v>0.0244392492653202</v>
      </c>
      <c r="BO274" s="376">
        <v>0.138410464368091</v>
      </c>
      <c r="BP274" s="376">
        <v>0.0512032286842347</v>
      </c>
      <c r="BQ274" s="376">
        <v>0.148136968064521</v>
      </c>
      <c r="BR274" s="376">
        <v>0.0279699136449471</v>
      </c>
      <c r="BS274" s="376">
        <v>0.11105937959506</v>
      </c>
      <c r="BT274" s="376">
        <v>0.0649630638490167</v>
      </c>
      <c r="BU274" s="376">
        <v>0.04208798252384</v>
      </c>
    </row>
    <row r="275" spans="2:73">
      <c r="B275" s="399" t="s">
        <v>162</v>
      </c>
      <c r="C275" s="400"/>
      <c r="D275" s="400"/>
      <c r="E275" s="400"/>
      <c r="F275" s="425">
        <f t="shared" ref="F275:L275" si="38">+AVERAGE(F248:F273)</f>
        <v>-0.0249538461538462</v>
      </c>
      <c r="G275" s="426">
        <f t="shared" si="38"/>
        <v>0.0611405309756696</v>
      </c>
      <c r="H275" s="426">
        <f t="shared" si="38"/>
        <v>0.0652534135448182</v>
      </c>
      <c r="I275" s="426">
        <f t="shared" si="38"/>
        <v>-0.0224272188432563</v>
      </c>
      <c r="J275" s="426">
        <f t="shared" si="38"/>
        <v>0.167596633550873</v>
      </c>
      <c r="K275" s="426">
        <f t="shared" si="38"/>
        <v>0.214546309800126</v>
      </c>
      <c r="L275" s="448">
        <f t="shared" si="38"/>
        <v>0.125031836571522</v>
      </c>
      <c r="M275" s="441"/>
      <c r="N275" s="425">
        <f t="shared" ref="N275:AE275" si="39">+AVERAGE(N248:N273)</f>
        <v>-0.00823547612833042</v>
      </c>
      <c r="O275" s="426">
        <f t="shared" si="39"/>
        <v>0.197486719672168</v>
      </c>
      <c r="P275" s="426">
        <f t="shared" si="39"/>
        <v>0.302907609985172</v>
      </c>
      <c r="Q275" s="426">
        <f t="shared" si="39"/>
        <v>-0.0313432095561307</v>
      </c>
      <c r="R275" s="426">
        <f t="shared" si="39"/>
        <v>0.415918400184773</v>
      </c>
      <c r="S275" s="426">
        <f t="shared" si="39"/>
        <v>0.155957043915329</v>
      </c>
      <c r="T275" s="426">
        <f t="shared" si="39"/>
        <v>0.0675186175519943</v>
      </c>
      <c r="U275" s="426">
        <f t="shared" si="39"/>
        <v>-0.119641960605944</v>
      </c>
      <c r="V275" s="426">
        <f t="shared" si="39"/>
        <v>0.518059942398053</v>
      </c>
      <c r="W275" s="426">
        <f t="shared" si="39"/>
        <v>0.0695517446659376</v>
      </c>
      <c r="X275" s="426">
        <f t="shared" si="39"/>
        <v>0.104639532947173</v>
      </c>
      <c r="Y275" s="426">
        <f t="shared" si="39"/>
        <v>0.663724093824672</v>
      </c>
      <c r="Z275" s="426">
        <f t="shared" si="39"/>
        <v>0.0885054291823432</v>
      </c>
      <c r="AA275" s="426">
        <f t="shared" si="39"/>
        <v>0.41076777462585</v>
      </c>
      <c r="AB275" s="426">
        <f t="shared" si="39"/>
        <v>-0.17466707960979</v>
      </c>
      <c r="AC275" s="426">
        <f t="shared" si="39"/>
        <v>0.222557939355666</v>
      </c>
      <c r="AD275" s="426">
        <f t="shared" si="39"/>
        <v>0.816561846591636</v>
      </c>
      <c r="AE275" s="448">
        <f t="shared" si="39"/>
        <v>-0.515985087179032</v>
      </c>
      <c r="AS275" s="361" t="s">
        <v>569</v>
      </c>
      <c r="AT275" s="364">
        <v>1.47</v>
      </c>
      <c r="AU275" s="365">
        <v>45716</v>
      </c>
      <c r="AV275" s="364">
        <v>1899.3151</v>
      </c>
      <c r="AW275" s="3"/>
      <c r="AX275" s="376">
        <v>0.014893</v>
      </c>
      <c r="AY275" s="376">
        <v>0.02315</v>
      </c>
      <c r="AZ275" s="376">
        <v>0.033691</v>
      </c>
      <c r="BA275" s="376">
        <v>0.081588</v>
      </c>
      <c r="BB275" s="376">
        <v>0.067865</v>
      </c>
      <c r="BC275" s="376">
        <v>0.064912</v>
      </c>
      <c r="BD275" s="376">
        <v>0.074347</v>
      </c>
      <c r="BE275" s="4"/>
      <c r="BF275" s="376">
        <v>0.02315</v>
      </c>
      <c r="BG275" s="376">
        <v>0.0812513758306827</v>
      </c>
      <c r="BH275" s="376">
        <v>0.0721378314868465</v>
      </c>
      <c r="BI275" s="376">
        <v>0.030458328854081</v>
      </c>
      <c r="BJ275" s="376">
        <v>0.0358625448624098</v>
      </c>
      <c r="BK275" s="376">
        <v>0.116265326624974</v>
      </c>
      <c r="BL275" s="376">
        <v>0.117209679292061</v>
      </c>
      <c r="BM275" s="376">
        <v>0.0473847988077497</v>
      </c>
      <c r="BN275" s="376">
        <v>0.0571084319127644</v>
      </c>
      <c r="BO275" s="376">
        <v>0.134490933372225</v>
      </c>
      <c r="BP275" s="376">
        <v>0.0598595497955683</v>
      </c>
      <c r="BQ275" s="376">
        <v>0.123785746399815</v>
      </c>
      <c r="BR275" s="376">
        <v>0.0392705184388075</v>
      </c>
      <c r="BS275" s="376">
        <v>0.125461137006494</v>
      </c>
      <c r="BT275" s="376">
        <v>0.0858759555111416</v>
      </c>
      <c r="BU275" s="376">
        <v>0.0488062721753887</v>
      </c>
    </row>
    <row r="276" ht="15.15" spans="2:73">
      <c r="B276" s="427" t="s">
        <v>517</v>
      </c>
      <c r="C276" s="427"/>
      <c r="D276" s="427"/>
      <c r="E276" s="427"/>
      <c r="F276" s="428"/>
      <c r="G276" s="428"/>
      <c r="H276" s="428"/>
      <c r="I276" s="428"/>
      <c r="J276" s="428"/>
      <c r="K276" s="428"/>
      <c r="L276" s="428"/>
      <c r="M276" s="428"/>
      <c r="N276" s="410"/>
      <c r="O276" s="410"/>
      <c r="P276" s="410"/>
      <c r="Q276" s="410"/>
      <c r="R276" s="410"/>
      <c r="S276" s="410"/>
      <c r="T276" s="410"/>
      <c r="U276" s="410"/>
      <c r="V276" s="410"/>
      <c r="W276" s="410"/>
      <c r="X276" s="410"/>
      <c r="Y276" s="441"/>
      <c r="Z276" s="441"/>
      <c r="AA276" s="441"/>
      <c r="AB276" s="441"/>
      <c r="AC276" s="441"/>
      <c r="AD276" s="441"/>
      <c r="AE276" s="441"/>
      <c r="AS276" s="361" t="s">
        <v>570</v>
      </c>
      <c r="AT276" s="364">
        <v>1.61</v>
      </c>
      <c r="AU276" s="365">
        <v>45716</v>
      </c>
      <c r="AV276" s="364">
        <v>311.5633</v>
      </c>
      <c r="AW276" s="3"/>
      <c r="AX276" s="376">
        <v>0.016824</v>
      </c>
      <c r="AY276" s="376">
        <v>0.024573</v>
      </c>
      <c r="AZ276" s="376">
        <v>0.035492</v>
      </c>
      <c r="BA276" s="376">
        <v>0.084272</v>
      </c>
      <c r="BB276" s="376">
        <v>0.091902</v>
      </c>
      <c r="BC276" s="376">
        <v>0.088555</v>
      </c>
      <c r="BD276" s="376">
        <v>0.055666</v>
      </c>
      <c r="BE276" s="4"/>
      <c r="BF276" s="376">
        <v>0.024573</v>
      </c>
      <c r="BG276" s="376">
        <v>0.0845574576650042</v>
      </c>
      <c r="BH276" s="376">
        <v>0.0643574509697755</v>
      </c>
      <c r="BI276" s="376">
        <v>0.0989003261698571</v>
      </c>
      <c r="BJ276" s="376">
        <v>0.094285680462165</v>
      </c>
      <c r="BK276" s="376">
        <v>0.0105494864826604</v>
      </c>
      <c r="BL276" s="376">
        <v>-0.058397134306838</v>
      </c>
      <c r="BM276" s="376">
        <v>0.04032421875</v>
      </c>
      <c r="BN276" s="376">
        <v>0.0359570158772554</v>
      </c>
      <c r="BO276" s="376">
        <v>0.139002198592348</v>
      </c>
      <c r="BP276" s="376">
        <v>0.063121246793466</v>
      </c>
      <c r="BQ276" s="376">
        <v>0.155999342910228</v>
      </c>
      <c r="BR276" s="376">
        <v>0.039602852583166</v>
      </c>
      <c r="BS276" s="376">
        <v>0.105072723131487</v>
      </c>
      <c r="BT276" s="376">
        <v>0.111673786520146</v>
      </c>
      <c r="BU276" s="376">
        <v>0.0524077810346798</v>
      </c>
    </row>
    <row r="277" ht="15.15" spans="2:73">
      <c r="B277" s="428"/>
      <c r="C277" s="428"/>
      <c r="D277" s="428"/>
      <c r="E277" s="428"/>
      <c r="F277" s="428"/>
      <c r="G277" s="428"/>
      <c r="H277" s="428"/>
      <c r="I277" s="428"/>
      <c r="J277" s="428"/>
      <c r="K277" s="428"/>
      <c r="L277" s="428"/>
      <c r="M277" s="428"/>
      <c r="N277" s="428"/>
      <c r="O277" s="428"/>
      <c r="P277" s="453"/>
      <c r="Q277" s="428"/>
      <c r="R277" s="428"/>
      <c r="S277" s="428"/>
      <c r="T277" s="428"/>
      <c r="U277" s="428"/>
      <c r="V277" s="428"/>
      <c r="W277" s="428"/>
      <c r="X277" s="428"/>
      <c r="Y277" s="428"/>
      <c r="Z277" s="428"/>
      <c r="AA277" s="428"/>
      <c r="AB277" s="428"/>
      <c r="AC277" s="428"/>
      <c r="AD277" s="428"/>
      <c r="AE277" s="428"/>
      <c r="AS277" s="312" t="s">
        <v>162</v>
      </c>
      <c r="AT277"/>
      <c r="AU277"/>
      <c r="AV277"/>
      <c r="AW277" s="377"/>
      <c r="AX277" s="378">
        <f>AVERAGE(AX264:AX276)</f>
        <v>0.0174287692307692</v>
      </c>
      <c r="AY277" s="378">
        <f t="shared" ref="AY277:BD277" si="40">AVERAGE(AY264:AY276)</f>
        <v>0.0249513076923077</v>
      </c>
      <c r="AZ277" s="378">
        <f t="shared" si="40"/>
        <v>0.0345423076923077</v>
      </c>
      <c r="BA277" s="378">
        <f t="shared" si="40"/>
        <v>0.0825034166666667</v>
      </c>
      <c r="BB277" s="378">
        <f t="shared" si="40"/>
        <v>0.0652949166666667</v>
      </c>
      <c r="BC277" s="378">
        <f t="shared" si="40"/>
        <v>0.0598564166666667</v>
      </c>
      <c r="BD277" s="378">
        <f t="shared" si="40"/>
        <v>0.0627854166666667</v>
      </c>
      <c r="BE277" s="377"/>
      <c r="BF277" s="378">
        <f t="shared" ref="BF277:BU277" si="41">AVERAGE(BF264:BF276)</f>
        <v>0.0249513076923077</v>
      </c>
      <c r="BG277" s="378">
        <f t="shared" si="41"/>
        <v>0.0773154925692066</v>
      </c>
      <c r="BH277" s="378">
        <f t="shared" si="41"/>
        <v>0.0650152547170296</v>
      </c>
      <c r="BI277" s="378">
        <f t="shared" si="41"/>
        <v>0.025484411221329</v>
      </c>
      <c r="BJ277" s="378">
        <f t="shared" si="41"/>
        <v>0.027483233608476</v>
      </c>
      <c r="BK277" s="378">
        <f t="shared" si="41"/>
        <v>0.0997315674500631</v>
      </c>
      <c r="BL277" s="378">
        <f t="shared" si="41"/>
        <v>0.0746215544422863</v>
      </c>
      <c r="BM277" s="378">
        <f t="shared" si="41"/>
        <v>0.0503918354074288</v>
      </c>
      <c r="BN277" s="378">
        <f t="shared" si="41"/>
        <v>0.0301307383719692</v>
      </c>
      <c r="BO277" s="378">
        <f t="shared" si="41"/>
        <v>0.12663933326594</v>
      </c>
      <c r="BP277" s="378">
        <f t="shared" si="41"/>
        <v>0.0561111896669984</v>
      </c>
      <c r="BQ277" s="378">
        <f t="shared" si="41"/>
        <v>0.14406830393835</v>
      </c>
      <c r="BR277" s="378">
        <f t="shared" si="41"/>
        <v>0.0363874409188926</v>
      </c>
      <c r="BS277" s="378">
        <f t="shared" si="41"/>
        <v>0.106855079620112</v>
      </c>
      <c r="BT277" s="378">
        <f t="shared" si="41"/>
        <v>0.0810638678227742</v>
      </c>
      <c r="BU277" s="378">
        <f t="shared" si="41"/>
        <v>0.0455299505984424</v>
      </c>
    </row>
    <row r="278" spans="2:73">
      <c r="B278" s="428"/>
      <c r="C278" s="428"/>
      <c r="D278" s="428"/>
      <c r="E278" s="428"/>
      <c r="F278" s="429" t="s">
        <v>519</v>
      </c>
      <c r="G278" s="428"/>
      <c r="H278" s="428"/>
      <c r="I278" s="428"/>
      <c r="J278" s="428"/>
      <c r="K278" s="428"/>
      <c r="L278" s="428"/>
      <c r="M278" s="428"/>
      <c r="N278" s="429" t="s">
        <v>520</v>
      </c>
      <c r="O278" s="429"/>
      <c r="P278" s="429"/>
      <c r="Q278" s="429"/>
      <c r="R278" s="428"/>
      <c r="S278" s="428"/>
      <c r="T278" s="428"/>
      <c r="U278" s="428"/>
      <c r="V278" s="428"/>
      <c r="W278" s="428"/>
      <c r="X278" s="428"/>
      <c r="Y278" s="428"/>
      <c r="Z278" s="428"/>
      <c r="AA278" s="428"/>
      <c r="AB278" s="428"/>
      <c r="AC278" s="428"/>
      <c r="AD278" s="428"/>
      <c r="AE278" s="428"/>
      <c r="AS278" s="312" t="s">
        <v>178</v>
      </c>
      <c r="AT278"/>
      <c r="AU278"/>
      <c r="AV278"/>
      <c r="AW278"/>
      <c r="AX278" s="379">
        <v>0.0087263867959253</v>
      </c>
      <c r="AY278" s="379">
        <v>0.0207643930788102</v>
      </c>
      <c r="AZ278" s="379">
        <v>0.0377184412193585</v>
      </c>
      <c r="BA278" s="379">
        <v>0.080280059411505</v>
      </c>
      <c r="BB278" s="379">
        <v>0.0659301709109001</v>
      </c>
      <c r="BC278" s="379">
        <v>0.0655149768088614</v>
      </c>
      <c r="BD278" s="379">
        <v>0.0738047315298365</v>
      </c>
      <c r="BE278" s="382"/>
      <c r="BF278" s="379">
        <v>0.0207643930788102</v>
      </c>
      <c r="BG278" s="379">
        <v>0.0797029257152309</v>
      </c>
      <c r="BH278" s="379">
        <v>0.0725988870220093</v>
      </c>
      <c r="BI278" s="379">
        <v>0.0358682288812193</v>
      </c>
      <c r="BJ278" s="379">
        <v>0.0437965988907254</v>
      </c>
      <c r="BK278" s="379">
        <v>0.104161972570555</v>
      </c>
      <c r="BL278" s="379">
        <v>0.0953364838894115</v>
      </c>
      <c r="BM278" s="379">
        <v>0.0665068187794211</v>
      </c>
      <c r="BN278" s="379">
        <v>0.0602957159773323</v>
      </c>
      <c r="BO278" s="379">
        <v>0.0986738756953636</v>
      </c>
      <c r="BP278" s="379">
        <v>0.0865549936165921</v>
      </c>
      <c r="BQ278" s="379">
        <v>0.104681934209951</v>
      </c>
      <c r="BR278" s="379">
        <v>0.0827206164504672</v>
      </c>
      <c r="BS278" s="379">
        <v>0.0912371315059957</v>
      </c>
      <c r="BT278" s="379">
        <v>0.0786771029274067</v>
      </c>
      <c r="BU278" s="379">
        <v>0.0470040326565153</v>
      </c>
    </row>
    <row r="279" ht="15.15" spans="2:73">
      <c r="B279" s="399" t="s">
        <v>571</v>
      </c>
      <c r="C279" s="400"/>
      <c r="D279" s="400"/>
      <c r="E279" s="400"/>
      <c r="F279" s="401" t="s">
        <v>489</v>
      </c>
      <c r="G279" s="402" t="s">
        <v>490</v>
      </c>
      <c r="H279" s="402" t="s">
        <v>491</v>
      </c>
      <c r="I279" s="402" t="s">
        <v>492</v>
      </c>
      <c r="J279" s="437" t="s">
        <v>493</v>
      </c>
      <c r="K279" s="437" t="s">
        <v>494</v>
      </c>
      <c r="L279" s="438" t="s">
        <v>495</v>
      </c>
      <c r="M279" s="428"/>
      <c r="N279" s="439" t="s">
        <v>496</v>
      </c>
      <c r="O279" s="437">
        <v>2024</v>
      </c>
      <c r="P279" s="437">
        <v>2023</v>
      </c>
      <c r="Q279" s="437">
        <v>2022</v>
      </c>
      <c r="R279" s="437">
        <v>2021</v>
      </c>
      <c r="S279" s="437">
        <v>2020</v>
      </c>
      <c r="T279" s="437">
        <v>2019</v>
      </c>
      <c r="U279" s="437">
        <v>2018</v>
      </c>
      <c r="V279" s="437">
        <v>2017</v>
      </c>
      <c r="W279" s="437">
        <v>2016</v>
      </c>
      <c r="X279" s="437">
        <v>2015</v>
      </c>
      <c r="Y279" s="437">
        <v>2014</v>
      </c>
      <c r="Z279" s="437">
        <v>2013</v>
      </c>
      <c r="AA279" s="437">
        <v>2012</v>
      </c>
      <c r="AB279" s="437">
        <v>2011</v>
      </c>
      <c r="AC279" s="437">
        <v>2010</v>
      </c>
      <c r="AD279" s="437">
        <v>2009</v>
      </c>
      <c r="AE279" s="438">
        <v>2008</v>
      </c>
      <c r="AS279"/>
      <c r="AT279"/>
      <c r="AU279"/>
      <c r="AV279"/>
      <c r="AW279"/>
      <c r="AX279"/>
      <c r="AY279"/>
      <c r="AZ279"/>
      <c r="BA279"/>
      <c r="BB279"/>
      <c r="BC279"/>
      <c r="BD279"/>
      <c r="BE279"/>
      <c r="BF279"/>
      <c r="BG279"/>
      <c r="BH279"/>
      <c r="BI279"/>
      <c r="BJ279"/>
      <c r="BK279"/>
      <c r="BL279"/>
      <c r="BM279"/>
      <c r="BN279"/>
      <c r="BO279"/>
      <c r="BP279"/>
      <c r="BQ279"/>
      <c r="BR279"/>
      <c r="BS279"/>
      <c r="BT279"/>
      <c r="BU279"/>
    </row>
    <row r="280" ht="15.15" spans="2:73">
      <c r="B280" s="430" t="s">
        <v>572</v>
      </c>
      <c r="C280" s="431"/>
      <c r="D280" s="431"/>
      <c r="E280" s="431"/>
      <c r="F280" s="405">
        <v>-0.0168</v>
      </c>
      <c r="G280" s="406">
        <v>0.14428434176</v>
      </c>
      <c r="H280" s="406">
        <v>0.0902025270770879</v>
      </c>
      <c r="I280" s="406">
        <v>-0.0370995061714349</v>
      </c>
      <c r="J280" s="406">
        <v>0.222541434068717</v>
      </c>
      <c r="K280" s="406">
        <v>0.302449821759616</v>
      </c>
      <c r="L280" s="440">
        <v>0.169005335003792</v>
      </c>
      <c r="M280" s="441"/>
      <c r="N280" s="405">
        <v>-0.0569748140783191</v>
      </c>
      <c r="O280" s="406">
        <v>0.31567669016237</v>
      </c>
      <c r="P280" s="406">
        <v>0.443216847730554</v>
      </c>
      <c r="Q280" s="406">
        <v>-0.104488598345423</v>
      </c>
      <c r="R280" s="406">
        <v>0.698319417351685</v>
      </c>
      <c r="S280" s="406">
        <v>0.54212343851322</v>
      </c>
      <c r="T280" s="406">
        <v>-0.0603400617133207</v>
      </c>
      <c r="U280" s="406">
        <v>-0.263763455335964</v>
      </c>
      <c r="V280" s="406">
        <v>0.659199018435789</v>
      </c>
      <c r="W280" s="406">
        <v>0.0276612286832427</v>
      </c>
      <c r="X280" s="406">
        <v>0.139949241375734</v>
      </c>
      <c r="Y280" s="406">
        <v>1.00798588964242</v>
      </c>
      <c r="Z280" s="406">
        <v>0.111620772981811</v>
      </c>
      <c r="AA280" s="406">
        <v>0.666039873677104</v>
      </c>
      <c r="AB280" s="406" t="s">
        <v>129</v>
      </c>
      <c r="AC280" s="406" t="s">
        <v>129</v>
      </c>
      <c r="AD280" s="406" t="s">
        <v>129</v>
      </c>
      <c r="AE280" s="440" t="s">
        <v>129</v>
      </c>
      <c r="AS280" s="320" t="s">
        <v>573</v>
      </c>
      <c r="AT280" s="351" t="s">
        <v>87</v>
      </c>
      <c r="AU280" s="352" t="s">
        <v>110</v>
      </c>
      <c r="AV280" s="353"/>
      <c r="AW280" s="368"/>
      <c r="AX280" s="332" t="s">
        <v>113</v>
      </c>
      <c r="AY280" s="333"/>
      <c r="AZ280" s="333"/>
      <c r="BA280" s="333"/>
      <c r="BB280" s="333"/>
      <c r="BC280" s="333"/>
      <c r="BD280" s="346"/>
      <c r="BE280" s="368"/>
      <c r="BF280" s="380" t="s">
        <v>114</v>
      </c>
      <c r="BG280" s="381"/>
      <c r="BH280" s="381"/>
      <c r="BI280" s="381"/>
      <c r="BJ280" s="381"/>
      <c r="BK280" s="381"/>
      <c r="BL280" s="381"/>
      <c r="BM280" s="381"/>
      <c r="BN280" s="381"/>
      <c r="BO280" s="381"/>
      <c r="BP280" s="381"/>
      <c r="BQ280" s="381"/>
      <c r="BR280" s="381"/>
      <c r="BS280" s="381"/>
      <c r="BT280" s="381"/>
      <c r="BU280" s="383"/>
    </row>
    <row r="281" ht="15.15" spans="2:73">
      <c r="B281" s="74" t="s">
        <v>30</v>
      </c>
      <c r="C281" s="432">
        <v>2.5</v>
      </c>
      <c r="D281" s="432"/>
      <c r="E281" s="432"/>
      <c r="F281" s="409">
        <v>-0.0272</v>
      </c>
      <c r="G281" s="410">
        <v>0.0920225254400002</v>
      </c>
      <c r="H281" s="410">
        <v>0.0633002675083705</v>
      </c>
      <c r="I281" s="410">
        <v>0.0465107135894205</v>
      </c>
      <c r="J281" s="410">
        <v>0.267048952864259</v>
      </c>
      <c r="K281" s="410">
        <v>0.312977687101079</v>
      </c>
      <c r="L281" s="442" t="s">
        <v>129</v>
      </c>
      <c r="M281" s="441"/>
      <c r="N281" s="409">
        <v>-0.0357993174234099</v>
      </c>
      <c r="O281" s="410">
        <v>0.296780385782955</v>
      </c>
      <c r="P281" s="410">
        <v>0.52365397667072</v>
      </c>
      <c r="Q281" s="410">
        <v>-0.045286730498504</v>
      </c>
      <c r="R281" s="410">
        <v>0.807307682586755</v>
      </c>
      <c r="S281" s="410" t="s">
        <v>129</v>
      </c>
      <c r="T281" s="410" t="s">
        <v>129</v>
      </c>
      <c r="U281" s="410" t="s">
        <v>129</v>
      </c>
      <c r="V281" s="410" t="s">
        <v>129</v>
      </c>
      <c r="W281" s="410" t="s">
        <v>129</v>
      </c>
      <c r="X281" s="410" t="s">
        <v>129</v>
      </c>
      <c r="Y281" s="410" t="s">
        <v>129</v>
      </c>
      <c r="Z281" s="410" t="s">
        <v>129</v>
      </c>
      <c r="AA281" s="410" t="s">
        <v>129</v>
      </c>
      <c r="AB281" s="410" t="s">
        <v>129</v>
      </c>
      <c r="AC281" s="410" t="s">
        <v>129</v>
      </c>
      <c r="AD281" s="410" t="s">
        <v>129</v>
      </c>
      <c r="AE281" s="442" t="s">
        <v>129</v>
      </c>
      <c r="AN281" s="281">
        <v>1.22</v>
      </c>
      <c r="AO281" s="37">
        <v>0.86</v>
      </c>
      <c r="AP281" s="281" t="s">
        <v>129</v>
      </c>
      <c r="AQ281" s="281" t="s">
        <v>129</v>
      </c>
      <c r="AS281" s="322"/>
      <c r="AT281" s="355" t="s">
        <v>121</v>
      </c>
      <c r="AU281" s="356" t="s">
        <v>115</v>
      </c>
      <c r="AV281" s="357" t="s">
        <v>116</v>
      </c>
      <c r="AW281" s="369"/>
      <c r="AX281" s="266" t="s">
        <v>122</v>
      </c>
      <c r="AY281" s="268" t="s">
        <v>123</v>
      </c>
      <c r="AZ281" s="268" t="s">
        <v>124</v>
      </c>
      <c r="BA281" s="268" t="s">
        <v>91</v>
      </c>
      <c r="BB281" s="268" t="s">
        <v>125</v>
      </c>
      <c r="BC281" s="268" t="s">
        <v>126</v>
      </c>
      <c r="BD281" s="269" t="s">
        <v>127</v>
      </c>
      <c r="BE281" s="369"/>
      <c r="BF281" s="266">
        <v>2025</v>
      </c>
      <c r="BG281" s="266">
        <v>2024</v>
      </c>
      <c r="BH281" s="266">
        <v>2023</v>
      </c>
      <c r="BI281" s="268">
        <v>2022</v>
      </c>
      <c r="BJ281" s="268">
        <v>2021</v>
      </c>
      <c r="BK281" s="268">
        <v>2020</v>
      </c>
      <c r="BL281" s="268">
        <v>2019</v>
      </c>
      <c r="BM281" s="268">
        <v>2018</v>
      </c>
      <c r="BN281" s="268">
        <v>2017</v>
      </c>
      <c r="BO281" s="268">
        <v>2016</v>
      </c>
      <c r="BP281" s="268">
        <v>2015</v>
      </c>
      <c r="BQ281" s="268">
        <v>2014</v>
      </c>
      <c r="BR281" s="268">
        <v>2013</v>
      </c>
      <c r="BS281" s="268">
        <v>2012</v>
      </c>
      <c r="BT281" s="268">
        <v>2011</v>
      </c>
      <c r="BU281" s="269">
        <v>2010</v>
      </c>
    </row>
    <row r="282" spans="2:73">
      <c r="B282" s="433" t="s">
        <v>574</v>
      </c>
      <c r="C282" s="432"/>
      <c r="D282" s="432"/>
      <c r="E282" s="432"/>
      <c r="F282" s="409">
        <v>0.0072000000000001</v>
      </c>
      <c r="G282" s="410">
        <v>0.1951243832</v>
      </c>
      <c r="H282" s="410">
        <v>0.147271358135198</v>
      </c>
      <c r="I282" s="410">
        <v>0.0446414173630907</v>
      </c>
      <c r="J282" s="410">
        <v>0.36266803736957</v>
      </c>
      <c r="K282" s="410">
        <v>0.348305678465261</v>
      </c>
      <c r="L282" s="442" t="s">
        <v>129</v>
      </c>
      <c r="M282" s="441"/>
      <c r="N282" s="409">
        <v>0.0371333077542193</v>
      </c>
      <c r="O282" s="410">
        <v>0.384825160662839</v>
      </c>
      <c r="P282" s="410">
        <v>0.646792246616892</v>
      </c>
      <c r="Q282" s="410">
        <v>-0.00558009335049481</v>
      </c>
      <c r="R282" s="410">
        <v>0.475559533062162</v>
      </c>
      <c r="S282" s="410">
        <v>0.617323094440013</v>
      </c>
      <c r="T282" s="410">
        <v>-0.303610016984161</v>
      </c>
      <c r="U282" s="410">
        <v>-0.252777586136961</v>
      </c>
      <c r="V282" s="410">
        <v>1.37780423367443</v>
      </c>
      <c r="W282" s="410" t="s">
        <v>129</v>
      </c>
      <c r="X282" s="410" t="s">
        <v>129</v>
      </c>
      <c r="Y282" s="410" t="s">
        <v>129</v>
      </c>
      <c r="Z282" s="410" t="s">
        <v>129</v>
      </c>
      <c r="AA282" s="410" t="s">
        <v>129</v>
      </c>
      <c r="AB282" s="410" t="s">
        <v>129</v>
      </c>
      <c r="AC282" s="410" t="s">
        <v>129</v>
      </c>
      <c r="AD282" s="410" t="s">
        <v>129</v>
      </c>
      <c r="AE282" s="442" t="s">
        <v>129</v>
      </c>
      <c r="AS282" s="361" t="s">
        <v>575</v>
      </c>
      <c r="AT282" s="364">
        <v>0.35</v>
      </c>
      <c r="AU282" s="365">
        <v>45716</v>
      </c>
      <c r="AV282" s="364">
        <v>26752.1568</v>
      </c>
      <c r="AW282" s="3"/>
      <c r="AX282" s="376">
        <v>0.008576</v>
      </c>
      <c r="AY282" s="376">
        <v>0.02028</v>
      </c>
      <c r="AZ282" s="376">
        <v>0.038566</v>
      </c>
      <c r="BA282" s="376">
        <v>0.077474</v>
      </c>
      <c r="BB282" s="376">
        <v>0.070046</v>
      </c>
      <c r="BC282" s="376">
        <v>0.061654</v>
      </c>
      <c r="BD282" s="376">
        <v>0.069059</v>
      </c>
      <c r="BE282" s="4"/>
      <c r="BF282" s="376">
        <v>0.02028</v>
      </c>
      <c r="BG282" s="376">
        <v>0.0777788378393521</v>
      </c>
      <c r="BH282" s="376">
        <v>0.0742550612108644</v>
      </c>
      <c r="BI282" s="376">
        <v>0.0484201247881225</v>
      </c>
      <c r="BJ282" s="376">
        <v>0.0383721008487894</v>
      </c>
      <c r="BK282" s="376">
        <v>0.0663226823074927</v>
      </c>
      <c r="BL282" s="376">
        <v>0.0804475228599285</v>
      </c>
      <c r="BM282" s="376">
        <v>0.0791296034271908</v>
      </c>
      <c r="BN282" s="376">
        <v>0.0676191067242513</v>
      </c>
      <c r="BO282" s="376">
        <v>0.0771441897634337</v>
      </c>
      <c r="BP282" s="376">
        <v>0.0839557420982541</v>
      </c>
      <c r="BQ282" s="376">
        <v>0.0916764796653693</v>
      </c>
      <c r="BR282" s="376">
        <v>0.0936533299078258</v>
      </c>
      <c r="BS282" s="376">
        <v>0.0978568231825161</v>
      </c>
      <c r="BT282" s="376">
        <v>0.0903517856022093</v>
      </c>
      <c r="BU282" s="376">
        <v>0.0566000198945589</v>
      </c>
    </row>
    <row r="283" spans="2:73">
      <c r="B283" s="433" t="s">
        <v>576</v>
      </c>
      <c r="C283" s="432"/>
      <c r="D283" s="432"/>
      <c r="E283" s="432"/>
      <c r="F283" s="409">
        <v>-0.0162</v>
      </c>
      <c r="G283" s="410">
        <v>0.0912510491959997</v>
      </c>
      <c r="H283" s="410">
        <v>0.0762886158749947</v>
      </c>
      <c r="I283" s="410">
        <v>-0.0725548955878494</v>
      </c>
      <c r="J283" s="410">
        <v>0.204329971815659</v>
      </c>
      <c r="K283" s="410">
        <v>0.275708213418719</v>
      </c>
      <c r="L283" s="442" t="s">
        <v>129</v>
      </c>
      <c r="M283" s="441"/>
      <c r="N283" s="409">
        <v>-0.00841529819436759</v>
      </c>
      <c r="O283" s="410">
        <v>0.139512091873347</v>
      </c>
      <c r="P283" s="410">
        <v>0.398653387703106</v>
      </c>
      <c r="Q283" s="410">
        <v>0.180335808181963</v>
      </c>
      <c r="R283" s="410">
        <v>0.316602596541427</v>
      </c>
      <c r="S283" s="410">
        <v>0.168712729121955</v>
      </c>
      <c r="T283" s="410">
        <v>0.0439153973987207</v>
      </c>
      <c r="U283" s="410">
        <v>-0.146925334533099</v>
      </c>
      <c r="V283" s="410" t="s">
        <v>129</v>
      </c>
      <c r="W283" s="410" t="s">
        <v>129</v>
      </c>
      <c r="X283" s="410" t="s">
        <v>129</v>
      </c>
      <c r="Y283" s="410" t="s">
        <v>129</v>
      </c>
      <c r="Z283" s="410" t="s">
        <v>129</v>
      </c>
      <c r="AA283" s="410" t="s">
        <v>129</v>
      </c>
      <c r="AB283" s="410" t="s">
        <v>129</v>
      </c>
      <c r="AC283" s="410" t="s">
        <v>129</v>
      </c>
      <c r="AD283" s="410" t="s">
        <v>129</v>
      </c>
      <c r="AE283" s="442" t="s">
        <v>129</v>
      </c>
      <c r="AS283" s="361" t="s">
        <v>577</v>
      </c>
      <c r="AT283" s="364">
        <v>0.32</v>
      </c>
      <c r="AU283" s="365">
        <v>45716</v>
      </c>
      <c r="AV283" s="364">
        <v>17124.1307</v>
      </c>
      <c r="AW283" s="3"/>
      <c r="AX283" s="376">
        <v>0.008763</v>
      </c>
      <c r="AY283" s="376">
        <v>0.020273</v>
      </c>
      <c r="AZ283" s="376">
        <v>0.038575</v>
      </c>
      <c r="BA283" s="376">
        <v>0.077456</v>
      </c>
      <c r="BB283" s="376">
        <v>0.069497</v>
      </c>
      <c r="BC283" s="376">
        <v>0.060467</v>
      </c>
      <c r="BD283" s="376" t="s">
        <v>129</v>
      </c>
      <c r="BE283" s="4"/>
      <c r="BF283" s="376">
        <v>0.020273</v>
      </c>
      <c r="BG283" s="376">
        <v>0.0777305834321449</v>
      </c>
      <c r="BH283" s="376">
        <v>0.0732624426929116</v>
      </c>
      <c r="BI283" s="376">
        <v>0.0478181333190506</v>
      </c>
      <c r="BJ283" s="376">
        <v>0.0374449274790128</v>
      </c>
      <c r="BK283" s="376">
        <v>0.0621195028296497</v>
      </c>
      <c r="BL283" s="376">
        <v>0.0301982</v>
      </c>
      <c r="BM283" s="376" t="s">
        <v>129</v>
      </c>
      <c r="BN283" s="376" t="s">
        <v>129</v>
      </c>
      <c r="BO283" s="376" t="s">
        <v>129</v>
      </c>
      <c r="BP283" s="376" t="s">
        <v>129</v>
      </c>
      <c r="BQ283" s="376" t="s">
        <v>129</v>
      </c>
      <c r="BR283" s="376" t="s">
        <v>129</v>
      </c>
      <c r="BS283" s="376" t="s">
        <v>129</v>
      </c>
      <c r="BT283" s="376" t="s">
        <v>129</v>
      </c>
      <c r="BU283" s="376" t="s">
        <v>129</v>
      </c>
    </row>
    <row r="284" spans="2:73">
      <c r="B284" s="433" t="s">
        <v>578</v>
      </c>
      <c r="C284" s="432"/>
      <c r="D284" s="432"/>
      <c r="E284" s="432"/>
      <c r="F284" s="409">
        <v>-0.0071</v>
      </c>
      <c r="G284" s="410">
        <v>0.118911907771</v>
      </c>
      <c r="H284" s="410">
        <v>0.0666380889425151</v>
      </c>
      <c r="I284" s="410">
        <v>-0.0181316508605512</v>
      </c>
      <c r="J284" s="410">
        <v>-0.00587747551257634</v>
      </c>
      <c r="K284" s="410">
        <v>0.12574864045031</v>
      </c>
      <c r="L284" s="442" t="s">
        <v>129</v>
      </c>
      <c r="M284" s="441"/>
      <c r="N284" s="409">
        <v>0.0182127197045248</v>
      </c>
      <c r="O284" s="410">
        <v>0.0312824637379263</v>
      </c>
      <c r="P284" s="410">
        <v>-0.0129989741253386</v>
      </c>
      <c r="Q284" s="410">
        <v>-0.105520367296126</v>
      </c>
      <c r="R284" s="410">
        <v>0.478926768733585</v>
      </c>
      <c r="S284" s="410">
        <v>0.461170843477555</v>
      </c>
      <c r="T284" s="410" t="s">
        <v>129</v>
      </c>
      <c r="U284" s="410" t="s">
        <v>129</v>
      </c>
      <c r="V284" s="410" t="s">
        <v>129</v>
      </c>
      <c r="W284" s="410" t="s">
        <v>129</v>
      </c>
      <c r="X284" s="410" t="s">
        <v>129</v>
      </c>
      <c r="Y284" s="410" t="s">
        <v>129</v>
      </c>
      <c r="Z284" s="410" t="s">
        <v>129</v>
      </c>
      <c r="AA284" s="410" t="s">
        <v>129</v>
      </c>
      <c r="AB284" s="410" t="s">
        <v>129</v>
      </c>
      <c r="AC284" s="410" t="s">
        <v>129</v>
      </c>
      <c r="AD284" s="410" t="s">
        <v>129</v>
      </c>
      <c r="AE284" s="442" t="s">
        <v>129</v>
      </c>
      <c r="AS284" s="361" t="s">
        <v>579</v>
      </c>
      <c r="AT284" s="364">
        <v>0.76</v>
      </c>
      <c r="AU284" s="365">
        <v>45716</v>
      </c>
      <c r="AV284" s="364">
        <v>3138.9578</v>
      </c>
      <c r="AW284" s="3"/>
      <c r="AX284" s="376">
        <v>0.008238</v>
      </c>
      <c r="AY284" s="376">
        <v>0.019125</v>
      </c>
      <c r="AZ284" s="376">
        <v>0.036549</v>
      </c>
      <c r="BA284" s="376">
        <v>0.072425</v>
      </c>
      <c r="BB284" s="376" t="s">
        <v>129</v>
      </c>
      <c r="BC284" s="376" t="s">
        <v>129</v>
      </c>
      <c r="BD284" s="376" t="s">
        <v>129</v>
      </c>
      <c r="BE284" s="4"/>
      <c r="BF284" s="376">
        <v>0.019125</v>
      </c>
      <c r="BG284" s="376">
        <v>0.0719299967817577</v>
      </c>
      <c r="BH284" s="376">
        <v>0.0319296999999999</v>
      </c>
      <c r="BI284" s="376" t="s">
        <v>129</v>
      </c>
      <c r="BJ284" s="376" t="s">
        <v>129</v>
      </c>
      <c r="BK284" s="376" t="s">
        <v>129</v>
      </c>
      <c r="BL284" s="376" t="s">
        <v>129</v>
      </c>
      <c r="BM284" s="376" t="s">
        <v>129</v>
      </c>
      <c r="BN284" s="376" t="s">
        <v>129</v>
      </c>
      <c r="BO284" s="376" t="s">
        <v>129</v>
      </c>
      <c r="BP284" s="376" t="s">
        <v>129</v>
      </c>
      <c r="BQ284" s="376" t="s">
        <v>129</v>
      </c>
      <c r="BR284" s="376" t="s">
        <v>129</v>
      </c>
      <c r="BS284" s="376" t="s">
        <v>129</v>
      </c>
      <c r="BT284" s="376" t="s">
        <v>129</v>
      </c>
      <c r="BU284" s="376" t="s">
        <v>129</v>
      </c>
    </row>
    <row r="285" spans="2:73">
      <c r="B285" s="59" t="s">
        <v>31</v>
      </c>
      <c r="C285" s="432">
        <v>2.5</v>
      </c>
      <c r="D285" s="432"/>
      <c r="E285" s="432"/>
      <c r="F285" s="409">
        <v>-0.00180000000000002</v>
      </c>
      <c r="G285" s="410">
        <v>0.14177005789</v>
      </c>
      <c r="H285" s="410">
        <v>0.104277485587096</v>
      </c>
      <c r="I285" s="410">
        <v>0.0306555738941565</v>
      </c>
      <c r="J285" s="410">
        <v>0.278010567852792</v>
      </c>
      <c r="K285" s="410" t="s">
        <v>129</v>
      </c>
      <c r="L285" s="442" t="s">
        <v>129</v>
      </c>
      <c r="M285" s="441"/>
      <c r="N285" s="409">
        <v>0.0223585226640699</v>
      </c>
      <c r="O285" s="410">
        <v>0.315420641504217</v>
      </c>
      <c r="P285" s="410">
        <v>0.470121951219512</v>
      </c>
      <c r="Q285" s="410">
        <v>0.0472889823123643</v>
      </c>
      <c r="R285" s="410">
        <v>0.50331</v>
      </c>
      <c r="S285" s="410" t="s">
        <v>129</v>
      </c>
      <c r="T285" s="410" t="s">
        <v>129</v>
      </c>
      <c r="U285" s="410" t="s">
        <v>129</v>
      </c>
      <c r="V285" s="410" t="s">
        <v>129</v>
      </c>
      <c r="W285" s="410" t="s">
        <v>129</v>
      </c>
      <c r="X285" s="410" t="s">
        <v>129</v>
      </c>
      <c r="Y285" s="410" t="s">
        <v>129</v>
      </c>
      <c r="Z285" s="410" t="s">
        <v>129</v>
      </c>
      <c r="AA285" s="410" t="s">
        <v>129</v>
      </c>
      <c r="AB285" s="410" t="s">
        <v>129</v>
      </c>
      <c r="AC285" s="410" t="s">
        <v>129</v>
      </c>
      <c r="AD285" s="410" t="s">
        <v>129</v>
      </c>
      <c r="AE285" s="442" t="s">
        <v>129</v>
      </c>
      <c r="AS285" s="361" t="s">
        <v>580</v>
      </c>
      <c r="AT285" s="364">
        <v>0.35</v>
      </c>
      <c r="AU285" s="365">
        <v>45716</v>
      </c>
      <c r="AV285" s="364">
        <v>10852.5679</v>
      </c>
      <c r="AW285" s="3"/>
      <c r="AX285" s="376">
        <v>0.008648</v>
      </c>
      <c r="AY285" s="376">
        <v>0.02006</v>
      </c>
      <c r="AZ285" s="376">
        <v>0.037947</v>
      </c>
      <c r="BA285" s="376">
        <v>0.073756</v>
      </c>
      <c r="BB285" s="376">
        <v>0.063373</v>
      </c>
      <c r="BC285" s="376">
        <v>0.053063</v>
      </c>
      <c r="BD285" s="376">
        <v>0.061017</v>
      </c>
      <c r="BE285" s="4"/>
      <c r="BF285" s="376">
        <v>0.02006</v>
      </c>
      <c r="BG285" s="376">
        <v>0.0720585714364712</v>
      </c>
      <c r="BH285" s="376">
        <v>0.0665884198668233</v>
      </c>
      <c r="BI285" s="376">
        <v>0.0402449237527569</v>
      </c>
      <c r="BJ285" s="376">
        <v>0.0294030340924882</v>
      </c>
      <c r="BK285" s="376">
        <v>0.0501935111579826</v>
      </c>
      <c r="BL285" s="376">
        <v>0.0668485240890324</v>
      </c>
      <c r="BM285" s="376">
        <v>0.0622571164412908</v>
      </c>
      <c r="BN285" s="376">
        <v>0.0603303644370056</v>
      </c>
      <c r="BO285" s="376">
        <v>0.0812947873261831</v>
      </c>
      <c r="BP285" s="376">
        <v>0.0832197535474235</v>
      </c>
      <c r="BQ285" s="376">
        <v>0.0864978902953587</v>
      </c>
      <c r="BR285" s="376">
        <v>0.0845488746617384</v>
      </c>
      <c r="BS285" s="376">
        <v>0.0852244917449593</v>
      </c>
      <c r="BT285" s="376">
        <v>0.0857257656863634</v>
      </c>
      <c r="BU285" s="376">
        <v>0.0514745965983428</v>
      </c>
    </row>
    <row r="286" spans="2:73">
      <c r="B286" s="433" t="s">
        <v>581</v>
      </c>
      <c r="C286" s="432"/>
      <c r="D286" s="432"/>
      <c r="E286" s="432"/>
      <c r="F286" s="409">
        <v>-0.0266999999999999</v>
      </c>
      <c r="G286" s="410">
        <v>0.0990033788090001</v>
      </c>
      <c r="H286" s="410">
        <v>0.037780037666749</v>
      </c>
      <c r="I286" s="410">
        <v>-0.13519451759062</v>
      </c>
      <c r="J286" s="410">
        <v>0.147963412470882</v>
      </c>
      <c r="K286" s="410">
        <v>0.252600528534728</v>
      </c>
      <c r="L286" s="442">
        <v>0.128906830839263</v>
      </c>
      <c r="M286" s="441"/>
      <c r="N286" s="409">
        <v>-0.048355705459591</v>
      </c>
      <c r="O286" s="410">
        <v>0.158299682445009</v>
      </c>
      <c r="P286" s="410">
        <v>0.327697434943483</v>
      </c>
      <c r="Q286" s="410">
        <v>-0.035137991182575</v>
      </c>
      <c r="R286" s="410">
        <v>0.582832517952752</v>
      </c>
      <c r="S286" s="410">
        <v>0.316255699167901</v>
      </c>
      <c r="T286" s="410">
        <v>-0.140741065881527</v>
      </c>
      <c r="U286" s="410">
        <v>-0.191354586459596</v>
      </c>
      <c r="V286" s="410">
        <v>0.520298205123948</v>
      </c>
      <c r="W286" s="410">
        <v>0.0403067701900905</v>
      </c>
      <c r="X286" s="410">
        <v>0.181867826211218</v>
      </c>
      <c r="Y286" s="410">
        <v>0.877151972102203</v>
      </c>
      <c r="Z286" s="410">
        <v>-0.146377167157344</v>
      </c>
      <c r="AA286" s="410" t="s">
        <v>129</v>
      </c>
      <c r="AB286" s="410" t="s">
        <v>129</v>
      </c>
      <c r="AC286" s="410" t="s">
        <v>129</v>
      </c>
      <c r="AD286" s="410" t="s">
        <v>129</v>
      </c>
      <c r="AE286" s="442" t="s">
        <v>129</v>
      </c>
      <c r="AS286" s="361" t="s">
        <v>582</v>
      </c>
      <c r="AT286" s="364">
        <v>0.62</v>
      </c>
      <c r="AU286" s="365">
        <v>45716</v>
      </c>
      <c r="AV286" s="364">
        <v>170.1376</v>
      </c>
      <c r="AW286" s="3"/>
      <c r="AX286" s="376">
        <v>0.008423</v>
      </c>
      <c r="AY286" s="376" t="s">
        <v>129</v>
      </c>
      <c r="AZ286" s="376" t="s">
        <v>129</v>
      </c>
      <c r="BA286" s="376" t="s">
        <v>129</v>
      </c>
      <c r="BB286" s="376" t="s">
        <v>129</v>
      </c>
      <c r="BC286" s="376" t="s">
        <v>129</v>
      </c>
      <c r="BD286" s="376" t="s">
        <v>129</v>
      </c>
      <c r="BE286" s="4"/>
      <c r="BF286" s="376" t="s">
        <v>129</v>
      </c>
      <c r="BG286" s="376" t="s">
        <v>129</v>
      </c>
      <c r="BH286" s="376" t="s">
        <v>129</v>
      </c>
      <c r="BI286" s="376" t="s">
        <v>129</v>
      </c>
      <c r="BJ286" s="376" t="s">
        <v>129</v>
      </c>
      <c r="BK286" s="376" t="s">
        <v>129</v>
      </c>
      <c r="BL286" s="376" t="s">
        <v>129</v>
      </c>
      <c r="BM286" s="376" t="s">
        <v>129</v>
      </c>
      <c r="BN286" s="376" t="s">
        <v>129</v>
      </c>
      <c r="BO286" s="376" t="s">
        <v>129</v>
      </c>
      <c r="BP286" s="376" t="s">
        <v>129</v>
      </c>
      <c r="BQ286" s="376" t="s">
        <v>129</v>
      </c>
      <c r="BR286" s="376" t="s">
        <v>129</v>
      </c>
      <c r="BS286" s="376" t="s">
        <v>129</v>
      </c>
      <c r="BT286" s="376" t="s">
        <v>129</v>
      </c>
      <c r="BU286" s="376" t="s">
        <v>129</v>
      </c>
    </row>
    <row r="287" spans="2:73">
      <c r="B287" s="433" t="s">
        <v>583</v>
      </c>
      <c r="C287" s="432"/>
      <c r="D287" s="432"/>
      <c r="E287" s="432"/>
      <c r="F287" s="409">
        <v>-0.00929999999999997</v>
      </c>
      <c r="G287" s="410">
        <v>0.10057447513</v>
      </c>
      <c r="H287" s="410">
        <v>0.0164264988796341</v>
      </c>
      <c r="I287" s="410">
        <v>-0.106361316179112</v>
      </c>
      <c r="J287" s="410">
        <v>0.210045283452795</v>
      </c>
      <c r="K287" s="410">
        <v>0.337254854514069</v>
      </c>
      <c r="L287" s="442" t="s">
        <v>129</v>
      </c>
      <c r="M287" s="441"/>
      <c r="N287" s="409">
        <v>-0.0818619435620266</v>
      </c>
      <c r="O287" s="410">
        <v>0.204807056483591</v>
      </c>
      <c r="P287" s="410">
        <v>0.402603560101065</v>
      </c>
      <c r="Q287" s="410">
        <v>0.0734745673005701</v>
      </c>
      <c r="R287" s="410">
        <v>0.964383000823909</v>
      </c>
      <c r="S287" s="410">
        <v>0.334860512253584</v>
      </c>
      <c r="T287" s="410">
        <v>-0.183199316224933</v>
      </c>
      <c r="U287" s="410">
        <v>-0.163686879010095</v>
      </c>
      <c r="V287" s="410">
        <v>0.511868196972398</v>
      </c>
      <c r="W287" s="410" t="s">
        <v>129</v>
      </c>
      <c r="X287" s="410" t="s">
        <v>129</v>
      </c>
      <c r="Y287" s="410" t="s">
        <v>129</v>
      </c>
      <c r="Z287" s="410" t="s">
        <v>129</v>
      </c>
      <c r="AA287" s="410" t="s">
        <v>129</v>
      </c>
      <c r="AB287" s="410" t="s">
        <v>129</v>
      </c>
      <c r="AC287" s="410" t="s">
        <v>129</v>
      </c>
      <c r="AD287" s="410" t="s">
        <v>129</v>
      </c>
      <c r="AE287" s="442" t="s">
        <v>129</v>
      </c>
      <c r="AS287" s="361" t="s">
        <v>584</v>
      </c>
      <c r="AT287" s="364">
        <v>0.43</v>
      </c>
      <c r="AU287" s="365">
        <v>45716</v>
      </c>
      <c r="AV287" s="364">
        <v>1032.7358</v>
      </c>
      <c r="AW287" s="3"/>
      <c r="AX287" s="376">
        <v>0.008524</v>
      </c>
      <c r="AY287" s="376">
        <v>0.019996</v>
      </c>
      <c r="AZ287" s="376">
        <v>0.037905</v>
      </c>
      <c r="BA287" s="376">
        <v>0.075091</v>
      </c>
      <c r="BB287" s="376">
        <v>0.064888</v>
      </c>
      <c r="BC287" s="376">
        <v>0.051848</v>
      </c>
      <c r="BD287" s="376" t="s">
        <v>129</v>
      </c>
      <c r="BE287" s="4"/>
      <c r="BF287" s="376">
        <v>0.019996</v>
      </c>
      <c r="BG287" s="376">
        <v>0.0734413681405263</v>
      </c>
      <c r="BH287" s="376">
        <v>0.0688531922191697</v>
      </c>
      <c r="BI287" s="376">
        <v>0.041886328250975</v>
      </c>
      <c r="BJ287" s="376">
        <v>0.0291055514397502</v>
      </c>
      <c r="BK287" s="376">
        <v>0.0391259721324364</v>
      </c>
      <c r="BL287" s="376">
        <v>0.0375001</v>
      </c>
      <c r="BM287" s="376" t="s">
        <v>129</v>
      </c>
      <c r="BN287" s="376" t="s">
        <v>129</v>
      </c>
      <c r="BO287" s="376" t="s">
        <v>129</v>
      </c>
      <c r="BP287" s="376" t="s">
        <v>129</v>
      </c>
      <c r="BQ287" s="376" t="s">
        <v>129</v>
      </c>
      <c r="BR287" s="376" t="s">
        <v>129</v>
      </c>
      <c r="BS287" s="376" t="s">
        <v>129</v>
      </c>
      <c r="BT287" s="376" t="s">
        <v>129</v>
      </c>
      <c r="BU287" s="376" t="s">
        <v>129</v>
      </c>
    </row>
    <row r="288" spans="2:73">
      <c r="B288" s="433" t="s">
        <v>585</v>
      </c>
      <c r="C288" s="432"/>
      <c r="D288" s="432"/>
      <c r="E288" s="432"/>
      <c r="F288" s="409">
        <v>-0.0134</v>
      </c>
      <c r="G288" s="410">
        <v>0.12430069927</v>
      </c>
      <c r="H288" s="410">
        <v>0.0854956317139122</v>
      </c>
      <c r="I288" s="410">
        <v>-0.00597169866289449</v>
      </c>
      <c r="J288" s="410">
        <v>0.239049127859629</v>
      </c>
      <c r="K288" s="410">
        <v>0.286942898910497</v>
      </c>
      <c r="L288" s="442" t="s">
        <v>129</v>
      </c>
      <c r="M288" s="441"/>
      <c r="N288" s="409">
        <v>0.0109655016404349</v>
      </c>
      <c r="O288" s="410">
        <v>0.302451498933993</v>
      </c>
      <c r="P288" s="410">
        <v>0.526889921178403</v>
      </c>
      <c r="Q288" s="410">
        <v>-0.187390897857096</v>
      </c>
      <c r="R288" s="410">
        <v>0.584287497283674</v>
      </c>
      <c r="S288" s="410">
        <v>0.382587296400398</v>
      </c>
      <c r="T288" s="410">
        <v>0.0662372602588757</v>
      </c>
      <c r="U288" s="410">
        <v>-0.169570726025374</v>
      </c>
      <c r="V288" s="410">
        <v>0.526388150602537</v>
      </c>
      <c r="W288" s="410">
        <v>0.0870013071004683</v>
      </c>
      <c r="X288" s="410" t="s">
        <v>129</v>
      </c>
      <c r="Y288" s="410" t="s">
        <v>129</v>
      </c>
      <c r="Z288" s="410" t="s">
        <v>129</v>
      </c>
      <c r="AA288" s="410" t="s">
        <v>129</v>
      </c>
      <c r="AB288" s="410" t="s">
        <v>129</v>
      </c>
      <c r="AC288" s="410" t="s">
        <v>129</v>
      </c>
      <c r="AD288" s="410" t="s">
        <v>129</v>
      </c>
      <c r="AE288" s="442" t="s">
        <v>129</v>
      </c>
      <c r="AS288" s="361" t="s">
        <v>586</v>
      </c>
      <c r="AT288" s="364">
        <v>0.5</v>
      </c>
      <c r="AU288" s="365">
        <v>45716</v>
      </c>
      <c r="AV288" s="364">
        <v>3843.9258</v>
      </c>
      <c r="AW288" s="3"/>
      <c r="AX288" s="376">
        <v>0.007766</v>
      </c>
      <c r="AY288" s="376">
        <v>0.018835</v>
      </c>
      <c r="AZ288" s="376">
        <v>0.036214</v>
      </c>
      <c r="BA288" s="376">
        <v>0.073506</v>
      </c>
      <c r="BB288" s="376">
        <v>0.064923</v>
      </c>
      <c r="BC288" s="376">
        <v>0.057115</v>
      </c>
      <c r="BD288" s="376">
        <v>0.062635</v>
      </c>
      <c r="BE288" s="4"/>
      <c r="BF288" s="376">
        <v>0.018835</v>
      </c>
      <c r="BG288" s="376">
        <v>0.0737183353118804</v>
      </c>
      <c r="BH288" s="376">
        <v>0.0716773780960717</v>
      </c>
      <c r="BI288" s="376">
        <v>0.0398575673253786</v>
      </c>
      <c r="BJ288" s="376">
        <v>0.0364135389247753</v>
      </c>
      <c r="BK288" s="376">
        <v>0.0565701064417669</v>
      </c>
      <c r="BL288" s="376">
        <v>0.0789634256769746</v>
      </c>
      <c r="BM288" s="376">
        <v>0.0725218441089637</v>
      </c>
      <c r="BN288" s="376">
        <v>0.057263545000458</v>
      </c>
      <c r="BO288" s="376">
        <v>0.0673773095613056</v>
      </c>
      <c r="BP288" s="376">
        <v>0.0738408389704072</v>
      </c>
      <c r="BQ288" s="376">
        <v>0.0823900159919727</v>
      </c>
      <c r="BR288" s="376">
        <v>0.101094499879156</v>
      </c>
      <c r="BS288" s="376">
        <v>0.0749681041081909</v>
      </c>
      <c r="BT288" s="376">
        <v>0.0725766321656051</v>
      </c>
      <c r="BU288" s="376">
        <v>0.0399126506491692</v>
      </c>
    </row>
    <row r="289" spans="2:73">
      <c r="B289" s="433" t="s">
        <v>587</v>
      </c>
      <c r="C289" s="432"/>
      <c r="D289" s="432"/>
      <c r="E289" s="432"/>
      <c r="F289" s="409">
        <v>-0.0347</v>
      </c>
      <c r="G289" s="410">
        <v>0.0888002889400001</v>
      </c>
      <c r="H289" s="410">
        <v>0.0388436090779736</v>
      </c>
      <c r="I289" s="410">
        <v>-0.0990942161751146</v>
      </c>
      <c r="J289" s="410">
        <v>0.157948271265085</v>
      </c>
      <c r="K289" s="410">
        <v>0.255586029250993</v>
      </c>
      <c r="L289" s="442">
        <v>0.177379763979067</v>
      </c>
      <c r="M289" s="441"/>
      <c r="N289" s="409">
        <v>-0.0502891725809166</v>
      </c>
      <c r="O289" s="410">
        <v>0.142751666472918</v>
      </c>
      <c r="P289" s="410">
        <v>0.435226427704176</v>
      </c>
      <c r="Q289" s="410">
        <v>-0.0615327002949247</v>
      </c>
      <c r="R289" s="410">
        <v>0.628141688840653</v>
      </c>
      <c r="S289" s="410">
        <v>0.313130017903768</v>
      </c>
      <c r="T289" s="410">
        <v>-0.00715008657126848</v>
      </c>
      <c r="U289" s="410">
        <v>-0.224730301923665</v>
      </c>
      <c r="V289" s="410">
        <v>0.672960544240153</v>
      </c>
      <c r="W289" s="410">
        <v>0.173374020658505</v>
      </c>
      <c r="X289" s="410">
        <v>0.4781660795601</v>
      </c>
      <c r="Y289" s="410">
        <v>0.952265468294626</v>
      </c>
      <c r="Z289" s="410">
        <v>0.247269367225433</v>
      </c>
      <c r="AA289" s="410">
        <v>0.218695222615291</v>
      </c>
      <c r="AB289" s="410" t="s">
        <v>129</v>
      </c>
      <c r="AC289" s="410" t="s">
        <v>129</v>
      </c>
      <c r="AD289" s="410" t="s">
        <v>129</v>
      </c>
      <c r="AE289" s="442" t="s">
        <v>129</v>
      </c>
      <c r="AS289" s="361" t="s">
        <v>588</v>
      </c>
      <c r="AT289" s="364">
        <v>0.82</v>
      </c>
      <c r="AU289" s="365">
        <v>45716</v>
      </c>
      <c r="AV289" s="364">
        <v>1314.0461</v>
      </c>
      <c r="AW289" s="3"/>
      <c r="AX289" s="376">
        <v>0.008258</v>
      </c>
      <c r="AY289" s="376">
        <v>0.018957</v>
      </c>
      <c r="AZ289" s="376">
        <v>0.035512</v>
      </c>
      <c r="BA289" s="376">
        <v>0.070725</v>
      </c>
      <c r="BB289" s="376">
        <v>0.059954</v>
      </c>
      <c r="BC289" s="376">
        <v>0.049975</v>
      </c>
      <c r="BD289" s="376">
        <v>0.062781</v>
      </c>
      <c r="BE289" s="4"/>
      <c r="BF289" s="376">
        <v>0.018957</v>
      </c>
      <c r="BG289" s="376">
        <v>0.0699744752597357</v>
      </c>
      <c r="BH289" s="376">
        <v>0.0641376532006529</v>
      </c>
      <c r="BI289" s="376">
        <v>0.0348385932188093</v>
      </c>
      <c r="BJ289" s="376">
        <v>0.0284798656234804</v>
      </c>
      <c r="BK289" s="376">
        <v>0.0643162604265169</v>
      </c>
      <c r="BL289" s="376">
        <v>0.1248591008917</v>
      </c>
      <c r="BM289" s="376">
        <v>0.0623053484894481</v>
      </c>
      <c r="BN289" s="376">
        <v>0.0276434600253038</v>
      </c>
      <c r="BO289" s="376">
        <v>0.0949061628282087</v>
      </c>
      <c r="BP289" s="376">
        <v>0.0687086372516546</v>
      </c>
      <c r="BQ289" s="376">
        <v>0.125611584145608</v>
      </c>
      <c r="BR289" s="376">
        <v>0.0408100231254158</v>
      </c>
      <c r="BS289" s="376">
        <v>0.0825260197870407</v>
      </c>
      <c r="BT289" s="376">
        <v>0.0579005605035461</v>
      </c>
      <c r="BU289" s="376">
        <v>0.0541522458267204</v>
      </c>
    </row>
    <row r="290" spans="2:73">
      <c r="B290" s="433" t="s">
        <v>589</v>
      </c>
      <c r="C290" s="432"/>
      <c r="D290" s="432"/>
      <c r="E290" s="432"/>
      <c r="F290" s="409">
        <v>-0.0538999999999999</v>
      </c>
      <c r="G290" s="410">
        <v>0.100325993796</v>
      </c>
      <c r="H290" s="410">
        <v>0.179811649706722</v>
      </c>
      <c r="I290" s="410">
        <v>0.168282321427441</v>
      </c>
      <c r="J290" s="410">
        <v>0.271896520099978</v>
      </c>
      <c r="K290" s="410">
        <v>0.263017906650196</v>
      </c>
      <c r="L290" s="442" t="s">
        <v>129</v>
      </c>
      <c r="M290" s="441"/>
      <c r="N290" s="409">
        <v>0.177570007572279</v>
      </c>
      <c r="O290" s="410">
        <v>0.0699995857578113</v>
      </c>
      <c r="P290" s="410">
        <v>0.4786701761982</v>
      </c>
      <c r="Q290" s="410">
        <v>0.0744688456213669</v>
      </c>
      <c r="R290" s="410">
        <v>0.328701834495939</v>
      </c>
      <c r="S290" s="410">
        <v>0.150741480083744</v>
      </c>
      <c r="T290" s="410">
        <v>0.14387514947061</v>
      </c>
      <c r="U290" s="410">
        <v>0.0221511159123333</v>
      </c>
      <c r="V290" s="410">
        <v>0.490989503129139</v>
      </c>
      <c r="W290" s="410" t="s">
        <v>129</v>
      </c>
      <c r="X290" s="410" t="s">
        <v>129</v>
      </c>
      <c r="Y290" s="410" t="s">
        <v>129</v>
      </c>
      <c r="Z290" s="410" t="s">
        <v>129</v>
      </c>
      <c r="AA290" s="410" t="s">
        <v>129</v>
      </c>
      <c r="AB290" s="410" t="s">
        <v>129</v>
      </c>
      <c r="AC290" s="410" t="s">
        <v>129</v>
      </c>
      <c r="AD290" s="410" t="s">
        <v>129</v>
      </c>
      <c r="AE290" s="442" t="s">
        <v>129</v>
      </c>
      <c r="AS290" s="361" t="s">
        <v>590</v>
      </c>
      <c r="AT290" s="364">
        <v>0.3</v>
      </c>
      <c r="AU290" s="365">
        <v>45716</v>
      </c>
      <c r="AV290" s="364">
        <v>2599.245335368</v>
      </c>
      <c r="AW290" s="3"/>
      <c r="AX290" s="376">
        <v>0.008995</v>
      </c>
      <c r="AY290" s="376">
        <v>0.020592</v>
      </c>
      <c r="AZ290" s="376">
        <v>0.038772</v>
      </c>
      <c r="BA290" s="376">
        <v>0.07746</v>
      </c>
      <c r="BB290" s="376">
        <v>0.068187</v>
      </c>
      <c r="BC290" s="376">
        <v>0.058663</v>
      </c>
      <c r="BD290" s="376">
        <v>0.068091</v>
      </c>
      <c r="BE290" s="4"/>
      <c r="BF290" s="376">
        <v>0.020592</v>
      </c>
      <c r="BG290" s="376">
        <v>0.07662955015864</v>
      </c>
      <c r="BH290" s="376">
        <v>0.0726142321021007</v>
      </c>
      <c r="BI290" s="376">
        <v>0.0441309224032948</v>
      </c>
      <c r="BJ290" s="376">
        <v>0.0358197434675397</v>
      </c>
      <c r="BK290" s="376">
        <v>0.0600141674949343</v>
      </c>
      <c r="BL290" s="376">
        <v>0.0848419861197986</v>
      </c>
      <c r="BM290" s="376">
        <v>0.0750687668714996</v>
      </c>
      <c r="BN290" s="376">
        <v>0.0716597175751961</v>
      </c>
      <c r="BO290" s="376">
        <v>0.0808389896517192</v>
      </c>
      <c r="BP290" s="376">
        <v>0.0829276521906781</v>
      </c>
      <c r="BQ290" s="376">
        <v>0.0889575113941546</v>
      </c>
      <c r="BR290" s="376">
        <v>0.0910123404945742</v>
      </c>
      <c r="BS290" s="376">
        <v>0.0975091130012152</v>
      </c>
      <c r="BT290" s="376">
        <v>0.0869510764991859</v>
      </c>
      <c r="BU290" s="376">
        <v>0.0545393421660854</v>
      </c>
    </row>
    <row r="291" spans="2:73">
      <c r="B291" s="433" t="s">
        <v>591</v>
      </c>
      <c r="C291" s="432"/>
      <c r="D291" s="432"/>
      <c r="E291" s="432"/>
      <c r="F291" s="409">
        <v>-0.0374</v>
      </c>
      <c r="G291" s="410">
        <v>0.0213729869000001</v>
      </c>
      <c r="H291" s="410">
        <v>-0.0162724105483357</v>
      </c>
      <c r="I291" s="410">
        <v>-0.101651151463624</v>
      </c>
      <c r="J291" s="410">
        <v>0.138264654577689</v>
      </c>
      <c r="K291" s="410">
        <v>0.195713543946082</v>
      </c>
      <c r="L291" s="442">
        <v>0.143976751026546</v>
      </c>
      <c r="M291" s="441"/>
      <c r="N291" s="409">
        <v>-0.0898552342393202</v>
      </c>
      <c r="O291" s="410">
        <v>0.229590011192066</v>
      </c>
      <c r="P291" s="410">
        <v>0.321614014661822</v>
      </c>
      <c r="Q291" s="410">
        <v>-0.00429878619805169</v>
      </c>
      <c r="R291" s="410">
        <v>0.292064880842398</v>
      </c>
      <c r="S291" s="410">
        <v>0.162104297338898</v>
      </c>
      <c r="T291" s="410">
        <v>0.145470009128261</v>
      </c>
      <c r="U291" s="410">
        <v>0.0266770938409004</v>
      </c>
      <c r="V291" s="410">
        <v>0.290108489586673</v>
      </c>
      <c r="W291" s="410">
        <v>0.154251860837852</v>
      </c>
      <c r="X291" s="410" t="s">
        <v>129</v>
      </c>
      <c r="Y291" s="410" t="s">
        <v>129</v>
      </c>
      <c r="Z291" s="410" t="s">
        <v>129</v>
      </c>
      <c r="AA291" s="410" t="s">
        <v>129</v>
      </c>
      <c r="AB291" s="410" t="s">
        <v>129</v>
      </c>
      <c r="AC291" s="410" t="s">
        <v>129</v>
      </c>
      <c r="AD291" s="410" t="s">
        <v>129</v>
      </c>
      <c r="AE291" s="442" t="s">
        <v>129</v>
      </c>
      <c r="AS291" s="361" t="s">
        <v>592</v>
      </c>
      <c r="AT291" s="364">
        <v>0.41</v>
      </c>
      <c r="AU291" s="365">
        <v>45716</v>
      </c>
      <c r="AV291" s="364">
        <v>27398.9977</v>
      </c>
      <c r="AW291" s="3"/>
      <c r="AX291" s="376">
        <v>0.008747</v>
      </c>
      <c r="AY291" s="376">
        <v>0.020294</v>
      </c>
      <c r="AZ291" s="376">
        <v>0.038358</v>
      </c>
      <c r="BA291" s="376">
        <v>0.076814</v>
      </c>
      <c r="BB291" s="376">
        <v>0.068951</v>
      </c>
      <c r="BC291" s="376">
        <v>0.060814</v>
      </c>
      <c r="BD291" s="376">
        <v>0.067443</v>
      </c>
      <c r="BE291" s="4"/>
      <c r="BF291" s="376">
        <v>0.020294</v>
      </c>
      <c r="BG291" s="376">
        <v>0.0768127967669953</v>
      </c>
      <c r="BH291" s="376">
        <v>0.0726691794055829</v>
      </c>
      <c r="BI291" s="376">
        <v>0.0473139486035692</v>
      </c>
      <c r="BJ291" s="376">
        <v>0.0377724293684041</v>
      </c>
      <c r="BK291" s="376">
        <v>0.0651608519674566</v>
      </c>
      <c r="BL291" s="376">
        <v>0.080990759899394</v>
      </c>
      <c r="BM291" s="376">
        <v>0.0740902017977449</v>
      </c>
      <c r="BN291" s="376">
        <v>0.0645187644314111</v>
      </c>
      <c r="BO291" s="376">
        <v>0.0748043097551866</v>
      </c>
      <c r="BP291" s="376">
        <v>0.0827265633474584</v>
      </c>
      <c r="BQ291" s="376">
        <v>0.0906964051950827</v>
      </c>
      <c r="BR291" s="376">
        <v>0.092101533844615</v>
      </c>
      <c r="BS291" s="376">
        <v>0.0972586826675935</v>
      </c>
      <c r="BT291" s="376">
        <v>0.0885077784691972</v>
      </c>
      <c r="BU291" s="376">
        <v>0.0541133378462765</v>
      </c>
    </row>
    <row r="292" spans="2:73">
      <c r="B292" s="433" t="s">
        <v>593</v>
      </c>
      <c r="C292" s="432"/>
      <c r="D292" s="432"/>
      <c r="E292" s="432"/>
      <c r="F292" s="409">
        <v>-0.0159</v>
      </c>
      <c r="G292" s="410">
        <v>0.154313833036</v>
      </c>
      <c r="H292" s="410">
        <v>0.106574385602582</v>
      </c>
      <c r="I292" s="410">
        <v>0.0180769861621428</v>
      </c>
      <c r="J292" s="410">
        <v>0.152905180225912</v>
      </c>
      <c r="K292" s="410">
        <v>0.286108439139798</v>
      </c>
      <c r="L292" s="442" t="s">
        <v>129</v>
      </c>
      <c r="M292" s="441"/>
      <c r="N292" s="409">
        <v>-0.00651751660600186</v>
      </c>
      <c r="O292" s="410">
        <v>0.145070071982659</v>
      </c>
      <c r="P292" s="410">
        <v>0.350553323876071</v>
      </c>
      <c r="Q292" s="410">
        <v>-0.0951425303452929</v>
      </c>
      <c r="R292" s="410">
        <v>0.812595657815592</v>
      </c>
      <c r="S292" s="410">
        <v>0.614275633659969</v>
      </c>
      <c r="T292" s="410" t="s">
        <v>129</v>
      </c>
      <c r="U292" s="410" t="s">
        <v>129</v>
      </c>
      <c r="V292" s="410" t="s">
        <v>129</v>
      </c>
      <c r="W292" s="410" t="s">
        <v>129</v>
      </c>
      <c r="X292" s="410" t="s">
        <v>129</v>
      </c>
      <c r="Y292" s="410" t="s">
        <v>129</v>
      </c>
      <c r="Z292" s="410" t="s">
        <v>129</v>
      </c>
      <c r="AA292" s="410" t="s">
        <v>129</v>
      </c>
      <c r="AB292" s="410" t="s">
        <v>129</v>
      </c>
      <c r="AC292" s="410" t="s">
        <v>129</v>
      </c>
      <c r="AD292" s="410" t="s">
        <v>129</v>
      </c>
      <c r="AE292" s="442" t="s">
        <v>129</v>
      </c>
      <c r="AS292" s="361" t="s">
        <v>594</v>
      </c>
      <c r="AT292" s="364">
        <v>0.39</v>
      </c>
      <c r="AU292" s="365">
        <v>45716</v>
      </c>
      <c r="AV292" s="364">
        <v>2620.3863</v>
      </c>
      <c r="AW292" s="3"/>
      <c r="AX292" s="376">
        <v>0.008636</v>
      </c>
      <c r="AY292" s="376">
        <v>0.020014</v>
      </c>
      <c r="AZ292" s="376">
        <v>0.037918</v>
      </c>
      <c r="BA292" s="376">
        <v>0.075488</v>
      </c>
      <c r="BB292" s="376">
        <v>0.065248</v>
      </c>
      <c r="BC292" s="376">
        <v>0.054171</v>
      </c>
      <c r="BD292" s="376">
        <v>0.067115</v>
      </c>
      <c r="BE292" s="4"/>
      <c r="BF292" s="376">
        <v>0.020014</v>
      </c>
      <c r="BG292" s="376">
        <v>0.0750131215820388</v>
      </c>
      <c r="BH292" s="376">
        <v>0.0693958473843611</v>
      </c>
      <c r="BI292" s="376">
        <v>0.0403479112609652</v>
      </c>
      <c r="BJ292" s="376">
        <v>0.0288919036775033</v>
      </c>
      <c r="BK292" s="376">
        <v>0.053601511052121</v>
      </c>
      <c r="BL292" s="376">
        <v>0.0822173605586504</v>
      </c>
      <c r="BM292" s="376">
        <v>0.0734287713638458</v>
      </c>
      <c r="BN292" s="376">
        <v>0.0746464601403346</v>
      </c>
      <c r="BO292" s="376">
        <v>0.0913485279491442</v>
      </c>
      <c r="BP292" s="376">
        <v>0.084420677899624</v>
      </c>
      <c r="BQ292" s="376">
        <v>0.0862985752091316</v>
      </c>
      <c r="BR292" s="376">
        <v>0.0873226888878884</v>
      </c>
      <c r="BS292" s="376">
        <v>0.106257720308024</v>
      </c>
      <c r="BT292" s="376">
        <v>0.0928360631018116</v>
      </c>
      <c r="BU292" s="376">
        <v>0.0522549886287222</v>
      </c>
    </row>
    <row r="293" spans="2:73">
      <c r="B293" s="433" t="s">
        <v>595</v>
      </c>
      <c r="C293" s="432"/>
      <c r="D293" s="432"/>
      <c r="E293" s="432"/>
      <c r="F293" s="409">
        <v>-0.042</v>
      </c>
      <c r="G293" s="410">
        <v>0.0711522923199999</v>
      </c>
      <c r="H293" s="410">
        <v>0.0830069342369351</v>
      </c>
      <c r="I293" s="410">
        <v>-0.0291727406689307</v>
      </c>
      <c r="J293" s="410">
        <v>0.159517915829724</v>
      </c>
      <c r="K293" s="410">
        <v>0.219174113573743</v>
      </c>
      <c r="L293" s="442" t="s">
        <v>129</v>
      </c>
      <c r="M293" s="441"/>
      <c r="N293" s="409">
        <v>0.0240913570144459</v>
      </c>
      <c r="O293" s="410">
        <v>0.0554176077729824</v>
      </c>
      <c r="P293" s="410">
        <v>0.352446607698919</v>
      </c>
      <c r="Q293" s="410">
        <v>-0.0513650856417256</v>
      </c>
      <c r="R293" s="410">
        <v>0.543253270317368</v>
      </c>
      <c r="S293" s="410">
        <v>0.293365182646846</v>
      </c>
      <c r="T293" s="410">
        <v>0.0311051128720068</v>
      </c>
      <c r="U293" s="410" t="s">
        <v>129</v>
      </c>
      <c r="V293" s="410" t="s">
        <v>129</v>
      </c>
      <c r="W293" s="410" t="s">
        <v>129</v>
      </c>
      <c r="X293" s="410" t="s">
        <v>129</v>
      </c>
      <c r="Y293" s="410" t="s">
        <v>129</v>
      </c>
      <c r="Z293" s="410" t="s">
        <v>129</v>
      </c>
      <c r="AA293" s="410" t="s">
        <v>129</v>
      </c>
      <c r="AB293" s="410" t="s">
        <v>129</v>
      </c>
      <c r="AC293" s="410" t="s">
        <v>129</v>
      </c>
      <c r="AD293" s="410" t="s">
        <v>129</v>
      </c>
      <c r="AE293" s="442" t="s">
        <v>129</v>
      </c>
      <c r="AS293" s="361" t="s">
        <v>596</v>
      </c>
      <c r="AT293" s="364">
        <v>0.32</v>
      </c>
      <c r="AU293" s="365">
        <v>45716</v>
      </c>
      <c r="AV293" s="364">
        <v>25881.6979007326</v>
      </c>
      <c r="AW293" s="3"/>
      <c r="AX293" s="376">
        <v>0.008877</v>
      </c>
      <c r="AY293" s="376">
        <v>0.020327</v>
      </c>
      <c r="AZ293" s="376">
        <v>0.038564</v>
      </c>
      <c r="BA293" s="376">
        <v>0.077415</v>
      </c>
      <c r="BB293" s="376">
        <v>0.069506</v>
      </c>
      <c r="BC293" s="376">
        <v>0.060469</v>
      </c>
      <c r="BD293" s="376">
        <v>0.0677</v>
      </c>
      <c r="BE293" s="4"/>
      <c r="BF293" s="376">
        <v>0.020327</v>
      </c>
      <c r="BG293" s="376">
        <v>0.077376911307986</v>
      </c>
      <c r="BH293" s="376">
        <v>0.0736262781646424</v>
      </c>
      <c r="BI293" s="376">
        <v>0.0472866317497189</v>
      </c>
      <c r="BJ293" s="376">
        <v>0.036943718156271</v>
      </c>
      <c r="BK293" s="376">
        <v>0.0622182317562662</v>
      </c>
      <c r="BL293" s="376">
        <v>0.0788407855670308</v>
      </c>
      <c r="BM293" s="376">
        <v>0.076583681047735</v>
      </c>
      <c r="BN293" s="376">
        <v>0.06659493157605</v>
      </c>
      <c r="BO293" s="376">
        <v>0.0766122148351568</v>
      </c>
      <c r="BP293" s="376">
        <v>0.0833297224632404</v>
      </c>
      <c r="BQ293" s="376">
        <v>0.0911645741138483</v>
      </c>
      <c r="BR293" s="376">
        <v>0.091523522833049</v>
      </c>
      <c r="BS293" s="376">
        <v>0.0973837299649631</v>
      </c>
      <c r="BT293" s="376">
        <v>0.0816984723699781</v>
      </c>
      <c r="BU293" s="376">
        <v>0.0468555089693446</v>
      </c>
    </row>
    <row r="294" spans="2:73">
      <c r="B294" s="451" t="s">
        <v>597</v>
      </c>
      <c r="C294" s="452"/>
      <c r="D294" s="452"/>
      <c r="E294" s="452"/>
      <c r="F294" s="413">
        <v>-0.0443</v>
      </c>
      <c r="G294" s="414">
        <v>0.0608346647139999</v>
      </c>
      <c r="H294" s="414">
        <v>0.0699388262998542</v>
      </c>
      <c r="I294" s="414">
        <v>-0.0242800926064733</v>
      </c>
      <c r="J294" s="414">
        <v>0.158252439035657</v>
      </c>
      <c r="K294" s="414">
        <v>0.244926361547764</v>
      </c>
      <c r="L294" s="443" t="s">
        <v>129</v>
      </c>
      <c r="M294" s="441"/>
      <c r="N294" s="413">
        <v>0.0130180807407019</v>
      </c>
      <c r="O294" s="414">
        <v>0.106403118686995</v>
      </c>
      <c r="P294" s="414">
        <v>0.32410668794045</v>
      </c>
      <c r="Q294" s="414">
        <v>-0.00227012738241195</v>
      </c>
      <c r="R294" s="414">
        <v>0.538942217392066</v>
      </c>
      <c r="S294" s="414">
        <v>0.63972988997913</v>
      </c>
      <c r="T294" s="414">
        <v>-0.0133885184644166</v>
      </c>
      <c r="U294" s="414">
        <v>-0.0794993650881466</v>
      </c>
      <c r="V294" s="414" t="s">
        <v>129</v>
      </c>
      <c r="W294" s="414" t="s">
        <v>129</v>
      </c>
      <c r="X294" s="414" t="s">
        <v>129</v>
      </c>
      <c r="Y294" s="414" t="s">
        <v>129</v>
      </c>
      <c r="Z294" s="414" t="s">
        <v>129</v>
      </c>
      <c r="AA294" s="414" t="s">
        <v>129</v>
      </c>
      <c r="AB294" s="414" t="s">
        <v>129</v>
      </c>
      <c r="AC294" s="414" t="s">
        <v>129</v>
      </c>
      <c r="AD294" s="414" t="s">
        <v>129</v>
      </c>
      <c r="AE294" s="443" t="s">
        <v>129</v>
      </c>
      <c r="AS294" s="361" t="s">
        <v>598</v>
      </c>
      <c r="AT294" s="364">
        <v>0.48</v>
      </c>
      <c r="AU294" s="365">
        <v>45716</v>
      </c>
      <c r="AV294" s="364">
        <v>5513.4064</v>
      </c>
      <c r="AW294" s="3"/>
      <c r="AX294" s="376">
        <v>0.008476</v>
      </c>
      <c r="AY294" s="376">
        <v>0.019519</v>
      </c>
      <c r="AZ294" s="376">
        <v>0.036916</v>
      </c>
      <c r="BA294" s="376">
        <v>0.074133</v>
      </c>
      <c r="BB294" s="376">
        <v>0.064632</v>
      </c>
      <c r="BC294" s="376">
        <v>0.056391</v>
      </c>
      <c r="BD294" s="376">
        <v>0.064938</v>
      </c>
      <c r="BE294" s="4"/>
      <c r="BF294" s="376">
        <v>0.019519</v>
      </c>
      <c r="BG294" s="376">
        <v>0.0748789191477808</v>
      </c>
      <c r="BH294" s="376">
        <v>0.0698873103319062</v>
      </c>
      <c r="BI294" s="376">
        <v>0.0390026757331274</v>
      </c>
      <c r="BJ294" s="376">
        <v>0.035404118368612</v>
      </c>
      <c r="BK294" s="376">
        <v>0.0577217024579192</v>
      </c>
      <c r="BL294" s="376">
        <v>0.0693408010493889</v>
      </c>
      <c r="BM294" s="376">
        <v>0.0757981886476804</v>
      </c>
      <c r="BN294" s="376">
        <v>0.0663551022298229</v>
      </c>
      <c r="BO294" s="376">
        <v>0.0775329099959274</v>
      </c>
      <c r="BP294" s="376">
        <v>0.0879554128957356</v>
      </c>
      <c r="BQ294" s="376">
        <v>0.0944938190553365</v>
      </c>
      <c r="BR294" s="376">
        <v>0.0958879080112985</v>
      </c>
      <c r="BS294" s="376">
        <v>0.102756700785931</v>
      </c>
      <c r="BT294" s="376">
        <v>0.0977136787970262</v>
      </c>
      <c r="BU294" s="376">
        <v>0.0530064455366866</v>
      </c>
    </row>
    <row r="295" spans="2:73">
      <c r="B295" s="403" t="s">
        <v>599</v>
      </c>
      <c r="C295" s="404"/>
      <c r="D295" s="404"/>
      <c r="E295" s="404"/>
      <c r="F295" s="417">
        <v>-0.0228966463384702</v>
      </c>
      <c r="G295" s="418">
        <v>0.0675764602511164</v>
      </c>
      <c r="H295" s="418">
        <v>0.0623295930682997</v>
      </c>
      <c r="I295" s="418">
        <v>-0.0586375591974602</v>
      </c>
      <c r="J295" s="418">
        <v>0.239337867651656</v>
      </c>
      <c r="K295" s="418">
        <v>0.271809368636276</v>
      </c>
      <c r="L295" s="444">
        <v>0.150445411950948</v>
      </c>
      <c r="M295" s="441"/>
      <c r="N295" s="417">
        <v>-0.0142537472959939</v>
      </c>
      <c r="O295" s="418">
        <v>0.26073841300594</v>
      </c>
      <c r="P295" s="418">
        <v>0.455261424994462</v>
      </c>
      <c r="Q295" s="418">
        <v>0.0137931564207936</v>
      </c>
      <c r="R295" s="418">
        <v>0.391755239064429</v>
      </c>
      <c r="S295" s="418">
        <v>0.198666152982332</v>
      </c>
      <c r="T295" s="418">
        <v>-0.0304836301571723</v>
      </c>
      <c r="U295" s="418">
        <v>-0.133761446269863</v>
      </c>
      <c r="V295" s="418">
        <v>0.481331256535016</v>
      </c>
      <c r="W295" s="418">
        <v>0.0797140467447064</v>
      </c>
      <c r="X295" s="418">
        <v>0.0742823868314348</v>
      </c>
      <c r="Y295" s="418">
        <v>0.546862603570768</v>
      </c>
      <c r="Z295" s="418">
        <v>-0.0572664556881944</v>
      </c>
      <c r="AA295" s="418">
        <v>0.385164701414786</v>
      </c>
      <c r="AB295" s="418">
        <v>-0.341888907828178</v>
      </c>
      <c r="AC295" s="418">
        <v>0.161494353823116</v>
      </c>
      <c r="AD295" s="418">
        <v>1.0765737778396</v>
      </c>
      <c r="AE295" s="444">
        <v>-0.66953845399505</v>
      </c>
      <c r="AS295" s="361" t="s">
        <v>600</v>
      </c>
      <c r="AT295" s="364">
        <v>0.36</v>
      </c>
      <c r="AU295" s="365">
        <v>45716</v>
      </c>
      <c r="AV295" s="364">
        <v>27942.8228</v>
      </c>
      <c r="AW295" s="3"/>
      <c r="AX295" s="376">
        <v>0.008656</v>
      </c>
      <c r="AY295" s="376">
        <v>0.02029</v>
      </c>
      <c r="AZ295" s="376">
        <v>0.038403</v>
      </c>
      <c r="BA295" s="376">
        <v>0.077032</v>
      </c>
      <c r="BB295" s="376">
        <v>0.069546</v>
      </c>
      <c r="BC295" s="376">
        <v>0.059457</v>
      </c>
      <c r="BD295" s="376">
        <v>0.067443</v>
      </c>
      <c r="BE295" s="4"/>
      <c r="BF295" s="376">
        <v>0.02029</v>
      </c>
      <c r="BG295" s="376">
        <v>0.0771340410627534</v>
      </c>
      <c r="BH295" s="376">
        <v>0.0731387829986733</v>
      </c>
      <c r="BI295" s="376">
        <v>0.0485415221747957</v>
      </c>
      <c r="BJ295" s="376">
        <v>0.0368081915291111</v>
      </c>
      <c r="BK295" s="376">
        <v>0.0566700337935476</v>
      </c>
      <c r="BL295" s="376">
        <v>0.0801965454154543</v>
      </c>
      <c r="BM295" s="376">
        <v>0.0768832828314588</v>
      </c>
      <c r="BN295" s="376">
        <v>0.0670044304301106</v>
      </c>
      <c r="BO295" s="376">
        <v>0.0768320707564711</v>
      </c>
      <c r="BP295" s="376">
        <v>0.0844648297271189</v>
      </c>
      <c r="BQ295" s="376">
        <v>0.091027517429884</v>
      </c>
      <c r="BR295" s="376">
        <v>0.0929354711847112</v>
      </c>
      <c r="BS295" s="376">
        <v>0.0978575429424944</v>
      </c>
      <c r="BT295" s="376">
        <v>0.0905504546293293</v>
      </c>
      <c r="BU295" s="376">
        <v>0.0515958514553362</v>
      </c>
    </row>
    <row r="296" spans="2:73">
      <c r="B296" s="407" t="s">
        <v>601</v>
      </c>
      <c r="C296" s="408"/>
      <c r="D296" s="408"/>
      <c r="E296" s="408"/>
      <c r="F296" s="421">
        <v>-0.0285306283014193</v>
      </c>
      <c r="G296" s="422">
        <v>0.0748824418876726</v>
      </c>
      <c r="H296" s="422">
        <v>0.0760947030697579</v>
      </c>
      <c r="I296" s="422">
        <v>-0.0228469555814829</v>
      </c>
      <c r="J296" s="422">
        <v>0.240337846720439</v>
      </c>
      <c r="K296" s="422">
        <v>0.294934236311726</v>
      </c>
      <c r="L296" s="446" t="s">
        <v>129</v>
      </c>
      <c r="M296" s="441"/>
      <c r="N296" s="421">
        <v>0.0104206433414105</v>
      </c>
      <c r="O296" s="422">
        <v>0.237989348934065</v>
      </c>
      <c r="P296" s="422">
        <v>0.436768297368494</v>
      </c>
      <c r="Q296" s="422">
        <v>0.0296442602145783</v>
      </c>
      <c r="R296" s="422">
        <v>0.468103371529588</v>
      </c>
      <c r="S296" s="422">
        <v>0.243814856998228</v>
      </c>
      <c r="T296" s="422">
        <v>-0.00279210638398542</v>
      </c>
      <c r="U296" s="422">
        <v>-0.133283931442572</v>
      </c>
      <c r="V296" s="422">
        <v>0.543446194751891</v>
      </c>
      <c r="W296" s="422" t="s">
        <v>129</v>
      </c>
      <c r="X296" s="422" t="s">
        <v>129</v>
      </c>
      <c r="Y296" s="422" t="s">
        <v>129</v>
      </c>
      <c r="Z296" s="422" t="s">
        <v>129</v>
      </c>
      <c r="AA296" s="422" t="s">
        <v>129</v>
      </c>
      <c r="AB296" s="422" t="s">
        <v>129</v>
      </c>
      <c r="AC296" s="422" t="s">
        <v>129</v>
      </c>
      <c r="AD296" s="422" t="s">
        <v>129</v>
      </c>
      <c r="AE296" s="446" t="s">
        <v>129</v>
      </c>
      <c r="AS296" s="361" t="s">
        <v>602</v>
      </c>
      <c r="AT296" s="364">
        <v>1.02</v>
      </c>
      <c r="AU296" s="365">
        <v>45716</v>
      </c>
      <c r="AV296" s="364">
        <v>19.9446</v>
      </c>
      <c r="AW296" s="3"/>
      <c r="AX296" s="376">
        <v>0.006774</v>
      </c>
      <c r="AY296" s="376">
        <v>0.015817</v>
      </c>
      <c r="AZ296" s="376">
        <v>0.029878</v>
      </c>
      <c r="BA296" s="376">
        <v>0.05982</v>
      </c>
      <c r="BB296" s="376" t="s">
        <v>129</v>
      </c>
      <c r="BC296" s="376" t="s">
        <v>129</v>
      </c>
      <c r="BD296" s="376" t="s">
        <v>129</v>
      </c>
      <c r="BE296" s="4"/>
      <c r="BF296" s="376">
        <v>0.015817</v>
      </c>
      <c r="BG296" s="376">
        <v>0.0606523442345975</v>
      </c>
      <c r="BH296" s="376">
        <v>0.0624110058893999</v>
      </c>
      <c r="BI296" s="376">
        <v>0.0197304</v>
      </c>
      <c r="BJ296" s="376" t="s">
        <v>129</v>
      </c>
      <c r="BK296" s="376" t="s">
        <v>129</v>
      </c>
      <c r="BL296" s="376" t="s">
        <v>129</v>
      </c>
      <c r="BM296" s="376" t="s">
        <v>129</v>
      </c>
      <c r="BN296" s="376" t="s">
        <v>129</v>
      </c>
      <c r="BO296" s="376" t="s">
        <v>129</v>
      </c>
      <c r="BP296" s="376" t="s">
        <v>129</v>
      </c>
      <c r="BQ296" s="376" t="s">
        <v>129</v>
      </c>
      <c r="BR296" s="376" t="s">
        <v>129</v>
      </c>
      <c r="BS296" s="376" t="s">
        <v>129</v>
      </c>
      <c r="BT296" s="376" t="s">
        <v>129</v>
      </c>
      <c r="BU296" s="376" t="s">
        <v>129</v>
      </c>
    </row>
    <row r="297" spans="2:73">
      <c r="B297" s="407" t="s">
        <v>603</v>
      </c>
      <c r="C297" s="408"/>
      <c r="D297" s="408"/>
      <c r="E297" s="408"/>
      <c r="F297" s="421">
        <v>-0.023141322753635</v>
      </c>
      <c r="G297" s="422">
        <v>0.127108451400423</v>
      </c>
      <c r="H297" s="422">
        <v>0.0694257997669432</v>
      </c>
      <c r="I297" s="422">
        <v>-0.0344371230100166</v>
      </c>
      <c r="J297" s="422">
        <v>0.254573714556818</v>
      </c>
      <c r="K297" s="422">
        <v>0.326226618051842</v>
      </c>
      <c r="L297" s="446">
        <v>0.162718084815118</v>
      </c>
      <c r="M297" s="441"/>
      <c r="N297" s="421">
        <v>-0.0317835884972004</v>
      </c>
      <c r="O297" s="422">
        <v>0.293079074071364</v>
      </c>
      <c r="P297" s="422">
        <v>0.475233015161357</v>
      </c>
      <c r="Q297" s="422">
        <v>-0.0180254873896791</v>
      </c>
      <c r="R297" s="422">
        <v>0.627670892392481</v>
      </c>
      <c r="S297" s="422">
        <v>0.321091300950019</v>
      </c>
      <c r="T297" s="422">
        <v>-0.0684939983096129</v>
      </c>
      <c r="U297" s="422">
        <v>-0.235250162240415</v>
      </c>
      <c r="V297" s="422">
        <v>0.596423083596143</v>
      </c>
      <c r="W297" s="422">
        <v>0.0176924162203855</v>
      </c>
      <c r="X297" s="422">
        <v>0.0676138961871802</v>
      </c>
      <c r="Y297" s="422">
        <v>0.692390473093955</v>
      </c>
      <c r="Z297" s="422">
        <v>-0.112305791103993</v>
      </c>
      <c r="AA297" s="422">
        <v>0.329685377305797</v>
      </c>
      <c r="AB297" s="422">
        <v>-0.426063900743616</v>
      </c>
      <c r="AC297" s="422">
        <v>0.157065049619389</v>
      </c>
      <c r="AD297" s="422">
        <v>1.26917469204015</v>
      </c>
      <c r="AE297" s="446">
        <v>-0.724077921124452</v>
      </c>
      <c r="AS297" s="361" t="s">
        <v>604</v>
      </c>
      <c r="AT297" s="364">
        <v>0.44</v>
      </c>
      <c r="AU297" s="365">
        <v>45716</v>
      </c>
      <c r="AV297" s="364">
        <v>2607.56245434</v>
      </c>
      <c r="AW297" s="3"/>
      <c r="AX297" s="376">
        <v>0.008276</v>
      </c>
      <c r="AY297" s="376">
        <v>0.019662</v>
      </c>
      <c r="AZ297" s="376">
        <v>0.037716</v>
      </c>
      <c r="BA297" s="376">
        <v>0.075734</v>
      </c>
      <c r="BB297" s="376">
        <v>0.065965</v>
      </c>
      <c r="BC297" s="376" t="s">
        <v>129</v>
      </c>
      <c r="BD297" s="376" t="s">
        <v>129</v>
      </c>
      <c r="BE297" s="4"/>
      <c r="BF297" s="376">
        <v>0.019662</v>
      </c>
      <c r="BG297" s="376">
        <v>0.0752291117385193</v>
      </c>
      <c r="BH297" s="376">
        <v>0.0675072375373144</v>
      </c>
      <c r="BI297" s="376">
        <v>0.0437219014171147</v>
      </c>
      <c r="BJ297" s="376">
        <v>0.0119505</v>
      </c>
      <c r="BK297" s="376" t="s">
        <v>129</v>
      </c>
      <c r="BL297" s="376" t="s">
        <v>129</v>
      </c>
      <c r="BM297" s="376" t="s">
        <v>129</v>
      </c>
      <c r="BN297" s="376" t="s">
        <v>129</v>
      </c>
      <c r="BO297" s="376" t="s">
        <v>129</v>
      </c>
      <c r="BP297" s="376" t="s">
        <v>129</v>
      </c>
      <c r="BQ297" s="376" t="s">
        <v>129</v>
      </c>
      <c r="BR297" s="376" t="s">
        <v>129</v>
      </c>
      <c r="BS297" s="376" t="s">
        <v>129</v>
      </c>
      <c r="BT297" s="376" t="s">
        <v>129</v>
      </c>
      <c r="BU297" s="376" t="s">
        <v>129</v>
      </c>
    </row>
    <row r="298" spans="2:73">
      <c r="B298" s="411" t="s">
        <v>605</v>
      </c>
      <c r="C298" s="412"/>
      <c r="D298" s="412"/>
      <c r="E298" s="412"/>
      <c r="F298" s="423">
        <v>-0.0580993022317052</v>
      </c>
      <c r="G298" s="424">
        <v>0.092286086869295</v>
      </c>
      <c r="H298" s="424">
        <v>0.0624748449387558</v>
      </c>
      <c r="I298" s="424">
        <v>-0.0611711358260113</v>
      </c>
      <c r="J298" s="424">
        <v>0.251266634586403</v>
      </c>
      <c r="K298" s="424">
        <v>0.290973134384938</v>
      </c>
      <c r="L298" s="447">
        <v>0.121207411605711</v>
      </c>
      <c r="M298" s="441"/>
      <c r="N298" s="423">
        <v>-0.0427409764806843</v>
      </c>
      <c r="O298" s="424">
        <v>0.239411013097219</v>
      </c>
      <c r="P298" s="424">
        <v>0.556180882153465</v>
      </c>
      <c r="Q298" s="424">
        <v>-0.137983878111436</v>
      </c>
      <c r="R298" s="424">
        <v>0.592781759692985</v>
      </c>
      <c r="S298" s="424">
        <v>0.214722138909122</v>
      </c>
      <c r="T298" s="424">
        <v>-0.0952683686997511</v>
      </c>
      <c r="U298" s="424">
        <v>-0.290776125147774</v>
      </c>
      <c r="V298" s="424">
        <v>0.572995320757329</v>
      </c>
      <c r="W298" s="424">
        <v>0.0225620434082747</v>
      </c>
      <c r="X298" s="424">
        <v>0.0721424642985835</v>
      </c>
      <c r="Y298" s="424">
        <v>0.549531282141702</v>
      </c>
      <c r="Z298" s="424">
        <v>-0.082813363341105</v>
      </c>
      <c r="AA298" s="424">
        <v>0.368125080664491</v>
      </c>
      <c r="AB298" s="424">
        <v>-0.338736067456553</v>
      </c>
      <c r="AC298" s="424">
        <v>0.176341846803433</v>
      </c>
      <c r="AD298" s="424">
        <v>1.07012772628216</v>
      </c>
      <c r="AE298" s="447">
        <v>-0.709680144257457</v>
      </c>
      <c r="AS298" s="361" t="s">
        <v>606</v>
      </c>
      <c r="AT298" s="364">
        <v>0.44</v>
      </c>
      <c r="AU298" s="365">
        <v>45716</v>
      </c>
      <c r="AV298" s="364">
        <v>16856.3123</v>
      </c>
      <c r="AW298" s="3"/>
      <c r="AX298" s="376">
        <v>0.008691</v>
      </c>
      <c r="AY298" s="376">
        <v>0.020162</v>
      </c>
      <c r="AZ298" s="376">
        <v>0.038408</v>
      </c>
      <c r="BA298" s="376">
        <v>0.077177</v>
      </c>
      <c r="BB298" s="376">
        <v>0.070102</v>
      </c>
      <c r="BC298" s="376">
        <v>0.060642</v>
      </c>
      <c r="BD298" s="376">
        <v>0.068113</v>
      </c>
      <c r="BE298" s="4"/>
      <c r="BF298" s="376">
        <v>0.020162</v>
      </c>
      <c r="BG298" s="376">
        <v>0.0775192569730869</v>
      </c>
      <c r="BH298" s="376">
        <v>0.0735299467638275</v>
      </c>
      <c r="BI298" s="376">
        <v>0.0499272703046236</v>
      </c>
      <c r="BJ298" s="376">
        <v>0.0378902059219008</v>
      </c>
      <c r="BK298" s="376">
        <v>0.0596569215377331</v>
      </c>
      <c r="BL298" s="376">
        <v>0.0808179669526793</v>
      </c>
      <c r="BM298" s="376">
        <v>0.0791855449184288</v>
      </c>
      <c r="BN298" s="376">
        <v>0.0659848052418566</v>
      </c>
      <c r="BO298" s="376">
        <v>0.0758965007498293</v>
      </c>
      <c r="BP298" s="376">
        <v>0.083379847819285</v>
      </c>
      <c r="BQ298" s="376">
        <v>0.0907497044623447</v>
      </c>
      <c r="BR298" s="376">
        <v>0.092474176833736</v>
      </c>
      <c r="BS298" s="376">
        <v>0.0964565731344797</v>
      </c>
      <c r="BT298" s="376">
        <v>0.0902036388261227</v>
      </c>
      <c r="BU298" s="376">
        <v>0.0543659611671707</v>
      </c>
    </row>
    <row r="299" spans="2:73">
      <c r="B299" s="399" t="s">
        <v>162</v>
      </c>
      <c r="C299" s="400"/>
      <c r="D299" s="400"/>
      <c r="E299" s="400"/>
      <c r="F299" s="425">
        <f t="shared" ref="F299:L299" si="42">+AVERAGE(F280:F294)</f>
        <v>-0.0226333333333333</v>
      </c>
      <c r="G299" s="426">
        <f t="shared" si="42"/>
        <v>0.106936191878133</v>
      </c>
      <c r="H299" s="426">
        <f t="shared" si="42"/>
        <v>0.0766389003840859</v>
      </c>
      <c r="I299" s="426">
        <f t="shared" si="42"/>
        <v>-0.0214229849020235</v>
      </c>
      <c r="J299" s="426">
        <f t="shared" si="42"/>
        <v>0.197637619551718</v>
      </c>
      <c r="K299" s="426">
        <f t="shared" si="42"/>
        <v>0.264751051233061</v>
      </c>
      <c r="L299" s="448">
        <f t="shared" si="42"/>
        <v>0.154817170212167</v>
      </c>
      <c r="M299" s="441"/>
      <c r="N299" s="425">
        <f t="shared" ref="N299:AB299" si="43">+AVERAGE(N280:N294)</f>
        <v>-0.00498130033688513</v>
      </c>
      <c r="O299" s="426">
        <f t="shared" si="43"/>
        <v>0.193219182230112</v>
      </c>
      <c r="P299" s="426">
        <f t="shared" si="43"/>
        <v>0.399283172674536</v>
      </c>
      <c r="Q299" s="426">
        <f t="shared" si="43"/>
        <v>-0.0214963803317574</v>
      </c>
      <c r="R299" s="426">
        <f t="shared" si="43"/>
        <v>0.570348570935998</v>
      </c>
      <c r="S299" s="426">
        <f t="shared" si="43"/>
        <v>0.384336931922075</v>
      </c>
      <c r="T299" s="426">
        <f t="shared" si="43"/>
        <v>-0.0252569215191956</v>
      </c>
      <c r="U299" s="426">
        <f t="shared" si="43"/>
        <v>-0.144348002475967</v>
      </c>
      <c r="V299" s="426">
        <f t="shared" si="43"/>
        <v>0.631202042720633</v>
      </c>
      <c r="W299" s="426">
        <f t="shared" si="43"/>
        <v>0.0965190374940317</v>
      </c>
      <c r="X299" s="426">
        <f t="shared" si="43"/>
        <v>0.266661049049017</v>
      </c>
      <c r="Y299" s="426">
        <f t="shared" si="43"/>
        <v>0.945801110013085</v>
      </c>
      <c r="Z299" s="426">
        <f t="shared" si="43"/>
        <v>0.0708376576833</v>
      </c>
      <c r="AA299" s="426">
        <f t="shared" si="43"/>
        <v>0.442367548146198</v>
      </c>
      <c r="AB299" s="426" t="e">
        <f t="shared" si="43"/>
        <v>#DIV/0!</v>
      </c>
      <c r="AC299" s="426" t="s">
        <v>129</v>
      </c>
      <c r="AD299" s="426" t="s">
        <v>129</v>
      </c>
      <c r="AE299" s="448" t="s">
        <v>129</v>
      </c>
      <c r="AS299" s="361" t="s">
        <v>607</v>
      </c>
      <c r="AT299" s="364">
        <v>0.46</v>
      </c>
      <c r="AU299" s="365">
        <v>45716</v>
      </c>
      <c r="AV299" s="364">
        <v>176.7757</v>
      </c>
      <c r="AW299" s="3"/>
      <c r="AX299" s="376">
        <v>0.00828</v>
      </c>
      <c r="AY299" s="376">
        <v>0.019097</v>
      </c>
      <c r="AZ299" s="376">
        <v>0.036464</v>
      </c>
      <c r="BA299" s="376">
        <v>0.073251</v>
      </c>
      <c r="BB299" s="376">
        <v>0.065915</v>
      </c>
      <c r="BC299" s="376">
        <v>0.05365</v>
      </c>
      <c r="BD299" s="376" t="s">
        <v>129</v>
      </c>
      <c r="BE299" s="4"/>
      <c r="BF299" s="376">
        <v>0.019097</v>
      </c>
      <c r="BG299" s="376">
        <v>0.0725414694628233</v>
      </c>
      <c r="BH299" s="376">
        <v>0.0708816413787598</v>
      </c>
      <c r="BI299" s="376">
        <v>0.0438377132140824</v>
      </c>
      <c r="BJ299" s="376">
        <v>0.0283416579059899</v>
      </c>
      <c r="BK299" s="376">
        <v>0.0364495999999999</v>
      </c>
      <c r="BL299" s="376" t="s">
        <v>129</v>
      </c>
      <c r="BM299" s="376" t="s">
        <v>129</v>
      </c>
      <c r="BN299" s="376" t="s">
        <v>129</v>
      </c>
      <c r="BO299" s="376" t="s">
        <v>129</v>
      </c>
      <c r="BP299" s="376" t="s">
        <v>129</v>
      </c>
      <c r="BQ299" s="376" t="s">
        <v>129</v>
      </c>
      <c r="BR299" s="376" t="s">
        <v>129</v>
      </c>
      <c r="BS299" s="376" t="s">
        <v>129</v>
      </c>
      <c r="BT299" s="376" t="s">
        <v>129</v>
      </c>
      <c r="BU299" s="376" t="s">
        <v>129</v>
      </c>
    </row>
    <row r="300" spans="2:73">
      <c r="B300" s="427" t="s">
        <v>517</v>
      </c>
      <c r="C300" s="427"/>
      <c r="D300" s="427"/>
      <c r="E300" s="427"/>
      <c r="F300" s="428"/>
      <c r="G300" s="428"/>
      <c r="H300" s="428"/>
      <c r="I300" s="428"/>
      <c r="J300" s="428"/>
      <c r="K300" s="428"/>
      <c r="L300" s="428"/>
      <c r="M300" s="428"/>
      <c r="N300" s="428"/>
      <c r="O300" s="428"/>
      <c r="P300" s="428"/>
      <c r="Q300" s="428"/>
      <c r="R300" s="428"/>
      <c r="S300" s="428"/>
      <c r="T300" s="428"/>
      <c r="U300" s="428"/>
      <c r="V300" s="428"/>
      <c r="W300" s="428"/>
      <c r="X300" s="428"/>
      <c r="Y300" s="428"/>
      <c r="Z300" s="428"/>
      <c r="AA300" s="428"/>
      <c r="AB300" s="428"/>
      <c r="AC300" s="428"/>
      <c r="AD300" s="428"/>
      <c r="AE300" s="428"/>
      <c r="AS300" s="361" t="s">
        <v>608</v>
      </c>
      <c r="AT300" s="364">
        <v>0.69</v>
      </c>
      <c r="AU300" s="365">
        <v>45716</v>
      </c>
      <c r="AV300" s="364">
        <v>26155.0808</v>
      </c>
      <c r="AW300" s="3"/>
      <c r="AX300" s="376">
        <v>0.00831</v>
      </c>
      <c r="AY300" s="376">
        <v>0.019312</v>
      </c>
      <c r="AZ300" s="376">
        <v>0.036377</v>
      </c>
      <c r="BA300" s="376">
        <v>0.072948</v>
      </c>
      <c r="BB300" s="376">
        <v>0.0648</v>
      </c>
      <c r="BC300" s="376">
        <v>0.055859</v>
      </c>
      <c r="BD300" s="376">
        <v>0.064835</v>
      </c>
      <c r="BE300" s="4"/>
      <c r="BF300" s="376">
        <v>0.019312</v>
      </c>
      <c r="BG300" s="376">
        <v>0.0725910478565593</v>
      </c>
      <c r="BH300" s="376">
        <v>0.0688819183528086</v>
      </c>
      <c r="BI300" s="376">
        <v>0.043073382950419</v>
      </c>
      <c r="BJ300" s="376">
        <v>0.0333578961056652</v>
      </c>
      <c r="BK300" s="376">
        <v>0.0566708107047047</v>
      </c>
      <c r="BL300" s="376">
        <v>0.0770943893552093</v>
      </c>
      <c r="BM300" s="376">
        <v>0.0705644020416709</v>
      </c>
      <c r="BN300" s="376">
        <v>0.0633918363253435</v>
      </c>
      <c r="BO300" s="376">
        <v>0.0835358193838917</v>
      </c>
      <c r="BP300" s="376">
        <v>0.0826772209384957</v>
      </c>
      <c r="BQ300" s="376">
        <v>0.0894190148066117</v>
      </c>
      <c r="BR300" s="376">
        <v>0.0920940649496081</v>
      </c>
      <c r="BS300" s="376">
        <v>0.0992866331423225</v>
      </c>
      <c r="BT300" s="376">
        <v>0.0950554709299974</v>
      </c>
      <c r="BU300" s="376">
        <v>0.0583208502746273</v>
      </c>
    </row>
    <row r="301" spans="45:73">
      <c r="AS301" s="361" t="s">
        <v>609</v>
      </c>
      <c r="AT301" s="364">
        <v>0.52</v>
      </c>
      <c r="AU301" s="365">
        <v>45716</v>
      </c>
      <c r="AV301" s="364">
        <v>1063.827635</v>
      </c>
      <c r="AW301" s="3"/>
      <c r="AX301" s="376">
        <v>0.008297</v>
      </c>
      <c r="AY301" s="376">
        <v>0.019814</v>
      </c>
      <c r="AZ301" s="376">
        <v>0.037881</v>
      </c>
      <c r="BA301" s="376">
        <v>0.075706</v>
      </c>
      <c r="BB301" s="376">
        <v>0.067637</v>
      </c>
      <c r="BC301" s="376">
        <v>0.056309</v>
      </c>
      <c r="BD301" s="376" t="s">
        <v>129</v>
      </c>
      <c r="BE301" s="4"/>
      <c r="BF301" s="376">
        <v>0.019814</v>
      </c>
      <c r="BG301" s="376">
        <v>0.0751209764608514</v>
      </c>
      <c r="BH301" s="376">
        <v>0.0702902425204893</v>
      </c>
      <c r="BI301" s="376">
        <v>0.0463430723369435</v>
      </c>
      <c r="BJ301" s="376">
        <v>0.0336259202679026</v>
      </c>
      <c r="BK301" s="376">
        <v>0.0518942867259208</v>
      </c>
      <c r="BL301" s="376">
        <v>0.0777592954990214</v>
      </c>
      <c r="BM301" s="376">
        <v>0.0220000000000001</v>
      </c>
      <c r="BN301" s="376" t="s">
        <v>129</v>
      </c>
      <c r="BO301" s="376" t="s">
        <v>129</v>
      </c>
      <c r="BP301" s="376" t="s">
        <v>129</v>
      </c>
      <c r="BQ301" s="376" t="s">
        <v>129</v>
      </c>
      <c r="BR301" s="376" t="s">
        <v>129</v>
      </c>
      <c r="BS301" s="376" t="s">
        <v>129</v>
      </c>
      <c r="BT301" s="376" t="s">
        <v>129</v>
      </c>
      <c r="BU301" s="376" t="s">
        <v>129</v>
      </c>
    </row>
    <row r="302" spans="45:73">
      <c r="AS302" s="361" t="s">
        <v>610</v>
      </c>
      <c r="AT302" s="364">
        <v>0.42</v>
      </c>
      <c r="AU302" s="365">
        <v>45716</v>
      </c>
      <c r="AV302" s="364">
        <v>28157.2871013668</v>
      </c>
      <c r="AW302" s="3"/>
      <c r="AX302" s="376">
        <v>0.008756</v>
      </c>
      <c r="AY302" s="376">
        <v>0.020466</v>
      </c>
      <c r="AZ302" s="376">
        <v>0.038554</v>
      </c>
      <c r="BA302" s="376">
        <v>0.07711</v>
      </c>
      <c r="BB302" s="376">
        <v>0.069517</v>
      </c>
      <c r="BC302" s="376">
        <v>0.061015</v>
      </c>
      <c r="BD302" s="376">
        <v>0.060298</v>
      </c>
      <c r="BE302" s="4"/>
      <c r="BF302" s="376">
        <v>0.020466</v>
      </c>
      <c r="BG302" s="376">
        <v>0.0771237524663095</v>
      </c>
      <c r="BH302" s="376">
        <v>0.073694802740815</v>
      </c>
      <c r="BI302" s="376">
        <v>0.047942091366625</v>
      </c>
      <c r="BJ302" s="376">
        <v>0.03925430436481</v>
      </c>
      <c r="BK302" s="376">
        <v>0.0638513680844198</v>
      </c>
      <c r="BL302" s="376">
        <v>0.0809191604124542</v>
      </c>
      <c r="BM302" s="376">
        <v>-0.0010680824815159</v>
      </c>
      <c r="BN302" s="376">
        <v>0.0665563710264208</v>
      </c>
      <c r="BO302" s="376">
        <v>0.0757023297013057</v>
      </c>
      <c r="BP302" s="376">
        <v>0.0833669991947924</v>
      </c>
      <c r="BQ302" s="376">
        <v>0.0899733564426953</v>
      </c>
      <c r="BR302" s="376">
        <v>0.0920468040974805</v>
      </c>
      <c r="BS302" s="376">
        <v>0.0965608555205852</v>
      </c>
      <c r="BT302" s="376">
        <v>0.0898536117061947</v>
      </c>
      <c r="BU302" s="376">
        <v>0.0551156682233699</v>
      </c>
    </row>
    <row r="303" spans="45:73">
      <c r="AS303" s="361" t="s">
        <v>611</v>
      </c>
      <c r="AT303" s="364">
        <v>0.46</v>
      </c>
      <c r="AU303" s="365">
        <v>45716</v>
      </c>
      <c r="AV303" s="364">
        <v>88.713128232</v>
      </c>
      <c r="AW303" s="3"/>
      <c r="AX303" s="376">
        <v>0.007862</v>
      </c>
      <c r="AY303" s="376">
        <v>0.018971</v>
      </c>
      <c r="AZ303" s="376">
        <v>0.037059</v>
      </c>
      <c r="BA303" s="376">
        <v>0.074497</v>
      </c>
      <c r="BB303" s="376" t="s">
        <v>129</v>
      </c>
      <c r="BC303" s="376" t="s">
        <v>129</v>
      </c>
      <c r="BD303" s="376" t="s">
        <v>129</v>
      </c>
      <c r="BE303" s="4"/>
      <c r="BF303" s="376">
        <v>0.018971</v>
      </c>
      <c r="BG303" s="376">
        <v>0.0742259532020809</v>
      </c>
      <c r="BH303" s="376">
        <v>0.0700034554321143</v>
      </c>
      <c r="BI303" s="376">
        <v>0.0224481</v>
      </c>
      <c r="BJ303" s="376" t="s">
        <v>129</v>
      </c>
      <c r="BK303" s="376" t="s">
        <v>129</v>
      </c>
      <c r="BL303" s="376" t="s">
        <v>129</v>
      </c>
      <c r="BM303" s="376" t="s">
        <v>129</v>
      </c>
      <c r="BN303" s="376" t="s">
        <v>129</v>
      </c>
      <c r="BO303" s="376" t="s">
        <v>129</v>
      </c>
      <c r="BP303" s="376" t="s">
        <v>129</v>
      </c>
      <c r="BQ303" s="376" t="s">
        <v>129</v>
      </c>
      <c r="BR303" s="376" t="s">
        <v>129</v>
      </c>
      <c r="BS303" s="376" t="s">
        <v>129</v>
      </c>
      <c r="BT303" s="376" t="s">
        <v>129</v>
      </c>
      <c r="BU303" s="376" t="s">
        <v>129</v>
      </c>
    </row>
    <row r="304" spans="45:73">
      <c r="AS304" s="361" t="s">
        <v>612</v>
      </c>
      <c r="AT304" s="364">
        <v>0.89</v>
      </c>
      <c r="AU304" s="365">
        <v>45716</v>
      </c>
      <c r="AV304" s="364">
        <v>188.7468</v>
      </c>
      <c r="AW304" s="3"/>
      <c r="AX304" s="376">
        <v>0.00749</v>
      </c>
      <c r="AY304" s="376">
        <v>0.017651</v>
      </c>
      <c r="AZ304" s="376">
        <v>0.033886</v>
      </c>
      <c r="BA304" s="376">
        <v>0.067777</v>
      </c>
      <c r="BB304" s="376">
        <v>0.059968</v>
      </c>
      <c r="BC304" s="376" t="s">
        <v>129</v>
      </c>
      <c r="BD304" s="376" t="s">
        <v>129</v>
      </c>
      <c r="BE304" s="4"/>
      <c r="BF304" s="376">
        <v>0.017651</v>
      </c>
      <c r="BG304" s="376">
        <v>0.0669589319531224</v>
      </c>
      <c r="BH304" s="376">
        <v>0.0623832548831554</v>
      </c>
      <c r="BI304" s="376">
        <v>0.0404455083665904</v>
      </c>
      <c r="BJ304" s="376">
        <v>0.00876220000000001</v>
      </c>
      <c r="BK304" s="376" t="s">
        <v>129</v>
      </c>
      <c r="BL304" s="376" t="s">
        <v>129</v>
      </c>
      <c r="BM304" s="376" t="s">
        <v>129</v>
      </c>
      <c r="BN304" s="376" t="s">
        <v>129</v>
      </c>
      <c r="BO304" s="376" t="s">
        <v>129</v>
      </c>
      <c r="BP304" s="376" t="s">
        <v>129</v>
      </c>
      <c r="BQ304" s="376" t="s">
        <v>129</v>
      </c>
      <c r="BR304" s="376" t="s">
        <v>129</v>
      </c>
      <c r="BS304" s="376" t="s">
        <v>129</v>
      </c>
      <c r="BT304" s="376" t="s">
        <v>129</v>
      </c>
      <c r="BU304" s="376" t="s">
        <v>129</v>
      </c>
    </row>
    <row r="305" ht="15.15" spans="45:73">
      <c r="AS305" s="361" t="s">
        <v>613</v>
      </c>
      <c r="AT305" s="364">
        <v>0.23</v>
      </c>
      <c r="AU305" s="365">
        <v>45716</v>
      </c>
      <c r="AV305" s="364">
        <v>18083.1275</v>
      </c>
      <c r="AW305" s="3"/>
      <c r="AX305" s="376">
        <v>0.008767</v>
      </c>
      <c r="AY305" s="376">
        <v>0.020381</v>
      </c>
      <c r="AZ305" s="376">
        <v>0.038822</v>
      </c>
      <c r="BA305" s="376">
        <v>0.07778</v>
      </c>
      <c r="BB305" s="376">
        <v>0.070184</v>
      </c>
      <c r="BC305" s="376">
        <v>0.060875</v>
      </c>
      <c r="BD305" s="376">
        <v>0.068079</v>
      </c>
      <c r="BE305" s="4"/>
      <c r="BF305" s="376">
        <v>0.020381</v>
      </c>
      <c r="BG305" s="376">
        <v>0.0774065344676638</v>
      </c>
      <c r="BH305" s="376">
        <v>0.0743476239722872</v>
      </c>
      <c r="BI305" s="376">
        <v>0.0491209468810742</v>
      </c>
      <c r="BJ305" s="376">
        <v>0.0374976953311509</v>
      </c>
      <c r="BK305" s="376">
        <v>0.0603338166540226</v>
      </c>
      <c r="BL305" s="376">
        <v>0.0797506313799471</v>
      </c>
      <c r="BM305" s="376">
        <v>0.0777854930785187</v>
      </c>
      <c r="BN305" s="376">
        <v>0.0666896629542728</v>
      </c>
      <c r="BO305" s="376">
        <v>0.0767291420404194</v>
      </c>
      <c r="BP305" s="376">
        <v>0.0835160619408699</v>
      </c>
      <c r="BQ305" s="376">
        <v>0.0909259265720037</v>
      </c>
      <c r="BR305" s="376">
        <v>0.091850277353705</v>
      </c>
      <c r="BS305" s="376">
        <v>0.0965484789148539</v>
      </c>
      <c r="BT305" s="376">
        <v>0.0900367977099765</v>
      </c>
      <c r="BU305" s="376">
        <v>0.0539922444709487</v>
      </c>
    </row>
    <row r="306" ht="15.15" spans="45:73">
      <c r="AS306" s="312" t="s">
        <v>162</v>
      </c>
      <c r="AT306"/>
      <c r="AU306"/>
      <c r="AV306"/>
      <c r="AW306" s="377"/>
      <c r="AX306" s="378">
        <f t="shared" ref="AX306:BD306" si="44">AVERAGE(AX282:AX305)</f>
        <v>0.00837858333333334</v>
      </c>
      <c r="AY306" s="378">
        <f t="shared" si="44"/>
        <v>0.019560652173913</v>
      </c>
      <c r="AZ306" s="378">
        <f t="shared" si="44"/>
        <v>0.0371845217391304</v>
      </c>
      <c r="BA306" s="378">
        <f t="shared" si="44"/>
        <v>0.0743728260869565</v>
      </c>
      <c r="BB306" s="378">
        <f t="shared" si="44"/>
        <v>0.06664195</v>
      </c>
      <c r="BC306" s="378">
        <f t="shared" si="44"/>
        <v>0.0573576111111111</v>
      </c>
      <c r="BD306" s="378">
        <f t="shared" si="44"/>
        <v>0.0656819285714286</v>
      </c>
      <c r="BE306" s="377"/>
      <c r="BF306" s="378">
        <f t="shared" ref="BF306:BU306" si="45">AVERAGE(BF282:BF305)</f>
        <v>0.019560652173913</v>
      </c>
      <c r="BG306" s="378">
        <f t="shared" si="45"/>
        <v>0.0740802994366816</v>
      </c>
      <c r="BH306" s="378">
        <f t="shared" si="45"/>
        <v>0.0685202872671622</v>
      </c>
      <c r="BI306" s="378">
        <f t="shared" si="45"/>
        <v>0.0421036213371835</v>
      </c>
      <c r="BJ306" s="378">
        <f t="shared" si="45"/>
        <v>0.0320769751436579</v>
      </c>
      <c r="BK306" s="378">
        <f t="shared" si="45"/>
        <v>0.0568272965291606</v>
      </c>
      <c r="BL306" s="378">
        <f t="shared" si="45"/>
        <v>0.0759756797486273</v>
      </c>
      <c r="BM306" s="378">
        <f t="shared" si="45"/>
        <v>0.0651022775055974</v>
      </c>
      <c r="BN306" s="378">
        <f t="shared" si="45"/>
        <v>0.0633041827227027</v>
      </c>
      <c r="BO306" s="378">
        <f t="shared" si="45"/>
        <v>0.0793253760212988</v>
      </c>
      <c r="BP306" s="378">
        <f t="shared" si="45"/>
        <v>0.082034997163217</v>
      </c>
      <c r="BQ306" s="378">
        <f t="shared" si="45"/>
        <v>0.0921344553413858</v>
      </c>
      <c r="BR306" s="378">
        <f t="shared" si="45"/>
        <v>0.0885253940046287</v>
      </c>
      <c r="BS306" s="378">
        <f t="shared" si="45"/>
        <v>0.0948893906575121</v>
      </c>
      <c r="BT306" s="378">
        <f t="shared" si="45"/>
        <v>0.0864258419283245</v>
      </c>
      <c r="BU306" s="378">
        <f t="shared" si="45"/>
        <v>0.0525928365505257</v>
      </c>
    </row>
    <row r="307" spans="45:73">
      <c r="AS307" s="312" t="s">
        <v>178</v>
      </c>
      <c r="AT307"/>
      <c r="AU307"/>
      <c r="AV307"/>
      <c r="AW307"/>
      <c r="AX307" s="379">
        <v>0.0087263867959253</v>
      </c>
      <c r="AY307" s="379">
        <v>0.0207643930788102</v>
      </c>
      <c r="AZ307" s="379">
        <v>0.0377184412193585</v>
      </c>
      <c r="BA307" s="379">
        <v>0.080280059411505</v>
      </c>
      <c r="BB307" s="379">
        <v>0.0659301709109001</v>
      </c>
      <c r="BC307" s="379">
        <v>0.0655149768088614</v>
      </c>
      <c r="BD307" s="379">
        <v>0.0738047315298365</v>
      </c>
      <c r="BE307" s="382"/>
      <c r="BF307" s="379">
        <v>0.0207643930788102</v>
      </c>
      <c r="BG307" s="379">
        <v>0.0797029257152309</v>
      </c>
      <c r="BH307" s="379">
        <v>0.0725988870220093</v>
      </c>
      <c r="BI307" s="379">
        <v>0.0358682288812193</v>
      </c>
      <c r="BJ307" s="379">
        <v>0.0437965988907254</v>
      </c>
      <c r="BK307" s="379">
        <v>0.104161972570555</v>
      </c>
      <c r="BL307" s="379">
        <v>0.0953364838894115</v>
      </c>
      <c r="BM307" s="379">
        <v>0.0665068187794211</v>
      </c>
      <c r="BN307" s="379">
        <v>0.0602957159773323</v>
      </c>
      <c r="BO307" s="379">
        <v>0.0986738756953636</v>
      </c>
      <c r="BP307" s="379">
        <v>0.0865549936165921</v>
      </c>
      <c r="BQ307" s="379">
        <v>0.104681934209951</v>
      </c>
      <c r="BR307" s="379">
        <v>0.0827206164504672</v>
      </c>
      <c r="BS307" s="379">
        <v>0.0912371315059957</v>
      </c>
      <c r="BT307" s="379">
        <v>0.0786771029274067</v>
      </c>
      <c r="BU307" s="379">
        <v>0.0470040326565153</v>
      </c>
    </row>
    <row r="308" ht="15.15" spans="45:73">
      <c r="AS308"/>
      <c r="AT308"/>
      <c r="AU308"/>
      <c r="AV308"/>
      <c r="AW308"/>
      <c r="AX308"/>
      <c r="AY308"/>
      <c r="AZ308"/>
      <c r="BA308"/>
      <c r="BB308"/>
      <c r="BC308"/>
      <c r="BD308"/>
      <c r="BE308"/>
      <c r="BF308"/>
      <c r="BG308"/>
      <c r="BH308"/>
      <c r="BI308"/>
      <c r="BJ308"/>
      <c r="BK308"/>
      <c r="BL308"/>
      <c r="BM308"/>
      <c r="BN308"/>
      <c r="BO308"/>
      <c r="BP308"/>
      <c r="BQ308"/>
      <c r="BR308"/>
      <c r="BS308"/>
      <c r="BT308"/>
      <c r="BU308"/>
    </row>
    <row r="309" ht="15.15" spans="45:73">
      <c r="AS309" s="320" t="s">
        <v>614</v>
      </c>
      <c r="AT309" s="351" t="s">
        <v>87</v>
      </c>
      <c r="AU309" s="393" t="s">
        <v>110</v>
      </c>
      <c r="AV309" s="394"/>
      <c r="AW309" s="368"/>
      <c r="AX309" s="325" t="s">
        <v>113</v>
      </c>
      <c r="AY309" s="326"/>
      <c r="AZ309" s="326"/>
      <c r="BA309" s="326"/>
      <c r="BB309" s="326"/>
      <c r="BC309" s="326"/>
      <c r="BD309" s="345"/>
      <c r="BE309" s="368"/>
      <c r="BF309" s="393" t="s">
        <v>114</v>
      </c>
      <c r="BG309" s="396"/>
      <c r="BH309" s="396"/>
      <c r="BI309" s="396"/>
      <c r="BJ309" s="396"/>
      <c r="BK309" s="396"/>
      <c r="BL309" s="396"/>
      <c r="BM309" s="396"/>
      <c r="BN309" s="396"/>
      <c r="BO309" s="396"/>
      <c r="BP309" s="396"/>
      <c r="BQ309" s="396"/>
      <c r="BR309" s="396"/>
      <c r="BS309" s="396"/>
      <c r="BT309" s="396"/>
      <c r="BU309" s="398"/>
    </row>
    <row r="310" ht="15.15" spans="45:73">
      <c r="AS310" s="322"/>
      <c r="AT310" s="355" t="s">
        <v>121</v>
      </c>
      <c r="AU310" s="356" t="s">
        <v>115</v>
      </c>
      <c r="AV310" s="357" t="s">
        <v>116</v>
      </c>
      <c r="AW310" s="369"/>
      <c r="AX310" s="266" t="s">
        <v>122</v>
      </c>
      <c r="AY310" s="268" t="s">
        <v>123</v>
      </c>
      <c r="AZ310" s="268" t="s">
        <v>124</v>
      </c>
      <c r="BA310" s="268" t="s">
        <v>91</v>
      </c>
      <c r="BB310" s="268" t="s">
        <v>125</v>
      </c>
      <c r="BC310" s="268" t="s">
        <v>126</v>
      </c>
      <c r="BD310" s="269" t="s">
        <v>127</v>
      </c>
      <c r="BE310" s="369"/>
      <c r="BF310" s="266">
        <v>2025</v>
      </c>
      <c r="BG310" s="266">
        <v>2024</v>
      </c>
      <c r="BH310" s="266">
        <v>2023</v>
      </c>
      <c r="BI310" s="268">
        <v>2022</v>
      </c>
      <c r="BJ310" s="268">
        <v>2021</v>
      </c>
      <c r="BK310" s="268">
        <v>2020</v>
      </c>
      <c r="BL310" s="268">
        <v>2019</v>
      </c>
      <c r="BM310" s="268">
        <v>2018</v>
      </c>
      <c r="BN310" s="268">
        <v>2017</v>
      </c>
      <c r="BO310" s="268">
        <v>2016</v>
      </c>
      <c r="BP310" s="268">
        <v>2015</v>
      </c>
      <c r="BQ310" s="268">
        <v>2014</v>
      </c>
      <c r="BR310" s="268">
        <v>2013</v>
      </c>
      <c r="BS310" s="268">
        <v>2012</v>
      </c>
      <c r="BT310" s="268">
        <v>2011</v>
      </c>
      <c r="BU310" s="269">
        <v>2010</v>
      </c>
    </row>
    <row r="311" spans="45:73">
      <c r="AS311" s="361" t="s">
        <v>615</v>
      </c>
      <c r="AT311" s="364">
        <v>0.16</v>
      </c>
      <c r="AU311" s="365">
        <v>45716</v>
      </c>
      <c r="AV311" s="364">
        <v>8138.1146</v>
      </c>
      <c r="AW311" s="3"/>
      <c r="AX311" s="376">
        <v>0.005297</v>
      </c>
      <c r="AY311" s="376">
        <v>0.015605</v>
      </c>
      <c r="AZ311" s="376">
        <v>0.031861</v>
      </c>
      <c r="BA311" s="376">
        <v>0.065299</v>
      </c>
      <c r="BB311" s="376">
        <v>0.06184</v>
      </c>
      <c r="BC311" s="376">
        <v>0.049175</v>
      </c>
      <c r="BD311" s="376" t="s">
        <v>129</v>
      </c>
      <c r="BE311" s="4"/>
      <c r="BF311" s="376">
        <v>0.015605</v>
      </c>
      <c r="BG311" s="376">
        <v>0.0660830544480614</v>
      </c>
      <c r="BH311" s="376">
        <v>0.0659647519985601</v>
      </c>
      <c r="BI311" s="376">
        <v>0.0459122943670035</v>
      </c>
      <c r="BJ311" s="376">
        <v>0.031031456151602</v>
      </c>
      <c r="BK311" s="376">
        <v>0.0326805682421076</v>
      </c>
      <c r="BL311" s="376">
        <v>0.0557400787769041</v>
      </c>
      <c r="BM311" s="376">
        <v>0.0103215</v>
      </c>
      <c r="BN311" s="376" t="s">
        <v>129</v>
      </c>
      <c r="BO311" s="376" t="s">
        <v>129</v>
      </c>
      <c r="BP311" s="376" t="s">
        <v>129</v>
      </c>
      <c r="BQ311" s="376" t="s">
        <v>129</v>
      </c>
      <c r="BR311" s="376" t="s">
        <v>129</v>
      </c>
      <c r="BS311" s="376" t="s">
        <v>129</v>
      </c>
      <c r="BT311" s="376" t="s">
        <v>129</v>
      </c>
      <c r="BU311" s="376" t="s">
        <v>129</v>
      </c>
    </row>
    <row r="312" spans="45:73">
      <c r="AS312" s="361" t="s">
        <v>616</v>
      </c>
      <c r="AT312" s="364">
        <v>0.09</v>
      </c>
      <c r="AU312" s="365">
        <v>45716</v>
      </c>
      <c r="AV312" s="364">
        <v>7828.0748</v>
      </c>
      <c r="AW312" s="3"/>
      <c r="AX312" s="376">
        <v>0.005405</v>
      </c>
      <c r="AY312" s="376">
        <v>0.015874</v>
      </c>
      <c r="AZ312" s="376">
        <v>0.032415</v>
      </c>
      <c r="BA312" s="376">
        <v>0.066226</v>
      </c>
      <c r="BB312" s="376">
        <v>0.06273</v>
      </c>
      <c r="BC312" s="376">
        <v>0.050046</v>
      </c>
      <c r="BD312" s="376" t="s">
        <v>129</v>
      </c>
      <c r="BE312" s="4"/>
      <c r="BF312" s="376">
        <v>0.015874</v>
      </c>
      <c r="BG312" s="376">
        <v>0.0671484831499071</v>
      </c>
      <c r="BH312" s="376">
        <v>0.0666388404128566</v>
      </c>
      <c r="BI312" s="376">
        <v>0.0467770380357968</v>
      </c>
      <c r="BJ312" s="376">
        <v>0.0315384748754648</v>
      </c>
      <c r="BK312" s="376">
        <v>0.0337099597068021</v>
      </c>
      <c r="BL312" s="376">
        <v>0.0433770999999999</v>
      </c>
      <c r="BM312" s="376" t="s">
        <v>129</v>
      </c>
      <c r="BN312" s="376" t="s">
        <v>129</v>
      </c>
      <c r="BO312" s="376" t="s">
        <v>129</v>
      </c>
      <c r="BP312" s="376" t="s">
        <v>129</v>
      </c>
      <c r="BQ312" s="376" t="s">
        <v>129</v>
      </c>
      <c r="BR312" s="376" t="s">
        <v>129</v>
      </c>
      <c r="BS312" s="376" t="s">
        <v>129</v>
      </c>
      <c r="BT312" s="376" t="s">
        <v>129</v>
      </c>
      <c r="BU312" s="376" t="s">
        <v>129</v>
      </c>
    </row>
    <row r="313" spans="45:73">
      <c r="AS313" s="361" t="s">
        <v>617</v>
      </c>
      <c r="AT313" s="364">
        <v>0.12</v>
      </c>
      <c r="AU313" s="365">
        <v>45716</v>
      </c>
      <c r="AV313" s="364">
        <v>445.5604</v>
      </c>
      <c r="AW313" s="3"/>
      <c r="AX313" s="376">
        <v>0.00534</v>
      </c>
      <c r="AY313" s="376">
        <v>0.015724</v>
      </c>
      <c r="AZ313" s="376">
        <v>0.03216</v>
      </c>
      <c r="BA313" s="376">
        <v>0.06586</v>
      </c>
      <c r="BB313" s="376" t="s">
        <v>129</v>
      </c>
      <c r="BC313" s="376" t="s">
        <v>129</v>
      </c>
      <c r="BD313" s="376" t="s">
        <v>129</v>
      </c>
      <c r="BE313" s="4"/>
      <c r="BF313" s="376">
        <v>0.015724</v>
      </c>
      <c r="BG313" s="376">
        <v>0.0666459894433834</v>
      </c>
      <c r="BH313" s="376">
        <v>0.0325088346288456</v>
      </c>
      <c r="BI313" s="376" t="s">
        <v>129</v>
      </c>
      <c r="BJ313" s="376" t="s">
        <v>129</v>
      </c>
      <c r="BK313" s="376" t="s">
        <v>129</v>
      </c>
      <c r="BL313" s="376" t="s">
        <v>129</v>
      </c>
      <c r="BM313" s="376" t="s">
        <v>129</v>
      </c>
      <c r="BN313" s="376" t="s">
        <v>129</v>
      </c>
      <c r="BO313" s="376" t="s">
        <v>129</v>
      </c>
      <c r="BP313" s="376" t="s">
        <v>129</v>
      </c>
      <c r="BQ313" s="376" t="s">
        <v>129</v>
      </c>
      <c r="BR313" s="376" t="s">
        <v>129</v>
      </c>
      <c r="BS313" s="376" t="s">
        <v>129</v>
      </c>
      <c r="BT313" s="376" t="s">
        <v>129</v>
      </c>
      <c r="BU313" s="376" t="s">
        <v>129</v>
      </c>
    </row>
    <row r="314" spans="45:73">
      <c r="AS314" s="361" t="s">
        <v>618</v>
      </c>
      <c r="AT314" s="364">
        <v>0.15</v>
      </c>
      <c r="AU314" s="365">
        <v>45716</v>
      </c>
      <c r="AV314" s="364">
        <v>681.2526</v>
      </c>
      <c r="AW314" s="3"/>
      <c r="AX314" s="376">
        <v>0.005269</v>
      </c>
      <c r="AY314" s="376">
        <v>0.015571</v>
      </c>
      <c r="AZ314" s="376">
        <v>0.03184</v>
      </c>
      <c r="BA314" s="376">
        <v>0.065325</v>
      </c>
      <c r="BB314" s="376">
        <v>0.061849</v>
      </c>
      <c r="BC314" s="376">
        <v>0.049105</v>
      </c>
      <c r="BD314" s="376" t="s">
        <v>129</v>
      </c>
      <c r="BE314" s="4"/>
      <c r="BF314" s="376">
        <v>0.015571</v>
      </c>
      <c r="BG314" s="376">
        <v>0.0661781104730982</v>
      </c>
      <c r="BH314" s="376">
        <v>0.0658886385794057</v>
      </c>
      <c r="BI314" s="376">
        <v>0.0460189973109872</v>
      </c>
      <c r="BJ314" s="376">
        <v>0.0306873891267799</v>
      </c>
      <c r="BK314" s="376">
        <v>0.0323134624944981</v>
      </c>
      <c r="BL314" s="376">
        <v>0.0530255</v>
      </c>
      <c r="BM314" s="376" t="s">
        <v>129</v>
      </c>
      <c r="BN314" s="376" t="s">
        <v>129</v>
      </c>
      <c r="BO314" s="376" t="s">
        <v>129</v>
      </c>
      <c r="BP314" s="376" t="s">
        <v>129</v>
      </c>
      <c r="BQ314" s="376" t="s">
        <v>129</v>
      </c>
      <c r="BR314" s="376" t="s">
        <v>129</v>
      </c>
      <c r="BS314" s="376" t="s">
        <v>129</v>
      </c>
      <c r="BT314" s="376" t="s">
        <v>129</v>
      </c>
      <c r="BU314" s="376" t="s">
        <v>129</v>
      </c>
    </row>
    <row r="315" spans="45:73">
      <c r="AS315" s="361" t="s">
        <v>619</v>
      </c>
      <c r="AT315" s="364">
        <v>0.1</v>
      </c>
      <c r="AU315" s="365">
        <v>45716</v>
      </c>
      <c r="AV315" s="364">
        <v>64.8324</v>
      </c>
      <c r="AW315" s="3"/>
      <c r="AX315" s="376">
        <v>0.005438</v>
      </c>
      <c r="AY315" s="376">
        <v>0.015954</v>
      </c>
      <c r="AZ315" s="376">
        <v>0.032684</v>
      </c>
      <c r="BA315" s="376">
        <v>0.066986</v>
      </c>
      <c r="BB315" s="376">
        <v>0.063441</v>
      </c>
      <c r="BC315" s="376">
        <v>0.050863</v>
      </c>
      <c r="BD315" s="376" t="s">
        <v>129</v>
      </c>
      <c r="BE315" s="4"/>
      <c r="BF315" s="376">
        <v>0.015954</v>
      </c>
      <c r="BG315" s="376">
        <v>0.0678427948448897</v>
      </c>
      <c r="BH315" s="376">
        <v>0.0675438710501488</v>
      </c>
      <c r="BI315" s="376">
        <v>0.0475701169679548</v>
      </c>
      <c r="BJ315" s="376">
        <v>0.0318801780315086</v>
      </c>
      <c r="BK315" s="376">
        <v>0.0319354048808494</v>
      </c>
      <c r="BL315" s="376" t="s">
        <v>129</v>
      </c>
      <c r="BM315" s="376" t="s">
        <v>129</v>
      </c>
      <c r="BN315" s="376" t="s">
        <v>129</v>
      </c>
      <c r="BO315" s="376" t="s">
        <v>129</v>
      </c>
      <c r="BP315" s="376" t="s">
        <v>129</v>
      </c>
      <c r="BQ315" s="376" t="s">
        <v>129</v>
      </c>
      <c r="BR315" s="376" t="s">
        <v>129</v>
      </c>
      <c r="BS315" s="376" t="s">
        <v>129</v>
      </c>
      <c r="BT315" s="376" t="s">
        <v>129</v>
      </c>
      <c r="BU315" s="376" t="s">
        <v>129</v>
      </c>
    </row>
    <row r="316" spans="45:73">
      <c r="AS316" s="361" t="s">
        <v>620</v>
      </c>
      <c r="AT316" s="364">
        <v>0.17</v>
      </c>
      <c r="AU316" s="365">
        <v>45716</v>
      </c>
      <c r="AV316" s="364">
        <v>577.2815</v>
      </c>
      <c r="AW316" s="3"/>
      <c r="AX316" s="376">
        <v>0.005335</v>
      </c>
      <c r="AY316" s="376">
        <v>0.015675</v>
      </c>
      <c r="AZ316" s="376">
        <v>0.031977</v>
      </c>
      <c r="BA316" s="376">
        <v>0.065617</v>
      </c>
      <c r="BB316" s="376">
        <v>0.062206</v>
      </c>
      <c r="BC316" s="376">
        <v>0.049718</v>
      </c>
      <c r="BD316" s="376" t="s">
        <v>129</v>
      </c>
      <c r="BE316" s="4"/>
      <c r="BF316" s="376">
        <v>0.015675</v>
      </c>
      <c r="BG316" s="376">
        <v>0.0663420873121381</v>
      </c>
      <c r="BH316" s="376">
        <v>0.0663183947563841</v>
      </c>
      <c r="BI316" s="376">
        <v>0.0463881729340767</v>
      </c>
      <c r="BJ316" s="376">
        <v>0.0314854274927761</v>
      </c>
      <c r="BK316" s="376">
        <v>0.0340012304968326</v>
      </c>
      <c r="BL316" s="376">
        <v>0.0363162443965748</v>
      </c>
      <c r="BM316" s="376" t="s">
        <v>129</v>
      </c>
      <c r="BN316" s="376" t="s">
        <v>129</v>
      </c>
      <c r="BO316" s="376" t="s">
        <v>129</v>
      </c>
      <c r="BP316" s="376" t="s">
        <v>129</v>
      </c>
      <c r="BQ316" s="376" t="s">
        <v>129</v>
      </c>
      <c r="BR316" s="376" t="s">
        <v>129</v>
      </c>
      <c r="BS316" s="376" t="s">
        <v>129</v>
      </c>
      <c r="BT316" s="376" t="s">
        <v>129</v>
      </c>
      <c r="BU316" s="376" t="s">
        <v>129</v>
      </c>
    </row>
    <row r="317" spans="45:73">
      <c r="AS317" s="361" t="s">
        <v>621</v>
      </c>
      <c r="AT317" s="364">
        <v>0.11</v>
      </c>
      <c r="AU317" s="365">
        <v>45716</v>
      </c>
      <c r="AV317" s="364">
        <v>270.4784</v>
      </c>
      <c r="AW317" s="3"/>
      <c r="AX317" s="376">
        <v>0.005224</v>
      </c>
      <c r="AY317" s="376">
        <v>0.015486</v>
      </c>
      <c r="AZ317" s="376">
        <v>0.031759</v>
      </c>
      <c r="BA317" s="376">
        <v>0.065091</v>
      </c>
      <c r="BB317" s="376">
        <v>0.062077</v>
      </c>
      <c r="BC317" s="376">
        <v>0.04975</v>
      </c>
      <c r="BD317" s="376" t="s">
        <v>129</v>
      </c>
      <c r="BE317" s="4"/>
      <c r="BF317" s="376">
        <v>0.015486</v>
      </c>
      <c r="BG317" s="376">
        <v>0.0660108796521456</v>
      </c>
      <c r="BH317" s="376">
        <v>0.0662081988322769</v>
      </c>
      <c r="BI317" s="376">
        <v>0.0467494506814393</v>
      </c>
      <c r="BJ317" s="376">
        <v>0.0314890533508584</v>
      </c>
      <c r="BK317" s="376">
        <v>0.0345317527128025</v>
      </c>
      <c r="BL317" s="376">
        <v>0.02188002683076</v>
      </c>
      <c r="BM317" s="376" t="s">
        <v>129</v>
      </c>
      <c r="BN317" s="376" t="s">
        <v>129</v>
      </c>
      <c r="BO317" s="376" t="s">
        <v>129</v>
      </c>
      <c r="BP317" s="376" t="s">
        <v>129</v>
      </c>
      <c r="BQ317" s="376" t="s">
        <v>129</v>
      </c>
      <c r="BR317" s="376" t="s">
        <v>129</v>
      </c>
      <c r="BS317" s="376" t="s">
        <v>129</v>
      </c>
      <c r="BT317" s="376" t="s">
        <v>129</v>
      </c>
      <c r="BU317" s="376" t="s">
        <v>129</v>
      </c>
    </row>
    <row r="318" spans="45:73">
      <c r="AS318" s="361" t="s">
        <v>622</v>
      </c>
      <c r="AT318" s="364">
        <v>0.12</v>
      </c>
      <c r="AU318" s="365">
        <v>45716</v>
      </c>
      <c r="AV318" s="364">
        <v>1898.6434</v>
      </c>
      <c r="AW318" s="3"/>
      <c r="AX318" s="376">
        <v>0.005326</v>
      </c>
      <c r="AY318" s="376">
        <v>0.015648</v>
      </c>
      <c r="AZ318" s="376">
        <v>0.031994</v>
      </c>
      <c r="BA318" s="376">
        <v>0.065593</v>
      </c>
      <c r="BB318" s="376">
        <v>0.062203</v>
      </c>
      <c r="BC318" s="376">
        <v>0.049744</v>
      </c>
      <c r="BD318" s="376" t="s">
        <v>129</v>
      </c>
      <c r="BE318" s="4"/>
      <c r="BF318" s="376">
        <v>0.015648</v>
      </c>
      <c r="BG318" s="376">
        <v>0.0664409567910397</v>
      </c>
      <c r="BH318" s="376">
        <v>0.0663535693409177</v>
      </c>
      <c r="BI318" s="376">
        <v>0.0462940728681605</v>
      </c>
      <c r="BJ318" s="376">
        <v>0.0310560541748338</v>
      </c>
      <c r="BK318" s="376">
        <v>0.034784741773317</v>
      </c>
      <c r="BL318" s="376">
        <v>0.0552404163550131</v>
      </c>
      <c r="BM318" s="376" t="s">
        <v>129</v>
      </c>
      <c r="BN318" s="376" t="s">
        <v>129</v>
      </c>
      <c r="BO318" s="376" t="s">
        <v>129</v>
      </c>
      <c r="BP318" s="376" t="s">
        <v>129</v>
      </c>
      <c r="BQ318" s="376" t="s">
        <v>129</v>
      </c>
      <c r="BR318" s="376" t="s">
        <v>129</v>
      </c>
      <c r="BS318" s="376" t="s">
        <v>129</v>
      </c>
      <c r="BT318" s="376" t="s">
        <v>129</v>
      </c>
      <c r="BU318" s="376" t="s">
        <v>129</v>
      </c>
    </row>
    <row r="319" spans="45:73">
      <c r="AS319" s="361" t="s">
        <v>623</v>
      </c>
      <c r="AT319" s="364">
        <v>0.16</v>
      </c>
      <c r="AU319" s="365">
        <v>45716</v>
      </c>
      <c r="AV319" s="364">
        <v>408.355</v>
      </c>
      <c r="AW319" s="3"/>
      <c r="AX319" s="376">
        <v>0.005257</v>
      </c>
      <c r="AY319" s="376">
        <v>0.015519</v>
      </c>
      <c r="AZ319" s="376">
        <v>0.031807</v>
      </c>
      <c r="BA319" s="376">
        <v>0.065075</v>
      </c>
      <c r="BB319" s="376">
        <v>0.06179</v>
      </c>
      <c r="BC319" s="376">
        <v>0.049551</v>
      </c>
      <c r="BD319" s="376" t="s">
        <v>129</v>
      </c>
      <c r="BE319" s="4"/>
      <c r="BF319" s="376">
        <v>0.015519</v>
      </c>
      <c r="BG319" s="376">
        <v>0.0659497522801234</v>
      </c>
      <c r="BH319" s="376">
        <v>0.0661843197203098</v>
      </c>
      <c r="BI319" s="376">
        <v>0.0456891001033801</v>
      </c>
      <c r="BJ319" s="376">
        <v>0.0310943391378391</v>
      </c>
      <c r="BK319" s="376">
        <v>0.0353941195278619</v>
      </c>
      <c r="BL319" s="376">
        <v>0.0222493270020265</v>
      </c>
      <c r="BM319" s="376" t="s">
        <v>129</v>
      </c>
      <c r="BN319" s="376" t="s">
        <v>129</v>
      </c>
      <c r="BO319" s="376" t="s">
        <v>129</v>
      </c>
      <c r="BP319" s="376" t="s">
        <v>129</v>
      </c>
      <c r="BQ319" s="376" t="s">
        <v>129</v>
      </c>
      <c r="BR319" s="376" t="s">
        <v>129</v>
      </c>
      <c r="BS319" s="376" t="s">
        <v>129</v>
      </c>
      <c r="BT319" s="376" t="s">
        <v>129</v>
      </c>
      <c r="BU319" s="376" t="s">
        <v>129</v>
      </c>
    </row>
    <row r="320" spans="45:73">
      <c r="AS320" s="361" t="s">
        <v>624</v>
      </c>
      <c r="AT320" s="364">
        <v>0.15</v>
      </c>
      <c r="AU320" s="365">
        <v>45716</v>
      </c>
      <c r="AV320" s="364">
        <v>441.580141392</v>
      </c>
      <c r="AW320" s="3"/>
      <c r="AX320" s="376">
        <v>0.005321</v>
      </c>
      <c r="AY320" s="376">
        <v>0.01567</v>
      </c>
      <c r="AZ320" s="376">
        <v>0.032054</v>
      </c>
      <c r="BA320" s="376">
        <v>0.065409</v>
      </c>
      <c r="BB320" s="376">
        <v>0.061851</v>
      </c>
      <c r="BC320" s="376">
        <v>0.049115</v>
      </c>
      <c r="BD320" s="376" t="s">
        <v>129</v>
      </c>
      <c r="BE320" s="4"/>
      <c r="BF320" s="376">
        <v>0.01567</v>
      </c>
      <c r="BG320" s="376">
        <v>0.0661637296677463</v>
      </c>
      <c r="BH320" s="376">
        <v>0.0657656334676726</v>
      </c>
      <c r="BI320" s="376">
        <v>0.0460230714242841</v>
      </c>
      <c r="BJ320" s="376">
        <v>0.0308825423827018</v>
      </c>
      <c r="BK320" s="376">
        <v>0.0320202215867606</v>
      </c>
      <c r="BL320" s="376">
        <v>0.0335093999999999</v>
      </c>
      <c r="BM320" s="376" t="s">
        <v>129</v>
      </c>
      <c r="BN320" s="376" t="s">
        <v>129</v>
      </c>
      <c r="BO320" s="376" t="s">
        <v>129</v>
      </c>
      <c r="BP320" s="376" t="s">
        <v>129</v>
      </c>
      <c r="BQ320" s="376" t="s">
        <v>129</v>
      </c>
      <c r="BR320" s="376" t="s">
        <v>129</v>
      </c>
      <c r="BS320" s="376" t="s">
        <v>129</v>
      </c>
      <c r="BT320" s="376" t="s">
        <v>129</v>
      </c>
      <c r="BU320" s="376" t="s">
        <v>129</v>
      </c>
    </row>
    <row r="321" spans="45:73">
      <c r="AS321" s="361" t="s">
        <v>625</v>
      </c>
      <c r="AT321" s="364">
        <v>0.24</v>
      </c>
      <c r="AU321" s="365">
        <v>45716</v>
      </c>
      <c r="AV321" s="364">
        <v>13.284312695</v>
      </c>
      <c r="AW321" s="3"/>
      <c r="AX321" s="376">
        <v>0.005137</v>
      </c>
      <c r="AY321" s="376">
        <v>0.015315</v>
      </c>
      <c r="AZ321" s="376">
        <v>0.031408</v>
      </c>
      <c r="BA321" s="376">
        <v>0.064822</v>
      </c>
      <c r="BB321" s="376">
        <v>0.06041</v>
      </c>
      <c r="BC321" s="376">
        <v>0.04803</v>
      </c>
      <c r="BD321" s="376" t="s">
        <v>129</v>
      </c>
      <c r="BE321" s="4"/>
      <c r="BF321" s="376">
        <v>0.015315</v>
      </c>
      <c r="BG321" s="376">
        <v>0.0657554672994669</v>
      </c>
      <c r="BH321" s="376">
        <v>0.0632405894280468</v>
      </c>
      <c r="BI321" s="376">
        <v>0.044762142045332</v>
      </c>
      <c r="BJ321" s="376">
        <v>0.0301488915965455</v>
      </c>
      <c r="BK321" s="376">
        <v>0.0322248463674791</v>
      </c>
      <c r="BL321" s="376">
        <v>0.0247992999999999</v>
      </c>
      <c r="BM321" s="376" t="s">
        <v>129</v>
      </c>
      <c r="BN321" s="376" t="s">
        <v>129</v>
      </c>
      <c r="BO321" s="376" t="s">
        <v>129</v>
      </c>
      <c r="BP321" s="376" t="s">
        <v>129</v>
      </c>
      <c r="BQ321" s="376" t="s">
        <v>129</v>
      </c>
      <c r="BR321" s="376" t="s">
        <v>129</v>
      </c>
      <c r="BS321" s="376" t="s">
        <v>129</v>
      </c>
      <c r="BT321" s="376" t="s">
        <v>129</v>
      </c>
      <c r="BU321" s="376" t="s">
        <v>129</v>
      </c>
    </row>
    <row r="322" spans="45:73">
      <c r="AS322" s="361" t="s">
        <v>626</v>
      </c>
      <c r="AT322" s="364">
        <v>0.17</v>
      </c>
      <c r="AU322" s="365">
        <v>45716</v>
      </c>
      <c r="AV322" s="364">
        <v>12517.2494</v>
      </c>
      <c r="AW322" s="3"/>
      <c r="AX322" s="376">
        <v>0.005242</v>
      </c>
      <c r="AY322" s="376">
        <v>0.015481</v>
      </c>
      <c r="AZ322" s="376">
        <v>0.031642</v>
      </c>
      <c r="BA322" s="376">
        <v>0.064856</v>
      </c>
      <c r="BB322" s="376">
        <v>0.061478</v>
      </c>
      <c r="BC322" s="376">
        <v>0.048859</v>
      </c>
      <c r="BD322" s="376">
        <v>0.054813</v>
      </c>
      <c r="BE322" s="4"/>
      <c r="BF322" s="376">
        <v>0.015481</v>
      </c>
      <c r="BG322" s="376">
        <v>0.0658941676010848</v>
      </c>
      <c r="BH322" s="376">
        <v>0.0654470898746253</v>
      </c>
      <c r="BI322" s="376">
        <v>0.0455492340141293</v>
      </c>
      <c r="BJ322" s="376">
        <v>0.0306835165021561</v>
      </c>
      <c r="BK322" s="376">
        <v>0.0324318716785541</v>
      </c>
      <c r="BL322" s="376">
        <v>0.0555077743628758</v>
      </c>
      <c r="BM322" s="376">
        <v>0.0612102682362774</v>
      </c>
      <c r="BN322" s="376">
        <v>0.0590401583161694</v>
      </c>
      <c r="BO322" s="376">
        <v>0.0640925255011751</v>
      </c>
      <c r="BP322" s="376">
        <v>0.0729249198614017</v>
      </c>
      <c r="BQ322" s="376">
        <v>0.0815972744125458</v>
      </c>
      <c r="BR322" s="376">
        <v>0.0821053316417814</v>
      </c>
      <c r="BS322" s="376">
        <v>0.0823787615604902</v>
      </c>
      <c r="BT322" s="376">
        <v>0.0745869592634632</v>
      </c>
      <c r="BU322" s="376">
        <v>0.0473202787042234</v>
      </c>
    </row>
    <row r="323" spans="45:73">
      <c r="AS323" s="361" t="s">
        <v>627</v>
      </c>
      <c r="AT323" s="364">
        <v>0.18</v>
      </c>
      <c r="AU323" s="365">
        <v>45716</v>
      </c>
      <c r="AV323" s="364">
        <v>148.3029</v>
      </c>
      <c r="AW323" s="3"/>
      <c r="AX323" s="376">
        <v>0.005109</v>
      </c>
      <c r="AY323" s="376">
        <v>0.015267</v>
      </c>
      <c r="AZ323" s="376">
        <v>0.031597</v>
      </c>
      <c r="BA323" s="376">
        <v>0.064772</v>
      </c>
      <c r="BB323" s="376" t="s">
        <v>129</v>
      </c>
      <c r="BC323" s="376" t="s">
        <v>129</v>
      </c>
      <c r="BD323" s="376" t="s">
        <v>129</v>
      </c>
      <c r="BE323" s="4"/>
      <c r="BF323" s="376">
        <v>0.015267</v>
      </c>
      <c r="BG323" s="376">
        <v>0.065912477977325</v>
      </c>
      <c r="BH323" s="376">
        <v>0.0121833568372378</v>
      </c>
      <c r="BI323" s="376" t="s">
        <v>129</v>
      </c>
      <c r="BJ323" s="376" t="s">
        <v>129</v>
      </c>
      <c r="BK323" s="376" t="s">
        <v>129</v>
      </c>
      <c r="BL323" s="376" t="s">
        <v>129</v>
      </c>
      <c r="BM323" s="376" t="s">
        <v>129</v>
      </c>
      <c r="BN323" s="376" t="s">
        <v>129</v>
      </c>
      <c r="BO323" s="376" t="s">
        <v>129</v>
      </c>
      <c r="BP323" s="376" t="s">
        <v>129</v>
      </c>
      <c r="BQ323" s="376" t="s">
        <v>129</v>
      </c>
      <c r="BR323" s="376" t="s">
        <v>129</v>
      </c>
      <c r="BS323" s="376" t="s">
        <v>129</v>
      </c>
      <c r="BT323" s="376" t="s">
        <v>129</v>
      </c>
      <c r="BU323" s="376" t="s">
        <v>129</v>
      </c>
    </row>
    <row r="324" spans="45:73">
      <c r="AS324" s="361" t="s">
        <v>628</v>
      </c>
      <c r="AT324" s="364">
        <v>0.16</v>
      </c>
      <c r="AU324" s="365">
        <v>45716</v>
      </c>
      <c r="AV324" s="364">
        <v>2384.0357</v>
      </c>
      <c r="AW324" s="3"/>
      <c r="AX324" s="376">
        <v>0.00528</v>
      </c>
      <c r="AY324" s="376">
        <v>0.015565</v>
      </c>
      <c r="AZ324" s="376">
        <v>0.031882</v>
      </c>
      <c r="BA324" s="376">
        <v>0.065371</v>
      </c>
      <c r="BB324" s="376">
        <v>0.061848</v>
      </c>
      <c r="BC324" s="376">
        <v>0.049289</v>
      </c>
      <c r="BD324" s="376" t="s">
        <v>129</v>
      </c>
      <c r="BE324" s="4"/>
      <c r="BF324" s="376">
        <v>0.015565</v>
      </c>
      <c r="BG324" s="376">
        <v>0.0662546063397151</v>
      </c>
      <c r="BH324" s="376">
        <v>0.0662259878809705</v>
      </c>
      <c r="BI324" s="376">
        <v>0.045596813312547</v>
      </c>
      <c r="BJ324" s="376">
        <v>0.0310256456229081</v>
      </c>
      <c r="BK324" s="376">
        <v>0.033028626807509</v>
      </c>
      <c r="BL324" s="376">
        <v>0.0310716466087997</v>
      </c>
      <c r="BM324" s="376" t="s">
        <v>129</v>
      </c>
      <c r="BN324" s="376" t="s">
        <v>129</v>
      </c>
      <c r="BO324" s="376" t="s">
        <v>129</v>
      </c>
      <c r="BP324" s="376" t="s">
        <v>129</v>
      </c>
      <c r="BQ324" s="376" t="s">
        <v>129</v>
      </c>
      <c r="BR324" s="376" t="s">
        <v>129</v>
      </c>
      <c r="BS324" s="376" t="s">
        <v>129</v>
      </c>
      <c r="BT324" s="376" t="s">
        <v>129</v>
      </c>
      <c r="BU324" s="376" t="s">
        <v>129</v>
      </c>
    </row>
    <row r="325" spans="45:73">
      <c r="AS325" s="361" t="s">
        <v>629</v>
      </c>
      <c r="AT325" s="364">
        <v>0.16</v>
      </c>
      <c r="AU325" s="365">
        <v>45716</v>
      </c>
      <c r="AV325" s="364">
        <v>10036.9423676767</v>
      </c>
      <c r="AW325" s="3"/>
      <c r="AX325" s="376">
        <v>0.005321</v>
      </c>
      <c r="AY325" s="376">
        <v>0.015655</v>
      </c>
      <c r="AZ325" s="376">
        <v>0.031976</v>
      </c>
      <c r="BA325" s="376">
        <v>0.065422</v>
      </c>
      <c r="BB325" s="376">
        <v>0.06203</v>
      </c>
      <c r="BC325" s="376">
        <v>0.049235</v>
      </c>
      <c r="BD325" s="376" t="s">
        <v>129</v>
      </c>
      <c r="BE325" s="4"/>
      <c r="BF325" s="376">
        <v>0.015655</v>
      </c>
      <c r="BG325" s="376">
        <v>0.0665971950601381</v>
      </c>
      <c r="BH325" s="376">
        <v>0.0659522627174887</v>
      </c>
      <c r="BI325" s="376">
        <v>0.0459508025845809</v>
      </c>
      <c r="BJ325" s="376">
        <v>0.0307713861770756</v>
      </c>
      <c r="BK325" s="376">
        <v>0.0325770015518674</v>
      </c>
      <c r="BL325" s="376">
        <v>0.056017776807813</v>
      </c>
      <c r="BM325" s="376">
        <v>0.00789776794820008</v>
      </c>
      <c r="BN325" s="376" t="s">
        <v>129</v>
      </c>
      <c r="BO325" s="376" t="s">
        <v>129</v>
      </c>
      <c r="BP325" s="376" t="s">
        <v>129</v>
      </c>
      <c r="BQ325" s="376" t="s">
        <v>129</v>
      </c>
      <c r="BR325" s="376" t="s">
        <v>129</v>
      </c>
      <c r="BS325" s="376" t="s">
        <v>129</v>
      </c>
      <c r="BT325" s="376" t="s">
        <v>129</v>
      </c>
      <c r="BU325" s="376" t="s">
        <v>129</v>
      </c>
    </row>
    <row r="326" spans="45:73">
      <c r="AS326" s="361" t="s">
        <v>630</v>
      </c>
      <c r="AT326" s="364">
        <v>0.12</v>
      </c>
      <c r="AU326" s="365">
        <v>45716</v>
      </c>
      <c r="AV326" s="364">
        <v>435.055490131</v>
      </c>
      <c r="AW326" s="3"/>
      <c r="AX326" s="376">
        <v>0.005319</v>
      </c>
      <c r="AY326" s="376">
        <v>0.015654</v>
      </c>
      <c r="AZ326" s="376">
        <v>0.032053</v>
      </c>
      <c r="BA326" s="376">
        <v>0.065759</v>
      </c>
      <c r="BB326" s="376">
        <v>0.062278</v>
      </c>
      <c r="BC326" s="376">
        <v>0.049542</v>
      </c>
      <c r="BD326" s="376" t="s">
        <v>129</v>
      </c>
      <c r="BE326" s="4"/>
      <c r="BF326" s="376">
        <v>0.015654</v>
      </c>
      <c r="BG326" s="376">
        <v>0.0668246772439246</v>
      </c>
      <c r="BH326" s="376">
        <v>0.0662207810204418</v>
      </c>
      <c r="BI326" s="376">
        <v>0.0462871364347594</v>
      </c>
      <c r="BJ326" s="376">
        <v>0.0311358686563393</v>
      </c>
      <c r="BK326" s="376">
        <v>0.0320894000000001</v>
      </c>
      <c r="BL326" s="376" t="s">
        <v>129</v>
      </c>
      <c r="BM326" s="376" t="s">
        <v>129</v>
      </c>
      <c r="BN326" s="376" t="s">
        <v>129</v>
      </c>
      <c r="BO326" s="376" t="s">
        <v>129</v>
      </c>
      <c r="BP326" s="376" t="s">
        <v>129</v>
      </c>
      <c r="BQ326" s="376" t="s">
        <v>129</v>
      </c>
      <c r="BR326" s="376" t="s">
        <v>129</v>
      </c>
      <c r="BS326" s="376" t="s">
        <v>129</v>
      </c>
      <c r="BT326" s="376" t="s">
        <v>129</v>
      </c>
      <c r="BU326" s="376" t="s">
        <v>129</v>
      </c>
    </row>
    <row r="327" spans="45:73">
      <c r="AS327" s="361" t="s">
        <v>631</v>
      </c>
      <c r="AT327" s="364">
        <v>0.18</v>
      </c>
      <c r="AU327" s="365">
        <v>45716</v>
      </c>
      <c r="AV327" s="364">
        <v>17.3223</v>
      </c>
      <c r="AW327" s="3"/>
      <c r="AX327" s="376">
        <v>0.005033</v>
      </c>
      <c r="AY327" s="376">
        <v>0.014925</v>
      </c>
      <c r="AZ327" s="376">
        <v>0.030655</v>
      </c>
      <c r="BA327" s="376">
        <v>0.062813</v>
      </c>
      <c r="BB327" s="376">
        <v>0.059846</v>
      </c>
      <c r="BC327" s="376">
        <v>0.047785</v>
      </c>
      <c r="BD327" s="376" t="s">
        <v>129</v>
      </c>
      <c r="BE327" s="4"/>
      <c r="BF327" s="376">
        <v>0.014925</v>
      </c>
      <c r="BG327" s="376">
        <v>0.0638525510973995</v>
      </c>
      <c r="BH327" s="376">
        <v>0.0637559766155968</v>
      </c>
      <c r="BI327" s="376">
        <v>0.0448098602638559</v>
      </c>
      <c r="BJ327" s="376">
        <v>0.030343095686408</v>
      </c>
      <c r="BK327" s="376">
        <v>0.0324227281719797</v>
      </c>
      <c r="BL327" s="376">
        <v>0.00891880000000003</v>
      </c>
      <c r="BM327" s="376" t="s">
        <v>129</v>
      </c>
      <c r="BN327" s="376" t="s">
        <v>129</v>
      </c>
      <c r="BO327" s="376" t="s">
        <v>129</v>
      </c>
      <c r="BP327" s="376" t="s">
        <v>129</v>
      </c>
      <c r="BQ327" s="376" t="s">
        <v>129</v>
      </c>
      <c r="BR327" s="376" t="s">
        <v>129</v>
      </c>
      <c r="BS327" s="376" t="s">
        <v>129</v>
      </c>
      <c r="BT327" s="376" t="s">
        <v>129</v>
      </c>
      <c r="BU327" s="376" t="s">
        <v>129</v>
      </c>
    </row>
    <row r="328" spans="45:73">
      <c r="AS328" s="361" t="s">
        <v>632</v>
      </c>
      <c r="AT328" s="364">
        <v>0.15</v>
      </c>
      <c r="AU328" s="365">
        <v>45716</v>
      </c>
      <c r="AV328" s="364">
        <v>126.778873586</v>
      </c>
      <c r="AW328" s="3"/>
      <c r="AX328" s="376">
        <v>0.005152</v>
      </c>
      <c r="AY328" s="376">
        <v>0.015361</v>
      </c>
      <c r="AZ328" s="376">
        <v>0.03163</v>
      </c>
      <c r="BA328" s="376">
        <v>0.064819</v>
      </c>
      <c r="BB328" s="376">
        <v>0.061678</v>
      </c>
      <c r="BC328" s="376">
        <v>0.049354</v>
      </c>
      <c r="BD328" s="376" t="s">
        <v>129</v>
      </c>
      <c r="BE328" s="4"/>
      <c r="BF328" s="376">
        <v>0.015361</v>
      </c>
      <c r="BG328" s="376">
        <v>0.0658032154703061</v>
      </c>
      <c r="BH328" s="376">
        <v>0.0658704022695071</v>
      </c>
      <c r="BI328" s="376">
        <v>0.0461220108241559</v>
      </c>
      <c r="BJ328" s="376">
        <v>0.031549505212039</v>
      </c>
      <c r="BK328" s="376">
        <v>0.0334788586434353</v>
      </c>
      <c r="BL328" s="376">
        <v>0.00365129999999999</v>
      </c>
      <c r="BM328" s="376" t="s">
        <v>129</v>
      </c>
      <c r="BN328" s="376" t="s">
        <v>129</v>
      </c>
      <c r="BO328" s="376" t="s">
        <v>129</v>
      </c>
      <c r="BP328" s="376" t="s">
        <v>129</v>
      </c>
      <c r="BQ328" s="376" t="s">
        <v>129</v>
      </c>
      <c r="BR328" s="376" t="s">
        <v>129</v>
      </c>
      <c r="BS328" s="376" t="s">
        <v>129</v>
      </c>
      <c r="BT328" s="376" t="s">
        <v>129</v>
      </c>
      <c r="BU328" s="376" t="s">
        <v>129</v>
      </c>
    </row>
    <row r="329" spans="45:73">
      <c r="AS329" s="361" t="s">
        <v>633</v>
      </c>
      <c r="AT329" s="364">
        <v>0.16</v>
      </c>
      <c r="AU329" s="365">
        <v>45716</v>
      </c>
      <c r="AV329" s="364">
        <v>5377.7204</v>
      </c>
      <c r="AW329" s="3"/>
      <c r="AX329" s="376">
        <v>0.005325</v>
      </c>
      <c r="AY329" s="376">
        <v>0.01567</v>
      </c>
      <c r="AZ329" s="376">
        <v>0.032007</v>
      </c>
      <c r="BA329" s="376">
        <v>0.065599</v>
      </c>
      <c r="BB329" s="376">
        <v>0.061909</v>
      </c>
      <c r="BC329" s="376">
        <v>0.049177</v>
      </c>
      <c r="BD329" s="376" t="s">
        <v>129</v>
      </c>
      <c r="BE329" s="4"/>
      <c r="BF329" s="376">
        <v>0.01567</v>
      </c>
      <c r="BG329" s="376">
        <v>0.0662989955107164</v>
      </c>
      <c r="BH329" s="376">
        <v>0.0659209162094905</v>
      </c>
      <c r="BI329" s="376">
        <v>0.0458926687710816</v>
      </c>
      <c r="BJ329" s="376">
        <v>0.0307459462519094</v>
      </c>
      <c r="BK329" s="376">
        <v>0.032812202685293</v>
      </c>
      <c r="BL329" s="376">
        <v>0.0537025000000001</v>
      </c>
      <c r="BM329" s="376" t="s">
        <v>129</v>
      </c>
      <c r="BN329" s="376" t="s">
        <v>129</v>
      </c>
      <c r="BO329" s="376" t="s">
        <v>129</v>
      </c>
      <c r="BP329" s="376" t="s">
        <v>129</v>
      </c>
      <c r="BQ329" s="376" t="s">
        <v>129</v>
      </c>
      <c r="BR329" s="376" t="s">
        <v>129</v>
      </c>
      <c r="BS329" s="376" t="s">
        <v>129</v>
      </c>
      <c r="BT329" s="376" t="s">
        <v>129</v>
      </c>
      <c r="BU329" s="376" t="s">
        <v>129</v>
      </c>
    </row>
    <row r="330" spans="45:73">
      <c r="AS330" s="361" t="s">
        <v>634</v>
      </c>
      <c r="AT330" s="364">
        <v>0.2</v>
      </c>
      <c r="AU330" s="365">
        <v>45716</v>
      </c>
      <c r="AV330" s="364">
        <v>1017.6873</v>
      </c>
      <c r="AW330" s="3"/>
      <c r="AX330" s="376">
        <v>0.005348</v>
      </c>
      <c r="AY330" s="376">
        <v>0.015614</v>
      </c>
      <c r="AZ330" s="376">
        <v>0.031778</v>
      </c>
      <c r="BA330" s="376">
        <v>0.065065</v>
      </c>
      <c r="BB330" s="376">
        <v>0.061587</v>
      </c>
      <c r="BC330" s="376">
        <v>0.048939</v>
      </c>
      <c r="BD330" s="376" t="s">
        <v>129</v>
      </c>
      <c r="BE330" s="4"/>
      <c r="BF330" s="376">
        <v>0.015614</v>
      </c>
      <c r="BG330" s="376">
        <v>0.0657627706800377</v>
      </c>
      <c r="BH330" s="376">
        <v>0.0655130858679928</v>
      </c>
      <c r="BI330" s="376">
        <v>0.045919893068583</v>
      </c>
      <c r="BJ330" s="376">
        <v>0.0308244074291514</v>
      </c>
      <c r="BK330" s="376">
        <v>0.0327571369812453</v>
      </c>
      <c r="BL330" s="376">
        <v>0.0225038363922861</v>
      </c>
      <c r="BM330" s="376" t="s">
        <v>129</v>
      </c>
      <c r="BN330" s="376" t="s">
        <v>129</v>
      </c>
      <c r="BO330" s="376" t="s">
        <v>129</v>
      </c>
      <c r="BP330" s="376" t="s">
        <v>129</v>
      </c>
      <c r="BQ330" s="376" t="s">
        <v>129</v>
      </c>
      <c r="BR330" s="376" t="s">
        <v>129</v>
      </c>
      <c r="BS330" s="376" t="s">
        <v>129</v>
      </c>
      <c r="BT330" s="376" t="s">
        <v>129</v>
      </c>
      <c r="BU330" s="376" t="s">
        <v>129</v>
      </c>
    </row>
    <row r="331" spans="45:73">
      <c r="AS331" s="361" t="s">
        <v>635</v>
      </c>
      <c r="AT331" s="364">
        <v>0.19</v>
      </c>
      <c r="AU331" s="365">
        <v>45716</v>
      </c>
      <c r="AV331" s="364">
        <v>155.9923</v>
      </c>
      <c r="AW331" s="3"/>
      <c r="AX331" s="376">
        <v>0.005317</v>
      </c>
      <c r="AY331" s="376">
        <v>0.015592</v>
      </c>
      <c r="AZ331" s="376">
        <v>0.031851</v>
      </c>
      <c r="BA331" s="376">
        <v>0.065289</v>
      </c>
      <c r="BB331" s="376">
        <v>0.061855</v>
      </c>
      <c r="BC331" s="376">
        <v>0.049405</v>
      </c>
      <c r="BD331" s="376" t="s">
        <v>129</v>
      </c>
      <c r="BE331" s="4"/>
      <c r="BF331" s="376">
        <v>0.015592</v>
      </c>
      <c r="BG331" s="376">
        <v>0.0660859537604308</v>
      </c>
      <c r="BH331" s="376">
        <v>0.0659272898835226</v>
      </c>
      <c r="BI331" s="376">
        <v>0.0461703958810517</v>
      </c>
      <c r="BJ331" s="376">
        <v>0.0313307581687752</v>
      </c>
      <c r="BK331" s="376">
        <v>0.0329620334443972</v>
      </c>
      <c r="BL331" s="376">
        <v>0.021636</v>
      </c>
      <c r="BM331" s="376" t="s">
        <v>129</v>
      </c>
      <c r="BN331" s="376" t="s">
        <v>129</v>
      </c>
      <c r="BO331" s="376" t="s">
        <v>129</v>
      </c>
      <c r="BP331" s="376" t="s">
        <v>129</v>
      </c>
      <c r="BQ331" s="376" t="s">
        <v>129</v>
      </c>
      <c r="BR331" s="376" t="s">
        <v>129</v>
      </c>
      <c r="BS331" s="376" t="s">
        <v>129</v>
      </c>
      <c r="BT331" s="376" t="s">
        <v>129</v>
      </c>
      <c r="BU331" s="376" t="s">
        <v>129</v>
      </c>
    </row>
    <row r="332" spans="45:73">
      <c r="AS332" s="361" t="s">
        <v>636</v>
      </c>
      <c r="AT332" s="364">
        <v>0.16</v>
      </c>
      <c r="AU332" s="365">
        <v>45716</v>
      </c>
      <c r="AV332" s="364">
        <v>825.147040517</v>
      </c>
      <c r="AW332" s="3"/>
      <c r="AX332" s="376">
        <v>0.005296</v>
      </c>
      <c r="AY332" s="376">
        <v>0.015583</v>
      </c>
      <c r="AZ332" s="376">
        <v>0.031895</v>
      </c>
      <c r="BA332" s="376">
        <v>0.0656</v>
      </c>
      <c r="BB332" s="376">
        <v>0.062168</v>
      </c>
      <c r="BC332" s="376">
        <v>0.049785</v>
      </c>
      <c r="BD332" s="376" t="s">
        <v>129</v>
      </c>
      <c r="BE332" s="4"/>
      <c r="BF332" s="376">
        <v>0.015583</v>
      </c>
      <c r="BG332" s="376">
        <v>0.0664655954044338</v>
      </c>
      <c r="BH332" s="376">
        <v>0.0662705520193701</v>
      </c>
      <c r="BI332" s="376">
        <v>0.0464533384791366</v>
      </c>
      <c r="BJ332" s="376">
        <v>0.0315704873307107</v>
      </c>
      <c r="BK332" s="376">
        <v>0.034476388403233</v>
      </c>
      <c r="BL332" s="376">
        <v>0.0100884</v>
      </c>
      <c r="BM332" s="376" t="s">
        <v>129</v>
      </c>
      <c r="BN332" s="376" t="s">
        <v>129</v>
      </c>
      <c r="BO332" s="376" t="s">
        <v>129</v>
      </c>
      <c r="BP332" s="376" t="s">
        <v>129</v>
      </c>
      <c r="BQ332" s="376" t="s">
        <v>129</v>
      </c>
      <c r="BR332" s="376" t="s">
        <v>129</v>
      </c>
      <c r="BS332" s="376" t="s">
        <v>129</v>
      </c>
      <c r="BT332" s="376" t="s">
        <v>129</v>
      </c>
      <c r="BU332" s="376" t="s">
        <v>129</v>
      </c>
    </row>
    <row r="333" spans="45:73">
      <c r="AS333" s="361" t="s">
        <v>637</v>
      </c>
      <c r="AT333" s="364">
        <v>0.16</v>
      </c>
      <c r="AU333" s="365">
        <v>45716</v>
      </c>
      <c r="AV333" s="364">
        <v>6838.5359</v>
      </c>
      <c r="AW333" s="3"/>
      <c r="AX333" s="376">
        <v>0.005378</v>
      </c>
      <c r="AY333" s="376">
        <v>0.015736</v>
      </c>
      <c r="AZ333" s="376">
        <v>0.032107</v>
      </c>
      <c r="BA333" s="376">
        <v>0.065713</v>
      </c>
      <c r="BB333" s="376">
        <v>0.06216</v>
      </c>
      <c r="BC333" s="376">
        <v>0.049519</v>
      </c>
      <c r="BD333" s="376" t="s">
        <v>129</v>
      </c>
      <c r="BE333" s="4"/>
      <c r="BF333" s="376">
        <v>0.015736</v>
      </c>
      <c r="BG333" s="376">
        <v>0.0664495911161117</v>
      </c>
      <c r="BH333" s="376">
        <v>0.0662344846984031</v>
      </c>
      <c r="BI333" s="376">
        <v>0.0462280138839154</v>
      </c>
      <c r="BJ333" s="376">
        <v>0.0309444527700513</v>
      </c>
      <c r="BK333" s="376">
        <v>0.0334577054524472</v>
      </c>
      <c r="BL333" s="376">
        <v>0.0563404729056374</v>
      </c>
      <c r="BM333" s="376">
        <v>0.00244100000000003</v>
      </c>
      <c r="BN333" s="376" t="s">
        <v>129</v>
      </c>
      <c r="BO333" s="376" t="s">
        <v>129</v>
      </c>
      <c r="BP333" s="376" t="s">
        <v>129</v>
      </c>
      <c r="BQ333" s="376" t="s">
        <v>129</v>
      </c>
      <c r="BR333" s="376" t="s">
        <v>129</v>
      </c>
      <c r="BS333" s="376" t="s">
        <v>129</v>
      </c>
      <c r="BT333" s="376" t="s">
        <v>129</v>
      </c>
      <c r="BU333" s="376" t="s">
        <v>129</v>
      </c>
    </row>
    <row r="334" spans="45:73">
      <c r="AS334" s="361" t="s">
        <v>638</v>
      </c>
      <c r="AT334" s="364">
        <v>0.15</v>
      </c>
      <c r="AU334" s="365">
        <v>45716</v>
      </c>
      <c r="AV334" s="364">
        <v>178.487941801</v>
      </c>
      <c r="AW334" s="3"/>
      <c r="AX334" s="376">
        <v>0.005142</v>
      </c>
      <c r="AY334" s="376">
        <v>0.015352</v>
      </c>
      <c r="AZ334" s="376">
        <v>0.031506</v>
      </c>
      <c r="BA334" s="376">
        <v>0.064436</v>
      </c>
      <c r="BB334" s="376" t="s">
        <v>129</v>
      </c>
      <c r="BC334" s="376" t="s">
        <v>129</v>
      </c>
      <c r="BD334" s="376" t="s">
        <v>129</v>
      </c>
      <c r="BE334" s="4"/>
      <c r="BF334" s="376">
        <v>0.015352</v>
      </c>
      <c r="BG334" s="376">
        <v>0.0653224961758169</v>
      </c>
      <c r="BH334" s="376">
        <v>0.0655168356433413</v>
      </c>
      <c r="BI334" s="376">
        <v>0.0232576</v>
      </c>
      <c r="BJ334" s="376" t="s">
        <v>129</v>
      </c>
      <c r="BK334" s="376" t="s">
        <v>129</v>
      </c>
      <c r="BL334" s="376" t="s">
        <v>129</v>
      </c>
      <c r="BM334" s="376" t="s">
        <v>129</v>
      </c>
      <c r="BN334" s="376" t="s">
        <v>129</v>
      </c>
      <c r="BO334" s="376" t="s">
        <v>129</v>
      </c>
      <c r="BP334" s="376" t="s">
        <v>129</v>
      </c>
      <c r="BQ334" s="376" t="s">
        <v>129</v>
      </c>
      <c r="BR334" s="376" t="s">
        <v>129</v>
      </c>
      <c r="BS334" s="376" t="s">
        <v>129</v>
      </c>
      <c r="BT334" s="376" t="s">
        <v>129</v>
      </c>
      <c r="BU334" s="376" t="s">
        <v>129</v>
      </c>
    </row>
    <row r="335" spans="45:73">
      <c r="AS335" s="361" t="s">
        <v>639</v>
      </c>
      <c r="AT335" s="364">
        <v>0.15</v>
      </c>
      <c r="AU335" s="365">
        <v>45716</v>
      </c>
      <c r="AV335" s="364">
        <v>87.0839</v>
      </c>
      <c r="AW335" s="3"/>
      <c r="AX335" s="376">
        <v>0.005371</v>
      </c>
      <c r="AY335" s="376">
        <v>0.015729</v>
      </c>
      <c r="AZ335" s="376">
        <v>0.032147</v>
      </c>
      <c r="BA335" s="376">
        <v>0.06595</v>
      </c>
      <c r="BB335" s="376">
        <v>0.062161</v>
      </c>
      <c r="BC335" s="376">
        <v>0.049847</v>
      </c>
      <c r="BD335" s="376" t="s">
        <v>129</v>
      </c>
      <c r="BE335" s="4"/>
      <c r="BF335" s="376">
        <v>0.015729</v>
      </c>
      <c r="BG335" s="376">
        <v>0.0666153474380304</v>
      </c>
      <c r="BH335" s="376">
        <v>0.0658605465813432</v>
      </c>
      <c r="BI335" s="376">
        <v>0.0465145362530316</v>
      </c>
      <c r="BJ335" s="376">
        <v>0.0318029377096659</v>
      </c>
      <c r="BK335" s="376">
        <v>0.0346491255235214</v>
      </c>
      <c r="BL335" s="376">
        <v>0.0171743</v>
      </c>
      <c r="BM335" s="376" t="s">
        <v>129</v>
      </c>
      <c r="BN335" s="376" t="s">
        <v>129</v>
      </c>
      <c r="BO335" s="376" t="s">
        <v>129</v>
      </c>
      <c r="BP335" s="376" t="s">
        <v>129</v>
      </c>
      <c r="BQ335" s="376" t="s">
        <v>129</v>
      </c>
      <c r="BR335" s="376" t="s">
        <v>129</v>
      </c>
      <c r="BS335" s="376" t="s">
        <v>129</v>
      </c>
      <c r="BT335" s="376" t="s">
        <v>129</v>
      </c>
      <c r="BU335" s="376" t="s">
        <v>129</v>
      </c>
    </row>
    <row r="336" spans="45:73">
      <c r="AS336" s="361" t="s">
        <v>640</v>
      </c>
      <c r="AT336" s="364">
        <v>0.24</v>
      </c>
      <c r="AU336" s="365">
        <v>45716</v>
      </c>
      <c r="AV336" s="364">
        <v>171.1939</v>
      </c>
      <c r="AW336" s="3"/>
      <c r="AX336" s="376">
        <v>0.005095</v>
      </c>
      <c r="AY336" s="376">
        <v>0.015202</v>
      </c>
      <c r="AZ336" s="376">
        <v>0.032198</v>
      </c>
      <c r="BA336" s="376">
        <v>0.066664</v>
      </c>
      <c r="BB336" s="376" t="s">
        <v>129</v>
      </c>
      <c r="BC336" s="376" t="s">
        <v>129</v>
      </c>
      <c r="BD336" s="376" t="s">
        <v>129</v>
      </c>
      <c r="BE336" s="4"/>
      <c r="BF336" s="376">
        <v>0.015202</v>
      </c>
      <c r="BG336" s="376">
        <v>0.0687200483878472</v>
      </c>
      <c r="BH336" s="376">
        <v>0.0702192921305794</v>
      </c>
      <c r="BI336" s="376">
        <v>0.00398940158976147</v>
      </c>
      <c r="BJ336" s="376" t="s">
        <v>129</v>
      </c>
      <c r="BK336" s="376" t="s">
        <v>129</v>
      </c>
      <c r="BL336" s="376" t="s">
        <v>129</v>
      </c>
      <c r="BM336" s="376" t="s">
        <v>129</v>
      </c>
      <c r="BN336" s="376" t="s">
        <v>129</v>
      </c>
      <c r="BO336" s="376" t="s">
        <v>129</v>
      </c>
      <c r="BP336" s="376" t="s">
        <v>129</v>
      </c>
      <c r="BQ336" s="376" t="s">
        <v>129</v>
      </c>
      <c r="BR336" s="376" t="s">
        <v>129</v>
      </c>
      <c r="BS336" s="376" t="s">
        <v>129</v>
      </c>
      <c r="BT336" s="376" t="s">
        <v>129</v>
      </c>
      <c r="BU336" s="376" t="s">
        <v>129</v>
      </c>
    </row>
    <row r="337" spans="45:73">
      <c r="AS337" s="361" t="s">
        <v>641</v>
      </c>
      <c r="AT337" s="364">
        <v>0.33</v>
      </c>
      <c r="AU337" s="365">
        <v>45716</v>
      </c>
      <c r="AV337" s="364">
        <v>53.7635</v>
      </c>
      <c r="AW337" s="3"/>
      <c r="AX337" s="376">
        <v>0.004913</v>
      </c>
      <c r="AY337" s="376">
        <v>0.014671</v>
      </c>
      <c r="AZ337" s="376">
        <v>0.030245</v>
      </c>
      <c r="BA337" s="376">
        <v>0.061862</v>
      </c>
      <c r="BB337" s="376" t="s">
        <v>129</v>
      </c>
      <c r="BC337" s="376" t="s">
        <v>129</v>
      </c>
      <c r="BD337" s="376" t="s">
        <v>129</v>
      </c>
      <c r="BE337" s="4"/>
      <c r="BF337" s="376">
        <v>0.014671</v>
      </c>
      <c r="BG337" s="376">
        <v>0.0630212107282081</v>
      </c>
      <c r="BH337" s="376">
        <v>0.063778890164586</v>
      </c>
      <c r="BI337" s="376">
        <v>0.0134764</v>
      </c>
      <c r="BJ337" s="376" t="s">
        <v>129</v>
      </c>
      <c r="BK337" s="376" t="s">
        <v>129</v>
      </c>
      <c r="BL337" s="376" t="s">
        <v>129</v>
      </c>
      <c r="BM337" s="376" t="s">
        <v>129</v>
      </c>
      <c r="BN337" s="376" t="s">
        <v>129</v>
      </c>
      <c r="BO337" s="376" t="s">
        <v>129</v>
      </c>
      <c r="BP337" s="376" t="s">
        <v>129</v>
      </c>
      <c r="BQ337" s="376" t="s">
        <v>129</v>
      </c>
      <c r="BR337" s="376" t="s">
        <v>129</v>
      </c>
      <c r="BS337" s="376" t="s">
        <v>129</v>
      </c>
      <c r="BT337" s="376" t="s">
        <v>129</v>
      </c>
      <c r="BU337" s="376" t="s">
        <v>129</v>
      </c>
    </row>
    <row r="338" spans="45:73">
      <c r="AS338" s="361" t="s">
        <v>642</v>
      </c>
      <c r="AT338" s="364">
        <v>0.15</v>
      </c>
      <c r="AU338" s="365">
        <v>45716</v>
      </c>
      <c r="AV338" s="364">
        <v>21498.4609</v>
      </c>
      <c r="AW338" s="3"/>
      <c r="AX338" s="376">
        <v>0.005278</v>
      </c>
      <c r="AY338" s="376">
        <v>0.015574</v>
      </c>
      <c r="AZ338" s="376">
        <v>0.031859</v>
      </c>
      <c r="BA338" s="376">
        <v>0.065247</v>
      </c>
      <c r="BB338" s="376">
        <v>0.061721</v>
      </c>
      <c r="BC338" s="376">
        <v>0.049193</v>
      </c>
      <c r="BD338" s="376">
        <v>0.055658</v>
      </c>
      <c r="BE338" s="4"/>
      <c r="BF338" s="376">
        <v>0.015574</v>
      </c>
      <c r="BG338" s="376">
        <v>0.0659827222319945</v>
      </c>
      <c r="BH338" s="376">
        <v>0.0657425941389063</v>
      </c>
      <c r="BI338" s="376">
        <v>0.0459642271566107</v>
      </c>
      <c r="BJ338" s="376">
        <v>0.0310612735578882</v>
      </c>
      <c r="BK338" s="376">
        <v>0.0330235538940327</v>
      </c>
      <c r="BL338" s="376">
        <v>0.0560640611050662</v>
      </c>
      <c r="BM338" s="376">
        <v>0.0619440645377431</v>
      </c>
      <c r="BN338" s="376">
        <v>0.0575797744626459</v>
      </c>
      <c r="BO338" s="376">
        <v>0.0678066671674551</v>
      </c>
      <c r="BP338" s="376">
        <v>0.0778116855790835</v>
      </c>
      <c r="BQ338" s="376">
        <v>0.0874256596200019</v>
      </c>
      <c r="BR338" s="376">
        <v>0.0887425185741203</v>
      </c>
      <c r="BS338" s="376">
        <v>0.0929547329660289</v>
      </c>
      <c r="BT338" s="376">
        <v>0.0890369655671471</v>
      </c>
      <c r="BU338" s="376">
        <v>0.0564506367499314</v>
      </c>
    </row>
    <row r="339" spans="45:73">
      <c r="AS339" s="361" t="s">
        <v>643</v>
      </c>
      <c r="AT339" s="364">
        <v>0.16</v>
      </c>
      <c r="AU339" s="365">
        <v>45716</v>
      </c>
      <c r="AV339" s="364">
        <v>185.7037</v>
      </c>
      <c r="AW339" s="3"/>
      <c r="AX339" s="376">
        <v>0.005115</v>
      </c>
      <c r="AY339" s="376">
        <v>0.015128</v>
      </c>
      <c r="AZ339" s="376">
        <v>0.031173</v>
      </c>
      <c r="BA339" s="376">
        <v>0.06441</v>
      </c>
      <c r="BB339" s="376" t="s">
        <v>129</v>
      </c>
      <c r="BC339" s="376" t="s">
        <v>129</v>
      </c>
      <c r="BD339" s="376" t="s">
        <v>129</v>
      </c>
      <c r="BE339" s="4"/>
      <c r="BF339" s="376">
        <v>0.015128</v>
      </c>
      <c r="BG339" s="376">
        <v>0.0655264633171278</v>
      </c>
      <c r="BH339" s="376">
        <v>0.065760991997806</v>
      </c>
      <c r="BI339" s="376">
        <v>0.02097</v>
      </c>
      <c r="BJ339" s="376" t="s">
        <v>129</v>
      </c>
      <c r="BK339" s="376" t="s">
        <v>129</v>
      </c>
      <c r="BL339" s="376" t="s">
        <v>129</v>
      </c>
      <c r="BM339" s="376" t="s">
        <v>129</v>
      </c>
      <c r="BN339" s="376" t="s">
        <v>129</v>
      </c>
      <c r="BO339" s="376" t="s">
        <v>129</v>
      </c>
      <c r="BP339" s="376" t="s">
        <v>129</v>
      </c>
      <c r="BQ339" s="376" t="s">
        <v>129</v>
      </c>
      <c r="BR339" s="376" t="s">
        <v>129</v>
      </c>
      <c r="BS339" s="376" t="s">
        <v>129</v>
      </c>
      <c r="BT339" s="376" t="s">
        <v>129</v>
      </c>
      <c r="BU339" s="376" t="s">
        <v>129</v>
      </c>
    </row>
    <row r="340" spans="45:73">
      <c r="AS340" s="361" t="s">
        <v>644</v>
      </c>
      <c r="AT340" s="364">
        <v>0.13</v>
      </c>
      <c r="AU340" s="365">
        <v>45716</v>
      </c>
      <c r="AV340" s="364">
        <v>697.868846</v>
      </c>
      <c r="AW340" s="3"/>
      <c r="AX340" s="376">
        <v>0.005324</v>
      </c>
      <c r="AY340" s="376">
        <v>0.015635</v>
      </c>
      <c r="AZ340" s="376">
        <v>0.03187</v>
      </c>
      <c r="BA340" s="376">
        <v>0.06519</v>
      </c>
      <c r="BB340" s="376">
        <v>0.061841</v>
      </c>
      <c r="BC340" s="376">
        <v>0.049076</v>
      </c>
      <c r="BD340" s="376" t="s">
        <v>129</v>
      </c>
      <c r="BE340" s="4"/>
      <c r="BF340" s="376">
        <v>0.015635</v>
      </c>
      <c r="BG340" s="376">
        <v>0.0659079921885824</v>
      </c>
      <c r="BH340" s="376">
        <v>0.065998312426939</v>
      </c>
      <c r="BI340" s="376">
        <v>0.04588649769233</v>
      </c>
      <c r="BJ340" s="376">
        <v>0.030391296741378</v>
      </c>
      <c r="BK340" s="376">
        <v>0.033201715256158</v>
      </c>
      <c r="BL340" s="376">
        <v>0.0494758999999999</v>
      </c>
      <c r="BM340" s="376" t="s">
        <v>129</v>
      </c>
      <c r="BN340" s="376" t="s">
        <v>129</v>
      </c>
      <c r="BO340" s="376" t="s">
        <v>129</v>
      </c>
      <c r="BP340" s="376" t="s">
        <v>129</v>
      </c>
      <c r="BQ340" s="376" t="s">
        <v>129</v>
      </c>
      <c r="BR340" s="376" t="s">
        <v>129</v>
      </c>
      <c r="BS340" s="376" t="s">
        <v>129</v>
      </c>
      <c r="BT340" s="376" t="s">
        <v>129</v>
      </c>
      <c r="BU340" s="376" t="s">
        <v>129</v>
      </c>
    </row>
    <row r="341" spans="45:73">
      <c r="AS341" s="361" t="s">
        <v>645</v>
      </c>
      <c r="AT341" s="364">
        <v>0.18</v>
      </c>
      <c r="AU341" s="365">
        <v>45716</v>
      </c>
      <c r="AV341" s="364">
        <v>3610.093443145</v>
      </c>
      <c r="AW341" s="3"/>
      <c r="AX341" s="376">
        <v>0.005356</v>
      </c>
      <c r="AY341" s="376">
        <v>0.015654</v>
      </c>
      <c r="AZ341" s="376">
        <v>0.031959</v>
      </c>
      <c r="BA341" s="376">
        <v>0.0654</v>
      </c>
      <c r="BB341" s="376">
        <v>0.061806</v>
      </c>
      <c r="BC341" s="376">
        <v>0.049203</v>
      </c>
      <c r="BD341" s="376" t="s">
        <v>129</v>
      </c>
      <c r="BE341" s="4"/>
      <c r="BF341" s="376">
        <v>0.015654</v>
      </c>
      <c r="BG341" s="376">
        <v>0.06613452063576</v>
      </c>
      <c r="BH341" s="376">
        <v>0.0658356247774302</v>
      </c>
      <c r="BI341" s="376">
        <v>0.0458882690058512</v>
      </c>
      <c r="BJ341" s="376">
        <v>0.0308069355624525</v>
      </c>
      <c r="BK341" s="376">
        <v>0.0330090335509256</v>
      </c>
      <c r="BL341" s="376">
        <v>0.0410056861122108</v>
      </c>
      <c r="BM341" s="376" t="s">
        <v>129</v>
      </c>
      <c r="BN341" s="376" t="s">
        <v>129</v>
      </c>
      <c r="BO341" s="376" t="s">
        <v>129</v>
      </c>
      <c r="BP341" s="376" t="s">
        <v>129</v>
      </c>
      <c r="BQ341" s="376" t="s">
        <v>129</v>
      </c>
      <c r="BR341" s="376" t="s">
        <v>129</v>
      </c>
      <c r="BS341" s="376" t="s">
        <v>129</v>
      </c>
      <c r="BT341" s="376" t="s">
        <v>129</v>
      </c>
      <c r="BU341" s="376" t="s">
        <v>129</v>
      </c>
    </row>
    <row r="342" spans="45:73">
      <c r="AS342" s="361" t="s">
        <v>646</v>
      </c>
      <c r="AT342" s="364">
        <v>0.12</v>
      </c>
      <c r="AU342" s="365">
        <v>45716</v>
      </c>
      <c r="AV342" s="364">
        <v>182.333717561</v>
      </c>
      <c r="AW342" s="3"/>
      <c r="AX342" s="376">
        <v>0.005171</v>
      </c>
      <c r="AY342" s="376">
        <v>0.015411</v>
      </c>
      <c r="AZ342" s="376">
        <v>0.032151</v>
      </c>
      <c r="BA342" s="376">
        <v>0.065706</v>
      </c>
      <c r="BB342" s="376">
        <v>0.062209</v>
      </c>
      <c r="BC342" s="376" t="s">
        <v>129</v>
      </c>
      <c r="BD342" s="376" t="s">
        <v>129</v>
      </c>
      <c r="BE342" s="4"/>
      <c r="BF342" s="376">
        <v>0.015411</v>
      </c>
      <c r="BG342" s="376">
        <v>0.0666404535415138</v>
      </c>
      <c r="BH342" s="376">
        <v>0.0666256111892483</v>
      </c>
      <c r="BI342" s="376">
        <v>0.0446027999999999</v>
      </c>
      <c r="BJ342" s="376" t="s">
        <v>129</v>
      </c>
      <c r="BK342" s="376" t="s">
        <v>129</v>
      </c>
      <c r="BL342" s="376" t="s">
        <v>129</v>
      </c>
      <c r="BM342" s="376" t="s">
        <v>129</v>
      </c>
      <c r="BN342" s="376" t="s">
        <v>129</v>
      </c>
      <c r="BO342" s="376" t="s">
        <v>129</v>
      </c>
      <c r="BP342" s="376" t="s">
        <v>129</v>
      </c>
      <c r="BQ342" s="376" t="s">
        <v>129</v>
      </c>
      <c r="BR342" s="376" t="s">
        <v>129</v>
      </c>
      <c r="BS342" s="376" t="s">
        <v>129</v>
      </c>
      <c r="BT342" s="376" t="s">
        <v>129</v>
      </c>
      <c r="BU342" s="376" t="s">
        <v>129</v>
      </c>
    </row>
    <row r="343" spans="45:73">
      <c r="AS343" s="361" t="s">
        <v>647</v>
      </c>
      <c r="AT343" s="364">
        <v>0.18</v>
      </c>
      <c r="AU343" s="365">
        <v>45716</v>
      </c>
      <c r="AV343" s="364">
        <v>187.3681</v>
      </c>
      <c r="AW343" s="3"/>
      <c r="AX343" s="376">
        <v>0.005315</v>
      </c>
      <c r="AY343" s="376">
        <v>0.01558</v>
      </c>
      <c r="AZ343" s="376">
        <v>0.031795</v>
      </c>
      <c r="BA343" s="376">
        <v>0.065313</v>
      </c>
      <c r="BB343" s="376">
        <v>0.061832</v>
      </c>
      <c r="BC343" s="376">
        <v>0.04913</v>
      </c>
      <c r="BD343" s="376" t="s">
        <v>129</v>
      </c>
      <c r="BE343" s="4"/>
      <c r="BF343" s="376">
        <v>0.01558</v>
      </c>
      <c r="BG343" s="376">
        <v>0.0662308750628632</v>
      </c>
      <c r="BH343" s="376">
        <v>0.0657509033183768</v>
      </c>
      <c r="BI343" s="376">
        <v>0.0459518888150376</v>
      </c>
      <c r="BJ343" s="376">
        <v>0.0309607450225245</v>
      </c>
      <c r="BK343" s="376">
        <v>0.0322658079242559</v>
      </c>
      <c r="BL343" s="376">
        <v>0.0400523916173414</v>
      </c>
      <c r="BM343" s="376" t="s">
        <v>129</v>
      </c>
      <c r="BN343" s="376" t="s">
        <v>129</v>
      </c>
      <c r="BO343" s="376" t="s">
        <v>129</v>
      </c>
      <c r="BP343" s="376" t="s">
        <v>129</v>
      </c>
      <c r="BQ343" s="376" t="s">
        <v>129</v>
      </c>
      <c r="BR343" s="376" t="s">
        <v>129</v>
      </c>
      <c r="BS343" s="376" t="s">
        <v>129</v>
      </c>
      <c r="BT343" s="376" t="s">
        <v>129</v>
      </c>
      <c r="BU343" s="376" t="s">
        <v>129</v>
      </c>
    </row>
    <row r="344" ht="15.15" spans="45:73">
      <c r="AS344" s="361" t="s">
        <v>648</v>
      </c>
      <c r="AT344" s="364">
        <v>0.11</v>
      </c>
      <c r="AU344" s="365">
        <v>45716</v>
      </c>
      <c r="AV344" s="364">
        <v>4733.6373</v>
      </c>
      <c r="AW344" s="3"/>
      <c r="AX344" s="376">
        <v>0.00535</v>
      </c>
      <c r="AY344" s="376">
        <v>0.015708</v>
      </c>
      <c r="AZ344" s="376">
        <v>0.032118</v>
      </c>
      <c r="BA344" s="376">
        <v>0.065885</v>
      </c>
      <c r="BB344" s="376">
        <v>0.062379</v>
      </c>
      <c r="BC344" s="376">
        <v>0.049737</v>
      </c>
      <c r="BD344" s="376">
        <v>0.057</v>
      </c>
      <c r="BE344" s="4"/>
      <c r="BF344" s="376">
        <v>0.015708</v>
      </c>
      <c r="BG344" s="376">
        <v>0.066705361670609</v>
      </c>
      <c r="BH344" s="376">
        <v>0.066404228800948</v>
      </c>
      <c r="BI344" s="376">
        <v>0.0464720487981513</v>
      </c>
      <c r="BJ344" s="376">
        <v>0.0312942608161093</v>
      </c>
      <c r="BK344" s="376">
        <v>0.0335707958852943</v>
      </c>
      <c r="BL344" s="376">
        <v>0.0562953125577606</v>
      </c>
      <c r="BM344" s="376">
        <v>0.0585204338893773</v>
      </c>
      <c r="BN344" s="376">
        <v>0.0508962237296747</v>
      </c>
      <c r="BO344" s="376">
        <v>0.0890832693435843</v>
      </c>
      <c r="BP344" s="376">
        <v>0.0808794721105269</v>
      </c>
      <c r="BQ344" s="376">
        <v>0.0843656365994364</v>
      </c>
      <c r="BR344" s="376">
        <v>0.0888351907871912</v>
      </c>
      <c r="BS344" s="376">
        <v>0.0846283850693849</v>
      </c>
      <c r="BT344" s="376">
        <v>0.0734766771079898</v>
      </c>
      <c r="BU344" s="376">
        <v>0.0367132224907978</v>
      </c>
    </row>
    <row r="345" ht="15.15" spans="45:73">
      <c r="AS345" s="312" t="s">
        <v>162</v>
      </c>
      <c r="AT345"/>
      <c r="AU345"/>
      <c r="AV345"/>
      <c r="AW345" s="377"/>
      <c r="AX345" s="378">
        <f t="shared" ref="AX345:BD345" si="46">AVERAGE(AX311:AX344)</f>
        <v>0.00526173529411765</v>
      </c>
      <c r="AY345" s="378">
        <f t="shared" si="46"/>
        <v>0.0155231764705882</v>
      </c>
      <c r="AZ345" s="378">
        <f t="shared" si="46"/>
        <v>0.0318250882352941</v>
      </c>
      <c r="BA345" s="378">
        <f t="shared" si="46"/>
        <v>0.0652483529411765</v>
      </c>
      <c r="BB345" s="378">
        <f t="shared" si="46"/>
        <v>0.0618993928571429</v>
      </c>
      <c r="BC345" s="378">
        <f t="shared" si="46"/>
        <v>0.0493397037037037</v>
      </c>
      <c r="BD345" s="378">
        <f t="shared" si="46"/>
        <v>0.0558236666666667</v>
      </c>
      <c r="BE345" s="377"/>
      <c r="BF345" s="378">
        <f>AVERAGE(BF311:BF344)</f>
        <v>0.0155231764705882</v>
      </c>
      <c r="BG345" s="378">
        <f>AVERAGE(BG311:BG344)</f>
        <v>0.0661638410000581</v>
      </c>
      <c r="BH345" s="378">
        <f>AVERAGE(BH311:BH344)</f>
        <v>0.0634009311552816</v>
      </c>
      <c r="BI345" s="378">
        <f>AVERAGE(BI311:BI344)</f>
        <v>0.0421918216739683</v>
      </c>
      <c r="BJ345" s="378">
        <f t="shared" ref="BJ345:BU345" si="47">AVERAGE(BJ311:BJ344)</f>
        <v>0.0310569009458686</v>
      </c>
      <c r="BK345" s="378">
        <f t="shared" si="47"/>
        <v>0.0331781590238319</v>
      </c>
      <c r="BL345" s="378">
        <f t="shared" si="47"/>
        <v>0.0370257420732428</v>
      </c>
      <c r="BM345" s="378">
        <f t="shared" si="47"/>
        <v>0.0337225057685996</v>
      </c>
      <c r="BN345" s="378">
        <f t="shared" si="47"/>
        <v>0.0558387188361633</v>
      </c>
      <c r="BO345" s="378">
        <f t="shared" si="47"/>
        <v>0.0736608206707382</v>
      </c>
      <c r="BP345" s="378">
        <f t="shared" si="47"/>
        <v>0.0772053591836707</v>
      </c>
      <c r="BQ345" s="378">
        <f t="shared" si="47"/>
        <v>0.084462856877328</v>
      </c>
      <c r="BR345" s="378">
        <f t="shared" si="47"/>
        <v>0.0865610136676976</v>
      </c>
      <c r="BS345" s="378">
        <f t="shared" si="47"/>
        <v>0.0866539598653013</v>
      </c>
      <c r="BT345" s="378">
        <f t="shared" si="47"/>
        <v>0.0790335339795334</v>
      </c>
      <c r="BU345" s="378">
        <f t="shared" si="47"/>
        <v>0.0468280459816509</v>
      </c>
    </row>
    <row r="346" spans="45:73">
      <c r="AS346" s="312" t="s">
        <v>178</v>
      </c>
      <c r="AT346"/>
      <c r="AU346"/>
      <c r="AV346"/>
      <c r="AW346"/>
      <c r="AX346" s="379">
        <v>0.0087263867959253</v>
      </c>
      <c r="AY346" s="379">
        <v>0.0207643930788102</v>
      </c>
      <c r="AZ346" s="379">
        <v>0.0377184412193585</v>
      </c>
      <c r="BA346" s="379">
        <v>0.080280059411505</v>
      </c>
      <c r="BB346" s="379">
        <v>0.0659301709109001</v>
      </c>
      <c r="BC346" s="379">
        <v>0.0655149768088614</v>
      </c>
      <c r="BD346" s="379">
        <v>0.0738047315298365</v>
      </c>
      <c r="BE346" s="382"/>
      <c r="BF346" s="379">
        <v>0.0207643930788102</v>
      </c>
      <c r="BG346" s="379">
        <v>0.0797029257152309</v>
      </c>
      <c r="BH346" s="379">
        <v>0.0725988870220093</v>
      </c>
      <c r="BI346" s="379">
        <v>0.0358682288812193</v>
      </c>
      <c r="BJ346" s="379">
        <v>0.0437965988907254</v>
      </c>
      <c r="BK346" s="379">
        <v>0.104161972570555</v>
      </c>
      <c r="BL346" s="379">
        <v>0.0953364838894115</v>
      </c>
      <c r="BM346" s="379">
        <v>0.0665068187794211</v>
      </c>
      <c r="BN346" s="379">
        <v>0.0602957159773323</v>
      </c>
      <c r="BO346" s="379">
        <v>0.0986738756953636</v>
      </c>
      <c r="BP346" s="379">
        <v>0.0865549936165921</v>
      </c>
      <c r="BQ346" s="379">
        <v>0.104681934209951</v>
      </c>
      <c r="BR346" s="379">
        <v>0.0827206164504672</v>
      </c>
      <c r="BS346" s="379">
        <v>0.0912371315059957</v>
      </c>
      <c r="BT346" s="379">
        <v>0.0786771029274067</v>
      </c>
      <c r="BU346" s="379">
        <v>0.0470040326565153</v>
      </c>
    </row>
    <row r="347" ht="15.15" spans="45:73">
      <c r="AS347"/>
      <c r="AT347"/>
      <c r="AU347"/>
      <c r="AV347"/>
      <c r="AW347"/>
      <c r="AX347"/>
      <c r="AY347"/>
      <c r="AZ347"/>
      <c r="BA347"/>
      <c r="BB347"/>
      <c r="BC347"/>
      <c r="BD347"/>
      <c r="BE347"/>
      <c r="BF347"/>
      <c r="BG347"/>
      <c r="BH347"/>
      <c r="BI347"/>
      <c r="BJ347"/>
      <c r="BK347"/>
      <c r="BL347"/>
      <c r="BM347"/>
      <c r="BN347"/>
      <c r="BO347"/>
      <c r="BP347"/>
      <c r="BQ347"/>
      <c r="BR347"/>
      <c r="BS347"/>
      <c r="BT347"/>
      <c r="BU347"/>
    </row>
    <row r="348" ht="15.15" spans="45:73">
      <c r="AS348" s="320" t="s">
        <v>649</v>
      </c>
      <c r="AT348" s="351" t="s">
        <v>87</v>
      </c>
      <c r="AU348" s="352" t="s">
        <v>110</v>
      </c>
      <c r="AV348" s="353"/>
      <c r="AW348" s="368"/>
      <c r="AX348" s="332" t="s">
        <v>113</v>
      </c>
      <c r="AY348" s="333"/>
      <c r="AZ348" s="333"/>
      <c r="BA348" s="333"/>
      <c r="BB348" s="333"/>
      <c r="BC348" s="333"/>
      <c r="BD348" s="346"/>
      <c r="BE348" s="368"/>
      <c r="BF348" s="380" t="s">
        <v>114</v>
      </c>
      <c r="BG348" s="381"/>
      <c r="BH348" s="381"/>
      <c r="BI348" s="381"/>
      <c r="BJ348" s="381"/>
      <c r="BK348" s="381"/>
      <c r="BL348" s="381"/>
      <c r="BM348" s="381"/>
      <c r="BN348" s="381"/>
      <c r="BO348" s="381"/>
      <c r="BP348" s="381"/>
      <c r="BQ348" s="381"/>
      <c r="BR348" s="381"/>
      <c r="BS348" s="381"/>
      <c r="BT348" s="381"/>
      <c r="BU348" s="383"/>
    </row>
    <row r="349" ht="15.15" spans="45:73">
      <c r="AS349" s="322"/>
      <c r="AT349" s="355" t="s">
        <v>121</v>
      </c>
      <c r="AU349" s="356" t="s">
        <v>115</v>
      </c>
      <c r="AV349" s="357" t="s">
        <v>116</v>
      </c>
      <c r="AW349" s="369"/>
      <c r="AX349" s="266" t="s">
        <v>122</v>
      </c>
      <c r="AY349" s="268" t="s">
        <v>123</v>
      </c>
      <c r="AZ349" s="268" t="s">
        <v>124</v>
      </c>
      <c r="BA349" s="268" t="s">
        <v>91</v>
      </c>
      <c r="BB349" s="268" t="s">
        <v>125</v>
      </c>
      <c r="BC349" s="268" t="s">
        <v>126</v>
      </c>
      <c r="BD349" s="269" t="s">
        <v>127</v>
      </c>
      <c r="BE349" s="369"/>
      <c r="BF349" s="266">
        <v>2025</v>
      </c>
      <c r="BG349" s="266">
        <v>2024</v>
      </c>
      <c r="BH349" s="266">
        <v>2023</v>
      </c>
      <c r="BI349" s="268">
        <v>2022</v>
      </c>
      <c r="BJ349" s="268">
        <v>2021</v>
      </c>
      <c r="BK349" s="268">
        <v>2020</v>
      </c>
      <c r="BL349" s="268">
        <v>2019</v>
      </c>
      <c r="BM349" s="268">
        <v>2018</v>
      </c>
      <c r="BN349" s="268">
        <v>2017</v>
      </c>
      <c r="BO349" s="268">
        <v>2016</v>
      </c>
      <c r="BP349" s="268">
        <v>2015</v>
      </c>
      <c r="BQ349" s="268">
        <v>2014</v>
      </c>
      <c r="BR349" s="268">
        <v>2013</v>
      </c>
      <c r="BS349" s="268">
        <v>2012</v>
      </c>
      <c r="BT349" s="268">
        <v>2011</v>
      </c>
      <c r="BU349" s="269">
        <v>2010</v>
      </c>
    </row>
    <row r="350" spans="45:73">
      <c r="AS350" s="361" t="s">
        <v>650</v>
      </c>
      <c r="AT350" s="364">
        <v>0.35</v>
      </c>
      <c r="AU350" s="365">
        <v>45716</v>
      </c>
      <c r="AV350" s="364">
        <v>418.0656</v>
      </c>
      <c r="AW350" s="3"/>
      <c r="AX350" s="376">
        <v>0.007606</v>
      </c>
      <c r="AY350" s="376">
        <v>0.022233</v>
      </c>
      <c r="AZ350" s="376">
        <v>0.036742</v>
      </c>
      <c r="BA350" s="376">
        <v>0.084252</v>
      </c>
      <c r="BB350" s="376" t="s">
        <v>129</v>
      </c>
      <c r="BC350" s="376" t="s">
        <v>129</v>
      </c>
      <c r="BD350" s="376" t="s">
        <v>129</v>
      </c>
      <c r="BE350" s="4"/>
      <c r="BF350" s="376">
        <v>0.022233</v>
      </c>
      <c r="BG350" s="376">
        <v>0.0806951808434206</v>
      </c>
      <c r="BH350" s="376">
        <v>0.0769434187716084</v>
      </c>
      <c r="BI350" s="376">
        <v>0.0210100000000001</v>
      </c>
      <c r="BJ350" s="376" t="s">
        <v>129</v>
      </c>
      <c r="BK350" s="376" t="s">
        <v>129</v>
      </c>
      <c r="BL350" s="376" t="s">
        <v>129</v>
      </c>
      <c r="BM350" s="376" t="s">
        <v>129</v>
      </c>
      <c r="BN350" s="376" t="s">
        <v>129</v>
      </c>
      <c r="BO350" s="376" t="s">
        <v>129</v>
      </c>
      <c r="BP350" s="376" t="s">
        <v>129</v>
      </c>
      <c r="BQ350" s="376" t="s">
        <v>129</v>
      </c>
      <c r="BR350" s="376" t="s">
        <v>129</v>
      </c>
      <c r="BS350" s="376" t="s">
        <v>129</v>
      </c>
      <c r="BT350" s="376" t="s">
        <v>129</v>
      </c>
      <c r="BU350" s="376" t="s">
        <v>129</v>
      </c>
    </row>
    <row r="351" spans="45:73">
      <c r="AS351" s="361" t="s">
        <v>651</v>
      </c>
      <c r="AT351" s="364">
        <v>0.36</v>
      </c>
      <c r="AU351" s="365">
        <v>45716</v>
      </c>
      <c r="AV351" s="364">
        <v>287.2618</v>
      </c>
      <c r="AW351" s="3"/>
      <c r="AX351" s="376">
        <v>0.006605</v>
      </c>
      <c r="AY351" s="376">
        <v>0.018139</v>
      </c>
      <c r="AZ351" s="376">
        <v>0.033589</v>
      </c>
      <c r="BA351" s="376">
        <v>0.073419</v>
      </c>
      <c r="BB351" s="376" t="s">
        <v>129</v>
      </c>
      <c r="BC351" s="376" t="s">
        <v>129</v>
      </c>
      <c r="BD351" s="376" t="s">
        <v>129</v>
      </c>
      <c r="BE351" s="4"/>
      <c r="BF351" s="376">
        <v>0.018139</v>
      </c>
      <c r="BG351" s="376">
        <v>0.0728729003615725</v>
      </c>
      <c r="BH351" s="376">
        <v>0.0701900470219436</v>
      </c>
      <c r="BI351" s="376">
        <v>0.0208</v>
      </c>
      <c r="BJ351" s="376" t="s">
        <v>129</v>
      </c>
      <c r="BK351" s="376" t="s">
        <v>129</v>
      </c>
      <c r="BL351" s="376" t="s">
        <v>129</v>
      </c>
      <c r="BM351" s="376" t="s">
        <v>129</v>
      </c>
      <c r="BN351" s="376" t="s">
        <v>129</v>
      </c>
      <c r="BO351" s="376" t="s">
        <v>129</v>
      </c>
      <c r="BP351" s="376" t="s">
        <v>129</v>
      </c>
      <c r="BQ351" s="376" t="s">
        <v>129</v>
      </c>
      <c r="BR351" s="376" t="s">
        <v>129</v>
      </c>
      <c r="BS351" s="376" t="s">
        <v>129</v>
      </c>
      <c r="BT351" s="376" t="s">
        <v>129</v>
      </c>
      <c r="BU351" s="376" t="s">
        <v>129</v>
      </c>
    </row>
    <row r="352" spans="45:73">
      <c r="AS352" s="361" t="s">
        <v>652</v>
      </c>
      <c r="AT352" s="364">
        <v>0.79</v>
      </c>
      <c r="AU352" s="365">
        <v>45716</v>
      </c>
      <c r="AV352" s="364">
        <v>29.6412</v>
      </c>
      <c r="AW352" s="3"/>
      <c r="AX352" s="376">
        <v>0.007965</v>
      </c>
      <c r="AY352" s="376">
        <v>0.021562</v>
      </c>
      <c r="AZ352" s="376">
        <v>0.034698</v>
      </c>
      <c r="BA352" s="376">
        <v>0.078129</v>
      </c>
      <c r="BB352" s="376" t="s">
        <v>129</v>
      </c>
      <c r="BC352" s="376" t="s">
        <v>129</v>
      </c>
      <c r="BD352" s="376" t="s">
        <v>129</v>
      </c>
      <c r="BE352" s="4"/>
      <c r="BF352" s="376">
        <v>0.021562</v>
      </c>
      <c r="BG352" s="376">
        <v>0.073565765919359</v>
      </c>
      <c r="BH352" s="376">
        <v>0.05579</v>
      </c>
      <c r="BI352" s="376" t="s">
        <v>129</v>
      </c>
      <c r="BJ352" s="376" t="s">
        <v>129</v>
      </c>
      <c r="BK352" s="376" t="s">
        <v>129</v>
      </c>
      <c r="BL352" s="376" t="s">
        <v>129</v>
      </c>
      <c r="BM352" s="376" t="s">
        <v>129</v>
      </c>
      <c r="BN352" s="376" t="s">
        <v>129</v>
      </c>
      <c r="BO352" s="376" t="s">
        <v>129</v>
      </c>
      <c r="BP352" s="376" t="s">
        <v>129</v>
      </c>
      <c r="BQ352" s="376" t="s">
        <v>129</v>
      </c>
      <c r="BR352" s="376" t="s">
        <v>129</v>
      </c>
      <c r="BS352" s="376" t="s">
        <v>129</v>
      </c>
      <c r="BT352" s="376" t="s">
        <v>129</v>
      </c>
      <c r="BU352" s="376" t="s">
        <v>129</v>
      </c>
    </row>
    <row r="353" spans="45:73">
      <c r="AS353" s="361" t="s">
        <v>653</v>
      </c>
      <c r="AT353" s="364">
        <v>0.37</v>
      </c>
      <c r="AU353" s="365">
        <v>45716</v>
      </c>
      <c r="AV353" s="364">
        <v>701.8006</v>
      </c>
      <c r="AW353" s="3"/>
      <c r="AX353" s="376">
        <v>0.010821</v>
      </c>
      <c r="AY353" s="376">
        <v>0.024904</v>
      </c>
      <c r="AZ353" s="376">
        <v>0.038989</v>
      </c>
      <c r="BA353" s="376">
        <v>0.089349</v>
      </c>
      <c r="BB353" s="376" t="s">
        <v>129</v>
      </c>
      <c r="BC353" s="376" t="s">
        <v>129</v>
      </c>
      <c r="BD353" s="376" t="s">
        <v>129</v>
      </c>
      <c r="BE353" s="4"/>
      <c r="BF353" s="376">
        <v>0.024904</v>
      </c>
      <c r="BG353" s="376">
        <v>0.0842937586710313</v>
      </c>
      <c r="BH353" s="376">
        <v>0.0804024531222447</v>
      </c>
      <c r="BI353" s="376">
        <v>0.02074</v>
      </c>
      <c r="BJ353" s="376" t="s">
        <v>129</v>
      </c>
      <c r="BK353" s="376" t="s">
        <v>129</v>
      </c>
      <c r="BL353" s="376" t="s">
        <v>129</v>
      </c>
      <c r="BM353" s="376" t="s">
        <v>129</v>
      </c>
      <c r="BN353" s="376" t="s">
        <v>129</v>
      </c>
      <c r="BO353" s="376" t="s">
        <v>129</v>
      </c>
      <c r="BP353" s="376" t="s">
        <v>129</v>
      </c>
      <c r="BQ353" s="376" t="s">
        <v>129</v>
      </c>
      <c r="BR353" s="376" t="s">
        <v>129</v>
      </c>
      <c r="BS353" s="376" t="s">
        <v>129</v>
      </c>
      <c r="BT353" s="376" t="s">
        <v>129</v>
      </c>
      <c r="BU353" s="376" t="s">
        <v>129</v>
      </c>
    </row>
    <row r="354" spans="45:73">
      <c r="AS354" s="361" t="s">
        <v>654</v>
      </c>
      <c r="AT354" s="364">
        <v>0.47</v>
      </c>
      <c r="AU354" s="365">
        <v>45716</v>
      </c>
      <c r="AV354" s="364">
        <v>91.9695</v>
      </c>
      <c r="AW354" s="3"/>
      <c r="AX354" s="376">
        <v>0.015865</v>
      </c>
      <c r="AY354" s="376">
        <v>0.028429</v>
      </c>
      <c r="AZ354" s="376">
        <v>0.040162</v>
      </c>
      <c r="BA354" s="376">
        <v>0.096068</v>
      </c>
      <c r="BB354" s="376" t="s">
        <v>129</v>
      </c>
      <c r="BC354" s="376" t="s">
        <v>129</v>
      </c>
      <c r="BD354" s="376" t="s">
        <v>129</v>
      </c>
      <c r="BE354" s="4"/>
      <c r="BF354" s="376">
        <v>0.028429</v>
      </c>
      <c r="BG354" s="376">
        <v>0.0913616456668563</v>
      </c>
      <c r="BH354" s="376">
        <v>0.00238999999999994</v>
      </c>
      <c r="BI354" s="376" t="s">
        <v>129</v>
      </c>
      <c r="BJ354" s="376" t="s">
        <v>129</v>
      </c>
      <c r="BK354" s="376" t="s">
        <v>129</v>
      </c>
      <c r="BL354" s="376" t="s">
        <v>129</v>
      </c>
      <c r="BM354" s="376" t="s">
        <v>129</v>
      </c>
      <c r="BN354" s="376" t="s">
        <v>129</v>
      </c>
      <c r="BO354" s="376" t="s">
        <v>129</v>
      </c>
      <c r="BP354" s="376" t="s">
        <v>129</v>
      </c>
      <c r="BQ354" s="376" t="s">
        <v>129</v>
      </c>
      <c r="BR354" s="376" t="s">
        <v>129</v>
      </c>
      <c r="BS354" s="376" t="s">
        <v>129</v>
      </c>
      <c r="BT354" s="376" t="s">
        <v>129</v>
      </c>
      <c r="BU354" s="376" t="s">
        <v>129</v>
      </c>
    </row>
    <row r="355" spans="45:73">
      <c r="AS355" s="361" t="s">
        <v>655</v>
      </c>
      <c r="AT355" s="364">
        <v>0.56</v>
      </c>
      <c r="AU355" s="365">
        <v>45716</v>
      </c>
      <c r="AV355" s="364">
        <v>113.4838</v>
      </c>
      <c r="AW355" s="3"/>
      <c r="AX355" s="376">
        <v>0.007554</v>
      </c>
      <c r="AY355" s="376">
        <v>0.021657</v>
      </c>
      <c r="AZ355" s="376">
        <v>0.035859</v>
      </c>
      <c r="BA355" s="376" t="s">
        <v>129</v>
      </c>
      <c r="BB355" s="376" t="s">
        <v>129</v>
      </c>
      <c r="BC355" s="376" t="s">
        <v>129</v>
      </c>
      <c r="BD355" s="376" t="s">
        <v>129</v>
      </c>
      <c r="BE355" s="4"/>
      <c r="BF355" s="376">
        <v>0.021657</v>
      </c>
      <c r="BG355" s="376">
        <v>0.0444699999999999</v>
      </c>
      <c r="BH355" s="376" t="s">
        <v>129</v>
      </c>
      <c r="BI355" s="376" t="s">
        <v>129</v>
      </c>
      <c r="BJ355" s="376" t="s">
        <v>129</v>
      </c>
      <c r="BK355" s="376" t="s">
        <v>129</v>
      </c>
      <c r="BL355" s="376" t="s">
        <v>129</v>
      </c>
      <c r="BM355" s="376" t="s">
        <v>129</v>
      </c>
      <c r="BN355" s="376" t="s">
        <v>129</v>
      </c>
      <c r="BO355" s="376" t="s">
        <v>129</v>
      </c>
      <c r="BP355" s="376" t="s">
        <v>129</v>
      </c>
      <c r="BQ355" s="376" t="s">
        <v>129</v>
      </c>
      <c r="BR355" s="376" t="s">
        <v>129</v>
      </c>
      <c r="BS355" s="376" t="s">
        <v>129</v>
      </c>
      <c r="BT355" s="376" t="s">
        <v>129</v>
      </c>
      <c r="BU355" s="376" t="s">
        <v>129</v>
      </c>
    </row>
    <row r="356" spans="45:73">
      <c r="AS356" s="361" t="s">
        <v>656</v>
      </c>
      <c r="AT356" s="364">
        <v>0.57</v>
      </c>
      <c r="AU356" s="365">
        <v>45716</v>
      </c>
      <c r="AV356" s="364">
        <v>160.7189</v>
      </c>
      <c r="AW356" s="3"/>
      <c r="AX356" s="376">
        <v>0.014673</v>
      </c>
      <c r="AY356" s="376">
        <v>0.026155</v>
      </c>
      <c r="AZ356" s="376">
        <v>0.040491</v>
      </c>
      <c r="BA356" s="376">
        <v>0.092089</v>
      </c>
      <c r="BB356" s="376" t="s">
        <v>129</v>
      </c>
      <c r="BC356" s="376" t="s">
        <v>129</v>
      </c>
      <c r="BD356" s="376" t="s">
        <v>129</v>
      </c>
      <c r="BE356" s="4"/>
      <c r="BF356" s="376">
        <v>0.026155</v>
      </c>
      <c r="BG356" s="376">
        <v>0.0962962962962964</v>
      </c>
      <c r="BH356" s="376">
        <v>0.0664999999999999</v>
      </c>
      <c r="BI356" s="376" t="s">
        <v>129</v>
      </c>
      <c r="BJ356" s="376" t="s">
        <v>129</v>
      </c>
      <c r="BK356" s="376" t="s">
        <v>129</v>
      </c>
      <c r="BL356" s="376" t="s">
        <v>129</v>
      </c>
      <c r="BM356" s="376" t="s">
        <v>129</v>
      </c>
      <c r="BN356" s="376" t="s">
        <v>129</v>
      </c>
      <c r="BO356" s="376" t="s">
        <v>129</v>
      </c>
      <c r="BP356" s="376" t="s">
        <v>129</v>
      </c>
      <c r="BQ356" s="376" t="s">
        <v>129</v>
      </c>
      <c r="BR356" s="376" t="s">
        <v>129</v>
      </c>
      <c r="BS356" s="376" t="s">
        <v>129</v>
      </c>
      <c r="BT356" s="376" t="s">
        <v>129</v>
      </c>
      <c r="BU356" s="376" t="s">
        <v>129</v>
      </c>
    </row>
    <row r="357" spans="45:73">
      <c r="AS357" s="361" t="s">
        <v>657</v>
      </c>
      <c r="AT357" s="364">
        <v>1.14</v>
      </c>
      <c r="AU357" s="365">
        <v>45716</v>
      </c>
      <c r="AV357" s="364">
        <v>1992.3655</v>
      </c>
      <c r="AW357" s="3"/>
      <c r="AX357" s="376">
        <v>0.029244</v>
      </c>
      <c r="AY357" s="376">
        <v>0.028741</v>
      </c>
      <c r="AZ357" s="376">
        <v>0.033029</v>
      </c>
      <c r="BA357" s="376">
        <v>0.08731</v>
      </c>
      <c r="BB357" s="376">
        <v>0.066895</v>
      </c>
      <c r="BC357" s="376">
        <v>0.065424</v>
      </c>
      <c r="BD357" s="376">
        <v>0.07741</v>
      </c>
      <c r="BE357" s="4"/>
      <c r="BF357" s="376">
        <v>0.028741</v>
      </c>
      <c r="BG357" s="376">
        <v>0.0905354548136932</v>
      </c>
      <c r="BH357" s="376">
        <v>0.0707157110093452</v>
      </c>
      <c r="BI357" s="376">
        <v>0.017407112035636</v>
      </c>
      <c r="BJ357" s="376">
        <v>0.0355266669806729</v>
      </c>
      <c r="BK357" s="376">
        <v>0.120523132461446</v>
      </c>
      <c r="BL357" s="376">
        <v>0.109863225000244</v>
      </c>
      <c r="BM357" s="376">
        <v>0.068864549897946</v>
      </c>
      <c r="BN357" s="376">
        <v>0.0444997645745774</v>
      </c>
      <c r="BO357" s="376">
        <v>0.166628520276078</v>
      </c>
      <c r="BP357" s="376">
        <v>0.0568267943818233</v>
      </c>
      <c r="BQ357" s="376">
        <v>0.199381094366992</v>
      </c>
      <c r="BR357" s="376">
        <v>0.034952693595954</v>
      </c>
      <c r="BS357" s="376">
        <v>0.113514196239844</v>
      </c>
      <c r="BT357" s="376">
        <v>0.0981471207349509</v>
      </c>
      <c r="BU357" s="376">
        <v>0.025129326748159</v>
      </c>
    </row>
    <row r="358" spans="45:73">
      <c r="AS358" s="361" t="s">
        <v>658</v>
      </c>
      <c r="AT358" s="364">
        <v>0.5</v>
      </c>
      <c r="AU358" s="365">
        <v>45716</v>
      </c>
      <c r="AV358" s="364">
        <v>4165.4209</v>
      </c>
      <c r="AW358" s="3"/>
      <c r="AX358" s="376">
        <v>0.00676</v>
      </c>
      <c r="AY358" s="376">
        <v>0.02003</v>
      </c>
      <c r="AZ358" s="376">
        <v>0.03522</v>
      </c>
      <c r="BA358" s="376">
        <v>0.079498</v>
      </c>
      <c r="BB358" s="376">
        <v>0.059359</v>
      </c>
      <c r="BC358" s="376" t="s">
        <v>129</v>
      </c>
      <c r="BD358" s="376" t="s">
        <v>129</v>
      </c>
      <c r="BE358" s="4"/>
      <c r="BF358" s="376">
        <v>0.02003</v>
      </c>
      <c r="BG358" s="376">
        <v>0.0784722412674034</v>
      </c>
      <c r="BH358" s="376">
        <v>0.0676055513263454</v>
      </c>
      <c r="BI358" s="376">
        <v>0.02462</v>
      </c>
      <c r="BJ358" s="376" t="s">
        <v>129</v>
      </c>
      <c r="BK358" s="376" t="s">
        <v>129</v>
      </c>
      <c r="BL358" s="376" t="s">
        <v>129</v>
      </c>
      <c r="BM358" s="376" t="s">
        <v>129</v>
      </c>
      <c r="BN358" s="376" t="s">
        <v>129</v>
      </c>
      <c r="BO358" s="376" t="s">
        <v>129</v>
      </c>
      <c r="BP358" s="376" t="s">
        <v>129</v>
      </c>
      <c r="BQ358" s="376" t="s">
        <v>129</v>
      </c>
      <c r="BR358" s="376" t="s">
        <v>129</v>
      </c>
      <c r="BS358" s="376" t="s">
        <v>129</v>
      </c>
      <c r="BT358" s="376" t="s">
        <v>129</v>
      </c>
      <c r="BU358" s="376" t="s">
        <v>129</v>
      </c>
    </row>
    <row r="359" spans="45:73">
      <c r="AS359" s="361" t="s">
        <v>659</v>
      </c>
      <c r="AT359" s="364">
        <v>0.34</v>
      </c>
      <c r="AU359" s="365">
        <v>45716</v>
      </c>
      <c r="AV359" s="364">
        <v>61.0279</v>
      </c>
      <c r="AW359" s="3"/>
      <c r="AX359" s="376">
        <v>0.005254</v>
      </c>
      <c r="AY359" s="376">
        <v>0.016451</v>
      </c>
      <c r="AZ359" s="376">
        <v>0.031947</v>
      </c>
      <c r="BA359" s="376">
        <v>0.071705</v>
      </c>
      <c r="BB359" s="376" t="s">
        <v>129</v>
      </c>
      <c r="BC359" s="376" t="s">
        <v>129</v>
      </c>
      <c r="BD359" s="376" t="s">
        <v>129</v>
      </c>
      <c r="BE359" s="4"/>
      <c r="BF359" s="376">
        <v>0.016451</v>
      </c>
      <c r="BG359" s="376">
        <v>0.073984716858241</v>
      </c>
      <c r="BH359" s="376">
        <v>0.068768076866513</v>
      </c>
      <c r="BI359" s="376">
        <v>0.01995</v>
      </c>
      <c r="BJ359" s="376" t="s">
        <v>129</v>
      </c>
      <c r="BK359" s="376" t="s">
        <v>129</v>
      </c>
      <c r="BL359" s="376" t="s">
        <v>129</v>
      </c>
      <c r="BM359" s="376" t="s">
        <v>129</v>
      </c>
      <c r="BN359" s="376" t="s">
        <v>129</v>
      </c>
      <c r="BO359" s="376" t="s">
        <v>129</v>
      </c>
      <c r="BP359" s="376" t="s">
        <v>129</v>
      </c>
      <c r="BQ359" s="376" t="s">
        <v>129</v>
      </c>
      <c r="BR359" s="376" t="s">
        <v>129</v>
      </c>
      <c r="BS359" s="376" t="s">
        <v>129</v>
      </c>
      <c r="BT359" s="376" t="s">
        <v>129</v>
      </c>
      <c r="BU359" s="376" t="s">
        <v>129</v>
      </c>
    </row>
    <row r="360" spans="45:73">
      <c r="AS360" s="361" t="s">
        <v>660</v>
      </c>
      <c r="AT360" s="364">
        <v>0.5</v>
      </c>
      <c r="AU360" s="365">
        <v>45716</v>
      </c>
      <c r="AV360" s="364">
        <v>41.1007</v>
      </c>
      <c r="AW360" s="3"/>
      <c r="AX360" s="376">
        <v>0.006859</v>
      </c>
      <c r="AY360" s="376">
        <v>0.020446</v>
      </c>
      <c r="AZ360" s="376">
        <v>0.035007</v>
      </c>
      <c r="BA360" s="376">
        <v>0.082364</v>
      </c>
      <c r="BB360" s="376" t="s">
        <v>129</v>
      </c>
      <c r="BC360" s="376" t="s">
        <v>129</v>
      </c>
      <c r="BD360" s="376" t="s">
        <v>129</v>
      </c>
      <c r="BE360" s="4"/>
      <c r="BF360" s="376">
        <v>0.020446</v>
      </c>
      <c r="BG360" s="376">
        <v>0.0807029420890807</v>
      </c>
      <c r="BH360" s="376">
        <v>0.0635300000000001</v>
      </c>
      <c r="BI360" s="376" t="s">
        <v>129</v>
      </c>
      <c r="BJ360" s="376" t="s">
        <v>129</v>
      </c>
      <c r="BK360" s="376" t="s">
        <v>129</v>
      </c>
      <c r="BL360" s="376" t="s">
        <v>129</v>
      </c>
      <c r="BM360" s="376" t="s">
        <v>129</v>
      </c>
      <c r="BN360" s="376" t="s">
        <v>129</v>
      </c>
      <c r="BO360" s="376" t="s">
        <v>129</v>
      </c>
      <c r="BP360" s="376" t="s">
        <v>129</v>
      </c>
      <c r="BQ360" s="376" t="s">
        <v>129</v>
      </c>
      <c r="BR360" s="376" t="s">
        <v>129</v>
      </c>
      <c r="BS360" s="376" t="s">
        <v>129</v>
      </c>
      <c r="BT360" s="376" t="s">
        <v>129</v>
      </c>
      <c r="BU360" s="376" t="s">
        <v>129</v>
      </c>
    </row>
    <row r="361" spans="45:73">
      <c r="AS361" s="361" t="s">
        <v>661</v>
      </c>
      <c r="AT361" s="364">
        <v>0.37</v>
      </c>
      <c r="AU361" s="365">
        <v>45716</v>
      </c>
      <c r="AV361" s="364">
        <v>75.1042</v>
      </c>
      <c r="AW361" s="3"/>
      <c r="AX361" s="376">
        <v>0.007472</v>
      </c>
      <c r="AY361" s="376">
        <v>0.022257</v>
      </c>
      <c r="AZ361" s="376">
        <v>0.036515</v>
      </c>
      <c r="BA361" s="376">
        <v>0.084111</v>
      </c>
      <c r="BB361" s="376" t="s">
        <v>129</v>
      </c>
      <c r="BC361" s="376" t="s">
        <v>129</v>
      </c>
      <c r="BD361" s="376" t="s">
        <v>129</v>
      </c>
      <c r="BE361" s="4"/>
      <c r="BF361" s="376">
        <v>0.022257</v>
      </c>
      <c r="BG361" s="376">
        <v>0.0809747763477804</v>
      </c>
      <c r="BH361" s="376">
        <v>0.0652699999999999</v>
      </c>
      <c r="BI361" s="376" t="s">
        <v>129</v>
      </c>
      <c r="BJ361" s="376" t="s">
        <v>129</v>
      </c>
      <c r="BK361" s="376" t="s">
        <v>129</v>
      </c>
      <c r="BL361" s="376" t="s">
        <v>129</v>
      </c>
      <c r="BM361" s="376" t="s">
        <v>129</v>
      </c>
      <c r="BN361" s="376" t="s">
        <v>129</v>
      </c>
      <c r="BO361" s="376" t="s">
        <v>129</v>
      </c>
      <c r="BP361" s="376" t="s">
        <v>129</v>
      </c>
      <c r="BQ361" s="376" t="s">
        <v>129</v>
      </c>
      <c r="BR361" s="376" t="s">
        <v>129</v>
      </c>
      <c r="BS361" s="376" t="s">
        <v>129</v>
      </c>
      <c r="BT361" s="376" t="s">
        <v>129</v>
      </c>
      <c r="BU361" s="376" t="s">
        <v>129</v>
      </c>
    </row>
    <row r="362" spans="45:73">
      <c r="AS362" s="361" t="s">
        <v>662</v>
      </c>
      <c r="AT362" s="364">
        <v>0.4</v>
      </c>
      <c r="AU362" s="365">
        <v>45716</v>
      </c>
      <c r="AV362" s="364">
        <v>32.6013</v>
      </c>
      <c r="AW362" s="3"/>
      <c r="AX362" s="376">
        <v>0.007171</v>
      </c>
      <c r="AY362" s="376">
        <v>0.021133</v>
      </c>
      <c r="AZ362" s="376">
        <v>0.03546</v>
      </c>
      <c r="BA362" s="376">
        <v>0.081467</v>
      </c>
      <c r="BB362" s="376" t="s">
        <v>129</v>
      </c>
      <c r="BC362" s="376" t="s">
        <v>129</v>
      </c>
      <c r="BD362" s="376" t="s">
        <v>129</v>
      </c>
      <c r="BE362" s="4"/>
      <c r="BF362" s="376">
        <v>0.021133</v>
      </c>
      <c r="BG362" s="376">
        <v>0.0785862356836665</v>
      </c>
      <c r="BH362" s="376">
        <v>0.06609</v>
      </c>
      <c r="BI362" s="376" t="s">
        <v>129</v>
      </c>
      <c r="BJ362" s="376" t="s">
        <v>129</v>
      </c>
      <c r="BK362" s="376" t="s">
        <v>129</v>
      </c>
      <c r="BL362" s="376" t="s">
        <v>129</v>
      </c>
      <c r="BM362" s="376" t="s">
        <v>129</v>
      </c>
      <c r="BN362" s="376" t="s">
        <v>129</v>
      </c>
      <c r="BO362" s="376" t="s">
        <v>129</v>
      </c>
      <c r="BP362" s="376" t="s">
        <v>129</v>
      </c>
      <c r="BQ362" s="376" t="s">
        <v>129</v>
      </c>
      <c r="BR362" s="376" t="s">
        <v>129</v>
      </c>
      <c r="BS362" s="376" t="s">
        <v>129</v>
      </c>
      <c r="BT362" s="376" t="s">
        <v>129</v>
      </c>
      <c r="BU362" s="376" t="s">
        <v>129</v>
      </c>
    </row>
    <row r="363" spans="45:73">
      <c r="AS363" s="361" t="s">
        <v>663</v>
      </c>
      <c r="AT363" s="364">
        <v>0.45</v>
      </c>
      <c r="AU363" s="365">
        <v>45716</v>
      </c>
      <c r="AV363" s="364">
        <v>15.4173</v>
      </c>
      <c r="AW363" s="3"/>
      <c r="AX363" s="376">
        <v>0.018354</v>
      </c>
      <c r="AY363" s="376">
        <v>0.026389</v>
      </c>
      <c r="AZ363" s="376">
        <v>0.040736</v>
      </c>
      <c r="BA363" s="376">
        <v>0.096069</v>
      </c>
      <c r="BB363" s="376" t="s">
        <v>129</v>
      </c>
      <c r="BC363" s="376" t="s">
        <v>129</v>
      </c>
      <c r="BD363" s="376" t="s">
        <v>129</v>
      </c>
      <c r="BE363" s="4"/>
      <c r="BF363" s="376">
        <v>0.026389</v>
      </c>
      <c r="BG363" s="376">
        <v>0.07357</v>
      </c>
      <c r="BH363" s="376" t="s">
        <v>129</v>
      </c>
      <c r="BI363" s="376" t="s">
        <v>129</v>
      </c>
      <c r="BJ363" s="376" t="s">
        <v>129</v>
      </c>
      <c r="BK363" s="376" t="s">
        <v>129</v>
      </c>
      <c r="BL363" s="376" t="s">
        <v>129</v>
      </c>
      <c r="BM363" s="376" t="s">
        <v>129</v>
      </c>
      <c r="BN363" s="376" t="s">
        <v>129</v>
      </c>
      <c r="BO363" s="376" t="s">
        <v>129</v>
      </c>
      <c r="BP363" s="376" t="s">
        <v>129</v>
      </c>
      <c r="BQ363" s="376" t="s">
        <v>129</v>
      </c>
      <c r="BR363" s="376" t="s">
        <v>129</v>
      </c>
      <c r="BS363" s="376" t="s">
        <v>129</v>
      </c>
      <c r="BT363" s="376" t="s">
        <v>129</v>
      </c>
      <c r="BU363" s="376" t="s">
        <v>129</v>
      </c>
    </row>
    <row r="364" spans="45:73">
      <c r="AS364" s="361" t="s">
        <v>664</v>
      </c>
      <c r="AT364" s="364">
        <v>0.29</v>
      </c>
      <c r="AU364" s="365">
        <v>45716</v>
      </c>
      <c r="AV364" s="364">
        <v>2245.7537</v>
      </c>
      <c r="AW364" s="3"/>
      <c r="AX364" s="376">
        <v>0.006752</v>
      </c>
      <c r="AY364" s="376">
        <v>0.020636</v>
      </c>
      <c r="AZ364" s="376">
        <v>0.036396</v>
      </c>
      <c r="BA364" s="376">
        <v>0.083601</v>
      </c>
      <c r="BB364" s="376">
        <v>0.061564</v>
      </c>
      <c r="BC364" s="376" t="s">
        <v>129</v>
      </c>
      <c r="BD364" s="376" t="s">
        <v>129</v>
      </c>
      <c r="BE364" s="4"/>
      <c r="BF364" s="376">
        <v>0.020636</v>
      </c>
      <c r="BG364" s="376">
        <v>0.0822494049925279</v>
      </c>
      <c r="BH364" s="376">
        <v>0.0697706548770377</v>
      </c>
      <c r="BI364" s="376">
        <v>0.01332</v>
      </c>
      <c r="BJ364" s="376" t="s">
        <v>129</v>
      </c>
      <c r="BK364" s="376" t="s">
        <v>129</v>
      </c>
      <c r="BL364" s="376" t="s">
        <v>129</v>
      </c>
      <c r="BM364" s="376" t="s">
        <v>129</v>
      </c>
      <c r="BN364" s="376" t="s">
        <v>129</v>
      </c>
      <c r="BO364" s="376" t="s">
        <v>129</v>
      </c>
      <c r="BP364" s="376" t="s">
        <v>129</v>
      </c>
      <c r="BQ364" s="376" t="s">
        <v>129</v>
      </c>
      <c r="BR364" s="376" t="s">
        <v>129</v>
      </c>
      <c r="BS364" s="376" t="s">
        <v>129</v>
      </c>
      <c r="BT364" s="376" t="s">
        <v>129</v>
      </c>
      <c r="BU364" s="376" t="s">
        <v>129</v>
      </c>
    </row>
    <row r="365" spans="45:73">
      <c r="AS365" s="361" t="s">
        <v>665</v>
      </c>
      <c r="AT365" s="364">
        <v>0.8</v>
      </c>
      <c r="AU365" s="365">
        <v>45716</v>
      </c>
      <c r="AV365" s="364">
        <v>912.0902</v>
      </c>
      <c r="AW365" s="3"/>
      <c r="AX365" s="376">
        <v>0.026546</v>
      </c>
      <c r="AY365" s="376">
        <v>0.029205</v>
      </c>
      <c r="AZ365" s="376">
        <v>0.037003</v>
      </c>
      <c r="BA365" s="376">
        <v>0.097299</v>
      </c>
      <c r="BB365" s="376">
        <v>0.073248</v>
      </c>
      <c r="BC365" s="376">
        <v>0.067127</v>
      </c>
      <c r="BD365" s="376">
        <v>0.072983</v>
      </c>
      <c r="BE365" s="4"/>
      <c r="BF365" s="376">
        <v>0.029205</v>
      </c>
      <c r="BG365" s="376">
        <v>0.0998544004659185</v>
      </c>
      <c r="BH365" s="376">
        <v>0.0706114833591536</v>
      </c>
      <c r="BI365" s="376">
        <v>0.0237407811134352</v>
      </c>
      <c r="BJ365" s="376">
        <v>0.0237156931738213</v>
      </c>
      <c r="BK365" s="376">
        <v>0.131170005287967</v>
      </c>
      <c r="BL365" s="376">
        <v>0.119897861718521</v>
      </c>
      <c r="BM365" s="376">
        <v>0.0527226046910717</v>
      </c>
      <c r="BN365" s="376">
        <v>0.0142506510018289</v>
      </c>
      <c r="BO365" s="376">
        <v>0.137429433145155</v>
      </c>
      <c r="BP365" s="376">
        <v>0.0633346490362475</v>
      </c>
      <c r="BQ365" s="376">
        <v>0.149707392245658</v>
      </c>
      <c r="BR365" s="376">
        <v>-0.00599562075349358</v>
      </c>
      <c r="BS365" s="376">
        <v>0.06411</v>
      </c>
      <c r="BT365" s="376" t="s">
        <v>129</v>
      </c>
      <c r="BU365" s="376" t="s">
        <v>129</v>
      </c>
    </row>
    <row r="366" spans="45:73">
      <c r="AS366" s="361" t="s">
        <v>666</v>
      </c>
      <c r="AT366" s="364">
        <v>0.32</v>
      </c>
      <c r="AU366" s="365">
        <v>45716</v>
      </c>
      <c r="AV366" s="364">
        <v>75.7392</v>
      </c>
      <c r="AW366" s="3"/>
      <c r="AX366" s="376">
        <v>0.007288</v>
      </c>
      <c r="AY366" s="376">
        <v>0.020498</v>
      </c>
      <c r="AZ366" s="376">
        <v>0.036164</v>
      </c>
      <c r="BA366" s="376">
        <v>0.08029</v>
      </c>
      <c r="BB366" s="376" t="s">
        <v>129</v>
      </c>
      <c r="BC366" s="376" t="s">
        <v>129</v>
      </c>
      <c r="BD366" s="376" t="s">
        <v>129</v>
      </c>
      <c r="BE366" s="4"/>
      <c r="BF366" s="376">
        <v>0.020498</v>
      </c>
      <c r="BG366" s="376">
        <v>0.0795778638648124</v>
      </c>
      <c r="BH366" s="376">
        <v>0.0683320431132021</v>
      </c>
      <c r="BI366" s="376">
        <v>0.00757999999999992</v>
      </c>
      <c r="BJ366" s="376" t="s">
        <v>129</v>
      </c>
      <c r="BK366" s="376" t="s">
        <v>129</v>
      </c>
      <c r="BL366" s="376" t="s">
        <v>129</v>
      </c>
      <c r="BM366" s="376" t="s">
        <v>129</v>
      </c>
      <c r="BN366" s="376" t="s">
        <v>129</v>
      </c>
      <c r="BO366" s="376" t="s">
        <v>129</v>
      </c>
      <c r="BP366" s="376" t="s">
        <v>129</v>
      </c>
      <c r="BQ366" s="376" t="s">
        <v>129</v>
      </c>
      <c r="BR366" s="376" t="s">
        <v>129</v>
      </c>
      <c r="BS366" s="376" t="s">
        <v>129</v>
      </c>
      <c r="BT366" s="376" t="s">
        <v>129</v>
      </c>
      <c r="BU366" s="376" t="s">
        <v>129</v>
      </c>
    </row>
    <row r="367" spans="45:73">
      <c r="AS367" s="361" t="s">
        <v>667</v>
      </c>
      <c r="AT367" s="364">
        <v>1.04</v>
      </c>
      <c r="AU367" s="365">
        <v>45716</v>
      </c>
      <c r="AV367" s="364">
        <v>46.3915</v>
      </c>
      <c r="AW367" s="3"/>
      <c r="AX367" s="376">
        <v>0.028162</v>
      </c>
      <c r="AY367" s="376" t="s">
        <v>129</v>
      </c>
      <c r="AZ367" s="376" t="s">
        <v>129</v>
      </c>
      <c r="BA367" s="376" t="s">
        <v>129</v>
      </c>
      <c r="BB367" s="376" t="s">
        <v>129</v>
      </c>
      <c r="BC367" s="376" t="s">
        <v>129</v>
      </c>
      <c r="BD367" s="376" t="s">
        <v>129</v>
      </c>
      <c r="BE367" s="4"/>
      <c r="BF367" s="376" t="s">
        <v>129</v>
      </c>
      <c r="BG367" s="376" t="s">
        <v>129</v>
      </c>
      <c r="BH367" s="376" t="s">
        <v>129</v>
      </c>
      <c r="BI367" s="376" t="s">
        <v>129</v>
      </c>
      <c r="BJ367" s="376" t="s">
        <v>129</v>
      </c>
      <c r="BK367" s="376" t="s">
        <v>129</v>
      </c>
      <c r="BL367" s="376" t="s">
        <v>129</v>
      </c>
      <c r="BM367" s="376" t="s">
        <v>129</v>
      </c>
      <c r="BN367" s="376" t="s">
        <v>129</v>
      </c>
      <c r="BO367" s="376" t="s">
        <v>129</v>
      </c>
      <c r="BP367" s="376" t="s">
        <v>129</v>
      </c>
      <c r="BQ367" s="376" t="s">
        <v>129</v>
      </c>
      <c r="BR367" s="376" t="s">
        <v>129</v>
      </c>
      <c r="BS367" s="376" t="s">
        <v>129</v>
      </c>
      <c r="BT367" s="376" t="s">
        <v>129</v>
      </c>
      <c r="BU367" s="376" t="s">
        <v>129</v>
      </c>
    </row>
    <row r="368" spans="45:73">
      <c r="AS368" s="361" t="s">
        <v>668</v>
      </c>
      <c r="AT368" s="364">
        <v>0.26</v>
      </c>
      <c r="AU368" s="365">
        <v>45716</v>
      </c>
      <c r="AV368" s="364">
        <v>553.1989</v>
      </c>
      <c r="AW368" s="3"/>
      <c r="AX368" s="376">
        <v>0.014243</v>
      </c>
      <c r="AY368" s="376">
        <v>0.0264</v>
      </c>
      <c r="AZ368" s="376">
        <v>0.04158</v>
      </c>
      <c r="BA368" s="376">
        <v>0.09478</v>
      </c>
      <c r="BB368" s="376" t="s">
        <v>129</v>
      </c>
      <c r="BC368" s="376" t="s">
        <v>129</v>
      </c>
      <c r="BD368" s="376" t="s">
        <v>129</v>
      </c>
      <c r="BE368" s="4"/>
      <c r="BF368" s="376">
        <v>0.0264</v>
      </c>
      <c r="BG368" s="376">
        <v>0.0990309969799714</v>
      </c>
      <c r="BH368" s="376">
        <v>0.0734059902151864</v>
      </c>
      <c r="BI368" s="376">
        <v>0.00564</v>
      </c>
      <c r="BJ368" s="376" t="s">
        <v>129</v>
      </c>
      <c r="BK368" s="376" t="s">
        <v>129</v>
      </c>
      <c r="BL368" s="376" t="s">
        <v>129</v>
      </c>
      <c r="BM368" s="376" t="s">
        <v>129</v>
      </c>
      <c r="BN368" s="376" t="s">
        <v>129</v>
      </c>
      <c r="BO368" s="376" t="s">
        <v>129</v>
      </c>
      <c r="BP368" s="376" t="s">
        <v>129</v>
      </c>
      <c r="BQ368" s="376" t="s">
        <v>129</v>
      </c>
      <c r="BR368" s="376" t="s">
        <v>129</v>
      </c>
      <c r="BS368" s="376" t="s">
        <v>129</v>
      </c>
      <c r="BT368" s="376" t="s">
        <v>129</v>
      </c>
      <c r="BU368" s="376" t="s">
        <v>129</v>
      </c>
    </row>
    <row r="369" spans="45:73">
      <c r="AS369" s="361" t="s">
        <v>669</v>
      </c>
      <c r="AT369" s="364">
        <v>0.33</v>
      </c>
      <c r="AU369" s="365">
        <v>45716</v>
      </c>
      <c r="AV369" s="364">
        <v>114.9507</v>
      </c>
      <c r="AW369" s="3"/>
      <c r="AX369" s="376">
        <v>0.007081</v>
      </c>
      <c r="AY369" s="376">
        <v>0.020413</v>
      </c>
      <c r="AZ369" s="376">
        <v>0.035839</v>
      </c>
      <c r="BA369" s="376">
        <v>0.079422</v>
      </c>
      <c r="BB369" s="376" t="s">
        <v>129</v>
      </c>
      <c r="BC369" s="376" t="s">
        <v>129</v>
      </c>
      <c r="BD369" s="376" t="s">
        <v>129</v>
      </c>
      <c r="BE369" s="4"/>
      <c r="BF369" s="376">
        <v>0.020413</v>
      </c>
      <c r="BG369" s="376">
        <v>0.0781424114107421</v>
      </c>
      <c r="BH369" s="376">
        <v>0.0684817335741076</v>
      </c>
      <c r="BI369" s="376">
        <v>0.00785999999999998</v>
      </c>
      <c r="BJ369" s="376" t="s">
        <v>129</v>
      </c>
      <c r="BK369" s="376" t="s">
        <v>129</v>
      </c>
      <c r="BL369" s="376" t="s">
        <v>129</v>
      </c>
      <c r="BM369" s="376" t="s">
        <v>129</v>
      </c>
      <c r="BN369" s="376" t="s">
        <v>129</v>
      </c>
      <c r="BO369" s="376" t="s">
        <v>129</v>
      </c>
      <c r="BP369" s="376" t="s">
        <v>129</v>
      </c>
      <c r="BQ369" s="376" t="s">
        <v>129</v>
      </c>
      <c r="BR369" s="376" t="s">
        <v>129</v>
      </c>
      <c r="BS369" s="376" t="s">
        <v>129</v>
      </c>
      <c r="BT369" s="376" t="s">
        <v>129</v>
      </c>
      <c r="BU369" s="376" t="s">
        <v>129</v>
      </c>
    </row>
    <row r="370" spans="45:73">
      <c r="AS370" s="361" t="s">
        <v>670</v>
      </c>
      <c r="AT370" s="364">
        <v>0.33</v>
      </c>
      <c r="AU370" s="365">
        <v>45716</v>
      </c>
      <c r="AV370" s="364">
        <v>152.2143</v>
      </c>
      <c r="AW370" s="3"/>
      <c r="AX370" s="376">
        <v>0.006489</v>
      </c>
      <c r="AY370" s="376">
        <v>0.021039</v>
      </c>
      <c r="AZ370" s="376">
        <v>0.035256</v>
      </c>
      <c r="BA370" s="376">
        <v>0.082821</v>
      </c>
      <c r="BB370" s="376" t="s">
        <v>129</v>
      </c>
      <c r="BC370" s="376" t="s">
        <v>129</v>
      </c>
      <c r="BD370" s="376" t="s">
        <v>129</v>
      </c>
      <c r="BE370" s="4"/>
      <c r="BF370" s="376">
        <v>0.021039</v>
      </c>
      <c r="BG370" s="376">
        <v>0.0805412131793024</v>
      </c>
      <c r="BH370" s="376">
        <v>0.0713866419922593</v>
      </c>
      <c r="BI370" s="376">
        <v>0.00509000000000004</v>
      </c>
      <c r="BJ370" s="376" t="s">
        <v>129</v>
      </c>
      <c r="BK370" s="376" t="s">
        <v>129</v>
      </c>
      <c r="BL370" s="376" t="s">
        <v>129</v>
      </c>
      <c r="BM370" s="376" t="s">
        <v>129</v>
      </c>
      <c r="BN370" s="376" t="s">
        <v>129</v>
      </c>
      <c r="BO370" s="376" t="s">
        <v>129</v>
      </c>
      <c r="BP370" s="376" t="s">
        <v>129</v>
      </c>
      <c r="BQ370" s="376" t="s">
        <v>129</v>
      </c>
      <c r="BR370" s="376" t="s">
        <v>129</v>
      </c>
      <c r="BS370" s="376" t="s">
        <v>129</v>
      </c>
      <c r="BT370" s="376" t="s">
        <v>129</v>
      </c>
      <c r="BU370" s="376" t="s">
        <v>129</v>
      </c>
    </row>
    <row r="371" spans="45:73">
      <c r="AS371" s="361" t="s">
        <v>671</v>
      </c>
      <c r="AT371" s="364">
        <v>0.41</v>
      </c>
      <c r="AU371" s="365">
        <v>45716</v>
      </c>
      <c r="AV371" s="364">
        <v>443.0663</v>
      </c>
      <c r="AW371" s="3"/>
      <c r="AX371" s="376">
        <v>0.006594</v>
      </c>
      <c r="AY371" s="376">
        <v>0.017976</v>
      </c>
      <c r="AZ371" s="376">
        <v>0.03316</v>
      </c>
      <c r="BA371" s="376">
        <v>0.072643</v>
      </c>
      <c r="BB371" s="376" t="s">
        <v>129</v>
      </c>
      <c r="BC371" s="376" t="s">
        <v>129</v>
      </c>
      <c r="BD371" s="376" t="s">
        <v>129</v>
      </c>
      <c r="BE371" s="4"/>
      <c r="BF371" s="376">
        <v>0.017976</v>
      </c>
      <c r="BG371" s="376">
        <v>0.071631687091803</v>
      </c>
      <c r="BH371" s="376">
        <v>0.0701062096315056</v>
      </c>
      <c r="BI371" s="376">
        <v>0.01874</v>
      </c>
      <c r="BJ371" s="376" t="s">
        <v>129</v>
      </c>
      <c r="BK371" s="376" t="s">
        <v>129</v>
      </c>
      <c r="BL371" s="376" t="s">
        <v>129</v>
      </c>
      <c r="BM371" s="376" t="s">
        <v>129</v>
      </c>
      <c r="BN371" s="376" t="s">
        <v>129</v>
      </c>
      <c r="BO371" s="376" t="s">
        <v>129</v>
      </c>
      <c r="BP371" s="376" t="s">
        <v>129</v>
      </c>
      <c r="BQ371" s="376" t="s">
        <v>129</v>
      </c>
      <c r="BR371" s="376" t="s">
        <v>129</v>
      </c>
      <c r="BS371" s="376" t="s">
        <v>129</v>
      </c>
      <c r="BT371" s="376" t="s">
        <v>129</v>
      </c>
      <c r="BU371" s="376" t="s">
        <v>129</v>
      </c>
    </row>
    <row r="372" spans="45:73">
      <c r="AS372" s="361" t="s">
        <v>672</v>
      </c>
      <c r="AT372" s="364">
        <v>0.44</v>
      </c>
      <c r="AU372" s="365">
        <v>45716</v>
      </c>
      <c r="AV372" s="364">
        <v>4701.8956</v>
      </c>
      <c r="AW372" s="3"/>
      <c r="AX372" s="376">
        <v>0.00802</v>
      </c>
      <c r="AY372" s="376">
        <v>0.022298</v>
      </c>
      <c r="AZ372" s="376">
        <v>0.03634</v>
      </c>
      <c r="BA372" s="376">
        <v>0.081964</v>
      </c>
      <c r="BB372" s="376">
        <v>0.063634</v>
      </c>
      <c r="BC372" s="376" t="s">
        <v>129</v>
      </c>
      <c r="BD372" s="376" t="s">
        <v>129</v>
      </c>
      <c r="BE372" s="4"/>
      <c r="BF372" s="376">
        <v>0.022298</v>
      </c>
      <c r="BG372" s="376">
        <v>0.077561047853851</v>
      </c>
      <c r="BH372" s="376">
        <v>0.0749154859673931</v>
      </c>
      <c r="BI372" s="376">
        <v>0.0199428838861879</v>
      </c>
      <c r="BJ372" s="376">
        <v>0.0469900000000001</v>
      </c>
      <c r="BK372" s="376" t="s">
        <v>129</v>
      </c>
      <c r="BL372" s="376" t="s">
        <v>129</v>
      </c>
      <c r="BM372" s="376" t="s">
        <v>129</v>
      </c>
      <c r="BN372" s="376" t="s">
        <v>129</v>
      </c>
      <c r="BO372" s="376" t="s">
        <v>129</v>
      </c>
      <c r="BP372" s="376" t="s">
        <v>129</v>
      </c>
      <c r="BQ372" s="376" t="s">
        <v>129</v>
      </c>
      <c r="BR372" s="376" t="s">
        <v>129</v>
      </c>
      <c r="BS372" s="376" t="s">
        <v>129</v>
      </c>
      <c r="BT372" s="376" t="s">
        <v>129</v>
      </c>
      <c r="BU372" s="376" t="s">
        <v>129</v>
      </c>
    </row>
    <row r="373" spans="45:73">
      <c r="AS373" s="361" t="s">
        <v>673</v>
      </c>
      <c r="AT373" s="364">
        <v>0.46</v>
      </c>
      <c r="AU373" s="365">
        <v>45716</v>
      </c>
      <c r="AV373" s="364">
        <v>440.6211</v>
      </c>
      <c r="AW373" s="3"/>
      <c r="AX373" s="376">
        <v>0.016342</v>
      </c>
      <c r="AY373" s="376">
        <v>0.030148</v>
      </c>
      <c r="AZ373" s="376">
        <v>0.041452</v>
      </c>
      <c r="BA373" s="376">
        <v>0.097618</v>
      </c>
      <c r="BB373" s="376" t="s">
        <v>129</v>
      </c>
      <c r="BC373" s="376" t="s">
        <v>129</v>
      </c>
      <c r="BD373" s="376" t="s">
        <v>129</v>
      </c>
      <c r="BE373" s="4"/>
      <c r="BF373" s="376">
        <v>0.030148</v>
      </c>
      <c r="BG373" s="376">
        <v>0.090998234948029</v>
      </c>
      <c r="BH373" s="376">
        <v>0.0707900000000001</v>
      </c>
      <c r="BI373" s="376" t="s">
        <v>129</v>
      </c>
      <c r="BJ373" s="376" t="s">
        <v>129</v>
      </c>
      <c r="BK373" s="376" t="s">
        <v>129</v>
      </c>
      <c r="BL373" s="376" t="s">
        <v>129</v>
      </c>
      <c r="BM373" s="376" t="s">
        <v>129</v>
      </c>
      <c r="BN373" s="376" t="s">
        <v>129</v>
      </c>
      <c r="BO373" s="376" t="s">
        <v>129</v>
      </c>
      <c r="BP373" s="376" t="s">
        <v>129</v>
      </c>
      <c r="BQ373" s="376" t="s">
        <v>129</v>
      </c>
      <c r="BR373" s="376" t="s">
        <v>129</v>
      </c>
      <c r="BS373" s="376" t="s">
        <v>129</v>
      </c>
      <c r="BT373" s="376" t="s">
        <v>129</v>
      </c>
      <c r="BU373" s="376" t="s">
        <v>129</v>
      </c>
    </row>
    <row r="374" spans="45:73">
      <c r="AS374" s="361" t="s">
        <v>674</v>
      </c>
      <c r="AT374" s="364">
        <v>0.44</v>
      </c>
      <c r="AU374" s="365">
        <v>45716</v>
      </c>
      <c r="AV374" s="364">
        <v>6967.4044</v>
      </c>
      <c r="AW374" s="3"/>
      <c r="AX374" s="376">
        <v>0.007733</v>
      </c>
      <c r="AY374" s="376">
        <v>0.021196</v>
      </c>
      <c r="AZ374" s="376">
        <v>0.035738</v>
      </c>
      <c r="BA374" s="376">
        <v>0.079594</v>
      </c>
      <c r="BB374" s="376">
        <v>0.060638</v>
      </c>
      <c r="BC374" s="376" t="s">
        <v>129</v>
      </c>
      <c r="BD374" s="376" t="s">
        <v>129</v>
      </c>
      <c r="BE374" s="4"/>
      <c r="BF374" s="376">
        <v>0.021196</v>
      </c>
      <c r="BG374" s="376">
        <v>0.0758350151582663</v>
      </c>
      <c r="BH374" s="376">
        <v>0.073321455363841</v>
      </c>
      <c r="BI374" s="376">
        <v>0.0179652150671071</v>
      </c>
      <c r="BJ374" s="376">
        <v>0.04758</v>
      </c>
      <c r="BK374" s="376" t="s">
        <v>129</v>
      </c>
      <c r="BL374" s="376" t="s">
        <v>129</v>
      </c>
      <c r="BM374" s="376" t="s">
        <v>129</v>
      </c>
      <c r="BN374" s="376" t="s">
        <v>129</v>
      </c>
      <c r="BO374" s="376" t="s">
        <v>129</v>
      </c>
      <c r="BP374" s="376" t="s">
        <v>129</v>
      </c>
      <c r="BQ374" s="376" t="s">
        <v>129</v>
      </c>
      <c r="BR374" s="376" t="s">
        <v>129</v>
      </c>
      <c r="BS374" s="376" t="s">
        <v>129</v>
      </c>
      <c r="BT374" s="376" t="s">
        <v>129</v>
      </c>
      <c r="BU374" s="376" t="s">
        <v>129</v>
      </c>
    </row>
    <row r="375" spans="45:73">
      <c r="AS375" s="361" t="s">
        <v>675</v>
      </c>
      <c r="AT375" s="364">
        <v>1.14</v>
      </c>
      <c r="AU375" s="365">
        <v>45716</v>
      </c>
      <c r="AV375" s="364">
        <v>3549.7412</v>
      </c>
      <c r="AW375" s="3"/>
      <c r="AX375" s="376">
        <v>0.030708</v>
      </c>
      <c r="AY375" s="376">
        <v>0.027706</v>
      </c>
      <c r="AZ375" s="376">
        <v>0.026972</v>
      </c>
      <c r="BA375" s="376">
        <v>0.087417</v>
      </c>
      <c r="BB375" s="376">
        <v>0.067821</v>
      </c>
      <c r="BC375" s="376">
        <v>0.064924</v>
      </c>
      <c r="BD375" s="376">
        <v>0.077058</v>
      </c>
      <c r="BE375" s="4"/>
      <c r="BF375" s="376">
        <v>0.027706</v>
      </c>
      <c r="BG375" s="376">
        <v>0.106016514142016</v>
      </c>
      <c r="BH375" s="376">
        <v>0.0675135262291225</v>
      </c>
      <c r="BI375" s="376">
        <v>0.0135020002314028</v>
      </c>
      <c r="BJ375" s="376">
        <v>0.0205347111400539</v>
      </c>
      <c r="BK375" s="376">
        <v>0.136833456042369</v>
      </c>
      <c r="BL375" s="376">
        <v>0.132559371616797</v>
      </c>
      <c r="BM375" s="376">
        <v>0.0779357504307968</v>
      </c>
      <c r="BN375" s="376">
        <v>0.0312069521756275</v>
      </c>
      <c r="BO375" s="376">
        <v>0.138847255188985</v>
      </c>
      <c r="BP375" s="376">
        <v>0.0599096286864015</v>
      </c>
      <c r="BQ375" s="376">
        <v>0.164608994248116</v>
      </c>
      <c r="BR375" s="376">
        <v>0.0634986257531562</v>
      </c>
      <c r="BS375" s="376">
        <v>0.129719163805257</v>
      </c>
      <c r="BT375" s="376">
        <v>0.0988936833501245</v>
      </c>
      <c r="BU375" s="376">
        <v>0.0397154009585453</v>
      </c>
    </row>
    <row r="376" spans="45:73">
      <c r="AS376" s="361" t="s">
        <v>676</v>
      </c>
      <c r="AT376" s="364">
        <v>0.45</v>
      </c>
      <c r="AU376" s="365">
        <v>45716</v>
      </c>
      <c r="AV376" s="364">
        <v>1762.0722</v>
      </c>
      <c r="AW376" s="3"/>
      <c r="AX376" s="376">
        <v>0.018633</v>
      </c>
      <c r="AY376" s="376">
        <v>0.028672</v>
      </c>
      <c r="AZ376" s="376">
        <v>0.041501</v>
      </c>
      <c r="BA376" s="376">
        <v>0.096083</v>
      </c>
      <c r="BB376" s="376">
        <v>0.071367</v>
      </c>
      <c r="BC376" s="376">
        <v>0.059239</v>
      </c>
      <c r="BD376" s="376">
        <v>0.066082</v>
      </c>
      <c r="BE376" s="4"/>
      <c r="BF376" s="376">
        <v>0.028672</v>
      </c>
      <c r="BG376" s="376">
        <v>0.0955713337079225</v>
      </c>
      <c r="BH376" s="376">
        <v>0.0730372571362635</v>
      </c>
      <c r="BI376" s="376">
        <v>0.0154197216599634</v>
      </c>
      <c r="BJ376" s="376">
        <v>0.0179629469490723</v>
      </c>
      <c r="BK376" s="376">
        <v>0.0996140692576817</v>
      </c>
      <c r="BL376" s="376">
        <v>0.0893241751765373</v>
      </c>
      <c r="BM376" s="376">
        <v>0.0604083024013332</v>
      </c>
      <c r="BN376" s="376">
        <v>0.0171750872623883</v>
      </c>
      <c r="BO376" s="376">
        <v>0.134057733562275</v>
      </c>
      <c r="BP376" s="376">
        <v>0.0648754274548118</v>
      </c>
      <c r="BQ376" s="376">
        <v>0.150818934822533</v>
      </c>
      <c r="BR376" s="376">
        <v>0.0413200562010749</v>
      </c>
      <c r="BS376" s="376">
        <v>0.109210436804641</v>
      </c>
      <c r="BT376" s="376">
        <v>0.120739965483064</v>
      </c>
      <c r="BU376" s="376">
        <v>0.18122349396604</v>
      </c>
    </row>
    <row r="377" spans="45:73">
      <c r="AS377" s="361" t="s">
        <v>677</v>
      </c>
      <c r="AT377" s="364">
        <v>0.49</v>
      </c>
      <c r="AU377" s="365">
        <v>45716</v>
      </c>
      <c r="AV377" s="364">
        <v>115.198</v>
      </c>
      <c r="AW377" s="3"/>
      <c r="AX377" s="376">
        <v>0.006994</v>
      </c>
      <c r="AY377" s="376">
        <v>0.02078</v>
      </c>
      <c r="AZ377" s="376">
        <v>0.035738</v>
      </c>
      <c r="BA377" s="376">
        <v>0.080488</v>
      </c>
      <c r="BB377" s="376" t="s">
        <v>129</v>
      </c>
      <c r="BC377" s="376" t="s">
        <v>129</v>
      </c>
      <c r="BD377" s="376" t="s">
        <v>129</v>
      </c>
      <c r="BE377" s="4"/>
      <c r="BF377" s="376">
        <v>0.02078</v>
      </c>
      <c r="BG377" s="376">
        <v>0.0791169653456949</v>
      </c>
      <c r="BH377" s="376">
        <v>0.06134</v>
      </c>
      <c r="BI377" s="376" t="s">
        <v>129</v>
      </c>
      <c r="BJ377" s="376" t="s">
        <v>129</v>
      </c>
      <c r="BK377" s="376" t="s">
        <v>129</v>
      </c>
      <c r="BL377" s="376" t="s">
        <v>129</v>
      </c>
      <c r="BM377" s="376" t="s">
        <v>129</v>
      </c>
      <c r="BN377" s="376" t="s">
        <v>129</v>
      </c>
      <c r="BO377" s="376" t="s">
        <v>129</v>
      </c>
      <c r="BP377" s="376" t="s">
        <v>129</v>
      </c>
      <c r="BQ377" s="376" t="s">
        <v>129</v>
      </c>
      <c r="BR377" s="376" t="s">
        <v>129</v>
      </c>
      <c r="BS377" s="376" t="s">
        <v>129</v>
      </c>
      <c r="BT377" s="376" t="s">
        <v>129</v>
      </c>
      <c r="BU377" s="376" t="s">
        <v>129</v>
      </c>
    </row>
    <row r="378" spans="45:73">
      <c r="AS378" s="361" t="s">
        <v>678</v>
      </c>
      <c r="AT378" s="364">
        <v>0.49</v>
      </c>
      <c r="AU378" s="365">
        <v>45716</v>
      </c>
      <c r="AV378" s="364">
        <v>33.3789</v>
      </c>
      <c r="AW378" s="3"/>
      <c r="AX378" s="376">
        <v>0.005965</v>
      </c>
      <c r="AY378" s="376">
        <v>0.022333</v>
      </c>
      <c r="AZ378" s="376">
        <v>0.035647</v>
      </c>
      <c r="BA378" s="376">
        <v>0.085902</v>
      </c>
      <c r="BB378" s="376" t="s">
        <v>129</v>
      </c>
      <c r="BC378" s="376" t="s">
        <v>129</v>
      </c>
      <c r="BD378" s="376" t="s">
        <v>129</v>
      </c>
      <c r="BE378" s="4"/>
      <c r="BF378" s="376">
        <v>0.022333</v>
      </c>
      <c r="BG378" s="376">
        <v>0.0826135334942668</v>
      </c>
      <c r="BH378" s="376">
        <v>0.0604799999999999</v>
      </c>
      <c r="BI378" s="376" t="s">
        <v>129</v>
      </c>
      <c r="BJ378" s="376" t="s">
        <v>129</v>
      </c>
      <c r="BK378" s="376" t="s">
        <v>129</v>
      </c>
      <c r="BL378" s="376" t="s">
        <v>129</v>
      </c>
      <c r="BM378" s="376" t="s">
        <v>129</v>
      </c>
      <c r="BN378" s="376" t="s">
        <v>129</v>
      </c>
      <c r="BO378" s="376" t="s">
        <v>129</v>
      </c>
      <c r="BP378" s="376" t="s">
        <v>129</v>
      </c>
      <c r="BQ378" s="376" t="s">
        <v>129</v>
      </c>
      <c r="BR378" s="376" t="s">
        <v>129</v>
      </c>
      <c r="BS378" s="376" t="s">
        <v>129</v>
      </c>
      <c r="BT378" s="376" t="s">
        <v>129</v>
      </c>
      <c r="BU378" s="376" t="s">
        <v>129</v>
      </c>
    </row>
    <row r="379" spans="45:73">
      <c r="AS379" s="361" t="s">
        <v>679</v>
      </c>
      <c r="AT379" s="364">
        <v>1.25</v>
      </c>
      <c r="AU379" s="365">
        <v>45716</v>
      </c>
      <c r="AV379" s="364">
        <v>135.3495</v>
      </c>
      <c r="AW379" s="3"/>
      <c r="AX379" s="376">
        <v>0.027591</v>
      </c>
      <c r="AY379" s="376">
        <v>0.02798</v>
      </c>
      <c r="AZ379" s="376">
        <v>0.03179</v>
      </c>
      <c r="BA379" s="376">
        <v>0.085079</v>
      </c>
      <c r="BB379" s="376">
        <v>0.066455</v>
      </c>
      <c r="BC379" s="376">
        <v>0.05781</v>
      </c>
      <c r="BD379" s="376">
        <v>0.070347</v>
      </c>
      <c r="BE379" s="4"/>
      <c r="BF379" s="376">
        <v>0.02798</v>
      </c>
      <c r="BG379" s="376">
        <v>0.0875824118389319</v>
      </c>
      <c r="BH379" s="376">
        <v>0.0647545271405836</v>
      </c>
      <c r="BI379" s="376">
        <v>0.0230796384168292</v>
      </c>
      <c r="BJ379" s="376">
        <v>0.0183125002070613</v>
      </c>
      <c r="BK379" s="376">
        <v>0.103310006780479</v>
      </c>
      <c r="BL379" s="376">
        <v>0.0994789542110666</v>
      </c>
      <c r="BM379" s="376">
        <v>0.0490178099026347</v>
      </c>
      <c r="BN379" s="376">
        <v>0.0293218481833863</v>
      </c>
      <c r="BO379" s="376">
        <v>0.180167722937072</v>
      </c>
      <c r="BP379" s="376">
        <v>0.0634169852628829</v>
      </c>
      <c r="BQ379" s="376">
        <v>0.166913986660608</v>
      </c>
      <c r="BR379" s="376">
        <v>0.0388186712527274</v>
      </c>
      <c r="BS379" s="376">
        <v>0.108117005439136</v>
      </c>
      <c r="BT379" s="376">
        <v>0.0618326866535388</v>
      </c>
      <c r="BU379" s="376">
        <v>0.0331407246900205</v>
      </c>
    </row>
    <row r="380" spans="45:73">
      <c r="AS380" s="361" t="s">
        <v>680</v>
      </c>
      <c r="AT380" s="364">
        <v>0.42</v>
      </c>
      <c r="AU380" s="365">
        <v>45716</v>
      </c>
      <c r="AV380" s="364">
        <v>383.4022</v>
      </c>
      <c r="AW380" s="3"/>
      <c r="AX380" s="376">
        <v>0.018098</v>
      </c>
      <c r="AY380" s="376">
        <v>0.029173</v>
      </c>
      <c r="AZ380" s="376">
        <v>0.041773</v>
      </c>
      <c r="BA380" s="376">
        <v>0.098091</v>
      </c>
      <c r="BB380" s="376" t="s">
        <v>129</v>
      </c>
      <c r="BC380" s="376" t="s">
        <v>129</v>
      </c>
      <c r="BD380" s="376" t="s">
        <v>129</v>
      </c>
      <c r="BE380" s="4"/>
      <c r="BF380" s="376">
        <v>0.029173</v>
      </c>
      <c r="BG380" s="376">
        <v>0.0968039852233293</v>
      </c>
      <c r="BH380" s="376">
        <v>0.07196</v>
      </c>
      <c r="BI380" s="376" t="s">
        <v>129</v>
      </c>
      <c r="BJ380" s="376" t="s">
        <v>129</v>
      </c>
      <c r="BK380" s="376" t="s">
        <v>129</v>
      </c>
      <c r="BL380" s="376" t="s">
        <v>129</v>
      </c>
      <c r="BM380" s="376" t="s">
        <v>129</v>
      </c>
      <c r="BN380" s="376" t="s">
        <v>129</v>
      </c>
      <c r="BO380" s="376" t="s">
        <v>129</v>
      </c>
      <c r="BP380" s="376" t="s">
        <v>129</v>
      </c>
      <c r="BQ380" s="376" t="s">
        <v>129</v>
      </c>
      <c r="BR380" s="376" t="s">
        <v>129</v>
      </c>
      <c r="BS380" s="376" t="s">
        <v>129</v>
      </c>
      <c r="BT380" s="376" t="s">
        <v>129</v>
      </c>
      <c r="BU380" s="376" t="s">
        <v>129</v>
      </c>
    </row>
    <row r="381" spans="45:73">
      <c r="AS381" s="361" t="s">
        <v>681</v>
      </c>
      <c r="AT381" s="364">
        <v>1.16</v>
      </c>
      <c r="AU381" s="365">
        <v>45716</v>
      </c>
      <c r="AV381" s="364">
        <v>1698.532</v>
      </c>
      <c r="AW381" s="3"/>
      <c r="AX381" s="376">
        <v>0.028804</v>
      </c>
      <c r="AY381" s="376">
        <v>0.028963</v>
      </c>
      <c r="AZ381" s="376">
        <v>0.031981</v>
      </c>
      <c r="BA381" s="376">
        <v>0.090637</v>
      </c>
      <c r="BB381" s="376">
        <v>0.075643</v>
      </c>
      <c r="BC381" s="376">
        <v>0.068024</v>
      </c>
      <c r="BD381" s="376">
        <v>0.07794</v>
      </c>
      <c r="BE381" s="4"/>
      <c r="BF381" s="376">
        <v>0.028963</v>
      </c>
      <c r="BG381" s="376">
        <v>0.101006727021775</v>
      </c>
      <c r="BH381" s="376">
        <v>0.070729146442403</v>
      </c>
      <c r="BI381" s="376">
        <v>0.0269309522966274</v>
      </c>
      <c r="BJ381" s="376">
        <v>0.0312434055677298</v>
      </c>
      <c r="BK381" s="376">
        <v>0.130749075758016</v>
      </c>
      <c r="BL381" s="376">
        <v>0.125480083113986</v>
      </c>
      <c r="BM381" s="376">
        <v>0.0736903003765104</v>
      </c>
      <c r="BN381" s="376">
        <v>0.0143351300679635</v>
      </c>
      <c r="BO381" s="376">
        <v>0.153465207358821</v>
      </c>
      <c r="BP381" s="376">
        <v>0.0616592623204877</v>
      </c>
      <c r="BQ381" s="376">
        <v>0.150086476638105</v>
      </c>
      <c r="BR381" s="376">
        <v>0.0131107984184648</v>
      </c>
      <c r="BS381" s="376">
        <v>0.0895317928509804</v>
      </c>
      <c r="BT381" s="376">
        <v>0.0359460251033392</v>
      </c>
      <c r="BU381" s="376">
        <v>0.0501564813728507</v>
      </c>
    </row>
    <row r="382" spans="45:73">
      <c r="AS382" s="361" t="s">
        <v>682</v>
      </c>
      <c r="AT382" s="364">
        <v>0.29</v>
      </c>
      <c r="AU382" s="365">
        <v>45716</v>
      </c>
      <c r="AV382" s="364">
        <v>2197.4442</v>
      </c>
      <c r="AW382" s="3"/>
      <c r="AX382" s="376">
        <v>0.007607</v>
      </c>
      <c r="AY382" s="376">
        <v>0.022362</v>
      </c>
      <c r="AZ382" s="376">
        <v>0.036714</v>
      </c>
      <c r="BA382" s="376">
        <v>0.083956</v>
      </c>
      <c r="BB382" s="376">
        <v>0.065535</v>
      </c>
      <c r="BC382" s="376" t="s">
        <v>129</v>
      </c>
      <c r="BD382" s="376" t="s">
        <v>129</v>
      </c>
      <c r="BE382" s="4"/>
      <c r="BF382" s="376">
        <v>0.022362</v>
      </c>
      <c r="BG382" s="376">
        <v>0.079908281089344</v>
      </c>
      <c r="BH382" s="376">
        <v>0.0757627666134826</v>
      </c>
      <c r="BI382" s="376">
        <v>0.0216100000000001</v>
      </c>
      <c r="BJ382" s="376" t="s">
        <v>129</v>
      </c>
      <c r="BK382" s="376" t="s">
        <v>129</v>
      </c>
      <c r="BL382" s="376" t="s">
        <v>129</v>
      </c>
      <c r="BM382" s="376" t="s">
        <v>129</v>
      </c>
      <c r="BN382" s="376" t="s">
        <v>129</v>
      </c>
      <c r="BO382" s="376" t="s">
        <v>129</v>
      </c>
      <c r="BP382" s="376" t="s">
        <v>129</v>
      </c>
      <c r="BQ382" s="376" t="s">
        <v>129</v>
      </c>
      <c r="BR382" s="376" t="s">
        <v>129</v>
      </c>
      <c r="BS382" s="376" t="s">
        <v>129</v>
      </c>
      <c r="BT382" s="376" t="s">
        <v>129</v>
      </c>
      <c r="BU382" s="376" t="s">
        <v>129</v>
      </c>
    </row>
    <row r="383" spans="45:73">
      <c r="AS383" s="361" t="s">
        <v>683</v>
      </c>
      <c r="AT383" s="364">
        <v>0.32</v>
      </c>
      <c r="AU383" s="365">
        <v>45716</v>
      </c>
      <c r="AV383" s="364">
        <v>97.5891</v>
      </c>
      <c r="AW383" s="3"/>
      <c r="AX383" s="376">
        <v>0.007006</v>
      </c>
      <c r="AY383" s="376">
        <v>0.021007</v>
      </c>
      <c r="AZ383" s="376">
        <v>0.035203</v>
      </c>
      <c r="BA383" s="376">
        <v>0.081839</v>
      </c>
      <c r="BB383" s="376" t="s">
        <v>129</v>
      </c>
      <c r="BC383" s="376" t="s">
        <v>129</v>
      </c>
      <c r="BD383" s="376" t="s">
        <v>129</v>
      </c>
      <c r="BE383" s="4"/>
      <c r="BF383" s="376">
        <v>0.021007</v>
      </c>
      <c r="BG383" s="376">
        <v>0.0791579696172675</v>
      </c>
      <c r="BH383" s="376">
        <v>0.06837</v>
      </c>
      <c r="BI383" s="376" t="s">
        <v>129</v>
      </c>
      <c r="BJ383" s="376" t="s">
        <v>129</v>
      </c>
      <c r="BK383" s="376" t="s">
        <v>129</v>
      </c>
      <c r="BL383" s="376" t="s">
        <v>129</v>
      </c>
      <c r="BM383" s="376" t="s">
        <v>129</v>
      </c>
      <c r="BN383" s="376" t="s">
        <v>129</v>
      </c>
      <c r="BO383" s="376" t="s">
        <v>129</v>
      </c>
      <c r="BP383" s="376" t="s">
        <v>129</v>
      </c>
      <c r="BQ383" s="376" t="s">
        <v>129</v>
      </c>
      <c r="BR383" s="376" t="s">
        <v>129</v>
      </c>
      <c r="BS383" s="376" t="s">
        <v>129</v>
      </c>
      <c r="BT383" s="376" t="s">
        <v>129</v>
      </c>
      <c r="BU383" s="376" t="s">
        <v>129</v>
      </c>
    </row>
    <row r="384" spans="45:73">
      <c r="AS384" s="361" t="s">
        <v>684</v>
      </c>
      <c r="AT384" s="364">
        <v>0.45</v>
      </c>
      <c r="AU384" s="365">
        <v>45716</v>
      </c>
      <c r="AV384" s="364">
        <v>91.6231</v>
      </c>
      <c r="AW384" s="3"/>
      <c r="AX384" s="376">
        <v>0.007243</v>
      </c>
      <c r="AY384" s="376">
        <v>0.020858</v>
      </c>
      <c r="AZ384" s="376">
        <v>0.035731</v>
      </c>
      <c r="BA384" s="376">
        <v>0.080697</v>
      </c>
      <c r="BB384" s="376" t="s">
        <v>129</v>
      </c>
      <c r="BC384" s="376" t="s">
        <v>129</v>
      </c>
      <c r="BD384" s="376" t="s">
        <v>129</v>
      </c>
      <c r="BE384" s="4"/>
      <c r="BF384" s="376">
        <v>0.020858</v>
      </c>
      <c r="BG384" s="376">
        <v>0.0777651459586329</v>
      </c>
      <c r="BH384" s="376">
        <v>0.0703827281648675</v>
      </c>
      <c r="BI384" s="376">
        <v>0.019</v>
      </c>
      <c r="BJ384" s="376" t="s">
        <v>129</v>
      </c>
      <c r="BK384" s="376" t="s">
        <v>129</v>
      </c>
      <c r="BL384" s="376" t="s">
        <v>129</v>
      </c>
      <c r="BM384" s="376" t="s">
        <v>129</v>
      </c>
      <c r="BN384" s="376" t="s">
        <v>129</v>
      </c>
      <c r="BO384" s="376" t="s">
        <v>129</v>
      </c>
      <c r="BP384" s="376" t="s">
        <v>129</v>
      </c>
      <c r="BQ384" s="376" t="s">
        <v>129</v>
      </c>
      <c r="BR384" s="376" t="s">
        <v>129</v>
      </c>
      <c r="BS384" s="376" t="s">
        <v>129</v>
      </c>
      <c r="BT384" s="376" t="s">
        <v>129</v>
      </c>
      <c r="BU384" s="376" t="s">
        <v>129</v>
      </c>
    </row>
    <row r="385" spans="45:73">
      <c r="AS385" s="361" t="s">
        <v>685</v>
      </c>
      <c r="AT385" s="364">
        <v>0.45</v>
      </c>
      <c r="AU385" s="365">
        <v>45716</v>
      </c>
      <c r="AV385" s="364">
        <v>153.9648</v>
      </c>
      <c r="AW385" s="3"/>
      <c r="AX385" s="376">
        <v>0.0077</v>
      </c>
      <c r="AY385" s="376">
        <v>0.022489</v>
      </c>
      <c r="AZ385" s="376">
        <v>0.036568</v>
      </c>
      <c r="BA385" s="376">
        <v>0.084938</v>
      </c>
      <c r="BB385" s="376" t="s">
        <v>129</v>
      </c>
      <c r="BC385" s="376" t="s">
        <v>129</v>
      </c>
      <c r="BD385" s="376" t="s">
        <v>129</v>
      </c>
      <c r="BE385" s="4"/>
      <c r="BF385" s="376">
        <v>0.022489</v>
      </c>
      <c r="BG385" s="376">
        <v>0.0808545754630479</v>
      </c>
      <c r="BH385" s="376">
        <v>0.0747792494481237</v>
      </c>
      <c r="BI385" s="376">
        <v>0.01472</v>
      </c>
      <c r="BJ385" s="376" t="s">
        <v>129</v>
      </c>
      <c r="BK385" s="376" t="s">
        <v>129</v>
      </c>
      <c r="BL385" s="376" t="s">
        <v>129</v>
      </c>
      <c r="BM385" s="376" t="s">
        <v>129</v>
      </c>
      <c r="BN385" s="376" t="s">
        <v>129</v>
      </c>
      <c r="BO385" s="376" t="s">
        <v>129</v>
      </c>
      <c r="BP385" s="376" t="s">
        <v>129</v>
      </c>
      <c r="BQ385" s="376" t="s">
        <v>129</v>
      </c>
      <c r="BR385" s="376" t="s">
        <v>129</v>
      </c>
      <c r="BS385" s="376" t="s">
        <v>129</v>
      </c>
      <c r="BT385" s="376" t="s">
        <v>129</v>
      </c>
      <c r="BU385" s="376" t="s">
        <v>129</v>
      </c>
    </row>
    <row r="386" spans="45:73">
      <c r="AS386" s="361" t="s">
        <v>686</v>
      </c>
      <c r="AT386" s="364">
        <v>0.63</v>
      </c>
      <c r="AU386" s="365">
        <v>45716</v>
      </c>
      <c r="AV386" s="364">
        <v>152.5936</v>
      </c>
      <c r="AW386" s="3"/>
      <c r="AX386" s="376">
        <v>0.007794</v>
      </c>
      <c r="AY386" s="376">
        <v>0.021118</v>
      </c>
      <c r="AZ386" s="376">
        <v>0.035412</v>
      </c>
      <c r="BA386" s="376">
        <v>0.081069</v>
      </c>
      <c r="BB386" s="376" t="s">
        <v>129</v>
      </c>
      <c r="BC386" s="376" t="s">
        <v>129</v>
      </c>
      <c r="BD386" s="376" t="s">
        <v>129</v>
      </c>
      <c r="BE386" s="4"/>
      <c r="BF386" s="376">
        <v>0.021118</v>
      </c>
      <c r="BG386" s="376">
        <v>0.0771414337948473</v>
      </c>
      <c r="BH386" s="376">
        <v>0.06389</v>
      </c>
      <c r="BI386" s="376" t="s">
        <v>129</v>
      </c>
      <c r="BJ386" s="376" t="s">
        <v>129</v>
      </c>
      <c r="BK386" s="376" t="s">
        <v>129</v>
      </c>
      <c r="BL386" s="376" t="s">
        <v>129</v>
      </c>
      <c r="BM386" s="376" t="s">
        <v>129</v>
      </c>
      <c r="BN386" s="376" t="s">
        <v>129</v>
      </c>
      <c r="BO386" s="376" t="s">
        <v>129</v>
      </c>
      <c r="BP386" s="376" t="s">
        <v>129</v>
      </c>
      <c r="BQ386" s="376" t="s">
        <v>129</v>
      </c>
      <c r="BR386" s="376" t="s">
        <v>129</v>
      </c>
      <c r="BS386" s="376" t="s">
        <v>129</v>
      </c>
      <c r="BT386" s="376" t="s">
        <v>129</v>
      </c>
      <c r="BU386" s="376" t="s">
        <v>129</v>
      </c>
    </row>
    <row r="387" spans="45:73">
      <c r="AS387" s="361" t="s">
        <v>687</v>
      </c>
      <c r="AT387" s="364">
        <v>1.15</v>
      </c>
      <c r="AU387" s="365">
        <v>45716</v>
      </c>
      <c r="AV387" s="364">
        <v>171.2928</v>
      </c>
      <c r="AW387" s="3"/>
      <c r="AX387" s="376">
        <v>0.023795</v>
      </c>
      <c r="AY387" s="376">
        <v>0.027348</v>
      </c>
      <c r="AZ387" s="376">
        <v>0.032509</v>
      </c>
      <c r="BA387" s="376">
        <v>0.086441</v>
      </c>
      <c r="BB387" s="376">
        <v>0.069872</v>
      </c>
      <c r="BC387" s="376">
        <v>0.06887</v>
      </c>
      <c r="BD387" s="376">
        <v>0.075377</v>
      </c>
      <c r="BE387" s="4"/>
      <c r="BF387" s="376">
        <v>0.027348</v>
      </c>
      <c r="BG387" s="376">
        <v>0.0976136416292109</v>
      </c>
      <c r="BH387" s="376">
        <v>0.0623237131366631</v>
      </c>
      <c r="BI387" s="376">
        <v>0.025212840582782</v>
      </c>
      <c r="BJ387" s="376">
        <v>0.0413485035604488</v>
      </c>
      <c r="BK387" s="376">
        <v>0.136226570570427</v>
      </c>
      <c r="BL387" s="376">
        <v>0.107429327161514</v>
      </c>
      <c r="BM387" s="376">
        <v>0.0676715617057329</v>
      </c>
      <c r="BN387" s="376">
        <v>0.0423596597097524</v>
      </c>
      <c r="BO387" s="376">
        <v>0.124644110441634</v>
      </c>
      <c r="BP387" s="376">
        <v>0.05760527997339</v>
      </c>
      <c r="BQ387" s="376">
        <v>0.14243</v>
      </c>
      <c r="BR387" s="376" t="s">
        <v>129</v>
      </c>
      <c r="BS387" s="376" t="s">
        <v>129</v>
      </c>
      <c r="BT387" s="376" t="s">
        <v>129</v>
      </c>
      <c r="BU387" s="376" t="s">
        <v>129</v>
      </c>
    </row>
    <row r="388" spans="45:73">
      <c r="AS388" s="361" t="s">
        <v>688</v>
      </c>
      <c r="AT388" s="364">
        <v>1.15</v>
      </c>
      <c r="AU388" s="365">
        <v>45716</v>
      </c>
      <c r="AV388" s="364">
        <v>151.234497591</v>
      </c>
      <c r="AW388" s="3"/>
      <c r="AX388" s="376">
        <v>0.014942</v>
      </c>
      <c r="AY388" s="376">
        <v>0.02606</v>
      </c>
      <c r="AZ388" s="376">
        <v>0.038928</v>
      </c>
      <c r="BA388" s="376">
        <v>0.085616</v>
      </c>
      <c r="BB388" s="376">
        <v>0.057848</v>
      </c>
      <c r="BC388" s="376">
        <v>0.049063</v>
      </c>
      <c r="BD388" s="376">
        <v>0.058308</v>
      </c>
      <c r="BE388" s="4"/>
      <c r="BF388" s="376">
        <v>0.02606</v>
      </c>
      <c r="BG388" s="376">
        <v>0.0734717249618573</v>
      </c>
      <c r="BH388" s="376">
        <v>0.0553008158807658</v>
      </c>
      <c r="BI388" s="376">
        <v>0.0248543305790565</v>
      </c>
      <c r="BJ388" s="376">
        <v>0.0214082316720781</v>
      </c>
      <c r="BK388" s="376">
        <v>0.0854326721290535</v>
      </c>
      <c r="BL388" s="376">
        <v>0.0799880765563911</v>
      </c>
      <c r="BM388" s="376">
        <v>0.042614015801424</v>
      </c>
      <c r="BN388" s="376">
        <v>0.000850897555533211</v>
      </c>
      <c r="BO388" s="376">
        <v>0.156704856661146</v>
      </c>
      <c r="BP388" s="376">
        <v>0.0542945996952806</v>
      </c>
      <c r="BQ388" s="376">
        <v>0.203478588945482</v>
      </c>
      <c r="BR388" s="376">
        <v>-0.00881798599892304</v>
      </c>
      <c r="BS388" s="376">
        <v>0.103496087946915</v>
      </c>
      <c r="BT388" s="376">
        <v>0.0433794181345343</v>
      </c>
      <c r="BU388" s="376">
        <v>0.0200762466949518</v>
      </c>
    </row>
    <row r="389" spans="45:73">
      <c r="AS389" s="361" t="s">
        <v>689</v>
      </c>
      <c r="AT389" s="364">
        <v>0.89</v>
      </c>
      <c r="AU389" s="365">
        <v>45716</v>
      </c>
      <c r="AV389" s="364">
        <v>2939.2566</v>
      </c>
      <c r="AW389" s="3"/>
      <c r="AX389" s="376">
        <v>0.021484</v>
      </c>
      <c r="AY389" s="376">
        <v>0.028095</v>
      </c>
      <c r="AZ389" s="376">
        <v>0.036562</v>
      </c>
      <c r="BA389" s="376">
        <v>0.092837</v>
      </c>
      <c r="BB389" s="376">
        <v>0.067744</v>
      </c>
      <c r="BC389" s="376">
        <v>0.059977</v>
      </c>
      <c r="BD389" s="376">
        <v>0.067426</v>
      </c>
      <c r="BE389" s="4"/>
      <c r="BF389" s="376">
        <v>0.028095</v>
      </c>
      <c r="BG389" s="376">
        <v>0.0874435884112287</v>
      </c>
      <c r="BH389" s="376">
        <v>0.0711447986308784</v>
      </c>
      <c r="BI389" s="376">
        <v>0.0172577901914585</v>
      </c>
      <c r="BJ389" s="376">
        <v>0.021974517214435</v>
      </c>
      <c r="BK389" s="376">
        <v>0.107454884439073</v>
      </c>
      <c r="BL389" s="376">
        <v>0.0855613069317777</v>
      </c>
      <c r="BM389" s="376">
        <v>0.0536293987793793</v>
      </c>
      <c r="BN389" s="376">
        <v>0.0178967960241091</v>
      </c>
      <c r="BO389" s="376">
        <v>0.165668033937535</v>
      </c>
      <c r="BP389" s="376">
        <v>0.0590658394282337</v>
      </c>
      <c r="BQ389" s="376">
        <v>0.190294706674493</v>
      </c>
      <c r="BR389" s="376">
        <v>0.014235934791364</v>
      </c>
      <c r="BS389" s="376">
        <v>0.110179087794328</v>
      </c>
      <c r="BT389" s="376">
        <v>0.0506415722477239</v>
      </c>
      <c r="BU389" s="376">
        <v>0.0588957254236189</v>
      </c>
    </row>
    <row r="390" spans="45:73">
      <c r="AS390" s="361" t="s">
        <v>690</v>
      </c>
      <c r="AT390" s="364">
        <v>0.37</v>
      </c>
      <c r="AU390" s="365">
        <v>45716</v>
      </c>
      <c r="AV390" s="364">
        <v>164.7746</v>
      </c>
      <c r="AW390" s="3"/>
      <c r="AX390" s="376">
        <v>0.010844</v>
      </c>
      <c r="AY390" s="376">
        <v>0.025143</v>
      </c>
      <c r="AZ390" s="376">
        <v>0.039052</v>
      </c>
      <c r="BA390" s="376">
        <v>0.089045</v>
      </c>
      <c r="BB390" s="376" t="s">
        <v>129</v>
      </c>
      <c r="BC390" s="376" t="s">
        <v>129</v>
      </c>
      <c r="BD390" s="376" t="s">
        <v>129</v>
      </c>
      <c r="BE390" s="4"/>
      <c r="BF390" s="376">
        <v>0.025143</v>
      </c>
      <c r="BG390" s="376">
        <v>0.0837344949103111</v>
      </c>
      <c r="BH390" s="376">
        <v>0.06981</v>
      </c>
      <c r="BI390" s="376" t="s">
        <v>129</v>
      </c>
      <c r="BJ390" s="376" t="s">
        <v>129</v>
      </c>
      <c r="BK390" s="376" t="s">
        <v>129</v>
      </c>
      <c r="BL390" s="376" t="s">
        <v>129</v>
      </c>
      <c r="BM390" s="376" t="s">
        <v>129</v>
      </c>
      <c r="BN390" s="376" t="s">
        <v>129</v>
      </c>
      <c r="BO390" s="376" t="s">
        <v>129</v>
      </c>
      <c r="BP390" s="376" t="s">
        <v>129</v>
      </c>
      <c r="BQ390" s="376" t="s">
        <v>129</v>
      </c>
      <c r="BR390" s="376" t="s">
        <v>129</v>
      </c>
      <c r="BS390" s="376" t="s">
        <v>129</v>
      </c>
      <c r="BT390" s="376" t="s">
        <v>129</v>
      </c>
      <c r="BU390" s="376" t="s">
        <v>129</v>
      </c>
    </row>
    <row r="391" spans="45:73">
      <c r="AS391" s="361" t="s">
        <v>691</v>
      </c>
      <c r="AT391" s="364">
        <v>0.36</v>
      </c>
      <c r="AU391" s="365">
        <v>45716</v>
      </c>
      <c r="AV391" s="364">
        <v>1343.3454</v>
      </c>
      <c r="AW391" s="3"/>
      <c r="AX391" s="376">
        <v>0.007211</v>
      </c>
      <c r="AY391" s="376">
        <v>0.019505</v>
      </c>
      <c r="AZ391" s="376">
        <v>0.034618</v>
      </c>
      <c r="BA391" s="376">
        <v>0.076758</v>
      </c>
      <c r="BB391" s="376" t="s">
        <v>129</v>
      </c>
      <c r="BC391" s="376" t="s">
        <v>129</v>
      </c>
      <c r="BD391" s="376" t="s">
        <v>129</v>
      </c>
      <c r="BE391" s="4"/>
      <c r="BF391" s="376">
        <v>0.019505</v>
      </c>
      <c r="BG391" s="376">
        <v>0.0747340474566272</v>
      </c>
      <c r="BH391" s="376">
        <v>0.0729772502472799</v>
      </c>
      <c r="BI391" s="376">
        <v>0.0109999999999999</v>
      </c>
      <c r="BJ391" s="376" t="s">
        <v>129</v>
      </c>
      <c r="BK391" s="376" t="s">
        <v>129</v>
      </c>
      <c r="BL391" s="376" t="s">
        <v>129</v>
      </c>
      <c r="BM391" s="376" t="s">
        <v>129</v>
      </c>
      <c r="BN391" s="376" t="s">
        <v>129</v>
      </c>
      <c r="BO391" s="376" t="s">
        <v>129</v>
      </c>
      <c r="BP391" s="376" t="s">
        <v>129</v>
      </c>
      <c r="BQ391" s="376" t="s">
        <v>129</v>
      </c>
      <c r="BR391" s="376" t="s">
        <v>129</v>
      </c>
      <c r="BS391" s="376" t="s">
        <v>129</v>
      </c>
      <c r="BT391" s="376" t="s">
        <v>129</v>
      </c>
      <c r="BU391" s="376" t="s">
        <v>129</v>
      </c>
    </row>
    <row r="392" spans="45:73">
      <c r="AS392" s="361" t="s">
        <v>692</v>
      </c>
      <c r="AT392" s="364">
        <v>0.37</v>
      </c>
      <c r="AU392" s="365">
        <v>45716</v>
      </c>
      <c r="AV392" s="364">
        <v>686.961</v>
      </c>
      <c r="AW392" s="3"/>
      <c r="AX392" s="376">
        <v>0.0158</v>
      </c>
      <c r="AY392" s="376">
        <v>0.030363</v>
      </c>
      <c r="AZ392" s="376">
        <v>0.041544</v>
      </c>
      <c r="BA392" s="376">
        <v>0.098542</v>
      </c>
      <c r="BB392" s="376" t="s">
        <v>129</v>
      </c>
      <c r="BC392" s="376" t="s">
        <v>129</v>
      </c>
      <c r="BD392" s="376" t="s">
        <v>129</v>
      </c>
      <c r="BE392" s="4"/>
      <c r="BF392" s="376">
        <v>0.030363</v>
      </c>
      <c r="BG392" s="376">
        <v>0.0894467663880335</v>
      </c>
      <c r="BH392" s="376">
        <v>0.08013068013068</v>
      </c>
      <c r="BI392" s="376">
        <v>0.0101000000000001</v>
      </c>
      <c r="BJ392" s="376" t="s">
        <v>129</v>
      </c>
      <c r="BK392" s="376" t="s">
        <v>129</v>
      </c>
      <c r="BL392" s="376" t="s">
        <v>129</v>
      </c>
      <c r="BM392" s="376" t="s">
        <v>129</v>
      </c>
      <c r="BN392" s="376" t="s">
        <v>129</v>
      </c>
      <c r="BO392" s="376" t="s">
        <v>129</v>
      </c>
      <c r="BP392" s="376" t="s">
        <v>129</v>
      </c>
      <c r="BQ392" s="376" t="s">
        <v>129</v>
      </c>
      <c r="BR392" s="376" t="s">
        <v>129</v>
      </c>
      <c r="BS392" s="376" t="s">
        <v>129</v>
      </c>
      <c r="BT392" s="376" t="s">
        <v>129</v>
      </c>
      <c r="BU392" s="376" t="s">
        <v>129</v>
      </c>
    </row>
    <row r="393" spans="45:73">
      <c r="AS393" s="361" t="s">
        <v>693</v>
      </c>
      <c r="AT393" s="364">
        <v>0.36</v>
      </c>
      <c r="AU393" s="365">
        <v>45716</v>
      </c>
      <c r="AV393" s="364">
        <v>742.5967</v>
      </c>
      <c r="AW393" s="3"/>
      <c r="AX393" s="376">
        <v>0.007932</v>
      </c>
      <c r="AY393" s="376">
        <v>0.021705</v>
      </c>
      <c r="AZ393" s="376">
        <v>0.036413</v>
      </c>
      <c r="BA393" s="376">
        <v>0.080958</v>
      </c>
      <c r="BB393" s="376" t="s">
        <v>129</v>
      </c>
      <c r="BC393" s="376" t="s">
        <v>129</v>
      </c>
      <c r="BD393" s="376" t="s">
        <v>129</v>
      </c>
      <c r="BE393" s="4"/>
      <c r="BF393" s="376">
        <v>0.021705</v>
      </c>
      <c r="BG393" s="376">
        <v>0.0769152158159757</v>
      </c>
      <c r="BH393" s="376">
        <v>0.073910006983937</v>
      </c>
      <c r="BI393" s="376">
        <v>0.00229999999999997</v>
      </c>
      <c r="BJ393" s="376" t="s">
        <v>129</v>
      </c>
      <c r="BK393" s="376" t="s">
        <v>129</v>
      </c>
      <c r="BL393" s="376" t="s">
        <v>129</v>
      </c>
      <c r="BM393" s="376" t="s">
        <v>129</v>
      </c>
      <c r="BN393" s="376" t="s">
        <v>129</v>
      </c>
      <c r="BO393" s="376" t="s">
        <v>129</v>
      </c>
      <c r="BP393" s="376" t="s">
        <v>129</v>
      </c>
      <c r="BQ393" s="376" t="s">
        <v>129</v>
      </c>
      <c r="BR393" s="376" t="s">
        <v>129</v>
      </c>
      <c r="BS393" s="376" t="s">
        <v>129</v>
      </c>
      <c r="BT393" s="376" t="s">
        <v>129</v>
      </c>
      <c r="BU393" s="376" t="s">
        <v>129</v>
      </c>
    </row>
    <row r="394" spans="45:73">
      <c r="AS394" s="361" t="s">
        <v>694</v>
      </c>
      <c r="AT394" s="364">
        <v>0.38</v>
      </c>
      <c r="AU394" s="365">
        <v>45716</v>
      </c>
      <c r="AV394" s="364">
        <v>813.1404</v>
      </c>
      <c r="AW394" s="3"/>
      <c r="AX394" s="376">
        <v>0.022261</v>
      </c>
      <c r="AY394" s="376">
        <v>0.031565</v>
      </c>
      <c r="AZ394" s="376">
        <v>0.043042</v>
      </c>
      <c r="BA394" s="376">
        <v>0.10224</v>
      </c>
      <c r="BB394" s="376" t="s">
        <v>129</v>
      </c>
      <c r="BC394" s="376" t="s">
        <v>129</v>
      </c>
      <c r="BD394" s="376" t="s">
        <v>129</v>
      </c>
      <c r="BE394" s="4"/>
      <c r="BF394" s="376">
        <v>0.031565</v>
      </c>
      <c r="BG394" s="376">
        <v>0.10401388344623</v>
      </c>
      <c r="BH394" s="376">
        <v>0.07178</v>
      </c>
      <c r="BI394" s="376" t="s">
        <v>129</v>
      </c>
      <c r="BJ394" s="376" t="s">
        <v>129</v>
      </c>
      <c r="BK394" s="376" t="s">
        <v>129</v>
      </c>
      <c r="BL394" s="376" t="s">
        <v>129</v>
      </c>
      <c r="BM394" s="376" t="s">
        <v>129</v>
      </c>
      <c r="BN394" s="376" t="s">
        <v>129</v>
      </c>
      <c r="BO394" s="376" t="s">
        <v>129</v>
      </c>
      <c r="BP394" s="376" t="s">
        <v>129</v>
      </c>
      <c r="BQ394" s="376" t="s">
        <v>129</v>
      </c>
      <c r="BR394" s="376" t="s">
        <v>129</v>
      </c>
      <c r="BS394" s="376" t="s">
        <v>129</v>
      </c>
      <c r="BT394" s="376" t="s">
        <v>129</v>
      </c>
      <c r="BU394" s="376" t="s">
        <v>129</v>
      </c>
    </row>
    <row r="395" spans="45:73">
      <c r="AS395" s="361" t="s">
        <v>695</v>
      </c>
      <c r="AT395" s="364">
        <v>0.38</v>
      </c>
      <c r="AU395" s="365">
        <v>45716</v>
      </c>
      <c r="AV395" s="364">
        <v>607.2905</v>
      </c>
      <c r="AW395" s="3"/>
      <c r="AX395" s="376">
        <v>0.016699</v>
      </c>
      <c r="AY395" s="376">
        <v>0.030003</v>
      </c>
      <c r="AZ395" s="376">
        <v>0.041526</v>
      </c>
      <c r="BA395" s="376">
        <v>0.098472</v>
      </c>
      <c r="BB395" s="376" t="s">
        <v>129</v>
      </c>
      <c r="BC395" s="376" t="s">
        <v>129</v>
      </c>
      <c r="BD395" s="376" t="s">
        <v>129</v>
      </c>
      <c r="BE395" s="4"/>
      <c r="BF395" s="376">
        <v>0.030003</v>
      </c>
      <c r="BG395" s="376">
        <v>0.0928663209369829</v>
      </c>
      <c r="BH395" s="376">
        <v>0.0799341120095838</v>
      </c>
      <c r="BI395" s="376">
        <v>0.00169999999999995</v>
      </c>
      <c r="BJ395" s="376" t="s">
        <v>129</v>
      </c>
      <c r="BK395" s="376" t="s">
        <v>129</v>
      </c>
      <c r="BL395" s="376" t="s">
        <v>129</v>
      </c>
      <c r="BM395" s="376" t="s">
        <v>129</v>
      </c>
      <c r="BN395" s="376" t="s">
        <v>129</v>
      </c>
      <c r="BO395" s="376" t="s">
        <v>129</v>
      </c>
      <c r="BP395" s="376" t="s">
        <v>129</v>
      </c>
      <c r="BQ395" s="376" t="s">
        <v>129</v>
      </c>
      <c r="BR395" s="376" t="s">
        <v>129</v>
      </c>
      <c r="BS395" s="376" t="s">
        <v>129</v>
      </c>
      <c r="BT395" s="376" t="s">
        <v>129</v>
      </c>
      <c r="BU395" s="376" t="s">
        <v>129</v>
      </c>
    </row>
    <row r="396" spans="45:73">
      <c r="AS396" s="361" t="s">
        <v>696</v>
      </c>
      <c r="AT396" s="364">
        <v>0.36</v>
      </c>
      <c r="AU396" s="365">
        <v>45716</v>
      </c>
      <c r="AV396" s="364">
        <v>196.4105</v>
      </c>
      <c r="AW396" s="3"/>
      <c r="AX396" s="376">
        <v>0.006969</v>
      </c>
      <c r="AY396" s="376">
        <v>0.020197</v>
      </c>
      <c r="AZ396" s="376">
        <v>0.035806</v>
      </c>
      <c r="BA396" s="376">
        <v>0.079537</v>
      </c>
      <c r="BB396" s="376" t="s">
        <v>129</v>
      </c>
      <c r="BC396" s="376" t="s">
        <v>129</v>
      </c>
      <c r="BD396" s="376" t="s">
        <v>129</v>
      </c>
      <c r="BE396" s="4"/>
      <c r="BF396" s="376">
        <v>0.020197</v>
      </c>
      <c r="BG396" s="376">
        <v>0.0790294399458922</v>
      </c>
      <c r="BH396" s="376">
        <v>0.06454</v>
      </c>
      <c r="BI396" s="376" t="s">
        <v>129</v>
      </c>
      <c r="BJ396" s="376" t="s">
        <v>129</v>
      </c>
      <c r="BK396" s="376" t="s">
        <v>129</v>
      </c>
      <c r="BL396" s="376" t="s">
        <v>129</v>
      </c>
      <c r="BM396" s="376" t="s">
        <v>129</v>
      </c>
      <c r="BN396" s="376" t="s">
        <v>129</v>
      </c>
      <c r="BO396" s="376" t="s">
        <v>129</v>
      </c>
      <c r="BP396" s="376" t="s">
        <v>129</v>
      </c>
      <c r="BQ396" s="376" t="s">
        <v>129</v>
      </c>
      <c r="BR396" s="376" t="s">
        <v>129</v>
      </c>
      <c r="BS396" s="376" t="s">
        <v>129</v>
      </c>
      <c r="BT396" s="376" t="s">
        <v>129</v>
      </c>
      <c r="BU396" s="376" t="s">
        <v>129</v>
      </c>
    </row>
    <row r="397" spans="45:73">
      <c r="AS397" s="361" t="s">
        <v>697</v>
      </c>
      <c r="AT397" s="364">
        <v>0.35</v>
      </c>
      <c r="AU397" s="365">
        <v>45716</v>
      </c>
      <c r="AV397" s="364">
        <v>48.8178</v>
      </c>
      <c r="AW397" s="3"/>
      <c r="AX397" s="376">
        <v>0.007424</v>
      </c>
      <c r="AY397" s="376">
        <v>0.021225</v>
      </c>
      <c r="AZ397" s="376">
        <v>0.036396</v>
      </c>
      <c r="BA397" s="376">
        <v>0.081835</v>
      </c>
      <c r="BB397" s="376" t="s">
        <v>129</v>
      </c>
      <c r="BC397" s="376" t="s">
        <v>129</v>
      </c>
      <c r="BD397" s="376" t="s">
        <v>129</v>
      </c>
      <c r="BE397" s="4"/>
      <c r="BF397" s="376">
        <v>0.021225</v>
      </c>
      <c r="BG397" s="376">
        <v>0.0787484369671479</v>
      </c>
      <c r="BH397" s="376">
        <v>0.05564</v>
      </c>
      <c r="BI397" s="376" t="s">
        <v>129</v>
      </c>
      <c r="BJ397" s="376" t="s">
        <v>129</v>
      </c>
      <c r="BK397" s="376" t="s">
        <v>129</v>
      </c>
      <c r="BL397" s="376" t="s">
        <v>129</v>
      </c>
      <c r="BM397" s="376" t="s">
        <v>129</v>
      </c>
      <c r="BN397" s="376" t="s">
        <v>129</v>
      </c>
      <c r="BO397" s="376" t="s">
        <v>129</v>
      </c>
      <c r="BP397" s="376" t="s">
        <v>129</v>
      </c>
      <c r="BQ397" s="376" t="s">
        <v>129</v>
      </c>
      <c r="BR397" s="376" t="s">
        <v>129</v>
      </c>
      <c r="BS397" s="376" t="s">
        <v>129</v>
      </c>
      <c r="BT397" s="376" t="s">
        <v>129</v>
      </c>
      <c r="BU397" s="376" t="s">
        <v>129</v>
      </c>
    </row>
    <row r="398" spans="45:73">
      <c r="AS398" s="361" t="s">
        <v>698</v>
      </c>
      <c r="AT398" s="364">
        <v>0.43</v>
      </c>
      <c r="AU398" s="365">
        <v>45716</v>
      </c>
      <c r="AV398" s="364">
        <v>1883.1827</v>
      </c>
      <c r="AW398" s="3"/>
      <c r="AX398" s="376">
        <v>0.007277</v>
      </c>
      <c r="AY398" s="376">
        <v>0.021919</v>
      </c>
      <c r="AZ398" s="376">
        <v>0.03624</v>
      </c>
      <c r="BA398" s="376">
        <v>0.083564</v>
      </c>
      <c r="BB398" s="376">
        <v>0.065901</v>
      </c>
      <c r="BC398" s="376" t="s">
        <v>129</v>
      </c>
      <c r="BD398" s="376" t="s">
        <v>129</v>
      </c>
      <c r="BE398" s="4"/>
      <c r="BF398" s="376">
        <v>0.021919</v>
      </c>
      <c r="BG398" s="376">
        <v>0.0799741225352625</v>
      </c>
      <c r="BH398" s="376">
        <v>0.0733930597394469</v>
      </c>
      <c r="BI398" s="376">
        <v>0.0224399999999999</v>
      </c>
      <c r="BJ398" s="376" t="s">
        <v>129</v>
      </c>
      <c r="BK398" s="376" t="s">
        <v>129</v>
      </c>
      <c r="BL398" s="376" t="s">
        <v>129</v>
      </c>
      <c r="BM398" s="376" t="s">
        <v>129</v>
      </c>
      <c r="BN398" s="376" t="s">
        <v>129</v>
      </c>
      <c r="BO398" s="376" t="s">
        <v>129</v>
      </c>
      <c r="BP398" s="376" t="s">
        <v>129</v>
      </c>
      <c r="BQ398" s="376" t="s">
        <v>129</v>
      </c>
      <c r="BR398" s="376" t="s">
        <v>129</v>
      </c>
      <c r="BS398" s="376" t="s">
        <v>129</v>
      </c>
      <c r="BT398" s="376" t="s">
        <v>129</v>
      </c>
      <c r="BU398" s="376" t="s">
        <v>129</v>
      </c>
    </row>
    <row r="399" spans="45:73">
      <c r="AS399" s="361" t="s">
        <v>699</v>
      </c>
      <c r="AT399" s="364">
        <v>0.44</v>
      </c>
      <c r="AU399" s="365">
        <v>45716</v>
      </c>
      <c r="AV399" s="364">
        <v>197.8809</v>
      </c>
      <c r="AW399" s="3"/>
      <c r="AX399" s="376">
        <v>0.007797</v>
      </c>
      <c r="AY399" s="376">
        <v>0.021311</v>
      </c>
      <c r="AZ399" s="376">
        <v>0.035775</v>
      </c>
      <c r="BA399" s="376">
        <v>0.079458</v>
      </c>
      <c r="BB399" s="376" t="s">
        <v>129</v>
      </c>
      <c r="BC399" s="376" t="s">
        <v>129</v>
      </c>
      <c r="BD399" s="376" t="s">
        <v>129</v>
      </c>
      <c r="BE399" s="4"/>
      <c r="BF399" s="376">
        <v>0.021311</v>
      </c>
      <c r="BG399" s="376">
        <v>0.0754570574207956</v>
      </c>
      <c r="BH399" s="376">
        <v>0.0567600000000001</v>
      </c>
      <c r="BI399" s="376" t="s">
        <v>129</v>
      </c>
      <c r="BJ399" s="376" t="s">
        <v>129</v>
      </c>
      <c r="BK399" s="376" t="s">
        <v>129</v>
      </c>
      <c r="BL399" s="376" t="s">
        <v>129</v>
      </c>
      <c r="BM399" s="376" t="s">
        <v>129</v>
      </c>
      <c r="BN399" s="376" t="s">
        <v>129</v>
      </c>
      <c r="BO399" s="376" t="s">
        <v>129</v>
      </c>
      <c r="BP399" s="376" t="s">
        <v>129</v>
      </c>
      <c r="BQ399" s="376" t="s">
        <v>129</v>
      </c>
      <c r="BR399" s="376" t="s">
        <v>129</v>
      </c>
      <c r="BS399" s="376" t="s">
        <v>129</v>
      </c>
      <c r="BT399" s="376" t="s">
        <v>129</v>
      </c>
      <c r="BU399" s="376" t="s">
        <v>129</v>
      </c>
    </row>
    <row r="400" spans="45:73">
      <c r="AS400" s="361" t="s">
        <v>700</v>
      </c>
      <c r="AT400" s="364">
        <v>1.69</v>
      </c>
      <c r="AU400" s="365">
        <v>45716</v>
      </c>
      <c r="AV400" s="364">
        <v>256.9555</v>
      </c>
      <c r="AW400" s="3"/>
      <c r="AX400" s="376">
        <v>0.026647</v>
      </c>
      <c r="AY400" s="376">
        <v>0.026904</v>
      </c>
      <c r="AZ400" s="376">
        <v>0.028999</v>
      </c>
      <c r="BA400" s="376">
        <v>0.081377</v>
      </c>
      <c r="BB400" s="376">
        <v>0.063395</v>
      </c>
      <c r="BC400" s="376">
        <v>0.053055</v>
      </c>
      <c r="BD400" s="376">
        <v>0.064949</v>
      </c>
      <c r="BE400" s="4"/>
      <c r="BF400" s="376">
        <v>0.026904</v>
      </c>
      <c r="BG400" s="376">
        <v>0.0819437803302372</v>
      </c>
      <c r="BH400" s="376">
        <v>0.0561852485292405</v>
      </c>
      <c r="BI400" s="376">
        <v>0.0190269709960052</v>
      </c>
      <c r="BJ400" s="376">
        <v>0.00544227173560037</v>
      </c>
      <c r="BK400" s="376">
        <v>0.115639003240512</v>
      </c>
      <c r="BL400" s="376">
        <v>0.0840445598384483</v>
      </c>
      <c r="BM400" s="376">
        <v>0.0625935838334298</v>
      </c>
      <c r="BN400" s="376">
        <v>0.00462651492897947</v>
      </c>
      <c r="BO400" s="376">
        <v>0.167884908009406</v>
      </c>
      <c r="BP400" s="376">
        <v>0.0748419481268698</v>
      </c>
      <c r="BQ400" s="376">
        <v>0.163400230409167</v>
      </c>
      <c r="BR400" s="376">
        <v>0.0918750873534823</v>
      </c>
      <c r="BS400" s="376">
        <v>0.139187723767557</v>
      </c>
      <c r="BT400" s="376">
        <v>0.0448122220873403</v>
      </c>
      <c r="BU400" s="376">
        <v>0.0259559942801791</v>
      </c>
    </row>
    <row r="401" spans="45:73">
      <c r="AS401" s="361" t="s">
        <v>701</v>
      </c>
      <c r="AT401" s="364">
        <v>1.09</v>
      </c>
      <c r="AU401" s="365">
        <v>45716</v>
      </c>
      <c r="AV401" s="364">
        <v>6355.8141315882</v>
      </c>
      <c r="AW401" s="3"/>
      <c r="AX401" s="376">
        <v>0.01804</v>
      </c>
      <c r="AY401" s="376">
        <v>0.027226</v>
      </c>
      <c r="AZ401" s="376">
        <v>0.041967</v>
      </c>
      <c r="BA401" s="376">
        <v>0.086524</v>
      </c>
      <c r="BB401" s="376">
        <v>0.076953</v>
      </c>
      <c r="BC401" s="376">
        <v>0.070693</v>
      </c>
      <c r="BD401" s="376">
        <v>0.078587</v>
      </c>
      <c r="BE401" s="4"/>
      <c r="BF401" s="376">
        <v>0.027226</v>
      </c>
      <c r="BG401" s="376">
        <v>0.0818233732559575</v>
      </c>
      <c r="BH401" s="376">
        <v>0.0825588875190802</v>
      </c>
      <c r="BI401" s="376">
        <v>0.0366388055860724</v>
      </c>
      <c r="BJ401" s="376">
        <v>0.0376298327434616</v>
      </c>
      <c r="BK401" s="376">
        <v>0.126290418659526</v>
      </c>
      <c r="BL401" s="376">
        <v>0.108215203036698</v>
      </c>
      <c r="BM401" s="376">
        <v>0.0677284088751111</v>
      </c>
      <c r="BN401" s="376">
        <v>0.0205770298537171</v>
      </c>
      <c r="BO401" s="376">
        <v>0.181718954720368</v>
      </c>
      <c r="BP401" s="376">
        <v>0.0553230498554158</v>
      </c>
      <c r="BQ401" s="376">
        <v>0.179767256659902</v>
      </c>
      <c r="BR401" s="376">
        <v>0.00311290463894952</v>
      </c>
      <c r="BS401" s="376">
        <v>0.110061615739761</v>
      </c>
      <c r="BT401" s="376">
        <v>0.0590466380890348</v>
      </c>
      <c r="BU401" s="376">
        <v>0.0528775154138373</v>
      </c>
    </row>
    <row r="402" spans="45:73">
      <c r="AS402" s="361" t="s">
        <v>702</v>
      </c>
      <c r="AT402" s="364">
        <v>0.39</v>
      </c>
      <c r="AU402" s="365">
        <v>45716</v>
      </c>
      <c r="AV402" s="364">
        <v>986.555703265</v>
      </c>
      <c r="AW402" s="3"/>
      <c r="AX402" s="376">
        <v>0.013318</v>
      </c>
      <c r="AY402" s="376">
        <v>0.026275</v>
      </c>
      <c r="AZ402" s="376">
        <v>0.041664</v>
      </c>
      <c r="BA402" s="376">
        <v>0.09331</v>
      </c>
      <c r="BB402" s="376" t="s">
        <v>129</v>
      </c>
      <c r="BC402" s="376" t="s">
        <v>129</v>
      </c>
      <c r="BD402" s="376" t="s">
        <v>129</v>
      </c>
      <c r="BE402" s="4"/>
      <c r="BF402" s="376">
        <v>0.026275</v>
      </c>
      <c r="BG402" s="376">
        <v>0.0877677201456288</v>
      </c>
      <c r="BH402" s="376">
        <v>0.0779838512356253</v>
      </c>
      <c r="BI402" s="376">
        <v>0.0217499999999999</v>
      </c>
      <c r="BJ402" s="376" t="s">
        <v>129</v>
      </c>
      <c r="BK402" s="376" t="s">
        <v>129</v>
      </c>
      <c r="BL402" s="376" t="s">
        <v>129</v>
      </c>
      <c r="BM402" s="376" t="s">
        <v>129</v>
      </c>
      <c r="BN402" s="376" t="s">
        <v>129</v>
      </c>
      <c r="BO402" s="376" t="s">
        <v>129</v>
      </c>
      <c r="BP402" s="376" t="s">
        <v>129</v>
      </c>
      <c r="BQ402" s="376" t="s">
        <v>129</v>
      </c>
      <c r="BR402" s="376" t="s">
        <v>129</v>
      </c>
      <c r="BS402" s="376" t="s">
        <v>129</v>
      </c>
      <c r="BT402" s="376" t="s">
        <v>129</v>
      </c>
      <c r="BU402" s="376" t="s">
        <v>129</v>
      </c>
    </row>
    <row r="403" spans="45:73">
      <c r="AS403" s="361" t="s">
        <v>703</v>
      </c>
      <c r="AT403" s="364">
        <v>0.37</v>
      </c>
      <c r="AU403" s="365">
        <v>45716</v>
      </c>
      <c r="AV403" s="364">
        <v>985.4150505158</v>
      </c>
      <c r="AW403" s="3"/>
      <c r="AX403" s="376">
        <v>0.006247</v>
      </c>
      <c r="AY403" s="376">
        <v>0.022626</v>
      </c>
      <c r="AZ403" s="376">
        <v>0.036446</v>
      </c>
      <c r="BA403" s="376">
        <v>0.08767</v>
      </c>
      <c r="BB403" s="376" t="s">
        <v>129</v>
      </c>
      <c r="BC403" s="376" t="s">
        <v>129</v>
      </c>
      <c r="BD403" s="376" t="s">
        <v>129</v>
      </c>
      <c r="BE403" s="4"/>
      <c r="BF403" s="376">
        <v>0.022626</v>
      </c>
      <c r="BG403" s="376">
        <v>0.0849141578185988</v>
      </c>
      <c r="BH403" s="376">
        <v>0.0741153361282946</v>
      </c>
      <c r="BI403" s="376">
        <v>0.0232699999999999</v>
      </c>
      <c r="BJ403" s="376" t="s">
        <v>129</v>
      </c>
      <c r="BK403" s="376" t="s">
        <v>129</v>
      </c>
      <c r="BL403" s="376" t="s">
        <v>129</v>
      </c>
      <c r="BM403" s="376" t="s">
        <v>129</v>
      </c>
      <c r="BN403" s="376" t="s">
        <v>129</v>
      </c>
      <c r="BO403" s="376" t="s">
        <v>129</v>
      </c>
      <c r="BP403" s="376" t="s">
        <v>129</v>
      </c>
      <c r="BQ403" s="376" t="s">
        <v>129</v>
      </c>
      <c r="BR403" s="376" t="s">
        <v>129</v>
      </c>
      <c r="BS403" s="376" t="s">
        <v>129</v>
      </c>
      <c r="BT403" s="376" t="s">
        <v>129</v>
      </c>
      <c r="BU403" s="376" t="s">
        <v>129</v>
      </c>
    </row>
    <row r="404" spans="45:73">
      <c r="AS404" s="361" t="s">
        <v>704</v>
      </c>
      <c r="AT404" s="364">
        <v>0.39</v>
      </c>
      <c r="AU404" s="365">
        <v>45716</v>
      </c>
      <c r="AV404" s="364">
        <v>245.2491011859</v>
      </c>
      <c r="AW404" s="3"/>
      <c r="AX404" s="376">
        <v>0.006939</v>
      </c>
      <c r="AY404" s="376">
        <v>0.019948</v>
      </c>
      <c r="AZ404" s="376">
        <v>0.03551</v>
      </c>
      <c r="BA404" s="376">
        <v>0.078264</v>
      </c>
      <c r="BB404" s="376" t="s">
        <v>129</v>
      </c>
      <c r="BC404" s="376" t="s">
        <v>129</v>
      </c>
      <c r="BD404" s="376" t="s">
        <v>129</v>
      </c>
      <c r="BE404" s="4"/>
      <c r="BF404" s="376">
        <v>0.019948</v>
      </c>
      <c r="BG404" s="376">
        <v>0.0778187191381117</v>
      </c>
      <c r="BH404" s="376">
        <v>0.068179774831923</v>
      </c>
      <c r="BI404" s="376">
        <v>0.00103000000000009</v>
      </c>
      <c r="BJ404" s="376" t="s">
        <v>129</v>
      </c>
      <c r="BK404" s="376" t="s">
        <v>129</v>
      </c>
      <c r="BL404" s="376" t="s">
        <v>129</v>
      </c>
      <c r="BM404" s="376" t="s">
        <v>129</v>
      </c>
      <c r="BN404" s="376" t="s">
        <v>129</v>
      </c>
      <c r="BO404" s="376" t="s">
        <v>129</v>
      </c>
      <c r="BP404" s="376" t="s">
        <v>129</v>
      </c>
      <c r="BQ404" s="376" t="s">
        <v>129</v>
      </c>
      <c r="BR404" s="376" t="s">
        <v>129</v>
      </c>
      <c r="BS404" s="376" t="s">
        <v>129</v>
      </c>
      <c r="BT404" s="376" t="s">
        <v>129</v>
      </c>
      <c r="BU404" s="376" t="s">
        <v>129</v>
      </c>
    </row>
    <row r="405" spans="45:73">
      <c r="AS405" s="361" t="s">
        <v>705</v>
      </c>
      <c r="AT405" s="364">
        <v>0.35</v>
      </c>
      <c r="AU405" s="365">
        <v>45716</v>
      </c>
      <c r="AV405" s="364">
        <v>1763.3141018</v>
      </c>
      <c r="AW405" s="3"/>
      <c r="AX405" s="376">
        <v>0.006464</v>
      </c>
      <c r="AY405" s="376">
        <v>0.021067</v>
      </c>
      <c r="AZ405" s="376">
        <v>0.035716</v>
      </c>
      <c r="BA405" s="376">
        <v>0.083968</v>
      </c>
      <c r="BB405" s="376">
        <v>0.061353</v>
      </c>
      <c r="BC405" s="376" t="s">
        <v>129</v>
      </c>
      <c r="BD405" s="376" t="s">
        <v>129</v>
      </c>
      <c r="BE405" s="4"/>
      <c r="BF405" s="376">
        <v>0.021067</v>
      </c>
      <c r="BG405" s="376">
        <v>0.0820219755949422</v>
      </c>
      <c r="BH405" s="376">
        <v>0.0704849720719923</v>
      </c>
      <c r="BI405" s="376">
        <v>0.01511</v>
      </c>
      <c r="BJ405" s="376" t="s">
        <v>129</v>
      </c>
      <c r="BK405" s="376" t="s">
        <v>129</v>
      </c>
      <c r="BL405" s="376" t="s">
        <v>129</v>
      </c>
      <c r="BM405" s="376" t="s">
        <v>129</v>
      </c>
      <c r="BN405" s="376" t="s">
        <v>129</v>
      </c>
      <c r="BO405" s="376" t="s">
        <v>129</v>
      </c>
      <c r="BP405" s="376" t="s">
        <v>129</v>
      </c>
      <c r="BQ405" s="376" t="s">
        <v>129</v>
      </c>
      <c r="BR405" s="376" t="s">
        <v>129</v>
      </c>
      <c r="BS405" s="376" t="s">
        <v>129</v>
      </c>
      <c r="BT405" s="376" t="s">
        <v>129</v>
      </c>
      <c r="BU405" s="376" t="s">
        <v>129</v>
      </c>
    </row>
    <row r="406" spans="45:73">
      <c r="AS406" s="361" t="s">
        <v>706</v>
      </c>
      <c r="AT406" s="364">
        <v>1.25</v>
      </c>
      <c r="AU406" s="365">
        <v>45716</v>
      </c>
      <c r="AV406" s="364">
        <v>1219.8868</v>
      </c>
      <c r="AW406" s="3"/>
      <c r="AX406" s="376">
        <v>0.028368</v>
      </c>
      <c r="AY406" s="376">
        <v>0.027602</v>
      </c>
      <c r="AZ406" s="376">
        <v>0.029275</v>
      </c>
      <c r="BA406" s="376">
        <v>0.087203</v>
      </c>
      <c r="BB406" s="376">
        <v>0.074038</v>
      </c>
      <c r="BC406" s="376">
        <v>0.054922</v>
      </c>
      <c r="BD406" s="376">
        <v>0.064676</v>
      </c>
      <c r="BE406" s="4"/>
      <c r="BF406" s="376">
        <v>0.027602</v>
      </c>
      <c r="BG406" s="376">
        <v>0.099682438947349</v>
      </c>
      <c r="BH406" s="376">
        <v>0.0658093238251114</v>
      </c>
      <c r="BI406" s="376">
        <v>0.0234888129769512</v>
      </c>
      <c r="BJ406" s="376">
        <v>0.00669004491370828</v>
      </c>
      <c r="BK406" s="376">
        <v>0.0824330938747022</v>
      </c>
      <c r="BL406" s="376">
        <v>0.0964410169756312</v>
      </c>
      <c r="BM406" s="376">
        <v>0.0620176746185907</v>
      </c>
      <c r="BN406" s="376">
        <v>0.0118603777629852</v>
      </c>
      <c r="BO406" s="376">
        <v>0.166083089172177</v>
      </c>
      <c r="BP406" s="376">
        <v>0.0424778050048734</v>
      </c>
      <c r="BQ406" s="376">
        <v>0.169950027579191</v>
      </c>
      <c r="BR406" s="376">
        <v>0.00851002495134892</v>
      </c>
      <c r="BS406" s="376">
        <v>0.0713074620668178</v>
      </c>
      <c r="BT406" s="376">
        <v>0.0509100165457554</v>
      </c>
      <c r="BU406" s="376">
        <v>0.123643941406011</v>
      </c>
    </row>
    <row r="407" spans="45:73">
      <c r="AS407" s="361" t="s">
        <v>707</v>
      </c>
      <c r="AT407" s="364">
        <v>0.29</v>
      </c>
      <c r="AU407" s="365">
        <v>45716</v>
      </c>
      <c r="AV407" s="364">
        <v>69.9278</v>
      </c>
      <c r="AW407" s="3"/>
      <c r="AX407" s="376">
        <v>0.007888</v>
      </c>
      <c r="AY407" s="376">
        <v>0.021649</v>
      </c>
      <c r="AZ407" s="376">
        <v>0.036506</v>
      </c>
      <c r="BA407" s="376">
        <v>0.081119</v>
      </c>
      <c r="BB407" s="376" t="s">
        <v>129</v>
      </c>
      <c r="BC407" s="376" t="s">
        <v>129</v>
      </c>
      <c r="BD407" s="376" t="s">
        <v>129</v>
      </c>
      <c r="BE407" s="4"/>
      <c r="BF407" s="376">
        <v>0.021649</v>
      </c>
      <c r="BG407" s="376">
        <v>0.0771758036583918</v>
      </c>
      <c r="BH407" s="376">
        <v>0.0569945</v>
      </c>
      <c r="BI407" s="376" t="s">
        <v>129</v>
      </c>
      <c r="BJ407" s="376" t="s">
        <v>129</v>
      </c>
      <c r="BK407" s="376" t="s">
        <v>129</v>
      </c>
      <c r="BL407" s="376" t="s">
        <v>129</v>
      </c>
      <c r="BM407" s="376" t="s">
        <v>129</v>
      </c>
      <c r="BN407" s="376" t="s">
        <v>129</v>
      </c>
      <c r="BO407" s="376" t="s">
        <v>129</v>
      </c>
      <c r="BP407" s="376" t="s">
        <v>129</v>
      </c>
      <c r="BQ407" s="376" t="s">
        <v>129</v>
      </c>
      <c r="BR407" s="376" t="s">
        <v>129</v>
      </c>
      <c r="BS407" s="376" t="s">
        <v>129</v>
      </c>
      <c r="BT407" s="376" t="s">
        <v>129</v>
      </c>
      <c r="BU407" s="376" t="s">
        <v>129</v>
      </c>
    </row>
    <row r="408" spans="45:73">
      <c r="AS408" s="361" t="s">
        <v>708</v>
      </c>
      <c r="AT408" s="364">
        <v>0.29</v>
      </c>
      <c r="AU408" s="365">
        <v>45716</v>
      </c>
      <c r="AV408" s="364">
        <v>49.4896</v>
      </c>
      <c r="AW408" s="3"/>
      <c r="AX408" s="376">
        <v>0.016635</v>
      </c>
      <c r="AY408" s="376">
        <v>0.030373</v>
      </c>
      <c r="AZ408" s="376">
        <v>0.042223</v>
      </c>
      <c r="BA408" s="376">
        <v>0.099109</v>
      </c>
      <c r="BB408" s="376" t="s">
        <v>129</v>
      </c>
      <c r="BC408" s="376" t="s">
        <v>129</v>
      </c>
      <c r="BD408" s="376" t="s">
        <v>129</v>
      </c>
      <c r="BE408" s="4"/>
      <c r="BF408" s="376">
        <v>0.030373</v>
      </c>
      <c r="BG408" s="376">
        <v>0.0932965227880711</v>
      </c>
      <c r="BH408" s="376">
        <v>0.058339100871748</v>
      </c>
      <c r="BI408" s="376" t="s">
        <v>129</v>
      </c>
      <c r="BJ408" s="376" t="s">
        <v>129</v>
      </c>
      <c r="BK408" s="376" t="s">
        <v>129</v>
      </c>
      <c r="BL408" s="376" t="s">
        <v>129</v>
      </c>
      <c r="BM408" s="376" t="s">
        <v>129</v>
      </c>
      <c r="BN408" s="376" t="s">
        <v>129</v>
      </c>
      <c r="BO408" s="376" t="s">
        <v>129</v>
      </c>
      <c r="BP408" s="376" t="s">
        <v>129</v>
      </c>
      <c r="BQ408" s="376" t="s">
        <v>129</v>
      </c>
      <c r="BR408" s="376" t="s">
        <v>129</v>
      </c>
      <c r="BS408" s="376" t="s">
        <v>129</v>
      </c>
      <c r="BT408" s="376" t="s">
        <v>129</v>
      </c>
      <c r="BU408" s="376" t="s">
        <v>129</v>
      </c>
    </row>
    <row r="409" spans="45:73">
      <c r="AS409" s="361" t="s">
        <v>709</v>
      </c>
      <c r="AT409" s="364">
        <v>1.48</v>
      </c>
      <c r="AU409" s="365">
        <v>45716</v>
      </c>
      <c r="AV409" s="364">
        <v>4054.8322</v>
      </c>
      <c r="AW409" s="3"/>
      <c r="AX409" s="376">
        <v>0.029106</v>
      </c>
      <c r="AY409" s="376">
        <v>0.026571</v>
      </c>
      <c r="AZ409" s="376">
        <v>0.028631</v>
      </c>
      <c r="BA409" s="376">
        <v>0.085246</v>
      </c>
      <c r="BB409" s="376">
        <v>0.068222</v>
      </c>
      <c r="BC409" s="376">
        <v>0.062425</v>
      </c>
      <c r="BD409" s="376">
        <v>0.071765</v>
      </c>
      <c r="BE409" s="4"/>
      <c r="BF409" s="376">
        <v>0.026571</v>
      </c>
      <c r="BG409" s="376">
        <v>0.0829846979971814</v>
      </c>
      <c r="BH409" s="376">
        <v>0.0727619660101002</v>
      </c>
      <c r="BI409" s="376">
        <v>0.0243069208339931</v>
      </c>
      <c r="BJ409" s="376">
        <v>0.021854694265181</v>
      </c>
      <c r="BK409" s="376">
        <v>0.132554916642535</v>
      </c>
      <c r="BL409" s="376">
        <v>0.0979902309879809</v>
      </c>
      <c r="BM409" s="376">
        <v>0.0738756724363799</v>
      </c>
      <c r="BN409" s="376">
        <v>0.00695532279539065</v>
      </c>
      <c r="BO409" s="376">
        <v>0.164954521024958</v>
      </c>
      <c r="BP409" s="376">
        <v>0.0526715455339435</v>
      </c>
      <c r="BQ409" s="376">
        <v>0.170919331193987</v>
      </c>
      <c r="BR409" s="376">
        <v>0.000635154276957463</v>
      </c>
      <c r="BS409" s="376">
        <v>0.14629030394083</v>
      </c>
      <c r="BT409" s="376">
        <v>0.0703859475507176</v>
      </c>
      <c r="BU409" s="376">
        <v>0.0505864388056792</v>
      </c>
    </row>
    <row r="410" spans="45:73">
      <c r="AS410" s="361" t="s">
        <v>710</v>
      </c>
      <c r="AT410" s="364">
        <v>0.39</v>
      </c>
      <c r="AU410" s="365">
        <v>45716</v>
      </c>
      <c r="AV410" s="364">
        <v>19.6605</v>
      </c>
      <c r="AW410" s="3"/>
      <c r="AX410" s="376">
        <v>0.015864</v>
      </c>
      <c r="AY410" s="376">
        <v>0.028962</v>
      </c>
      <c r="AZ410" s="376">
        <v>0.040706</v>
      </c>
      <c r="BA410" s="376">
        <v>0.095786</v>
      </c>
      <c r="BB410" s="376" t="s">
        <v>129</v>
      </c>
      <c r="BC410" s="376" t="s">
        <v>129</v>
      </c>
      <c r="BD410" s="376" t="s">
        <v>129</v>
      </c>
      <c r="BE410" s="4"/>
      <c r="BF410" s="376">
        <v>0.028962</v>
      </c>
      <c r="BG410" s="376">
        <v>0.0893726865380869</v>
      </c>
      <c r="BH410" s="376">
        <v>0.0266</v>
      </c>
      <c r="BI410" s="376" t="s">
        <v>129</v>
      </c>
      <c r="BJ410" s="376" t="s">
        <v>129</v>
      </c>
      <c r="BK410" s="376" t="s">
        <v>129</v>
      </c>
      <c r="BL410" s="376" t="s">
        <v>129</v>
      </c>
      <c r="BM410" s="376" t="s">
        <v>129</v>
      </c>
      <c r="BN410" s="376" t="s">
        <v>129</v>
      </c>
      <c r="BO410" s="376" t="s">
        <v>129</v>
      </c>
      <c r="BP410" s="376" t="s">
        <v>129</v>
      </c>
      <c r="BQ410" s="376" t="s">
        <v>129</v>
      </c>
      <c r="BR410" s="376" t="s">
        <v>129</v>
      </c>
      <c r="BS410" s="376" t="s">
        <v>129</v>
      </c>
      <c r="BT410" s="376" t="s">
        <v>129</v>
      </c>
      <c r="BU410" s="376" t="s">
        <v>129</v>
      </c>
    </row>
    <row r="411" spans="45:73">
      <c r="AS411" s="361" t="s">
        <v>711</v>
      </c>
      <c r="AT411" s="364">
        <v>0.41</v>
      </c>
      <c r="AU411" s="365">
        <v>45716</v>
      </c>
      <c r="AV411" s="364">
        <v>105.3659</v>
      </c>
      <c r="AW411" s="3"/>
      <c r="AX411" s="376">
        <v>0.006654</v>
      </c>
      <c r="AY411" s="376">
        <v>0.019488</v>
      </c>
      <c r="AZ411" s="376">
        <v>0.034884</v>
      </c>
      <c r="BA411" s="376">
        <v>0.077535</v>
      </c>
      <c r="BB411" s="376" t="s">
        <v>129</v>
      </c>
      <c r="BC411" s="376" t="s">
        <v>129</v>
      </c>
      <c r="BD411" s="376" t="s">
        <v>129</v>
      </c>
      <c r="BE411" s="4"/>
      <c r="BF411" s="376">
        <v>0.019488</v>
      </c>
      <c r="BG411" s="376">
        <v>0.077408911428411</v>
      </c>
      <c r="BH411" s="376">
        <v>0.0671179806693826</v>
      </c>
      <c r="BI411" s="376">
        <v>0.00152000000000001</v>
      </c>
      <c r="BJ411" s="376" t="s">
        <v>129</v>
      </c>
      <c r="BK411" s="376" t="s">
        <v>129</v>
      </c>
      <c r="BL411" s="376" t="s">
        <v>129</v>
      </c>
      <c r="BM411" s="376" t="s">
        <v>129</v>
      </c>
      <c r="BN411" s="376" t="s">
        <v>129</v>
      </c>
      <c r="BO411" s="376" t="s">
        <v>129</v>
      </c>
      <c r="BP411" s="376" t="s">
        <v>129</v>
      </c>
      <c r="BQ411" s="376" t="s">
        <v>129</v>
      </c>
      <c r="BR411" s="376" t="s">
        <v>129</v>
      </c>
      <c r="BS411" s="376" t="s">
        <v>129</v>
      </c>
      <c r="BT411" s="376" t="s">
        <v>129</v>
      </c>
      <c r="BU411" s="376" t="s">
        <v>129</v>
      </c>
    </row>
    <row r="412" spans="45:73">
      <c r="AS412" s="361" t="s">
        <v>712</v>
      </c>
      <c r="AT412" s="364">
        <v>0.43</v>
      </c>
      <c r="AU412" s="365">
        <v>45716</v>
      </c>
      <c r="AV412" s="364">
        <v>213.7436</v>
      </c>
      <c r="AW412" s="3"/>
      <c r="AX412" s="376">
        <v>0.019519</v>
      </c>
      <c r="AY412" s="376">
        <v>0.028979</v>
      </c>
      <c r="AZ412" s="376">
        <v>0.042436</v>
      </c>
      <c r="BA412" s="376">
        <v>0.098386</v>
      </c>
      <c r="BB412" s="376" t="s">
        <v>129</v>
      </c>
      <c r="BC412" s="376" t="s">
        <v>129</v>
      </c>
      <c r="BD412" s="376" t="s">
        <v>129</v>
      </c>
      <c r="BE412" s="4"/>
      <c r="BF412" s="376">
        <v>0.028979</v>
      </c>
      <c r="BG412" s="376">
        <v>0.101402079657645</v>
      </c>
      <c r="BH412" s="376">
        <v>0.06556</v>
      </c>
      <c r="BI412" s="376" t="s">
        <v>129</v>
      </c>
      <c r="BJ412" s="376" t="s">
        <v>129</v>
      </c>
      <c r="BK412" s="376" t="s">
        <v>129</v>
      </c>
      <c r="BL412" s="376" t="s">
        <v>129</v>
      </c>
      <c r="BM412" s="376" t="s">
        <v>129</v>
      </c>
      <c r="BN412" s="376" t="s">
        <v>129</v>
      </c>
      <c r="BO412" s="376" t="s">
        <v>129</v>
      </c>
      <c r="BP412" s="376" t="s">
        <v>129</v>
      </c>
      <c r="BQ412" s="376" t="s">
        <v>129</v>
      </c>
      <c r="BR412" s="376" t="s">
        <v>129</v>
      </c>
      <c r="BS412" s="376" t="s">
        <v>129</v>
      </c>
      <c r="BT412" s="376" t="s">
        <v>129</v>
      </c>
      <c r="BU412" s="376" t="s">
        <v>129</v>
      </c>
    </row>
    <row r="413" spans="45:73">
      <c r="AS413" s="361" t="s">
        <v>713</v>
      </c>
      <c r="AT413" s="364">
        <v>1.48</v>
      </c>
      <c r="AU413" s="365">
        <v>45716</v>
      </c>
      <c r="AV413" s="364">
        <v>102.7678</v>
      </c>
      <c r="AW413" s="3"/>
      <c r="AX413" s="376">
        <v>0.027659</v>
      </c>
      <c r="AY413" s="376">
        <v>0.027986</v>
      </c>
      <c r="AZ413" s="376">
        <v>0.032365</v>
      </c>
      <c r="BA413" s="376">
        <v>0.083639</v>
      </c>
      <c r="BB413" s="376">
        <v>0.063324</v>
      </c>
      <c r="BC413" s="376">
        <v>0.055678</v>
      </c>
      <c r="BD413" s="376">
        <v>0.067213</v>
      </c>
      <c r="BE413" s="4"/>
      <c r="BF413" s="376">
        <v>0.027986</v>
      </c>
      <c r="BG413" s="376">
        <v>0.0851607264617575</v>
      </c>
      <c r="BH413" s="376">
        <v>0.0623989434083087</v>
      </c>
      <c r="BI413" s="376">
        <v>0.0182179759117648</v>
      </c>
      <c r="BJ413" s="376">
        <v>0.0175339296154851</v>
      </c>
      <c r="BK413" s="376">
        <v>0.109702029951155</v>
      </c>
      <c r="BL413" s="376">
        <v>0.112555641732515</v>
      </c>
      <c r="BM413" s="376">
        <v>0.077110347090303</v>
      </c>
      <c r="BN413" s="376">
        <v>0.00512676977478245</v>
      </c>
      <c r="BO413" s="376">
        <v>0.14410226980891</v>
      </c>
      <c r="BP413" s="376">
        <v>0.0537849603913091</v>
      </c>
      <c r="BQ413" s="376">
        <v>0.154611455729408</v>
      </c>
      <c r="BR413" s="376">
        <v>-0.00646961427607779</v>
      </c>
      <c r="BS413" s="376">
        <v>0.0880854080653906</v>
      </c>
      <c r="BT413" s="376">
        <v>0.0716967302501027</v>
      </c>
      <c r="BU413" s="376">
        <v>0.0254920114031148</v>
      </c>
    </row>
    <row r="414" spans="45:73">
      <c r="AS414" s="361" t="s">
        <v>714</v>
      </c>
      <c r="AT414" s="364">
        <v>0.36</v>
      </c>
      <c r="AU414" s="365">
        <v>45716</v>
      </c>
      <c r="AV414" s="364">
        <v>240.516873684</v>
      </c>
      <c r="AW414" s="3"/>
      <c r="AX414" s="376">
        <v>0.015996</v>
      </c>
      <c r="AY414" s="376">
        <v>0.029093</v>
      </c>
      <c r="AZ414" s="376">
        <v>0.041087</v>
      </c>
      <c r="BA414" s="376">
        <v>0.097634</v>
      </c>
      <c r="BB414" s="376" t="s">
        <v>129</v>
      </c>
      <c r="BC414" s="376" t="s">
        <v>129</v>
      </c>
      <c r="BD414" s="376" t="s">
        <v>129</v>
      </c>
      <c r="BE414" s="4"/>
      <c r="BF414" s="376">
        <v>0.029093</v>
      </c>
      <c r="BG414" s="376">
        <v>0.0922376747475112</v>
      </c>
      <c r="BH414" s="376">
        <v>0.0769786560956083</v>
      </c>
      <c r="BI414" s="376">
        <v>0.02418</v>
      </c>
      <c r="BJ414" s="376" t="s">
        <v>129</v>
      </c>
      <c r="BK414" s="376" t="s">
        <v>129</v>
      </c>
      <c r="BL414" s="376" t="s">
        <v>129</v>
      </c>
      <c r="BM414" s="376" t="s">
        <v>129</v>
      </c>
      <c r="BN414" s="376" t="s">
        <v>129</v>
      </c>
      <c r="BO414" s="376" t="s">
        <v>129</v>
      </c>
      <c r="BP414" s="376" t="s">
        <v>129</v>
      </c>
      <c r="BQ414" s="376" t="s">
        <v>129</v>
      </c>
      <c r="BR414" s="376" t="s">
        <v>129</v>
      </c>
      <c r="BS414" s="376" t="s">
        <v>129</v>
      </c>
      <c r="BT414" s="376" t="s">
        <v>129</v>
      </c>
      <c r="BU414" s="376" t="s">
        <v>129</v>
      </c>
    </row>
    <row r="415" spans="45:73">
      <c r="AS415" s="361" t="s">
        <v>715</v>
      </c>
      <c r="AT415" s="364">
        <v>0.33</v>
      </c>
      <c r="AU415" s="365">
        <v>45716</v>
      </c>
      <c r="AV415" s="364">
        <v>764.805504632</v>
      </c>
      <c r="AW415" s="3"/>
      <c r="AX415" s="376">
        <v>0.006725</v>
      </c>
      <c r="AY415" s="376">
        <v>0.020537</v>
      </c>
      <c r="AZ415" s="376">
        <v>0.036272</v>
      </c>
      <c r="BA415" s="376">
        <v>0.083543</v>
      </c>
      <c r="BB415" s="376">
        <v>0.062074</v>
      </c>
      <c r="BC415" s="376" t="s">
        <v>129</v>
      </c>
      <c r="BD415" s="376" t="s">
        <v>129</v>
      </c>
      <c r="BE415" s="4"/>
      <c r="BF415" s="376">
        <v>0.020537</v>
      </c>
      <c r="BG415" s="376">
        <v>0.0822855353211559</v>
      </c>
      <c r="BH415" s="376">
        <v>0.0702413344374779</v>
      </c>
      <c r="BI415" s="376">
        <v>0.0143599999999999</v>
      </c>
      <c r="BJ415" s="376" t="s">
        <v>129</v>
      </c>
      <c r="BK415" s="376" t="s">
        <v>129</v>
      </c>
      <c r="BL415" s="376" t="s">
        <v>129</v>
      </c>
      <c r="BM415" s="376" t="s">
        <v>129</v>
      </c>
      <c r="BN415" s="376" t="s">
        <v>129</v>
      </c>
      <c r="BO415" s="376" t="s">
        <v>129</v>
      </c>
      <c r="BP415" s="376" t="s">
        <v>129</v>
      </c>
      <c r="BQ415" s="376" t="s">
        <v>129</v>
      </c>
      <c r="BR415" s="376" t="s">
        <v>129</v>
      </c>
      <c r="BS415" s="376" t="s">
        <v>129</v>
      </c>
      <c r="BT415" s="376" t="s">
        <v>129</v>
      </c>
      <c r="BU415" s="376" t="s">
        <v>129</v>
      </c>
    </row>
    <row r="416" spans="45:73">
      <c r="AS416" s="361" t="s">
        <v>716</v>
      </c>
      <c r="AT416" s="364">
        <v>0.48</v>
      </c>
      <c r="AU416" s="365">
        <v>45716</v>
      </c>
      <c r="AV416" s="364">
        <v>71.25703181</v>
      </c>
      <c r="AW416" s="3"/>
      <c r="AX416" s="376">
        <v>0.006388</v>
      </c>
      <c r="AY416" s="376">
        <v>0.0215</v>
      </c>
      <c r="AZ416" s="376">
        <v>0.035576</v>
      </c>
      <c r="BA416" s="376">
        <v>0.083979</v>
      </c>
      <c r="BB416" s="376" t="s">
        <v>129</v>
      </c>
      <c r="BC416" s="376" t="s">
        <v>129</v>
      </c>
      <c r="BD416" s="376" t="s">
        <v>129</v>
      </c>
      <c r="BE416" s="4"/>
      <c r="BF416" s="376">
        <v>0.0215</v>
      </c>
      <c r="BG416" s="376">
        <v>0.0817903581476694</v>
      </c>
      <c r="BH416" s="376">
        <v>0.0520799999999999</v>
      </c>
      <c r="BI416" s="376" t="s">
        <v>129</v>
      </c>
      <c r="BJ416" s="376" t="s">
        <v>129</v>
      </c>
      <c r="BK416" s="376" t="s">
        <v>129</v>
      </c>
      <c r="BL416" s="376" t="s">
        <v>129</v>
      </c>
      <c r="BM416" s="376" t="s">
        <v>129</v>
      </c>
      <c r="BN416" s="376" t="s">
        <v>129</v>
      </c>
      <c r="BO416" s="376" t="s">
        <v>129</v>
      </c>
      <c r="BP416" s="376" t="s">
        <v>129</v>
      </c>
      <c r="BQ416" s="376" t="s">
        <v>129</v>
      </c>
      <c r="BR416" s="376" t="s">
        <v>129</v>
      </c>
      <c r="BS416" s="376" t="s">
        <v>129</v>
      </c>
      <c r="BT416" s="376" t="s">
        <v>129</v>
      </c>
      <c r="BU416" s="376" t="s">
        <v>129</v>
      </c>
    </row>
    <row r="417" spans="45:73">
      <c r="AS417" s="361" t="s">
        <v>717</v>
      </c>
      <c r="AT417" s="364">
        <v>1.28</v>
      </c>
      <c r="AU417" s="365">
        <v>45716</v>
      </c>
      <c r="AV417" s="364">
        <v>2125.7003</v>
      </c>
      <c r="AW417" s="3"/>
      <c r="AX417" s="376">
        <v>0.024483</v>
      </c>
      <c r="AY417" s="376">
        <v>0.02762</v>
      </c>
      <c r="AZ417" s="376">
        <v>0.032859</v>
      </c>
      <c r="BA417" s="376">
        <v>0.087852</v>
      </c>
      <c r="BB417" s="376">
        <v>0.068307</v>
      </c>
      <c r="BC417" s="376">
        <v>0.058987</v>
      </c>
      <c r="BD417" s="376">
        <v>0.076451</v>
      </c>
      <c r="BE417" s="4"/>
      <c r="BF417" s="376">
        <v>0.02762</v>
      </c>
      <c r="BG417" s="376">
        <v>0.0889935091903693</v>
      </c>
      <c r="BH417" s="376">
        <v>0.0673075096411407</v>
      </c>
      <c r="BI417" s="376">
        <v>0.0206697302852268</v>
      </c>
      <c r="BJ417" s="376">
        <v>0.0180589506792258</v>
      </c>
      <c r="BK417" s="376">
        <v>0.112221486308964</v>
      </c>
      <c r="BL417" s="376">
        <v>0.123748391155777</v>
      </c>
      <c r="BM417" s="376">
        <v>0.0801254291640572</v>
      </c>
      <c r="BN417" s="376">
        <v>0.0340651265328619</v>
      </c>
      <c r="BO417" s="376">
        <v>0.169798953397161</v>
      </c>
      <c r="BP417" s="376">
        <v>0.0624175899446889</v>
      </c>
      <c r="BQ417" s="376">
        <v>0.186352185925565</v>
      </c>
      <c r="BR417" s="376">
        <v>0.0326713286713287</v>
      </c>
      <c r="BS417" s="376">
        <v>0.130345427238954</v>
      </c>
      <c r="BT417" s="376">
        <v>0.0466010903645855</v>
      </c>
      <c r="BU417" s="376">
        <v>0.0315321465754126</v>
      </c>
    </row>
    <row r="418" spans="45:73">
      <c r="AS418" s="361" t="s">
        <v>718</v>
      </c>
      <c r="AT418" s="364">
        <v>0.42</v>
      </c>
      <c r="AU418" s="365">
        <v>45716</v>
      </c>
      <c r="AV418" s="364">
        <v>747.7454</v>
      </c>
      <c r="AW418" s="3"/>
      <c r="AX418" s="376">
        <v>0.022064</v>
      </c>
      <c r="AY418" s="376">
        <v>0.031033</v>
      </c>
      <c r="AZ418" s="376">
        <v>0.042986</v>
      </c>
      <c r="BA418" s="376">
        <v>0.101348</v>
      </c>
      <c r="BB418" s="376" t="s">
        <v>129</v>
      </c>
      <c r="BC418" s="376" t="s">
        <v>129</v>
      </c>
      <c r="BD418" s="376" t="s">
        <v>129</v>
      </c>
      <c r="BE418" s="4"/>
      <c r="BF418" s="376">
        <v>0.031033</v>
      </c>
      <c r="BG418" s="376">
        <v>0.104034678226075</v>
      </c>
      <c r="BH418" s="376">
        <v>0.0802233205931203</v>
      </c>
      <c r="BI418" s="376">
        <v>-0.000539999999999985</v>
      </c>
      <c r="BJ418" s="376" t="s">
        <v>129</v>
      </c>
      <c r="BK418" s="376" t="s">
        <v>129</v>
      </c>
      <c r="BL418" s="376" t="s">
        <v>129</v>
      </c>
      <c r="BM418" s="376" t="s">
        <v>129</v>
      </c>
      <c r="BN418" s="376" t="s">
        <v>129</v>
      </c>
      <c r="BO418" s="376" t="s">
        <v>129</v>
      </c>
      <c r="BP418" s="376" t="s">
        <v>129</v>
      </c>
      <c r="BQ418" s="376" t="s">
        <v>129</v>
      </c>
      <c r="BR418" s="376" t="s">
        <v>129</v>
      </c>
      <c r="BS418" s="376" t="s">
        <v>129</v>
      </c>
      <c r="BT418" s="376" t="s">
        <v>129</v>
      </c>
      <c r="BU418" s="376" t="s">
        <v>129</v>
      </c>
    </row>
    <row r="419" spans="45:73">
      <c r="AS419" s="361" t="s">
        <v>719</v>
      </c>
      <c r="AT419" s="364">
        <v>0.36</v>
      </c>
      <c r="AU419" s="365">
        <v>45716</v>
      </c>
      <c r="AV419" s="364">
        <v>119.4842</v>
      </c>
      <c r="AW419" s="3"/>
      <c r="AX419" s="376">
        <v>0.009462</v>
      </c>
      <c r="AY419" s="376">
        <v>0.023908</v>
      </c>
      <c r="AZ419" s="376">
        <v>0.038161</v>
      </c>
      <c r="BA419" s="376">
        <v>0.085207</v>
      </c>
      <c r="BB419" s="376" t="s">
        <v>129</v>
      </c>
      <c r="BC419" s="376" t="s">
        <v>129</v>
      </c>
      <c r="BD419" s="376" t="s">
        <v>129</v>
      </c>
      <c r="BE419" s="4"/>
      <c r="BF419" s="376">
        <v>0.023908</v>
      </c>
      <c r="BG419" s="376">
        <v>0.0791982948809033</v>
      </c>
      <c r="BH419" s="376">
        <v>0.06972</v>
      </c>
      <c r="BI419" s="376" t="s">
        <v>129</v>
      </c>
      <c r="BJ419" s="376" t="s">
        <v>129</v>
      </c>
      <c r="BK419" s="376" t="s">
        <v>129</v>
      </c>
      <c r="BL419" s="376" t="s">
        <v>129</v>
      </c>
      <c r="BM419" s="376" t="s">
        <v>129</v>
      </c>
      <c r="BN419" s="376" t="s">
        <v>129</v>
      </c>
      <c r="BO419" s="376" t="s">
        <v>129</v>
      </c>
      <c r="BP419" s="376" t="s">
        <v>129</v>
      </c>
      <c r="BQ419" s="376" t="s">
        <v>129</v>
      </c>
      <c r="BR419" s="376" t="s">
        <v>129</v>
      </c>
      <c r="BS419" s="376" t="s">
        <v>129</v>
      </c>
      <c r="BT419" s="376" t="s">
        <v>129</v>
      </c>
      <c r="BU419" s="376" t="s">
        <v>129</v>
      </c>
    </row>
    <row r="420" spans="45:73">
      <c r="AS420" s="361" t="s">
        <v>720</v>
      </c>
      <c r="AT420" s="364">
        <v>0.4</v>
      </c>
      <c r="AU420" s="365">
        <v>45716</v>
      </c>
      <c r="AV420" s="364">
        <v>400.3554</v>
      </c>
      <c r="AW420" s="3"/>
      <c r="AX420" s="376">
        <v>0.007842</v>
      </c>
      <c r="AY420" s="376">
        <v>0.021674</v>
      </c>
      <c r="AZ420" s="376">
        <v>0.036146</v>
      </c>
      <c r="BA420" s="376">
        <v>0.080359</v>
      </c>
      <c r="BB420" s="376" t="s">
        <v>129</v>
      </c>
      <c r="BC420" s="376" t="s">
        <v>129</v>
      </c>
      <c r="BD420" s="376" t="s">
        <v>129</v>
      </c>
      <c r="BE420" s="4"/>
      <c r="BF420" s="376">
        <v>0.021674</v>
      </c>
      <c r="BG420" s="376">
        <v>0.0760722705205974</v>
      </c>
      <c r="BH420" s="376">
        <v>0.0735550087029589</v>
      </c>
      <c r="BI420" s="376">
        <v>-0.000339999999999918</v>
      </c>
      <c r="BJ420" s="376" t="s">
        <v>129</v>
      </c>
      <c r="BK420" s="376" t="s">
        <v>129</v>
      </c>
      <c r="BL420" s="376" t="s">
        <v>129</v>
      </c>
      <c r="BM420" s="376" t="s">
        <v>129</v>
      </c>
      <c r="BN420" s="376" t="s">
        <v>129</v>
      </c>
      <c r="BO420" s="376" t="s">
        <v>129</v>
      </c>
      <c r="BP420" s="376" t="s">
        <v>129</v>
      </c>
      <c r="BQ420" s="376" t="s">
        <v>129</v>
      </c>
      <c r="BR420" s="376" t="s">
        <v>129</v>
      </c>
      <c r="BS420" s="376" t="s">
        <v>129</v>
      </c>
      <c r="BT420" s="376" t="s">
        <v>129</v>
      </c>
      <c r="BU420" s="376" t="s">
        <v>129</v>
      </c>
    </row>
    <row r="421" spans="45:73">
      <c r="AS421" s="361" t="s">
        <v>721</v>
      </c>
      <c r="AT421" s="364">
        <v>0.39</v>
      </c>
      <c r="AU421" s="365">
        <v>45716</v>
      </c>
      <c r="AV421" s="364">
        <v>319.4917</v>
      </c>
      <c r="AW421" s="3"/>
      <c r="AX421" s="376">
        <v>0.008387</v>
      </c>
      <c r="AY421" s="376">
        <v>0.022973</v>
      </c>
      <c r="AZ421" s="376">
        <v>0.037896</v>
      </c>
      <c r="BA421" s="376">
        <v>0.088254</v>
      </c>
      <c r="BB421" s="376" t="s">
        <v>129</v>
      </c>
      <c r="BC421" s="376" t="s">
        <v>129</v>
      </c>
      <c r="BD421" s="376" t="s">
        <v>129</v>
      </c>
      <c r="BE421" s="4"/>
      <c r="BF421" s="376">
        <v>0.022973</v>
      </c>
      <c r="BG421" s="376">
        <v>0.0875939177943071</v>
      </c>
      <c r="BH421" s="376">
        <v>0.06343</v>
      </c>
      <c r="BI421" s="376" t="s">
        <v>129</v>
      </c>
      <c r="BJ421" s="376" t="s">
        <v>129</v>
      </c>
      <c r="BK421" s="376" t="s">
        <v>129</v>
      </c>
      <c r="BL421" s="376" t="s">
        <v>129</v>
      </c>
      <c r="BM421" s="376" t="s">
        <v>129</v>
      </c>
      <c r="BN421" s="376" t="s">
        <v>129</v>
      </c>
      <c r="BO421" s="376" t="s">
        <v>129</v>
      </c>
      <c r="BP421" s="376" t="s">
        <v>129</v>
      </c>
      <c r="BQ421" s="376" t="s">
        <v>129</v>
      </c>
      <c r="BR421" s="376" t="s">
        <v>129</v>
      </c>
      <c r="BS421" s="376" t="s">
        <v>129</v>
      </c>
      <c r="BT421" s="376" t="s">
        <v>129</v>
      </c>
      <c r="BU421" s="376" t="s">
        <v>129</v>
      </c>
    </row>
    <row r="422" spans="45:73">
      <c r="AS422" s="361" t="s">
        <v>722</v>
      </c>
      <c r="AT422" s="364">
        <v>0.4</v>
      </c>
      <c r="AU422" s="365">
        <v>45716</v>
      </c>
      <c r="AV422" s="364">
        <v>403.9883</v>
      </c>
      <c r="AW422" s="3"/>
      <c r="AX422" s="376">
        <v>0.007006</v>
      </c>
      <c r="AY422" s="376">
        <v>0.021683</v>
      </c>
      <c r="AZ422" s="376">
        <v>0.03611</v>
      </c>
      <c r="BA422" s="376">
        <v>0.084354</v>
      </c>
      <c r="BB422" s="376" t="s">
        <v>129</v>
      </c>
      <c r="BC422" s="376" t="s">
        <v>129</v>
      </c>
      <c r="BD422" s="376" t="s">
        <v>129</v>
      </c>
      <c r="BE422" s="4"/>
      <c r="BF422" s="376">
        <v>0.021683</v>
      </c>
      <c r="BG422" s="376">
        <v>0.0817716101420141</v>
      </c>
      <c r="BH422" s="376">
        <v>0.0725200699467452</v>
      </c>
      <c r="BI422" s="376">
        <v>0.00648</v>
      </c>
      <c r="BJ422" s="376" t="s">
        <v>129</v>
      </c>
      <c r="BK422" s="376" t="s">
        <v>129</v>
      </c>
      <c r="BL422" s="376" t="s">
        <v>129</v>
      </c>
      <c r="BM422" s="376" t="s">
        <v>129</v>
      </c>
      <c r="BN422" s="376" t="s">
        <v>129</v>
      </c>
      <c r="BO422" s="376" t="s">
        <v>129</v>
      </c>
      <c r="BP422" s="376" t="s">
        <v>129</v>
      </c>
      <c r="BQ422" s="376" t="s">
        <v>129</v>
      </c>
      <c r="BR422" s="376" t="s">
        <v>129</v>
      </c>
      <c r="BS422" s="376" t="s">
        <v>129</v>
      </c>
      <c r="BT422" s="376" t="s">
        <v>129</v>
      </c>
      <c r="BU422" s="376" t="s">
        <v>129</v>
      </c>
    </row>
    <row r="423" spans="45:73">
      <c r="AS423" s="361" t="s">
        <v>723</v>
      </c>
      <c r="AT423" s="364">
        <v>0.41</v>
      </c>
      <c r="AU423" s="365">
        <v>45716</v>
      </c>
      <c r="AV423" s="364">
        <v>26.5438</v>
      </c>
      <c r="AW423" s="3"/>
      <c r="AX423" s="376">
        <v>0.008045</v>
      </c>
      <c r="AY423" s="376">
        <v>0.02233</v>
      </c>
      <c r="AZ423" s="376">
        <v>0.036542</v>
      </c>
      <c r="BA423" s="376">
        <v>0.08177</v>
      </c>
      <c r="BB423" s="376" t="s">
        <v>129</v>
      </c>
      <c r="BC423" s="376" t="s">
        <v>129</v>
      </c>
      <c r="BD423" s="376" t="s">
        <v>129</v>
      </c>
      <c r="BE423" s="4"/>
      <c r="BF423" s="376">
        <v>0.02233</v>
      </c>
      <c r="BG423" s="376">
        <v>0.0770958504127127</v>
      </c>
      <c r="BH423" s="376">
        <v>0.06854</v>
      </c>
      <c r="BI423" s="376" t="s">
        <v>129</v>
      </c>
      <c r="BJ423" s="376" t="s">
        <v>129</v>
      </c>
      <c r="BK423" s="376" t="s">
        <v>129</v>
      </c>
      <c r="BL423" s="376" t="s">
        <v>129</v>
      </c>
      <c r="BM423" s="376" t="s">
        <v>129</v>
      </c>
      <c r="BN423" s="376" t="s">
        <v>129</v>
      </c>
      <c r="BO423" s="376" t="s">
        <v>129</v>
      </c>
      <c r="BP423" s="376" t="s">
        <v>129</v>
      </c>
      <c r="BQ423" s="376" t="s">
        <v>129</v>
      </c>
      <c r="BR423" s="376" t="s">
        <v>129</v>
      </c>
      <c r="BS423" s="376" t="s">
        <v>129</v>
      </c>
      <c r="BT423" s="376" t="s">
        <v>129</v>
      </c>
      <c r="BU423" s="376" t="s">
        <v>129</v>
      </c>
    </row>
    <row r="424" spans="45:73">
      <c r="AS424" s="361" t="s">
        <v>724</v>
      </c>
      <c r="AT424" s="364">
        <v>1.49</v>
      </c>
      <c r="AU424" s="365">
        <v>45716</v>
      </c>
      <c r="AV424" s="364">
        <v>113.5435</v>
      </c>
      <c r="AW424" s="3"/>
      <c r="AX424" s="376">
        <v>0.021737</v>
      </c>
      <c r="AY424" s="376">
        <v>0.026275</v>
      </c>
      <c r="AZ424" s="376">
        <v>0.030814</v>
      </c>
      <c r="BA424" s="376">
        <v>0.085009</v>
      </c>
      <c r="BB424" s="376">
        <v>0.06681</v>
      </c>
      <c r="BC424" s="376">
        <v>0.057207</v>
      </c>
      <c r="BD424" s="376">
        <v>0.069137</v>
      </c>
      <c r="BE424" s="4"/>
      <c r="BF424" s="376">
        <v>0.026275</v>
      </c>
      <c r="BG424" s="376">
        <v>0.0890573152619981</v>
      </c>
      <c r="BH424" s="376">
        <v>0.0662116939424277</v>
      </c>
      <c r="BI424" s="376">
        <v>0.0179338514133516</v>
      </c>
      <c r="BJ424" s="376">
        <v>0.0288528616842184</v>
      </c>
      <c r="BK424" s="376">
        <v>0.0936506341142503</v>
      </c>
      <c r="BL424" s="376">
        <v>0.101295564891449</v>
      </c>
      <c r="BM424" s="376">
        <v>0.0594842107507623</v>
      </c>
      <c r="BN424" s="376">
        <v>0.0398891352549889</v>
      </c>
      <c r="BO424" s="376">
        <v>0.126338463459557</v>
      </c>
      <c r="BP424" s="376">
        <v>0.0709939283708241</v>
      </c>
      <c r="BQ424" s="376">
        <v>0.1449001309131</v>
      </c>
      <c r="BR424" s="376">
        <v>0.0341630643041502</v>
      </c>
      <c r="BS424" s="376">
        <v>0.0886477448048197</v>
      </c>
      <c r="BT424" s="376">
        <v>0.0519153180107892</v>
      </c>
      <c r="BU424" s="376">
        <v>0.0468990261404409</v>
      </c>
    </row>
    <row r="425" spans="45:73">
      <c r="AS425" s="361" t="s">
        <v>725</v>
      </c>
      <c r="AT425" s="364">
        <v>1.42</v>
      </c>
      <c r="AU425" s="365">
        <v>45716</v>
      </c>
      <c r="AV425" s="364">
        <v>121.0753</v>
      </c>
      <c r="AW425" s="3"/>
      <c r="AX425" s="376">
        <v>0.014947</v>
      </c>
      <c r="AY425" s="376">
        <v>0.02233</v>
      </c>
      <c r="AZ425" s="376">
        <v>0.034367</v>
      </c>
      <c r="BA425" s="376">
        <v>0.07737</v>
      </c>
      <c r="BB425" s="376" t="s">
        <v>129</v>
      </c>
      <c r="BC425" s="376" t="s">
        <v>129</v>
      </c>
      <c r="BD425" s="376" t="s">
        <v>129</v>
      </c>
      <c r="BE425" s="4"/>
      <c r="BF425" s="376">
        <v>0.02233</v>
      </c>
      <c r="BG425" s="376">
        <v>0.0752467801071731</v>
      </c>
      <c r="BH425" s="376">
        <v>0.0620644207919804</v>
      </c>
      <c r="BI425" s="376">
        <v>0.00153999999999996</v>
      </c>
      <c r="BJ425" s="376" t="s">
        <v>129</v>
      </c>
      <c r="BK425" s="376" t="s">
        <v>129</v>
      </c>
      <c r="BL425" s="376" t="s">
        <v>129</v>
      </c>
      <c r="BM425" s="376" t="s">
        <v>129</v>
      </c>
      <c r="BN425" s="376" t="s">
        <v>129</v>
      </c>
      <c r="BO425" s="376" t="s">
        <v>129</v>
      </c>
      <c r="BP425" s="376" t="s">
        <v>129</v>
      </c>
      <c r="BQ425" s="376" t="s">
        <v>129</v>
      </c>
      <c r="BR425" s="376" t="s">
        <v>129</v>
      </c>
      <c r="BS425" s="376" t="s">
        <v>129</v>
      </c>
      <c r="BT425" s="376" t="s">
        <v>129</v>
      </c>
      <c r="BU425" s="376" t="s">
        <v>129</v>
      </c>
    </row>
    <row r="426" spans="45:73">
      <c r="AS426" s="361" t="s">
        <v>726</v>
      </c>
      <c r="AT426" s="364">
        <v>0.43</v>
      </c>
      <c r="AU426" s="365">
        <v>45716</v>
      </c>
      <c r="AV426" s="364">
        <v>2269.9253</v>
      </c>
      <c r="AW426" s="3"/>
      <c r="AX426" s="376">
        <v>0.010796</v>
      </c>
      <c r="AY426" s="376">
        <v>0.024843</v>
      </c>
      <c r="AZ426" s="376">
        <v>0.038657</v>
      </c>
      <c r="BA426" s="376">
        <v>0.088322</v>
      </c>
      <c r="BB426" s="376" t="s">
        <v>129</v>
      </c>
      <c r="BC426" s="376" t="s">
        <v>129</v>
      </c>
      <c r="BD426" s="376" t="s">
        <v>129</v>
      </c>
      <c r="BE426" s="4"/>
      <c r="BF426" s="376">
        <v>0.024843</v>
      </c>
      <c r="BG426" s="376">
        <v>0.0829987344422896</v>
      </c>
      <c r="BH426" s="376">
        <v>0.0780412634223906</v>
      </c>
      <c r="BI426" s="376">
        <v>0.01882</v>
      </c>
      <c r="BJ426" s="376" t="s">
        <v>129</v>
      </c>
      <c r="BK426" s="376" t="s">
        <v>129</v>
      </c>
      <c r="BL426" s="376" t="s">
        <v>129</v>
      </c>
      <c r="BM426" s="376" t="s">
        <v>129</v>
      </c>
      <c r="BN426" s="376" t="s">
        <v>129</v>
      </c>
      <c r="BO426" s="376" t="s">
        <v>129</v>
      </c>
      <c r="BP426" s="376" t="s">
        <v>129</v>
      </c>
      <c r="BQ426" s="376" t="s">
        <v>129</v>
      </c>
      <c r="BR426" s="376" t="s">
        <v>129</v>
      </c>
      <c r="BS426" s="376" t="s">
        <v>129</v>
      </c>
      <c r="BT426" s="376" t="s">
        <v>129</v>
      </c>
      <c r="BU426" s="376" t="s">
        <v>129</v>
      </c>
    </row>
    <row r="427" spans="45:73">
      <c r="AS427" s="361" t="s">
        <v>727</v>
      </c>
      <c r="AT427" s="364">
        <v>0.5</v>
      </c>
      <c r="AU427" s="365">
        <v>45716</v>
      </c>
      <c r="AV427" s="364">
        <v>2453.5121</v>
      </c>
      <c r="AW427" s="3"/>
      <c r="AX427" s="376">
        <v>0.02202</v>
      </c>
      <c r="AY427" s="376">
        <v>0.031215</v>
      </c>
      <c r="AZ427" s="376">
        <v>0.042228</v>
      </c>
      <c r="BA427" s="376">
        <v>0.100285</v>
      </c>
      <c r="BB427" s="376" t="s">
        <v>129</v>
      </c>
      <c r="BC427" s="376" t="s">
        <v>129</v>
      </c>
      <c r="BD427" s="376" t="s">
        <v>129</v>
      </c>
      <c r="BE427" s="4"/>
      <c r="BF427" s="376">
        <v>0.031215</v>
      </c>
      <c r="BG427" s="376">
        <v>0.10171179244856</v>
      </c>
      <c r="BH427" s="376">
        <v>0.0804976574497012</v>
      </c>
      <c r="BI427" s="376">
        <v>0.02239</v>
      </c>
      <c r="BJ427" s="376" t="s">
        <v>129</v>
      </c>
      <c r="BK427" s="376" t="s">
        <v>129</v>
      </c>
      <c r="BL427" s="376" t="s">
        <v>129</v>
      </c>
      <c r="BM427" s="376" t="s">
        <v>129</v>
      </c>
      <c r="BN427" s="376" t="s">
        <v>129</v>
      </c>
      <c r="BO427" s="376" t="s">
        <v>129</v>
      </c>
      <c r="BP427" s="376" t="s">
        <v>129</v>
      </c>
      <c r="BQ427" s="376" t="s">
        <v>129</v>
      </c>
      <c r="BR427" s="376" t="s">
        <v>129</v>
      </c>
      <c r="BS427" s="376" t="s">
        <v>129</v>
      </c>
      <c r="BT427" s="376" t="s">
        <v>129</v>
      </c>
      <c r="BU427" s="376" t="s">
        <v>129</v>
      </c>
    </row>
    <row r="428" spans="45:73">
      <c r="AS428" s="361" t="s">
        <v>728</v>
      </c>
      <c r="AT428" s="364">
        <v>0.38</v>
      </c>
      <c r="AU428" s="365">
        <v>45716</v>
      </c>
      <c r="AV428" s="364">
        <v>1116.1505</v>
      </c>
      <c r="AW428" s="3"/>
      <c r="AX428" s="376">
        <v>0.006528</v>
      </c>
      <c r="AY428" s="376">
        <v>0.021075</v>
      </c>
      <c r="AZ428" s="376">
        <v>0.035397</v>
      </c>
      <c r="BA428" s="376">
        <v>0.083569</v>
      </c>
      <c r="BB428" s="376" t="s">
        <v>129</v>
      </c>
      <c r="BC428" s="376" t="s">
        <v>129</v>
      </c>
      <c r="BD428" s="376" t="s">
        <v>129</v>
      </c>
      <c r="BE428" s="4"/>
      <c r="BF428" s="376">
        <v>0.021075</v>
      </c>
      <c r="BG428" s="376">
        <v>0.0814983036510578</v>
      </c>
      <c r="BH428" s="376">
        <v>0.0701859687100266</v>
      </c>
      <c r="BI428" s="376">
        <v>0.0163</v>
      </c>
      <c r="BJ428" s="376" t="s">
        <v>129</v>
      </c>
      <c r="BK428" s="376" t="s">
        <v>129</v>
      </c>
      <c r="BL428" s="376" t="s">
        <v>129</v>
      </c>
      <c r="BM428" s="376" t="s">
        <v>129</v>
      </c>
      <c r="BN428" s="376" t="s">
        <v>129</v>
      </c>
      <c r="BO428" s="376" t="s">
        <v>129</v>
      </c>
      <c r="BP428" s="376" t="s">
        <v>129</v>
      </c>
      <c r="BQ428" s="376" t="s">
        <v>129</v>
      </c>
      <c r="BR428" s="376" t="s">
        <v>129</v>
      </c>
      <c r="BS428" s="376" t="s">
        <v>129</v>
      </c>
      <c r="BT428" s="376" t="s">
        <v>129</v>
      </c>
      <c r="BU428" s="376" t="s">
        <v>129</v>
      </c>
    </row>
    <row r="429" spans="45:73">
      <c r="AS429" s="361" t="s">
        <v>729</v>
      </c>
      <c r="AT429" s="364">
        <v>0.94</v>
      </c>
      <c r="AU429" s="365">
        <v>45716</v>
      </c>
      <c r="AV429" s="364">
        <v>11226.0618</v>
      </c>
      <c r="AW429" s="3"/>
      <c r="AX429" s="376">
        <v>0.025111</v>
      </c>
      <c r="AY429" s="376">
        <v>0.028603</v>
      </c>
      <c r="AZ429" s="376">
        <v>0.033435</v>
      </c>
      <c r="BA429" s="376">
        <v>0.089377</v>
      </c>
      <c r="BB429" s="376">
        <v>0.077792</v>
      </c>
      <c r="BC429" s="376">
        <v>0.068268</v>
      </c>
      <c r="BD429" s="376">
        <v>0.079559</v>
      </c>
      <c r="BE429" s="4"/>
      <c r="BF429" s="376">
        <v>0.028603</v>
      </c>
      <c r="BG429" s="376">
        <v>0.0892336821091878</v>
      </c>
      <c r="BH429" s="376">
        <v>0.0761438089437647</v>
      </c>
      <c r="BI429" s="376">
        <v>0.0423435849786175</v>
      </c>
      <c r="BJ429" s="376">
        <v>0.0298645850875195</v>
      </c>
      <c r="BK429" s="376">
        <v>0.117065656889802</v>
      </c>
      <c r="BL429" s="376">
        <v>0.131483790835925</v>
      </c>
      <c r="BM429" s="376">
        <v>0.051151723175813</v>
      </c>
      <c r="BN429" s="376">
        <v>0.0387406354240719</v>
      </c>
      <c r="BO429" s="376">
        <v>0.162781085970261</v>
      </c>
      <c r="BP429" s="376">
        <v>0.0734789716356836</v>
      </c>
      <c r="BQ429" s="376">
        <v>0.199018717212142</v>
      </c>
      <c r="BR429" s="376">
        <v>0.0642957001188968</v>
      </c>
      <c r="BS429" s="376">
        <v>0.109692915897426</v>
      </c>
      <c r="BT429" s="376">
        <v>0.0577073482428116</v>
      </c>
      <c r="BU429" s="376">
        <v>0.0467555260665536</v>
      </c>
    </row>
    <row r="430" spans="45:73">
      <c r="AS430" s="361" t="s">
        <v>730</v>
      </c>
      <c r="AT430" s="364">
        <v>0.36</v>
      </c>
      <c r="AU430" s="365">
        <v>45716</v>
      </c>
      <c r="AV430" s="364">
        <v>956.345270979</v>
      </c>
      <c r="AW430" s="3"/>
      <c r="AX430" s="376">
        <v>0.006665</v>
      </c>
      <c r="AY430" s="376">
        <v>0.018243</v>
      </c>
      <c r="AZ430" s="376">
        <v>0.033646</v>
      </c>
      <c r="BA430" s="376">
        <v>0.073411</v>
      </c>
      <c r="BB430" s="376" t="s">
        <v>129</v>
      </c>
      <c r="BC430" s="376" t="s">
        <v>129</v>
      </c>
      <c r="BD430" s="376" t="s">
        <v>129</v>
      </c>
      <c r="BE430" s="4"/>
      <c r="BF430" s="376">
        <v>0.018243</v>
      </c>
      <c r="BG430" s="376">
        <v>0.0725551472272882</v>
      </c>
      <c r="BH430" s="376">
        <v>0.0704461622979124</v>
      </c>
      <c r="BI430" s="376">
        <v>0.01936</v>
      </c>
      <c r="BJ430" s="376" t="s">
        <v>129</v>
      </c>
      <c r="BK430" s="376" t="s">
        <v>129</v>
      </c>
      <c r="BL430" s="376" t="s">
        <v>129</v>
      </c>
      <c r="BM430" s="376" t="s">
        <v>129</v>
      </c>
      <c r="BN430" s="376" t="s">
        <v>129</v>
      </c>
      <c r="BO430" s="376" t="s">
        <v>129</v>
      </c>
      <c r="BP430" s="376" t="s">
        <v>129</v>
      </c>
      <c r="BQ430" s="376" t="s">
        <v>129</v>
      </c>
      <c r="BR430" s="376" t="s">
        <v>129</v>
      </c>
      <c r="BS430" s="376" t="s">
        <v>129</v>
      </c>
      <c r="BT430" s="376" t="s">
        <v>129</v>
      </c>
      <c r="BU430" s="376" t="s">
        <v>129</v>
      </c>
    </row>
    <row r="431" spans="45:73">
      <c r="AS431" s="361" t="s">
        <v>731</v>
      </c>
      <c r="AT431" s="364">
        <v>1.39</v>
      </c>
      <c r="AU431" s="365">
        <v>45716</v>
      </c>
      <c r="AV431" s="364">
        <v>1070.8718779078</v>
      </c>
      <c r="AW431" s="3"/>
      <c r="AX431" s="376">
        <v>0.026655</v>
      </c>
      <c r="AY431" s="376">
        <v>0.027952</v>
      </c>
      <c r="AZ431" s="376">
        <v>0.03784</v>
      </c>
      <c r="BA431" s="376">
        <v>0.082442</v>
      </c>
      <c r="BB431" s="376">
        <v>0.07086</v>
      </c>
      <c r="BC431" s="376">
        <v>0.055981</v>
      </c>
      <c r="BD431" s="376">
        <v>0.064115</v>
      </c>
      <c r="BE431" s="4"/>
      <c r="BF431" s="376">
        <v>0.027952</v>
      </c>
      <c r="BG431" s="376">
        <v>0.0826664740719341</v>
      </c>
      <c r="BH431" s="376">
        <v>0.0748814959841385</v>
      </c>
      <c r="BI431" s="376">
        <v>0.0235713298126784</v>
      </c>
      <c r="BJ431" s="376">
        <v>0.00799683458630961</v>
      </c>
      <c r="BK431" s="376">
        <v>0.0985873603331064</v>
      </c>
      <c r="BL431" s="376">
        <v>0.096969673569538</v>
      </c>
      <c r="BM431" s="376">
        <v>0.0492969872037694</v>
      </c>
      <c r="BN431" s="376">
        <v>0.0267342197596957</v>
      </c>
      <c r="BO431" s="376">
        <v>0.133762182224622</v>
      </c>
      <c r="BP431" s="376">
        <v>0.0591221953607321</v>
      </c>
      <c r="BQ431" s="376">
        <v>0.176950571415134</v>
      </c>
      <c r="BR431" s="376">
        <v>0.0519597778629825</v>
      </c>
      <c r="BS431" s="376">
        <v>0.104031679923531</v>
      </c>
      <c r="BT431" s="376">
        <v>0.0456893382024838</v>
      </c>
      <c r="BU431" s="376">
        <v>0.0391348054944525</v>
      </c>
    </row>
    <row r="432" spans="45:73">
      <c r="AS432" s="361" t="s">
        <v>732</v>
      </c>
      <c r="AT432" s="364">
        <v>0.45</v>
      </c>
      <c r="AU432" s="365">
        <v>45716</v>
      </c>
      <c r="AV432" s="364">
        <v>101.5635926441</v>
      </c>
      <c r="AW432" s="3"/>
      <c r="AX432" s="376">
        <v>0.006865</v>
      </c>
      <c r="AY432" s="376">
        <v>0.01931</v>
      </c>
      <c r="AZ432" s="376">
        <v>0.033778</v>
      </c>
      <c r="BA432" s="376">
        <v>0.075661</v>
      </c>
      <c r="BB432" s="376" t="s">
        <v>129</v>
      </c>
      <c r="BC432" s="376" t="s">
        <v>129</v>
      </c>
      <c r="BD432" s="376" t="s">
        <v>129</v>
      </c>
      <c r="BE432" s="4"/>
      <c r="BF432" s="376">
        <v>0.01931</v>
      </c>
      <c r="BG432" s="376">
        <v>0.0734446842450971</v>
      </c>
      <c r="BH432" s="376">
        <v>0.0657</v>
      </c>
      <c r="BI432" s="376" t="s">
        <v>129</v>
      </c>
      <c r="BJ432" s="376" t="s">
        <v>129</v>
      </c>
      <c r="BK432" s="376" t="s">
        <v>129</v>
      </c>
      <c r="BL432" s="376" t="s">
        <v>129</v>
      </c>
      <c r="BM432" s="376" t="s">
        <v>129</v>
      </c>
      <c r="BN432" s="376" t="s">
        <v>129</v>
      </c>
      <c r="BO432" s="376" t="s">
        <v>129</v>
      </c>
      <c r="BP432" s="376" t="s">
        <v>129</v>
      </c>
      <c r="BQ432" s="376" t="s">
        <v>129</v>
      </c>
      <c r="BR432" s="376" t="s">
        <v>129</v>
      </c>
      <c r="BS432" s="376" t="s">
        <v>129</v>
      </c>
      <c r="BT432" s="376" t="s">
        <v>129</v>
      </c>
      <c r="BU432" s="376" t="s">
        <v>129</v>
      </c>
    </row>
    <row r="433" spans="45:73">
      <c r="AS433" s="361" t="s">
        <v>733</v>
      </c>
      <c r="AT433" s="364">
        <v>0.46</v>
      </c>
      <c r="AU433" s="365">
        <v>45716</v>
      </c>
      <c r="AV433" s="364">
        <v>179.8056967128</v>
      </c>
      <c r="AW433" s="3"/>
      <c r="AX433" s="376">
        <v>0.011231</v>
      </c>
      <c r="AY433" s="376">
        <v>0.025308</v>
      </c>
      <c r="AZ433" s="376">
        <v>0.03893</v>
      </c>
      <c r="BA433" s="376">
        <v>0.088412</v>
      </c>
      <c r="BB433" s="376" t="s">
        <v>129</v>
      </c>
      <c r="BC433" s="376" t="s">
        <v>129</v>
      </c>
      <c r="BD433" s="376" t="s">
        <v>129</v>
      </c>
      <c r="BE433" s="4"/>
      <c r="BF433" s="376">
        <v>0.025308</v>
      </c>
      <c r="BG433" s="376">
        <v>0.082687820811946</v>
      </c>
      <c r="BH433" s="376">
        <v>0.0715</v>
      </c>
      <c r="BI433" s="376" t="s">
        <v>129</v>
      </c>
      <c r="BJ433" s="376" t="s">
        <v>129</v>
      </c>
      <c r="BK433" s="376" t="s">
        <v>129</v>
      </c>
      <c r="BL433" s="376" t="s">
        <v>129</v>
      </c>
      <c r="BM433" s="376" t="s">
        <v>129</v>
      </c>
      <c r="BN433" s="376" t="s">
        <v>129</v>
      </c>
      <c r="BO433" s="376" t="s">
        <v>129</v>
      </c>
      <c r="BP433" s="376" t="s">
        <v>129</v>
      </c>
      <c r="BQ433" s="376" t="s">
        <v>129</v>
      </c>
      <c r="BR433" s="376" t="s">
        <v>129</v>
      </c>
      <c r="BS433" s="376" t="s">
        <v>129</v>
      </c>
      <c r="BT433" s="376" t="s">
        <v>129</v>
      </c>
      <c r="BU433" s="376" t="s">
        <v>129</v>
      </c>
    </row>
    <row r="434" spans="45:73">
      <c r="AS434" s="361" t="s">
        <v>734</v>
      </c>
      <c r="AT434" s="364">
        <v>1.14</v>
      </c>
      <c r="AU434" s="365">
        <v>45716</v>
      </c>
      <c r="AV434" s="364">
        <v>111.7444</v>
      </c>
      <c r="AW434" s="3"/>
      <c r="AX434" s="376">
        <v>0.024859</v>
      </c>
      <c r="AY434" s="376">
        <v>0.026015</v>
      </c>
      <c r="AZ434" s="376">
        <v>0.030489</v>
      </c>
      <c r="BA434" s="376">
        <v>0.086653</v>
      </c>
      <c r="BB434" s="376" t="s">
        <v>129</v>
      </c>
      <c r="BC434" s="376" t="s">
        <v>129</v>
      </c>
      <c r="BD434" s="376" t="s">
        <v>129</v>
      </c>
      <c r="BE434" s="4"/>
      <c r="BF434" s="376">
        <v>0.026015</v>
      </c>
      <c r="BG434" s="376">
        <v>0.0881736899895735</v>
      </c>
      <c r="BH434" s="376">
        <v>0.0666817582331057</v>
      </c>
      <c r="BI434" s="376">
        <v>0.01602</v>
      </c>
      <c r="BJ434" s="376" t="s">
        <v>129</v>
      </c>
      <c r="BK434" s="376" t="s">
        <v>129</v>
      </c>
      <c r="BL434" s="376" t="s">
        <v>129</v>
      </c>
      <c r="BM434" s="376" t="s">
        <v>129</v>
      </c>
      <c r="BN434" s="376" t="s">
        <v>129</v>
      </c>
      <c r="BO434" s="376" t="s">
        <v>129</v>
      </c>
      <c r="BP434" s="376" t="s">
        <v>129</v>
      </c>
      <c r="BQ434" s="376" t="s">
        <v>129</v>
      </c>
      <c r="BR434" s="376" t="s">
        <v>129</v>
      </c>
      <c r="BS434" s="376" t="s">
        <v>129</v>
      </c>
      <c r="BT434" s="376" t="s">
        <v>129</v>
      </c>
      <c r="BU434" s="376" t="s">
        <v>129</v>
      </c>
    </row>
    <row r="435" spans="45:73">
      <c r="AS435" s="361" t="s">
        <v>735</v>
      </c>
      <c r="AT435" s="364">
        <v>0.4</v>
      </c>
      <c r="AU435" s="365">
        <v>45716</v>
      </c>
      <c r="AV435" s="364">
        <v>342.8639</v>
      </c>
      <c r="AW435" s="3"/>
      <c r="AX435" s="376">
        <v>0.019643</v>
      </c>
      <c r="AY435" s="376">
        <v>0.028674</v>
      </c>
      <c r="AZ435" s="376">
        <v>0.042817</v>
      </c>
      <c r="BA435" s="376">
        <v>0.099014</v>
      </c>
      <c r="BB435" s="376" t="s">
        <v>129</v>
      </c>
      <c r="BC435" s="376" t="s">
        <v>129</v>
      </c>
      <c r="BD435" s="376" t="s">
        <v>129</v>
      </c>
      <c r="BE435" s="4"/>
      <c r="BF435" s="376">
        <v>0.028674</v>
      </c>
      <c r="BG435" s="376">
        <v>0.103091048488135</v>
      </c>
      <c r="BH435" s="376">
        <v>0.0683221127914177</v>
      </c>
      <c r="BI435" s="376">
        <v>0.00114000000000001</v>
      </c>
      <c r="BJ435" s="376" t="s">
        <v>129</v>
      </c>
      <c r="BK435" s="376" t="s">
        <v>129</v>
      </c>
      <c r="BL435" s="376" t="s">
        <v>129</v>
      </c>
      <c r="BM435" s="376" t="s">
        <v>129</v>
      </c>
      <c r="BN435" s="376" t="s">
        <v>129</v>
      </c>
      <c r="BO435" s="376" t="s">
        <v>129</v>
      </c>
      <c r="BP435" s="376" t="s">
        <v>129</v>
      </c>
      <c r="BQ435" s="376" t="s">
        <v>129</v>
      </c>
      <c r="BR435" s="376" t="s">
        <v>129</v>
      </c>
      <c r="BS435" s="376" t="s">
        <v>129</v>
      </c>
      <c r="BT435" s="376" t="s">
        <v>129</v>
      </c>
      <c r="BU435" s="376" t="s">
        <v>129</v>
      </c>
    </row>
    <row r="436" spans="45:73">
      <c r="AS436" s="361" t="s">
        <v>736</v>
      </c>
      <c r="AT436" s="364">
        <v>0.4</v>
      </c>
      <c r="AU436" s="365">
        <v>45716</v>
      </c>
      <c r="AV436" s="364">
        <v>74.735</v>
      </c>
      <c r="AW436" s="3"/>
      <c r="AX436" s="376">
        <v>0.006599</v>
      </c>
      <c r="AY436" s="376">
        <v>0.020239</v>
      </c>
      <c r="AZ436" s="376">
        <v>0.035776</v>
      </c>
      <c r="BA436" s="376">
        <v>0.082374</v>
      </c>
      <c r="BB436" s="376" t="s">
        <v>129</v>
      </c>
      <c r="BC436" s="376" t="s">
        <v>129</v>
      </c>
      <c r="BD436" s="376" t="s">
        <v>129</v>
      </c>
      <c r="BE436" s="4"/>
      <c r="BF436" s="376">
        <v>0.020239</v>
      </c>
      <c r="BG436" s="376">
        <v>0.0809648554500813</v>
      </c>
      <c r="BH436" s="376">
        <v>0.06503</v>
      </c>
      <c r="BI436" s="376" t="s">
        <v>129</v>
      </c>
      <c r="BJ436" s="376" t="s">
        <v>129</v>
      </c>
      <c r="BK436" s="376" t="s">
        <v>129</v>
      </c>
      <c r="BL436" s="376" t="s">
        <v>129</v>
      </c>
      <c r="BM436" s="376" t="s">
        <v>129</v>
      </c>
      <c r="BN436" s="376" t="s">
        <v>129</v>
      </c>
      <c r="BO436" s="376" t="s">
        <v>129</v>
      </c>
      <c r="BP436" s="376" t="s">
        <v>129</v>
      </c>
      <c r="BQ436" s="376" t="s">
        <v>129</v>
      </c>
      <c r="BR436" s="376" t="s">
        <v>129</v>
      </c>
      <c r="BS436" s="376" t="s">
        <v>129</v>
      </c>
      <c r="BT436" s="376" t="s">
        <v>129</v>
      </c>
      <c r="BU436" s="376" t="s">
        <v>129</v>
      </c>
    </row>
    <row r="437" spans="45:73">
      <c r="AS437" s="361" t="s">
        <v>737</v>
      </c>
      <c r="AT437" s="364">
        <v>0.92</v>
      </c>
      <c r="AU437" s="365">
        <v>45716</v>
      </c>
      <c r="AV437" s="364">
        <v>643.5596</v>
      </c>
      <c r="AW437" s="3"/>
      <c r="AX437" s="376">
        <v>0.023234</v>
      </c>
      <c r="AY437" s="376">
        <v>0.027659</v>
      </c>
      <c r="AZ437" s="376">
        <v>0.034597</v>
      </c>
      <c r="BA437" s="376">
        <v>0.087583</v>
      </c>
      <c r="BB437" s="376">
        <v>0.071962</v>
      </c>
      <c r="BC437" s="376">
        <v>0.061558</v>
      </c>
      <c r="BD437" s="376">
        <v>0.074011</v>
      </c>
      <c r="BE437" s="4"/>
      <c r="BF437" s="376">
        <v>0.027659</v>
      </c>
      <c r="BG437" s="376">
        <v>0.0891643479656442</v>
      </c>
      <c r="BH437" s="376">
        <v>0.0668076126204982</v>
      </c>
      <c r="BI437" s="376">
        <v>0.0294565568267561</v>
      </c>
      <c r="BJ437" s="376">
        <v>0.022652614012419</v>
      </c>
      <c r="BK437" s="376">
        <v>0.102659270375531</v>
      </c>
      <c r="BL437" s="376">
        <v>0.118258302804186</v>
      </c>
      <c r="BM437" s="376">
        <v>0.0630525158885651</v>
      </c>
      <c r="BN437" s="376">
        <v>0.0428997400267447</v>
      </c>
      <c r="BO437" s="376">
        <v>0.154968534956896</v>
      </c>
      <c r="BP437" s="376">
        <v>0.0610012620950779</v>
      </c>
      <c r="BQ437" s="376">
        <v>0.197972679128106</v>
      </c>
      <c r="BR437" s="376">
        <v>0.0398108351400353</v>
      </c>
      <c r="BS437" s="376">
        <v>0.102861803775344</v>
      </c>
      <c r="BT437" s="376">
        <v>0.0778861273970469</v>
      </c>
      <c r="BU437" s="376">
        <v>0.0464866854183644</v>
      </c>
    </row>
    <row r="438" spans="45:73">
      <c r="AS438" s="361" t="s">
        <v>738</v>
      </c>
      <c r="AT438" s="364">
        <v>0.41</v>
      </c>
      <c r="AU438" s="365">
        <v>45716</v>
      </c>
      <c r="AV438" s="364">
        <v>179.1381</v>
      </c>
      <c r="AW438" s="3"/>
      <c r="AX438" s="376">
        <v>0.007369</v>
      </c>
      <c r="AY438" s="376">
        <v>0.019681</v>
      </c>
      <c r="AZ438" s="376">
        <v>0.035869</v>
      </c>
      <c r="BA438" s="376">
        <v>0.076353</v>
      </c>
      <c r="BB438" s="376" t="s">
        <v>129</v>
      </c>
      <c r="BC438" s="376" t="s">
        <v>129</v>
      </c>
      <c r="BD438" s="376" t="s">
        <v>129</v>
      </c>
      <c r="BE438" s="4"/>
      <c r="BF438" s="376">
        <v>0.019681</v>
      </c>
      <c r="BG438" s="376">
        <v>0.075678526359407</v>
      </c>
      <c r="BH438" s="376">
        <v>0.0618600000000001</v>
      </c>
      <c r="BI438" s="376" t="s">
        <v>129</v>
      </c>
      <c r="BJ438" s="376" t="s">
        <v>129</v>
      </c>
      <c r="BK438" s="376" t="s">
        <v>129</v>
      </c>
      <c r="BL438" s="376" t="s">
        <v>129</v>
      </c>
      <c r="BM438" s="376" t="s">
        <v>129</v>
      </c>
      <c r="BN438" s="376" t="s">
        <v>129</v>
      </c>
      <c r="BO438" s="376" t="s">
        <v>129</v>
      </c>
      <c r="BP438" s="376" t="s">
        <v>129</v>
      </c>
      <c r="BQ438" s="376" t="s">
        <v>129</v>
      </c>
      <c r="BR438" s="376" t="s">
        <v>129</v>
      </c>
      <c r="BS438" s="376" t="s">
        <v>129</v>
      </c>
      <c r="BT438" s="376" t="s">
        <v>129</v>
      </c>
      <c r="BU438" s="376" t="s">
        <v>129</v>
      </c>
    </row>
    <row r="439" ht="15.15" spans="45:73">
      <c r="AS439" s="361" t="s">
        <v>739</v>
      </c>
      <c r="AT439" s="364">
        <v>0.4</v>
      </c>
      <c r="AU439" s="365">
        <v>45716</v>
      </c>
      <c r="AV439" s="364">
        <v>41.7407</v>
      </c>
      <c r="AW439" s="3"/>
      <c r="AX439" s="376">
        <v>0.007423</v>
      </c>
      <c r="AY439" s="376">
        <v>0.021468</v>
      </c>
      <c r="AZ439" s="376">
        <v>0.036038</v>
      </c>
      <c r="BA439" s="376">
        <v>0.08323</v>
      </c>
      <c r="BB439" s="376" t="s">
        <v>129</v>
      </c>
      <c r="BC439" s="376" t="s">
        <v>129</v>
      </c>
      <c r="BD439" s="376" t="s">
        <v>129</v>
      </c>
      <c r="BE439" s="4"/>
      <c r="BF439" s="376">
        <v>0.021468</v>
      </c>
      <c r="BG439" s="376">
        <v>0.0818938360994876</v>
      </c>
      <c r="BH439" s="376">
        <v>0.0634499999999999</v>
      </c>
      <c r="BI439" s="376" t="s">
        <v>129</v>
      </c>
      <c r="BJ439" s="376" t="s">
        <v>129</v>
      </c>
      <c r="BK439" s="376" t="s">
        <v>129</v>
      </c>
      <c r="BL439" s="376" t="s">
        <v>129</v>
      </c>
      <c r="BM439" s="376" t="s">
        <v>129</v>
      </c>
      <c r="BN439" s="376" t="s">
        <v>129</v>
      </c>
      <c r="BO439" s="376" t="s">
        <v>129</v>
      </c>
      <c r="BP439" s="376" t="s">
        <v>129</v>
      </c>
      <c r="BQ439" s="376" t="s">
        <v>129</v>
      </c>
      <c r="BR439" s="376" t="s">
        <v>129</v>
      </c>
      <c r="BS439" s="376" t="s">
        <v>129</v>
      </c>
      <c r="BT439" s="376" t="s">
        <v>129</v>
      </c>
      <c r="BU439" s="376" t="s">
        <v>129</v>
      </c>
    </row>
    <row r="440" ht="15.15" spans="45:73">
      <c r="AS440" s="312" t="s">
        <v>162</v>
      </c>
      <c r="AT440"/>
      <c r="AU440"/>
      <c r="AV440"/>
      <c r="AW440" s="377"/>
      <c r="AX440" s="378">
        <f t="shared" ref="AX440:BD440" si="48">AVERAGE(AX350:AX439)</f>
        <v>0.0135495444444444</v>
      </c>
      <c r="AY440" s="378">
        <f t="shared" si="48"/>
        <v>0.0241922696629213</v>
      </c>
      <c r="AZ440" s="378">
        <f t="shared" si="48"/>
        <v>0.0364770112359551</v>
      </c>
      <c r="BA440" s="378">
        <f t="shared" si="48"/>
        <v>0.0860211590909091</v>
      </c>
      <c r="BB440" s="378">
        <f t="shared" si="48"/>
        <v>0.0673560740740741</v>
      </c>
      <c r="BC440" s="378">
        <f t="shared" si="48"/>
        <v>0.0610122105263158</v>
      </c>
      <c r="BD440" s="378">
        <f t="shared" si="48"/>
        <v>0.0712312631578947</v>
      </c>
      <c r="BE440" s="377"/>
      <c r="BF440" s="378">
        <f t="shared" ref="BF440:BU440" si="49">AVERAGE(BF350:BF439)</f>
        <v>0.0241922696629213</v>
      </c>
      <c r="BG440" s="378">
        <f t="shared" si="49"/>
        <v>0.0840079341590877</v>
      </c>
      <c r="BH440" s="378">
        <f t="shared" si="49"/>
        <v>0.0676260957913907</v>
      </c>
      <c r="BI440" s="378">
        <f t="shared" si="49"/>
        <v>0.0166943474681036</v>
      </c>
      <c r="BJ440" s="378">
        <f t="shared" si="49"/>
        <v>0.0249130378946906</v>
      </c>
      <c r="BK440" s="378">
        <f t="shared" si="49"/>
        <v>0.1127430391114</v>
      </c>
      <c r="BL440" s="378">
        <f t="shared" si="49"/>
        <v>0.106346566174473</v>
      </c>
      <c r="BM440" s="378">
        <f t="shared" si="49"/>
        <v>0.0627889919486111</v>
      </c>
      <c r="BN440" s="378">
        <f t="shared" si="49"/>
        <v>0.0233353504562834</v>
      </c>
      <c r="BO440" s="378">
        <f t="shared" si="49"/>
        <v>0.154210833487001</v>
      </c>
      <c r="BP440" s="378">
        <f t="shared" si="49"/>
        <v>0.0603737748715251</v>
      </c>
      <c r="BQ440" s="378">
        <f t="shared" si="49"/>
        <v>0.171661197935142</v>
      </c>
      <c r="BR440" s="378">
        <f t="shared" si="49"/>
        <v>0.0284270797945766</v>
      </c>
      <c r="BS440" s="378">
        <f t="shared" si="49"/>
        <v>0.106577214227863</v>
      </c>
      <c r="BT440" s="378">
        <f t="shared" si="49"/>
        <v>0.0638959557910555</v>
      </c>
      <c r="BU440" s="378">
        <f t="shared" si="49"/>
        <v>0.0528059700504842</v>
      </c>
    </row>
    <row r="441" spans="45:73">
      <c r="AS441" s="312" t="s">
        <v>178</v>
      </c>
      <c r="AT441"/>
      <c r="AU441"/>
      <c r="AV441"/>
      <c r="AW441"/>
      <c r="AX441" s="379">
        <v>0.0087263867959253</v>
      </c>
      <c r="AY441" s="379">
        <v>0.0207643930788102</v>
      </c>
      <c r="AZ441" s="379">
        <v>0.0377184412193585</v>
      </c>
      <c r="BA441" s="379">
        <v>0.080280059411505</v>
      </c>
      <c r="BB441" s="379">
        <v>0.0659301709109001</v>
      </c>
      <c r="BC441" s="379">
        <v>0.0655149768088614</v>
      </c>
      <c r="BD441" s="379">
        <v>0.0738047315298365</v>
      </c>
      <c r="BE441" s="382"/>
      <c r="BF441" s="379">
        <v>0.0207643930788102</v>
      </c>
      <c r="BG441" s="379">
        <v>0.0797029257152309</v>
      </c>
      <c r="BH441" s="379">
        <v>0.0725988870220093</v>
      </c>
      <c r="BI441" s="379">
        <v>0.0358682288812193</v>
      </c>
      <c r="BJ441" s="379">
        <v>0.0437965988907254</v>
      </c>
      <c r="BK441" s="379">
        <v>0.104161972570555</v>
      </c>
      <c r="BL441" s="379">
        <v>0.0953364838894115</v>
      </c>
      <c r="BM441" s="379">
        <v>0.0665068187794211</v>
      </c>
      <c r="BN441" s="379">
        <v>0.0602957159773323</v>
      </c>
      <c r="BO441" s="379">
        <v>0.0986738756953636</v>
      </c>
      <c r="BP441" s="379">
        <v>0.0865549936165921</v>
      </c>
      <c r="BQ441" s="379">
        <v>0.104681934209951</v>
      </c>
      <c r="BR441" s="379">
        <v>0.0827206164504672</v>
      </c>
      <c r="BS441" s="379">
        <v>0.0912371315059957</v>
      </c>
      <c r="BT441" s="379">
        <v>0.0786771029274067</v>
      </c>
      <c r="BU441" s="379">
        <v>0.0470040326565153</v>
      </c>
    </row>
    <row r="442" ht="15.15" spans="45:73">
      <c r="AS442"/>
      <c r="AT442"/>
      <c r="AU442"/>
      <c r="AV442"/>
      <c r="AW442"/>
      <c r="AX442"/>
      <c r="AY442"/>
      <c r="AZ442"/>
      <c r="BA442"/>
      <c r="BB442"/>
      <c r="BC442"/>
      <c r="BD442"/>
      <c r="BE442"/>
      <c r="BF442"/>
      <c r="BG442"/>
      <c r="BH442"/>
      <c r="BI442"/>
      <c r="BJ442"/>
      <c r="BK442"/>
      <c r="BL442"/>
      <c r="BM442"/>
      <c r="BN442"/>
      <c r="BO442"/>
      <c r="BP442"/>
      <c r="BQ442"/>
      <c r="BR442"/>
      <c r="BS442"/>
      <c r="BT442"/>
      <c r="BU442"/>
    </row>
    <row r="443" ht="15.15" spans="45:73">
      <c r="AS443" s="320" t="s">
        <v>740</v>
      </c>
      <c r="AT443" s="351" t="s">
        <v>87</v>
      </c>
      <c r="AU443" s="393" t="s">
        <v>110</v>
      </c>
      <c r="AV443" s="394"/>
      <c r="AW443" s="368"/>
      <c r="AX443" s="325" t="s">
        <v>113</v>
      </c>
      <c r="AY443" s="326"/>
      <c r="AZ443" s="326"/>
      <c r="BA443" s="326"/>
      <c r="BB443" s="326"/>
      <c r="BC443" s="326"/>
      <c r="BD443" s="345"/>
      <c r="BE443" s="368"/>
      <c r="BF443" s="393" t="s">
        <v>114</v>
      </c>
      <c r="BG443" s="396"/>
      <c r="BH443" s="396"/>
      <c r="BI443" s="396"/>
      <c r="BJ443" s="396"/>
      <c r="BK443" s="396"/>
      <c r="BL443" s="396"/>
      <c r="BM443" s="396"/>
      <c r="BN443" s="396"/>
      <c r="BO443" s="396"/>
      <c r="BP443" s="396"/>
      <c r="BQ443" s="396"/>
      <c r="BR443" s="396"/>
      <c r="BS443" s="396"/>
      <c r="BT443" s="396"/>
      <c r="BU443" s="398"/>
    </row>
    <row r="444" ht="15.15" spans="45:73">
      <c r="AS444" s="322"/>
      <c r="AT444" s="355" t="s">
        <v>121</v>
      </c>
      <c r="AU444" s="356" t="s">
        <v>115</v>
      </c>
      <c r="AV444" s="357" t="s">
        <v>116</v>
      </c>
      <c r="AW444" s="369"/>
      <c r="AX444" s="266" t="s">
        <v>122</v>
      </c>
      <c r="AY444" s="268" t="s">
        <v>123</v>
      </c>
      <c r="AZ444" s="268" t="s">
        <v>124</v>
      </c>
      <c r="BA444" s="268" t="s">
        <v>91</v>
      </c>
      <c r="BB444" s="268" t="s">
        <v>125</v>
      </c>
      <c r="BC444" s="268" t="s">
        <v>126</v>
      </c>
      <c r="BD444" s="269" t="s">
        <v>127</v>
      </c>
      <c r="BE444" s="369"/>
      <c r="BF444" s="266">
        <v>2025</v>
      </c>
      <c r="BG444" s="266">
        <v>2024</v>
      </c>
      <c r="BH444" s="266">
        <v>2023</v>
      </c>
      <c r="BI444" s="268">
        <v>2022</v>
      </c>
      <c r="BJ444" s="268">
        <v>2021</v>
      </c>
      <c r="BK444" s="268">
        <v>2020</v>
      </c>
      <c r="BL444" s="268">
        <v>2019</v>
      </c>
      <c r="BM444" s="268">
        <v>2018</v>
      </c>
      <c r="BN444" s="268">
        <v>2017</v>
      </c>
      <c r="BO444" s="268">
        <v>2016</v>
      </c>
      <c r="BP444" s="268">
        <v>2015</v>
      </c>
      <c r="BQ444" s="268">
        <v>2014</v>
      </c>
      <c r="BR444" s="268">
        <v>2013</v>
      </c>
      <c r="BS444" s="268">
        <v>2012</v>
      </c>
      <c r="BT444" s="268">
        <v>2011</v>
      </c>
      <c r="BU444" s="269">
        <v>2010</v>
      </c>
    </row>
    <row r="445" spans="45:73">
      <c r="AS445" s="361" t="s">
        <v>741</v>
      </c>
      <c r="AT445" s="364">
        <v>0.95</v>
      </c>
      <c r="AU445" s="365">
        <v>45716</v>
      </c>
      <c r="AV445" s="364">
        <v>8689.0289</v>
      </c>
      <c r="AW445" s="3"/>
      <c r="AX445" s="376">
        <v>0.01147</v>
      </c>
      <c r="AY445" s="376">
        <v>0.022204</v>
      </c>
      <c r="AZ445" s="376">
        <v>0.039145</v>
      </c>
      <c r="BA445" s="376">
        <v>0.08156</v>
      </c>
      <c r="BB445" s="376">
        <v>0.067204</v>
      </c>
      <c r="BC445" s="376">
        <v>0.070018</v>
      </c>
      <c r="BD445" s="376">
        <v>0.073561</v>
      </c>
      <c r="BE445" s="4"/>
      <c r="BF445" s="376">
        <v>0.022204</v>
      </c>
      <c r="BG445" s="376">
        <v>0.0793486738082764</v>
      </c>
      <c r="BH445" s="376">
        <v>0.0686786391952109</v>
      </c>
      <c r="BI445" s="376">
        <v>0.0418825504329994</v>
      </c>
      <c r="BJ445" s="376">
        <v>0.0383699355111012</v>
      </c>
      <c r="BK445" s="376">
        <v>0.110570338038972</v>
      </c>
      <c r="BL445" s="376">
        <v>0.0850275432964768</v>
      </c>
      <c r="BM445" s="376">
        <v>0.0650280681514413</v>
      </c>
      <c r="BN445" s="376">
        <v>0.0560198494944768</v>
      </c>
      <c r="BO445" s="376">
        <v>0.113184923010767</v>
      </c>
      <c r="BP445" s="376">
        <v>0.0842026458181101</v>
      </c>
      <c r="BQ445" s="376">
        <v>0.113307647005979</v>
      </c>
      <c r="BR445" s="376">
        <v>0.101232776577795</v>
      </c>
      <c r="BS445" s="376">
        <v>0.111472886211889</v>
      </c>
      <c r="BT445" s="376">
        <v>0.0945373094410271</v>
      </c>
      <c r="BU445" s="376">
        <v>0.0601302834622228</v>
      </c>
    </row>
    <row r="446" spans="45:73">
      <c r="AS446" s="361" t="s">
        <v>742</v>
      </c>
      <c r="AT446" s="364">
        <v>0.89</v>
      </c>
      <c r="AU446" s="365">
        <v>45716</v>
      </c>
      <c r="AV446" s="364">
        <v>8825.076702</v>
      </c>
      <c r="AW446" s="3"/>
      <c r="AX446" s="376">
        <v>0.011753</v>
      </c>
      <c r="AY446" s="376">
        <v>0.023153</v>
      </c>
      <c r="AZ446" s="376">
        <v>0.040648</v>
      </c>
      <c r="BA446" s="376">
        <v>0.082698</v>
      </c>
      <c r="BB446" s="376">
        <v>0.065956</v>
      </c>
      <c r="BC446" s="376">
        <v>0.064028</v>
      </c>
      <c r="BD446" s="376">
        <v>0.071691</v>
      </c>
      <c r="BE446" s="4"/>
      <c r="BF446" s="376">
        <v>0.023153</v>
      </c>
      <c r="BG446" s="376">
        <v>0.0800911898593364</v>
      </c>
      <c r="BH446" s="376">
        <v>0.0679015240328253</v>
      </c>
      <c r="BI446" s="376">
        <v>0.0369601951543688</v>
      </c>
      <c r="BJ446" s="376">
        <v>0.0347561742630719</v>
      </c>
      <c r="BK446" s="376">
        <v>0.101412730740633</v>
      </c>
      <c r="BL446" s="376">
        <v>0.0976989643058111</v>
      </c>
      <c r="BM446" s="376">
        <v>0.0634768310105938</v>
      </c>
      <c r="BN446" s="376">
        <v>0.0593089663049685</v>
      </c>
      <c r="BO446" s="376">
        <v>0.09644453906749</v>
      </c>
      <c r="BP446" s="376">
        <v>0.0810565649454388</v>
      </c>
      <c r="BQ446" s="376">
        <v>0.100389580400307</v>
      </c>
      <c r="BR446" s="376">
        <v>0.0729974263471713</v>
      </c>
      <c r="BS446" s="376">
        <v>0.100793608896866</v>
      </c>
      <c r="BT446" s="376">
        <v>0.0919519248321116</v>
      </c>
      <c r="BU446" s="376">
        <v>0.04087</v>
      </c>
    </row>
    <row r="447" spans="45:73">
      <c r="AS447" s="361" t="s">
        <v>743</v>
      </c>
      <c r="AT447" s="364">
        <v>0.8</v>
      </c>
      <c r="AU447" s="365">
        <v>45716</v>
      </c>
      <c r="AV447" s="364">
        <v>9664.7325</v>
      </c>
      <c r="AW447" s="3"/>
      <c r="AX447" s="376">
        <v>0.011525</v>
      </c>
      <c r="AY447" s="376">
        <v>0.023215</v>
      </c>
      <c r="AZ447" s="376">
        <v>0.038559</v>
      </c>
      <c r="BA447" s="376">
        <v>0.082917</v>
      </c>
      <c r="BB447" s="376">
        <v>0.063336</v>
      </c>
      <c r="BC447" s="376">
        <v>0.061069</v>
      </c>
      <c r="BD447" s="376">
        <v>0.069502</v>
      </c>
      <c r="BE447" s="4"/>
      <c r="BF447" s="376">
        <v>0.023215</v>
      </c>
      <c r="BG447" s="376">
        <v>0.0784751636503658</v>
      </c>
      <c r="BH447" s="376">
        <v>0.0691191217607009</v>
      </c>
      <c r="BI447" s="376">
        <v>0.0278825413496634</v>
      </c>
      <c r="BJ447" s="376">
        <v>0.0337497560461303</v>
      </c>
      <c r="BK447" s="376">
        <v>0.0967698284409606</v>
      </c>
      <c r="BL447" s="376">
        <v>0.0973926566714455</v>
      </c>
      <c r="BM447" s="376">
        <v>0.0648372026162582</v>
      </c>
      <c r="BN447" s="376">
        <v>0.0591278505025776</v>
      </c>
      <c r="BO447" s="376">
        <v>0.0879988073348904</v>
      </c>
      <c r="BP447" s="376">
        <v>0.0814747138173806</v>
      </c>
      <c r="BQ447" s="376">
        <v>0.100958143828078</v>
      </c>
      <c r="BR447" s="376">
        <v>0.0763107282507631</v>
      </c>
      <c r="BS447" s="376">
        <v>0.0931820291469414</v>
      </c>
      <c r="BT447" s="376">
        <v>0.0920204354701375</v>
      </c>
      <c r="BU447" s="376">
        <v>0.0371320437342304</v>
      </c>
    </row>
    <row r="448" spans="45:73">
      <c r="AS448" s="361" t="s">
        <v>744</v>
      </c>
      <c r="AT448" s="364">
        <v>1</v>
      </c>
      <c r="AU448" s="365">
        <v>45716</v>
      </c>
      <c r="AV448" s="364">
        <v>109.0737</v>
      </c>
      <c r="AW448" s="3"/>
      <c r="AX448" s="376">
        <v>0.010043</v>
      </c>
      <c r="AY448" s="376">
        <v>0.020373</v>
      </c>
      <c r="AZ448" s="376">
        <v>0.05311</v>
      </c>
      <c r="BA448" s="376">
        <v>0.093329</v>
      </c>
      <c r="BB448" s="376">
        <v>0.089136</v>
      </c>
      <c r="BC448" s="376">
        <v>0.079099</v>
      </c>
      <c r="BD448" s="376">
        <v>0.057237</v>
      </c>
      <c r="BE448" s="4"/>
      <c r="BF448" s="376">
        <v>0.020373</v>
      </c>
      <c r="BG448" s="376">
        <v>0.0908755016669143</v>
      </c>
      <c r="BH448" s="376">
        <v>0.0596126326400202</v>
      </c>
      <c r="BI448" s="376">
        <v>0.269410931359108</v>
      </c>
      <c r="BJ448" s="376">
        <v>0.0307173264091288</v>
      </c>
      <c r="BK448" s="376">
        <v>-0.0107349634789902</v>
      </c>
      <c r="BL448" s="376">
        <v>-0.133256258929608</v>
      </c>
      <c r="BM448" s="376">
        <v>0.0597623416993479</v>
      </c>
      <c r="BN448" s="376">
        <v>0.0627807535282544</v>
      </c>
      <c r="BO448" s="376">
        <v>0.100462421235084</v>
      </c>
      <c r="BP448" s="376">
        <v>0.0873567754402198</v>
      </c>
      <c r="BQ448" s="376">
        <v>0.0941685340559696</v>
      </c>
      <c r="BR448" s="376">
        <v>0.071857195295169</v>
      </c>
      <c r="BS448" s="376">
        <v>0.0757371561011203</v>
      </c>
      <c r="BT448" s="376">
        <v>0.0755899841193633</v>
      </c>
      <c r="BU448" s="376">
        <v>0.0468485709591054</v>
      </c>
    </row>
    <row r="449" spans="45:73">
      <c r="AS449" s="361" t="s">
        <v>745</v>
      </c>
      <c r="AT449" s="364">
        <v>1.05</v>
      </c>
      <c r="AU449" s="365">
        <v>45716</v>
      </c>
      <c r="AV449" s="364">
        <v>211.098</v>
      </c>
      <c r="AW449" s="3"/>
      <c r="AX449" s="376">
        <v>0.010651</v>
      </c>
      <c r="AY449" s="376">
        <v>0.021531</v>
      </c>
      <c r="AZ449" s="376">
        <v>0.036715</v>
      </c>
      <c r="BA449" s="376">
        <v>0.078966</v>
      </c>
      <c r="BB449" s="376">
        <v>0.062675</v>
      </c>
      <c r="BC449" s="376">
        <v>0.056771</v>
      </c>
      <c r="BD449" s="376">
        <v>0.070068</v>
      </c>
      <c r="BE449" s="4"/>
      <c r="BF449" s="376">
        <v>0.021531</v>
      </c>
      <c r="BG449" s="376">
        <v>0.0767491835602933</v>
      </c>
      <c r="BH449" s="376">
        <v>0.0699102172667977</v>
      </c>
      <c r="BI449" s="376">
        <v>0.0295812051382126</v>
      </c>
      <c r="BJ449" s="376">
        <v>0.0372026101228059</v>
      </c>
      <c r="BK449" s="376">
        <v>0.0753612627873305</v>
      </c>
      <c r="BL449" s="376">
        <v>0.0881521565639143</v>
      </c>
      <c r="BM449" s="376">
        <v>0.0714991090195905</v>
      </c>
      <c r="BN449" s="376">
        <v>0.0763461675494645</v>
      </c>
      <c r="BO449" s="376">
        <v>0.0949544863459036</v>
      </c>
      <c r="BP449" s="376">
        <v>0.08607382194886</v>
      </c>
      <c r="BQ449" s="376">
        <v>0.0953482256118313</v>
      </c>
      <c r="BR449" s="376">
        <v>0.0794986765528585</v>
      </c>
      <c r="BS449" s="376">
        <v>0.0917419484225015</v>
      </c>
      <c r="BT449" s="376">
        <v>0.0829121421520237</v>
      </c>
      <c r="BU449" s="376">
        <v>0.0130000000000001</v>
      </c>
    </row>
    <row r="450" spans="45:73">
      <c r="AS450" s="361" t="s">
        <v>746</v>
      </c>
      <c r="AT450" s="364">
        <v>1.02</v>
      </c>
      <c r="AU450" s="365">
        <v>45716</v>
      </c>
      <c r="AV450" s="364">
        <v>334.2876</v>
      </c>
      <c r="AW450" s="3"/>
      <c r="AX450" s="376">
        <v>0.010489</v>
      </c>
      <c r="AY450" s="376">
        <v>0.020798</v>
      </c>
      <c r="AZ450" s="376">
        <v>0.035434</v>
      </c>
      <c r="BA450" s="376">
        <v>0.074733</v>
      </c>
      <c r="BB450" s="376">
        <v>0.058695</v>
      </c>
      <c r="BC450" s="376">
        <v>0.056236</v>
      </c>
      <c r="BD450" s="376">
        <v>0.064715</v>
      </c>
      <c r="BE450" s="4"/>
      <c r="BF450" s="376">
        <v>0.020798</v>
      </c>
      <c r="BG450" s="376">
        <v>0.0719754101604584</v>
      </c>
      <c r="BH450" s="376">
        <v>0.0624398493781711</v>
      </c>
      <c r="BI450" s="376">
        <v>0.0288002153287127</v>
      </c>
      <c r="BJ450" s="376">
        <v>0.0281582952815828</v>
      </c>
      <c r="BK450" s="376">
        <v>0.0895405059065505</v>
      </c>
      <c r="BL450" s="376">
        <v>0.0856090717792846</v>
      </c>
      <c r="BM450" s="376">
        <v>0.056623350956075</v>
      </c>
      <c r="BN450" s="376">
        <v>0.0704359438839598</v>
      </c>
      <c r="BO450" s="376">
        <v>0.0895274042166983</v>
      </c>
      <c r="BP450" s="376">
        <v>0.0527636857231689</v>
      </c>
      <c r="BQ450" s="376">
        <v>0.086475798146241</v>
      </c>
      <c r="BR450" s="376">
        <v>0.0567764292057742</v>
      </c>
      <c r="BS450" s="376">
        <v>0.0974745110030292</v>
      </c>
      <c r="BT450" s="376">
        <v>0.0465299999999999</v>
      </c>
      <c r="BU450" s="376" t="s">
        <v>129</v>
      </c>
    </row>
    <row r="451" spans="45:73">
      <c r="AS451" s="361" t="s">
        <v>747</v>
      </c>
      <c r="AT451" s="364">
        <v>0.95</v>
      </c>
      <c r="AU451" s="365">
        <v>45716</v>
      </c>
      <c r="AV451" s="364">
        <v>2785.0319</v>
      </c>
      <c r="AW451" s="3"/>
      <c r="AX451" s="376">
        <v>0.010789</v>
      </c>
      <c r="AY451" s="376">
        <v>0.021267</v>
      </c>
      <c r="AZ451" s="376">
        <v>0.037157</v>
      </c>
      <c r="BA451" s="376">
        <v>0.078887</v>
      </c>
      <c r="BB451" s="376">
        <v>0.06174</v>
      </c>
      <c r="BC451" s="376">
        <v>0.059232</v>
      </c>
      <c r="BD451" s="376">
        <v>0.0668</v>
      </c>
      <c r="BE451" s="4"/>
      <c r="BF451" s="376">
        <v>0.021267</v>
      </c>
      <c r="BG451" s="376">
        <v>0.0763129709858259</v>
      </c>
      <c r="BH451" s="376">
        <v>0.0664533190644261</v>
      </c>
      <c r="BI451" s="376">
        <v>0.030035321644245</v>
      </c>
      <c r="BJ451" s="376">
        <v>0.0281650233891203</v>
      </c>
      <c r="BK451" s="376">
        <v>0.0950110828363709</v>
      </c>
      <c r="BL451" s="376">
        <v>0.0904137484588935</v>
      </c>
      <c r="BM451" s="376">
        <v>0.0582538977647881</v>
      </c>
      <c r="BN451" s="376">
        <v>0.0572351971349646</v>
      </c>
      <c r="BO451" s="376">
        <v>0.0889170712374912</v>
      </c>
      <c r="BP451" s="376">
        <v>0.0819461953399025</v>
      </c>
      <c r="BQ451" s="376">
        <v>0.106207576972152</v>
      </c>
      <c r="BR451" s="376">
        <v>0.0778657722924644</v>
      </c>
      <c r="BS451" s="376">
        <v>0.0944102506714414</v>
      </c>
      <c r="BT451" s="376">
        <v>0.0873890372786069</v>
      </c>
      <c r="BU451" s="376">
        <v>0.0555666163578563</v>
      </c>
    </row>
    <row r="452" spans="45:73">
      <c r="AS452" s="361" t="s">
        <v>748</v>
      </c>
      <c r="AT452" s="364">
        <v>0.04</v>
      </c>
      <c r="AU452" s="365">
        <v>45716</v>
      </c>
      <c r="AV452" s="364">
        <v>12.50937483</v>
      </c>
      <c r="AW452" s="3"/>
      <c r="AX452" s="376">
        <v>0</v>
      </c>
      <c r="AY452" s="376">
        <v>0</v>
      </c>
      <c r="AZ452" s="376">
        <v>0</v>
      </c>
      <c r="BA452" s="376">
        <v>0</v>
      </c>
      <c r="BB452" s="376">
        <v>0.029971</v>
      </c>
      <c r="BC452" s="376">
        <v>0.060871</v>
      </c>
      <c r="BD452" s="376">
        <v>0.060007</v>
      </c>
      <c r="BE452" s="4"/>
      <c r="BF452" s="376">
        <v>0</v>
      </c>
      <c r="BG452" s="376">
        <v>0</v>
      </c>
      <c r="BH452" s="376">
        <v>0.0691637622740323</v>
      </c>
      <c r="BI452" s="376">
        <v>0.0859791791202149</v>
      </c>
      <c r="BJ452" s="376">
        <v>0.150107825346953</v>
      </c>
      <c r="BK452" s="376">
        <v>-0.0534226103939817</v>
      </c>
      <c r="BL452" s="376">
        <v>0.0423375923302641</v>
      </c>
      <c r="BM452" s="376">
        <v>0.0877884650202294</v>
      </c>
      <c r="BN452" s="376">
        <v>0.086228050574576</v>
      </c>
      <c r="BO452" s="376">
        <v>0.083353151435202</v>
      </c>
      <c r="BP452" s="376">
        <v>0.0906058485792169</v>
      </c>
      <c r="BQ452" s="376">
        <v>0.116544087485351</v>
      </c>
      <c r="BR452" s="376">
        <v>0.0939595444190254</v>
      </c>
      <c r="BS452" s="376">
        <v>0.10040032759945</v>
      </c>
      <c r="BT452" s="376">
        <v>0.0901600652298902</v>
      </c>
      <c r="BU452" s="376">
        <v>0.0557876265251862</v>
      </c>
    </row>
    <row r="453" spans="45:73">
      <c r="AS453" s="361" t="s">
        <v>749</v>
      </c>
      <c r="AT453" s="364">
        <v>1.6</v>
      </c>
      <c r="AU453" s="365">
        <v>45716</v>
      </c>
      <c r="AV453" s="364">
        <v>66.047452028</v>
      </c>
      <c r="AW453" s="3"/>
      <c r="AX453" s="376">
        <v>0.011811</v>
      </c>
      <c r="AY453" s="376">
        <v>0.021648</v>
      </c>
      <c r="AZ453" s="376">
        <v>0.034944</v>
      </c>
      <c r="BA453" s="376">
        <v>0.074025</v>
      </c>
      <c r="BB453" s="376">
        <v>0.05361</v>
      </c>
      <c r="BC453" s="376">
        <v>0.047711</v>
      </c>
      <c r="BD453" s="376">
        <v>0.059506</v>
      </c>
      <c r="BE453" s="4"/>
      <c r="BF453" s="376">
        <v>0.021648</v>
      </c>
      <c r="BG453" s="376">
        <v>0.0674995644691699</v>
      </c>
      <c r="BH453" s="376">
        <v>0.0552344601038226</v>
      </c>
      <c r="BI453" s="376">
        <v>0.0202443332511669</v>
      </c>
      <c r="BJ453" s="376">
        <v>0.0237862259281094</v>
      </c>
      <c r="BK453" s="376">
        <v>0.0648576593175743</v>
      </c>
      <c r="BL453" s="376">
        <v>0.0501936475367213</v>
      </c>
      <c r="BM453" s="376">
        <v>0.0740224893961296</v>
      </c>
      <c r="BN453" s="376">
        <v>0.0601353074491275</v>
      </c>
      <c r="BO453" s="376">
        <v>0.084885204960758</v>
      </c>
      <c r="BP453" s="376">
        <v>0.0986539944289374</v>
      </c>
      <c r="BQ453" s="376">
        <v>0.0818366466307014</v>
      </c>
      <c r="BR453" s="376">
        <v>0.0314951000000001</v>
      </c>
      <c r="BS453" s="376" t="s">
        <v>129</v>
      </c>
      <c r="BT453" s="376" t="s">
        <v>129</v>
      </c>
      <c r="BU453" s="376" t="s">
        <v>129</v>
      </c>
    </row>
    <row r="454" spans="45:73">
      <c r="AS454" s="361" t="s">
        <v>750</v>
      </c>
      <c r="AT454" s="364">
        <v>0.74</v>
      </c>
      <c r="AU454" s="365">
        <v>45716</v>
      </c>
      <c r="AV454" s="364">
        <v>14390.6776</v>
      </c>
      <c r="AW454" s="3"/>
      <c r="AX454" s="376">
        <v>0.011589</v>
      </c>
      <c r="AY454" s="376">
        <v>0.022505</v>
      </c>
      <c r="AZ454" s="376">
        <v>0.039354</v>
      </c>
      <c r="BA454" s="376">
        <v>0.083911</v>
      </c>
      <c r="BB454" s="376">
        <v>0.06806</v>
      </c>
      <c r="BC454" s="376">
        <v>0.066953</v>
      </c>
      <c r="BD454" s="376">
        <v>0.074618</v>
      </c>
      <c r="BE454" s="4"/>
      <c r="BF454" s="376">
        <v>0.022505</v>
      </c>
      <c r="BG454" s="376">
        <v>0.0828544450849268</v>
      </c>
      <c r="BH454" s="376">
        <v>0.071426406286706</v>
      </c>
      <c r="BI454" s="376">
        <v>0.0353211620991847</v>
      </c>
      <c r="BJ454" s="376">
        <v>0.038645984851263</v>
      </c>
      <c r="BK454" s="376">
        <v>0.10958755475987</v>
      </c>
      <c r="BL454" s="376">
        <v>0.0971439625411691</v>
      </c>
      <c r="BM454" s="376">
        <v>0.0701118371116619</v>
      </c>
      <c r="BN454" s="376">
        <v>0.0652497187024692</v>
      </c>
      <c r="BO454" s="376">
        <v>0.0930784491869542</v>
      </c>
      <c r="BP454" s="376">
        <v>0.0869790127106119</v>
      </c>
      <c r="BQ454" s="376">
        <v>0.104095892239909</v>
      </c>
      <c r="BR454" s="376">
        <v>0.0839115298960452</v>
      </c>
      <c r="BS454" s="376">
        <v>0.100833716854887</v>
      </c>
      <c r="BT454" s="376">
        <v>0.0924103258242289</v>
      </c>
      <c r="BU454" s="376">
        <v>0.0343</v>
      </c>
    </row>
    <row r="455" spans="45:73">
      <c r="AS455" s="361" t="s">
        <v>751</v>
      </c>
      <c r="AT455" s="364">
        <v>0.75</v>
      </c>
      <c r="AU455" s="365">
        <v>45716</v>
      </c>
      <c r="AV455" s="364">
        <v>3688.1967</v>
      </c>
      <c r="AW455" s="3"/>
      <c r="AX455" s="376">
        <v>0.0117</v>
      </c>
      <c r="AY455" s="376">
        <v>0.022908</v>
      </c>
      <c r="AZ455" s="376">
        <v>0.038133</v>
      </c>
      <c r="BA455" s="376">
        <v>0.080305</v>
      </c>
      <c r="BB455" s="376">
        <v>0.060825</v>
      </c>
      <c r="BC455" s="376">
        <v>0.058294</v>
      </c>
      <c r="BD455" s="376">
        <v>0.067917</v>
      </c>
      <c r="BE455" s="4"/>
      <c r="BF455" s="376">
        <v>0.022908</v>
      </c>
      <c r="BG455" s="376">
        <v>0.0752125266322768</v>
      </c>
      <c r="BH455" s="376">
        <v>0.0659573792934628</v>
      </c>
      <c r="BI455" s="376">
        <v>0.0272844117017016</v>
      </c>
      <c r="BJ455" s="376">
        <v>0.0296369817364079</v>
      </c>
      <c r="BK455" s="376">
        <v>0.09702752602427</v>
      </c>
      <c r="BL455" s="376">
        <v>0.0929185733667532</v>
      </c>
      <c r="BM455" s="376">
        <v>0.0652508068318912</v>
      </c>
      <c r="BN455" s="376">
        <v>0.0580082933782558</v>
      </c>
      <c r="BO455" s="376">
        <v>0.0873148943964606</v>
      </c>
      <c r="BP455" s="376">
        <v>0.0817076144607693</v>
      </c>
      <c r="BQ455" s="376">
        <v>0.104067981994868</v>
      </c>
      <c r="BR455" s="376">
        <v>0.0806571864998545</v>
      </c>
      <c r="BS455" s="376">
        <v>0.09984</v>
      </c>
      <c r="BT455" s="376">
        <v>0</v>
      </c>
      <c r="BU455" s="376" t="s">
        <v>129</v>
      </c>
    </row>
    <row r="456" spans="45:73">
      <c r="AS456" s="361" t="s">
        <v>752</v>
      </c>
      <c r="AT456" s="364">
        <v>1.02</v>
      </c>
      <c r="AU456" s="365">
        <v>45716</v>
      </c>
      <c r="AV456" s="364">
        <v>20112.2257279185</v>
      </c>
      <c r="AW456" s="3"/>
      <c r="AX456" s="376">
        <v>0.011199</v>
      </c>
      <c r="AY456" s="376">
        <v>0.022328</v>
      </c>
      <c r="AZ456" s="376">
        <v>0.039506</v>
      </c>
      <c r="BA456" s="376">
        <v>0.080663</v>
      </c>
      <c r="BB456" s="376">
        <v>0.071672</v>
      </c>
      <c r="BC456" s="376">
        <v>0.068811</v>
      </c>
      <c r="BD456" s="376">
        <v>0.07461</v>
      </c>
      <c r="BE456" s="4"/>
      <c r="BF456" s="376">
        <v>0.022328</v>
      </c>
      <c r="BG456" s="376">
        <v>0.0782387749824799</v>
      </c>
      <c r="BH456" s="376">
        <v>0.074009003841827</v>
      </c>
      <c r="BI456" s="376">
        <v>0.0466011196906317</v>
      </c>
      <c r="BJ456" s="376">
        <v>0.0387700359257332</v>
      </c>
      <c r="BK456" s="376">
        <v>0.106475384436611</v>
      </c>
      <c r="BL456" s="376">
        <v>0.0966911188813045</v>
      </c>
      <c r="BM456" s="376">
        <v>0.0584689487335851</v>
      </c>
      <c r="BN456" s="376">
        <v>0.0590463889145165</v>
      </c>
      <c r="BO456" s="376">
        <v>0.111306982235996</v>
      </c>
      <c r="BP456" s="376">
        <v>0.0799092792342309</v>
      </c>
      <c r="BQ456" s="376">
        <v>0.115515943056812</v>
      </c>
      <c r="BR456" s="376">
        <v>0.0723694610957534</v>
      </c>
      <c r="BS456" s="376">
        <v>0.0954478226682144</v>
      </c>
      <c r="BT456" s="376">
        <v>0.0871142544584934</v>
      </c>
      <c r="BU456" s="376">
        <v>0.0435394377040911</v>
      </c>
    </row>
    <row r="457" spans="45:73">
      <c r="AS457" s="361" t="s">
        <v>753</v>
      </c>
      <c r="AT457" s="364">
        <v>1.05</v>
      </c>
      <c r="AU457" s="365">
        <v>45716</v>
      </c>
      <c r="AV457" s="364">
        <v>508.2917</v>
      </c>
      <c r="AW457" s="3"/>
      <c r="AX457" s="376">
        <v>0.01078</v>
      </c>
      <c r="AY457" s="376">
        <v>0.021949</v>
      </c>
      <c r="AZ457" s="376">
        <v>0.036791</v>
      </c>
      <c r="BA457" s="376">
        <v>0.077574</v>
      </c>
      <c r="BB457" s="376">
        <v>0.059931</v>
      </c>
      <c r="BC457" s="376">
        <v>0.056896</v>
      </c>
      <c r="BD457" s="376">
        <v>0.064512</v>
      </c>
      <c r="BE457" s="4"/>
      <c r="BF457" s="376">
        <v>0.021949</v>
      </c>
      <c r="BG457" s="376">
        <v>0.0790485020505009</v>
      </c>
      <c r="BH457" s="376">
        <v>0.0622419196624264</v>
      </c>
      <c r="BI457" s="376">
        <v>0.0255767661192904</v>
      </c>
      <c r="BJ457" s="376">
        <v>0.0257347530030106</v>
      </c>
      <c r="BK457" s="376">
        <v>0.0949441328890282</v>
      </c>
      <c r="BL457" s="376">
        <v>0.0925898440027248</v>
      </c>
      <c r="BM457" s="376">
        <v>0.054538741388963</v>
      </c>
      <c r="BN457" s="376">
        <v>0.0482817767893554</v>
      </c>
      <c r="BO457" s="376">
        <v>0.0963509878839806</v>
      </c>
      <c r="BP457" s="376">
        <v>0.0708558976663673</v>
      </c>
      <c r="BQ457" s="376">
        <v>0.0953253148379234</v>
      </c>
      <c r="BR457" s="376">
        <v>0.0657439107204633</v>
      </c>
      <c r="BS457" s="376">
        <v>0.108212875926504</v>
      </c>
      <c r="BT457" s="376">
        <v>0.0959624646939362</v>
      </c>
      <c r="BU457" s="376">
        <v>0.0394697466009916</v>
      </c>
    </row>
    <row r="458" spans="45:73">
      <c r="AS458" s="361" t="s">
        <v>754</v>
      </c>
      <c r="AT458" s="364">
        <v>1.06</v>
      </c>
      <c r="AU458" s="365">
        <v>45716</v>
      </c>
      <c r="AV458" s="364">
        <v>114.814272089</v>
      </c>
      <c r="AW458" s="3"/>
      <c r="AX458" s="376">
        <v>0.010624</v>
      </c>
      <c r="AY458" s="376">
        <v>0.021423</v>
      </c>
      <c r="AZ458" s="376">
        <v>0.035663</v>
      </c>
      <c r="BA458" s="376">
        <v>0.075663</v>
      </c>
      <c r="BB458" s="376" t="s">
        <v>129</v>
      </c>
      <c r="BC458" s="376" t="s">
        <v>129</v>
      </c>
      <c r="BD458" s="376" t="s">
        <v>129</v>
      </c>
      <c r="BE458" s="4"/>
      <c r="BF458" s="376">
        <v>0.021423</v>
      </c>
      <c r="BG458" s="376">
        <v>0.0704814295139245</v>
      </c>
      <c r="BH458" s="376">
        <v>0.06054812610251</v>
      </c>
      <c r="BI458" s="376">
        <v>0.01473</v>
      </c>
      <c r="BJ458" s="376" t="s">
        <v>129</v>
      </c>
      <c r="BK458" s="376" t="s">
        <v>129</v>
      </c>
      <c r="BL458" s="376" t="s">
        <v>129</v>
      </c>
      <c r="BM458" s="376" t="s">
        <v>129</v>
      </c>
      <c r="BN458" s="376" t="s">
        <v>129</v>
      </c>
      <c r="BO458" s="376" t="s">
        <v>129</v>
      </c>
      <c r="BP458" s="376" t="s">
        <v>129</v>
      </c>
      <c r="BQ458" s="376" t="s">
        <v>129</v>
      </c>
      <c r="BR458" s="376" t="s">
        <v>129</v>
      </c>
      <c r="BS458" s="376" t="s">
        <v>129</v>
      </c>
      <c r="BT458" s="376" t="s">
        <v>129</v>
      </c>
      <c r="BU458" s="376" t="s">
        <v>129</v>
      </c>
    </row>
    <row r="459" spans="45:73">
      <c r="AS459" s="361" t="s">
        <v>755</v>
      </c>
      <c r="AT459" s="364">
        <v>1.12</v>
      </c>
      <c r="AU459" s="365">
        <v>45716</v>
      </c>
      <c r="AV459" s="364">
        <v>17187.7222</v>
      </c>
      <c r="AW459" s="3"/>
      <c r="AX459" s="376">
        <v>0.011215</v>
      </c>
      <c r="AY459" s="376">
        <v>0.022009</v>
      </c>
      <c r="AZ459" s="376">
        <v>0.03704</v>
      </c>
      <c r="BA459" s="376">
        <v>0.079758</v>
      </c>
      <c r="BB459" s="376">
        <v>0.061976</v>
      </c>
      <c r="BC459" s="376">
        <v>0.06064</v>
      </c>
      <c r="BD459" s="376">
        <v>0.069227</v>
      </c>
      <c r="BE459" s="4"/>
      <c r="BF459" s="376">
        <v>0.022009</v>
      </c>
      <c r="BG459" s="376">
        <v>0.077352084830669</v>
      </c>
      <c r="BH459" s="376">
        <v>0.0645425887802366</v>
      </c>
      <c r="BI459" s="376">
        <v>0.0300471439119981</v>
      </c>
      <c r="BJ459" s="376">
        <v>0.032802432561914</v>
      </c>
      <c r="BK459" s="376">
        <v>0.100025543470954</v>
      </c>
      <c r="BL459" s="376">
        <v>0.0956529168115104</v>
      </c>
      <c r="BM459" s="376">
        <v>0.0632074821622096</v>
      </c>
      <c r="BN459" s="376">
        <v>0.0541249962855719</v>
      </c>
      <c r="BO459" s="376">
        <v>0.0970161687577874</v>
      </c>
      <c r="BP459" s="376">
        <v>0.0803509238751888</v>
      </c>
      <c r="BQ459" s="376">
        <v>0.102076900519225</v>
      </c>
      <c r="BR459" s="376">
        <v>0.0725985133378665</v>
      </c>
      <c r="BS459" s="376">
        <v>0.0972389991371873</v>
      </c>
      <c r="BT459" s="376">
        <v>0.0822494177615678</v>
      </c>
      <c r="BU459" s="376">
        <v>0.0403853956534412</v>
      </c>
    </row>
    <row r="460" spans="45:73">
      <c r="AS460" s="361" t="s">
        <v>756</v>
      </c>
      <c r="AT460" s="364">
        <v>1.32</v>
      </c>
      <c r="AU460" s="365">
        <v>45716</v>
      </c>
      <c r="AV460" s="364">
        <v>120.7007</v>
      </c>
      <c r="AW460" s="3"/>
      <c r="AX460" s="376">
        <v>0.010274</v>
      </c>
      <c r="AY460" s="376">
        <v>0.021011</v>
      </c>
      <c r="AZ460" s="376">
        <v>0.035553</v>
      </c>
      <c r="BA460" s="376">
        <v>0.076703</v>
      </c>
      <c r="BB460" s="376">
        <v>0.057039</v>
      </c>
      <c r="BC460" s="376">
        <v>0.052799</v>
      </c>
      <c r="BD460" s="376" t="s">
        <v>129</v>
      </c>
      <c r="BE460" s="4"/>
      <c r="BF460" s="376">
        <v>0.021011</v>
      </c>
      <c r="BG460" s="376">
        <v>0.0743752692804825</v>
      </c>
      <c r="BH460" s="376">
        <v>0.0619995424388013</v>
      </c>
      <c r="BI460" s="376">
        <v>0.0203336417977641</v>
      </c>
      <c r="BJ460" s="376">
        <v>0.0220951634343365</v>
      </c>
      <c r="BK460" s="376">
        <v>0.08270981908092</v>
      </c>
      <c r="BL460" s="376">
        <v>0.08391</v>
      </c>
      <c r="BM460" s="376" t="s">
        <v>129</v>
      </c>
      <c r="BN460" s="376" t="s">
        <v>129</v>
      </c>
      <c r="BO460" s="376" t="s">
        <v>129</v>
      </c>
      <c r="BP460" s="376" t="s">
        <v>129</v>
      </c>
      <c r="BQ460" s="376" t="s">
        <v>129</v>
      </c>
      <c r="BR460" s="376" t="s">
        <v>129</v>
      </c>
      <c r="BS460" s="376" t="s">
        <v>129</v>
      </c>
      <c r="BT460" s="376" t="s">
        <v>129</v>
      </c>
      <c r="BU460" s="376" t="s">
        <v>129</v>
      </c>
    </row>
    <row r="461" spans="45:73">
      <c r="AS461" s="361" t="s">
        <v>757</v>
      </c>
      <c r="AT461" s="364">
        <v>1.26</v>
      </c>
      <c r="AU461" s="365">
        <v>45716</v>
      </c>
      <c r="AV461" s="364">
        <v>65.976</v>
      </c>
      <c r="AW461" s="3"/>
      <c r="AX461" s="376">
        <v>0.010278</v>
      </c>
      <c r="AY461" s="376">
        <v>0.021103</v>
      </c>
      <c r="AZ461" s="376">
        <v>0.036166</v>
      </c>
      <c r="BA461" s="376">
        <v>0.078346</v>
      </c>
      <c r="BB461" s="376">
        <v>0.060648</v>
      </c>
      <c r="BC461" s="376" t="s">
        <v>129</v>
      </c>
      <c r="BD461" s="376" t="s">
        <v>129</v>
      </c>
      <c r="BE461" s="4"/>
      <c r="BF461" s="376">
        <v>0.021103</v>
      </c>
      <c r="BG461" s="376">
        <v>0.0747723573659438</v>
      </c>
      <c r="BH461" s="376">
        <v>0.0661757808835945</v>
      </c>
      <c r="BI461" s="376">
        <v>0.0271702476153772</v>
      </c>
      <c r="BJ461" s="376">
        <v>0.0379</v>
      </c>
      <c r="BK461" s="376" t="s">
        <v>129</v>
      </c>
      <c r="BL461" s="376" t="s">
        <v>129</v>
      </c>
      <c r="BM461" s="376" t="s">
        <v>129</v>
      </c>
      <c r="BN461" s="376" t="s">
        <v>129</v>
      </c>
      <c r="BO461" s="376" t="s">
        <v>129</v>
      </c>
      <c r="BP461" s="376" t="s">
        <v>129</v>
      </c>
      <c r="BQ461" s="376" t="s">
        <v>129</v>
      </c>
      <c r="BR461" s="376" t="s">
        <v>129</v>
      </c>
      <c r="BS461" s="376" t="s">
        <v>129</v>
      </c>
      <c r="BT461" s="376" t="s">
        <v>129</v>
      </c>
      <c r="BU461" s="376" t="s">
        <v>129</v>
      </c>
    </row>
    <row r="462" spans="45:73">
      <c r="AS462" s="361" t="s">
        <v>758</v>
      </c>
      <c r="AT462" s="364">
        <v>1.11</v>
      </c>
      <c r="AU462" s="365">
        <v>45716</v>
      </c>
      <c r="AV462" s="364">
        <v>341.966304793</v>
      </c>
      <c r="AW462" s="3"/>
      <c r="AX462" s="376">
        <v>0.011502</v>
      </c>
      <c r="AY462" s="376">
        <v>0.02319</v>
      </c>
      <c r="AZ462" s="376">
        <v>0.038375</v>
      </c>
      <c r="BA462" s="376">
        <v>0.079661</v>
      </c>
      <c r="BB462" s="376">
        <v>0.061613</v>
      </c>
      <c r="BC462" s="376">
        <v>0.057107</v>
      </c>
      <c r="BD462" s="376" t="s">
        <v>129</v>
      </c>
      <c r="BE462" s="4"/>
      <c r="BF462" s="376">
        <v>0.02319</v>
      </c>
      <c r="BG462" s="376">
        <v>0.0757020495345863</v>
      </c>
      <c r="BH462" s="376">
        <v>0.0632400859809962</v>
      </c>
      <c r="BI462" s="376">
        <v>0.0307364696119188</v>
      </c>
      <c r="BJ462" s="376">
        <v>0.0311281533804238</v>
      </c>
      <c r="BK462" s="376">
        <v>0.0855658087300961</v>
      </c>
      <c r="BL462" s="376">
        <v>0.093834474032323</v>
      </c>
      <c r="BM462" s="376">
        <v>0.04322</v>
      </c>
      <c r="BN462" s="376" t="s">
        <v>129</v>
      </c>
      <c r="BO462" s="376" t="s">
        <v>129</v>
      </c>
      <c r="BP462" s="376" t="s">
        <v>129</v>
      </c>
      <c r="BQ462" s="376" t="s">
        <v>129</v>
      </c>
      <c r="BR462" s="376" t="s">
        <v>129</v>
      </c>
      <c r="BS462" s="376" t="s">
        <v>129</v>
      </c>
      <c r="BT462" s="376" t="s">
        <v>129</v>
      </c>
      <c r="BU462" s="376" t="s">
        <v>129</v>
      </c>
    </row>
    <row r="463" spans="45:73">
      <c r="AS463" s="361" t="s">
        <v>759</v>
      </c>
      <c r="AT463" s="364">
        <v>0.93</v>
      </c>
      <c r="AU463" s="365">
        <v>45716</v>
      </c>
      <c r="AV463" s="364">
        <v>6339.9658</v>
      </c>
      <c r="AW463" s="3"/>
      <c r="AX463" s="376">
        <v>0.011243</v>
      </c>
      <c r="AY463" s="376">
        <v>0.02283</v>
      </c>
      <c r="AZ463" s="376">
        <v>0.039782</v>
      </c>
      <c r="BA463" s="376">
        <v>0.082549</v>
      </c>
      <c r="BB463" s="376">
        <v>0.064152</v>
      </c>
      <c r="BC463" s="376">
        <v>0.064247</v>
      </c>
      <c r="BD463" s="376">
        <v>0.070002</v>
      </c>
      <c r="BE463" s="4"/>
      <c r="BF463" s="376">
        <v>0.02283</v>
      </c>
      <c r="BG463" s="376">
        <v>0.0797977007950223</v>
      </c>
      <c r="BH463" s="376">
        <v>0.0682123840368887</v>
      </c>
      <c r="BI463" s="376">
        <v>0.0320345012357277</v>
      </c>
      <c r="BJ463" s="376">
        <v>0.0441635713387838</v>
      </c>
      <c r="BK463" s="376">
        <v>0.0947536852103194</v>
      </c>
      <c r="BL463" s="376">
        <v>0.0935338620966409</v>
      </c>
      <c r="BM463" s="376">
        <v>0.0550821734000393</v>
      </c>
      <c r="BN463" s="376">
        <v>0.0569489049173423</v>
      </c>
      <c r="BO463" s="376">
        <v>0.0977564739326906</v>
      </c>
      <c r="BP463" s="376">
        <v>0.08122854364306</v>
      </c>
      <c r="BQ463" s="376">
        <v>0.113269157188076</v>
      </c>
      <c r="BR463" s="376">
        <v>0.0750957102189063</v>
      </c>
      <c r="BS463" s="376">
        <v>0.0981089654747606</v>
      </c>
      <c r="BT463" s="376">
        <v>0.0789492631217496</v>
      </c>
      <c r="BU463" s="376">
        <v>0.050213463932157</v>
      </c>
    </row>
    <row r="464" spans="45:73">
      <c r="AS464" s="361" t="s">
        <v>760</v>
      </c>
      <c r="AT464" s="364">
        <v>0.85</v>
      </c>
      <c r="AU464" s="365">
        <v>45716</v>
      </c>
      <c r="AV464" s="364">
        <v>13905.2937</v>
      </c>
      <c r="AW464" s="3"/>
      <c r="AX464" s="376">
        <v>0.010945</v>
      </c>
      <c r="AY464" s="376">
        <v>0.022418</v>
      </c>
      <c r="AZ464" s="376">
        <v>0.038654</v>
      </c>
      <c r="BA464" s="376">
        <v>0.080548</v>
      </c>
      <c r="BB464" s="376">
        <v>0.064186</v>
      </c>
      <c r="BC464" s="376">
        <v>0.061262</v>
      </c>
      <c r="BD464" s="376">
        <v>0.06947</v>
      </c>
      <c r="BE464" s="4"/>
      <c r="BF464" s="376">
        <v>0.022418</v>
      </c>
      <c r="BG464" s="376">
        <v>0.0772236936731508</v>
      </c>
      <c r="BH464" s="376">
        <v>0.0672619716200532</v>
      </c>
      <c r="BI464" s="376">
        <v>0.0353047887061887</v>
      </c>
      <c r="BJ464" s="376">
        <v>0.0277430303802915</v>
      </c>
      <c r="BK464" s="376">
        <v>0.0985422383271846</v>
      </c>
      <c r="BL464" s="376">
        <v>0.0947833919451126</v>
      </c>
      <c r="BM464" s="376">
        <v>0.0598103981435877</v>
      </c>
      <c r="BN464" s="376">
        <v>0.0573508646654891</v>
      </c>
      <c r="BO464" s="376">
        <v>0.0990299396957646</v>
      </c>
      <c r="BP464" s="376">
        <v>0.0816430732311304</v>
      </c>
      <c r="BQ464" s="376">
        <v>0.102835182161158</v>
      </c>
      <c r="BR464" s="376">
        <v>0.076849613061175</v>
      </c>
      <c r="BS464" s="376">
        <v>0.102602460386441</v>
      </c>
      <c r="BT464" s="376">
        <v>0.0876928251324892</v>
      </c>
      <c r="BU464" s="376">
        <v>0.0483837151679183</v>
      </c>
    </row>
    <row r="465" spans="45:73">
      <c r="AS465" s="361" t="s">
        <v>761</v>
      </c>
      <c r="AT465" s="364">
        <v>1.14</v>
      </c>
      <c r="AU465" s="365">
        <v>45716</v>
      </c>
      <c r="AV465" s="364">
        <v>213.140082</v>
      </c>
      <c r="AW465" s="3"/>
      <c r="AX465" s="376">
        <v>0.010556</v>
      </c>
      <c r="AY465" s="376">
        <v>0.02126</v>
      </c>
      <c r="AZ465" s="376">
        <v>0.036326</v>
      </c>
      <c r="BA465" s="376">
        <v>0.081224</v>
      </c>
      <c r="BB465" s="376">
        <v>0.065119</v>
      </c>
      <c r="BC465" s="376">
        <v>0.062763</v>
      </c>
      <c r="BD465" s="376">
        <v>0.058671</v>
      </c>
      <c r="BE465" s="4"/>
      <c r="BF465" s="376">
        <v>0.02126</v>
      </c>
      <c r="BG465" s="376">
        <v>0.0791876726475421</v>
      </c>
      <c r="BH465" s="376">
        <v>0.068555850608422</v>
      </c>
      <c r="BI465" s="376">
        <v>0.0345003078878331</v>
      </c>
      <c r="BJ465" s="376">
        <v>0.0320842268995598</v>
      </c>
      <c r="BK465" s="376">
        <v>0.103068230925591</v>
      </c>
      <c r="BL465" s="376">
        <v>-0.0166919527349873</v>
      </c>
      <c r="BM465" s="376">
        <v>0.0602090396988547</v>
      </c>
      <c r="BN465" s="376">
        <v>0.0573718140982437</v>
      </c>
      <c r="BO465" s="376">
        <v>0.09567332042018</v>
      </c>
      <c r="BP465" s="376">
        <v>0.0808424395645725</v>
      </c>
      <c r="BQ465" s="376">
        <v>0.0987071063239763</v>
      </c>
      <c r="BR465" s="376">
        <v>0.0782902293160124</v>
      </c>
      <c r="BS465" s="376">
        <v>0.102173331805508</v>
      </c>
      <c r="BT465" s="376">
        <v>0.0909204550189591</v>
      </c>
      <c r="BU465" s="376">
        <v>0.053042982241696</v>
      </c>
    </row>
    <row r="466" spans="45:73">
      <c r="AS466" s="361" t="s">
        <v>762</v>
      </c>
      <c r="AT466" s="364">
        <v>1.2</v>
      </c>
      <c r="AU466" s="365">
        <v>45716</v>
      </c>
      <c r="AV466" s="364">
        <v>2746.5660851249</v>
      </c>
      <c r="AW466" s="3"/>
      <c r="AX466" s="376">
        <v>0.011809</v>
      </c>
      <c r="AY466" s="376">
        <v>0.022337</v>
      </c>
      <c r="AZ466" s="376">
        <v>0.037107</v>
      </c>
      <c r="BA466" s="376">
        <v>0.077186</v>
      </c>
      <c r="BB466" s="376">
        <v>0.06147</v>
      </c>
      <c r="BC466" s="376">
        <v>0.058276</v>
      </c>
      <c r="BD466" s="376">
        <v>0.060435</v>
      </c>
      <c r="BE466" s="4"/>
      <c r="BF466" s="376">
        <v>0.022337</v>
      </c>
      <c r="BG466" s="376">
        <v>0.0736693748188593</v>
      </c>
      <c r="BH466" s="376">
        <v>0.0676135626378671</v>
      </c>
      <c r="BI466" s="376">
        <v>0.0290762020928292</v>
      </c>
      <c r="BJ466" s="376">
        <v>0.0253044911456661</v>
      </c>
      <c r="BK466" s="376">
        <v>0.097544342277884</v>
      </c>
      <c r="BL466" s="376">
        <v>0.0903757384797165</v>
      </c>
      <c r="BM466" s="376">
        <v>-0.00201562185550412</v>
      </c>
      <c r="BN466" s="376">
        <v>0.0558194971497628</v>
      </c>
      <c r="BO466" s="376">
        <v>0.0918651059772857</v>
      </c>
      <c r="BP466" s="376">
        <v>0.0823468943356102</v>
      </c>
      <c r="BQ466" s="376">
        <v>0.10562937320788</v>
      </c>
      <c r="BR466" s="376">
        <v>0.0910420423405132</v>
      </c>
      <c r="BS466" s="376">
        <v>0.095580076119759</v>
      </c>
      <c r="BT466" s="376">
        <v>0.0840523662036751</v>
      </c>
      <c r="BU466" s="376">
        <v>0.0473636492087414</v>
      </c>
    </row>
    <row r="467" spans="45:73">
      <c r="AS467" s="361" t="s">
        <v>763</v>
      </c>
      <c r="AT467" s="364">
        <v>0.73</v>
      </c>
      <c r="AU467" s="365">
        <v>45716</v>
      </c>
      <c r="AV467" s="364">
        <v>105.737855478</v>
      </c>
      <c r="AW467" s="3"/>
      <c r="AX467" s="376">
        <v>0.010959</v>
      </c>
      <c r="AY467" s="376">
        <v>0.022089</v>
      </c>
      <c r="AZ467" s="376">
        <v>0.036554</v>
      </c>
      <c r="BA467" s="376">
        <v>0.077069</v>
      </c>
      <c r="BB467" s="376">
        <v>0.060746</v>
      </c>
      <c r="BC467" s="376" t="s">
        <v>129</v>
      </c>
      <c r="BD467" s="376" t="s">
        <v>129</v>
      </c>
      <c r="BE467" s="4"/>
      <c r="BF467" s="376">
        <v>0.022089</v>
      </c>
      <c r="BG467" s="376">
        <v>0.071428507419405</v>
      </c>
      <c r="BH467" s="376">
        <v>0.065900609311704</v>
      </c>
      <c r="BI467" s="376">
        <v>0.0322974358883342</v>
      </c>
      <c r="BJ467" s="376">
        <v>0.0141641</v>
      </c>
      <c r="BK467" s="376" t="s">
        <v>129</v>
      </c>
      <c r="BL467" s="376" t="s">
        <v>129</v>
      </c>
      <c r="BM467" s="376" t="s">
        <v>129</v>
      </c>
      <c r="BN467" s="376" t="s">
        <v>129</v>
      </c>
      <c r="BO467" s="376" t="s">
        <v>129</v>
      </c>
      <c r="BP467" s="376" t="s">
        <v>129</v>
      </c>
      <c r="BQ467" s="376" t="s">
        <v>129</v>
      </c>
      <c r="BR467" s="376" t="s">
        <v>129</v>
      </c>
      <c r="BS467" s="376" t="s">
        <v>129</v>
      </c>
      <c r="BT467" s="376" t="s">
        <v>129</v>
      </c>
      <c r="BU467" s="376" t="s">
        <v>129</v>
      </c>
    </row>
    <row r="468" spans="45:73">
      <c r="AS468" s="361" t="s">
        <v>764</v>
      </c>
      <c r="AT468" s="364">
        <v>0.83</v>
      </c>
      <c r="AU468" s="365">
        <v>45716</v>
      </c>
      <c r="AV468" s="364">
        <v>447.2922</v>
      </c>
      <c r="AW468" s="3"/>
      <c r="AX468" s="376">
        <v>0.010241</v>
      </c>
      <c r="AY468" s="376" t="s">
        <v>129</v>
      </c>
      <c r="AZ468" s="376" t="s">
        <v>129</v>
      </c>
      <c r="BA468" s="376" t="s">
        <v>129</v>
      </c>
      <c r="BB468" s="376" t="s">
        <v>129</v>
      </c>
      <c r="BC468" s="376" t="s">
        <v>129</v>
      </c>
      <c r="BD468" s="376" t="s">
        <v>129</v>
      </c>
      <c r="BE468" s="4"/>
      <c r="BF468" s="376" t="s">
        <v>129</v>
      </c>
      <c r="BG468" s="376" t="s">
        <v>129</v>
      </c>
      <c r="BH468" s="376" t="s">
        <v>129</v>
      </c>
      <c r="BI468" s="376" t="s">
        <v>129</v>
      </c>
      <c r="BJ468" s="376" t="s">
        <v>129</v>
      </c>
      <c r="BK468" s="376" t="s">
        <v>129</v>
      </c>
      <c r="BL468" s="376" t="s">
        <v>129</v>
      </c>
      <c r="BM468" s="376" t="s">
        <v>129</v>
      </c>
      <c r="BN468" s="376" t="s">
        <v>129</v>
      </c>
      <c r="BO468" s="376" t="s">
        <v>129</v>
      </c>
      <c r="BP468" s="376" t="s">
        <v>129</v>
      </c>
      <c r="BQ468" s="376" t="s">
        <v>129</v>
      </c>
      <c r="BR468" s="376" t="s">
        <v>129</v>
      </c>
      <c r="BS468" s="376" t="s">
        <v>129</v>
      </c>
      <c r="BT468" s="376" t="s">
        <v>129</v>
      </c>
      <c r="BU468" s="376" t="s">
        <v>129</v>
      </c>
    </row>
    <row r="469" ht="15.15" spans="45:73">
      <c r="AS469" s="361" t="s">
        <v>765</v>
      </c>
      <c r="AT469" s="364">
        <v>0.85</v>
      </c>
      <c r="AU469" s="365">
        <v>45716</v>
      </c>
      <c r="AV469" s="364">
        <v>2446.0795</v>
      </c>
      <c r="AW469" s="3"/>
      <c r="AX469" s="376">
        <v>0.010999</v>
      </c>
      <c r="AY469" s="376">
        <v>0.021431</v>
      </c>
      <c r="AZ469" s="376">
        <v>0.037422</v>
      </c>
      <c r="BA469" s="376">
        <v>0.078116</v>
      </c>
      <c r="BB469" s="376">
        <v>0.066212</v>
      </c>
      <c r="BC469" s="376">
        <v>0.07479</v>
      </c>
      <c r="BD469" s="376">
        <v>0.063084</v>
      </c>
      <c r="BE469" s="4"/>
      <c r="BF469" s="376">
        <v>0.021431</v>
      </c>
      <c r="BG469" s="376">
        <v>0.0789270887712233</v>
      </c>
      <c r="BH469" s="376">
        <v>0.069204861730767</v>
      </c>
      <c r="BI469" s="376">
        <v>0.0377446962771492</v>
      </c>
      <c r="BJ469" s="376">
        <v>0.0838198302848088</v>
      </c>
      <c r="BK469" s="376">
        <v>0.104759073945639</v>
      </c>
      <c r="BL469" s="376">
        <v>-0.0391497309475995</v>
      </c>
      <c r="BM469" s="376">
        <v>0.0600755449617469</v>
      </c>
      <c r="BN469" s="376">
        <v>0.0606939509942351</v>
      </c>
      <c r="BO469" s="376">
        <v>0.100841703608103</v>
      </c>
      <c r="BP469" s="376">
        <v>0.0829089848449862</v>
      </c>
      <c r="BQ469" s="376">
        <v>0.109181960948189</v>
      </c>
      <c r="BR469" s="376">
        <v>0.089851985161788</v>
      </c>
      <c r="BS469" s="376">
        <v>0.112459447753998</v>
      </c>
      <c r="BT469" s="376">
        <v>0.107007164567955</v>
      </c>
      <c r="BU469" s="376">
        <v>0.059033166637926</v>
      </c>
    </row>
    <row r="470" ht="15.15" spans="45:73">
      <c r="AS470" s="312" t="s">
        <v>162</v>
      </c>
      <c r="AT470"/>
      <c r="AU470"/>
      <c r="AV470"/>
      <c r="AW470" s="377"/>
      <c r="AX470" s="378">
        <f t="shared" ref="AX470:BD470" si="50">AVERAGE(AX445:AX469)</f>
        <v>0.01057776</v>
      </c>
      <c r="AY470" s="378">
        <f t="shared" si="50"/>
        <v>0.0210408333333333</v>
      </c>
      <c r="AZ470" s="378">
        <f t="shared" si="50"/>
        <v>0.0365890833333333</v>
      </c>
      <c r="BA470" s="378">
        <f t="shared" si="50"/>
        <v>0.0765162916666667</v>
      </c>
      <c r="BB470" s="378">
        <f t="shared" si="50"/>
        <v>0.0624335652173913</v>
      </c>
      <c r="BC470" s="378">
        <f t="shared" si="50"/>
        <v>0.0618034761904762</v>
      </c>
      <c r="BD470" s="378">
        <f t="shared" si="50"/>
        <v>0.0666122631578947</v>
      </c>
      <c r="BE470" s="377"/>
      <c r="BF470" s="378">
        <f t="shared" ref="BF470:BU470" si="51">AVERAGE(BF445:BF469)</f>
        <v>0.0210408333333333</v>
      </c>
      <c r="BG470" s="378">
        <f t="shared" si="51"/>
        <v>0.0737332973150681</v>
      </c>
      <c r="BH470" s="378">
        <f t="shared" si="51"/>
        <v>0.0660584832888446</v>
      </c>
      <c r="BI470" s="378">
        <f t="shared" si="51"/>
        <v>0.0428973069756092</v>
      </c>
      <c r="BJ470" s="378">
        <f t="shared" si="51"/>
        <v>0.0386524316191392</v>
      </c>
      <c r="BK470" s="378">
        <f t="shared" si="51"/>
        <v>0.0830651987749423</v>
      </c>
      <c r="BL470" s="378">
        <f t="shared" si="51"/>
        <v>0.0656743485946606</v>
      </c>
      <c r="BM470" s="378">
        <f t="shared" si="51"/>
        <v>0.0594625553105745</v>
      </c>
      <c r="BN470" s="378">
        <f t="shared" si="51"/>
        <v>0.0610796995956637</v>
      </c>
      <c r="BO470" s="378">
        <f t="shared" si="51"/>
        <v>0.0952611597336572</v>
      </c>
      <c r="BP470" s="378">
        <f t="shared" si="51"/>
        <v>0.0817319426109349</v>
      </c>
      <c r="BQ470" s="378">
        <f t="shared" si="51"/>
        <v>0.102417950137612</v>
      </c>
      <c r="BR470" s="378">
        <f t="shared" si="51"/>
        <v>0.0762317805573368</v>
      </c>
      <c r="BS470" s="378">
        <f t="shared" si="51"/>
        <v>0.0987616896766944</v>
      </c>
      <c r="BT470" s="378">
        <f t="shared" si="51"/>
        <v>0.081524968628123</v>
      </c>
      <c r="BU470" s="378">
        <f t="shared" si="51"/>
        <v>0.0453166686365977</v>
      </c>
    </row>
    <row r="471" spans="45:73">
      <c r="AS471" s="312" t="s">
        <v>178</v>
      </c>
      <c r="AT471"/>
      <c r="AU471"/>
      <c r="AV471"/>
      <c r="AW471"/>
      <c r="AX471" s="379">
        <v>0.0087263867959253</v>
      </c>
      <c r="AY471" s="379">
        <v>0.0207643930788102</v>
      </c>
      <c r="AZ471" s="379">
        <v>0.0377184412193585</v>
      </c>
      <c r="BA471" s="379">
        <v>0.080280059411505</v>
      </c>
      <c r="BB471" s="379">
        <v>0.0659301709109001</v>
      </c>
      <c r="BC471" s="379">
        <v>0.0655149768088614</v>
      </c>
      <c r="BD471" s="379">
        <v>0.0738047315298365</v>
      </c>
      <c r="BE471" s="382"/>
      <c r="BF471" s="379">
        <v>0.0207643930788102</v>
      </c>
      <c r="BG471" s="379">
        <v>0.0797029257152309</v>
      </c>
      <c r="BH471" s="379">
        <v>0.0725988870220093</v>
      </c>
      <c r="BI471" s="379">
        <v>0.0358682288812193</v>
      </c>
      <c r="BJ471" s="379">
        <v>0.0437965988907254</v>
      </c>
      <c r="BK471" s="379">
        <v>0.104161972570555</v>
      </c>
      <c r="BL471" s="379">
        <v>0.0953364838894115</v>
      </c>
      <c r="BM471" s="379">
        <v>0.0665068187794211</v>
      </c>
      <c r="BN471" s="379">
        <v>0.0602957159773323</v>
      </c>
      <c r="BO471" s="379">
        <v>0.0986738756953636</v>
      </c>
      <c r="BP471" s="379">
        <v>0.0865549936165921</v>
      </c>
      <c r="BQ471" s="379">
        <v>0.104681934209951</v>
      </c>
      <c r="BR471" s="379">
        <v>0.0827206164504672</v>
      </c>
      <c r="BS471" s="379">
        <v>0.0912371315059957</v>
      </c>
      <c r="BT471" s="379">
        <v>0.0786771029274067</v>
      </c>
      <c r="BU471" s="379">
        <v>0.0470040326565153</v>
      </c>
    </row>
    <row r="472" ht="15.15" spans="45:73">
      <c r="AS472"/>
      <c r="AT472"/>
      <c r="AU472"/>
      <c r="AV472"/>
      <c r="AW472"/>
      <c r="AX472"/>
      <c r="AY472"/>
      <c r="AZ472"/>
      <c r="BA472"/>
      <c r="BB472"/>
      <c r="BC472"/>
      <c r="BD472"/>
      <c r="BE472"/>
      <c r="BF472"/>
      <c r="BG472"/>
      <c r="BH472"/>
      <c r="BI472"/>
      <c r="BJ472"/>
      <c r="BK472"/>
      <c r="BL472"/>
      <c r="BM472"/>
      <c r="BN472"/>
      <c r="BO472"/>
      <c r="BP472"/>
      <c r="BQ472"/>
      <c r="BR472"/>
      <c r="BS472"/>
      <c r="BT472"/>
      <c r="BU472"/>
    </row>
    <row r="473" ht="15.15" spans="45:73">
      <c r="AS473" s="320" t="s">
        <v>766</v>
      </c>
      <c r="AT473" s="351" t="s">
        <v>87</v>
      </c>
      <c r="AU473" s="393" t="s">
        <v>110</v>
      </c>
      <c r="AV473" s="394"/>
      <c r="AW473" s="368"/>
      <c r="AX473" s="325" t="s">
        <v>113</v>
      </c>
      <c r="AY473" s="326"/>
      <c r="AZ473" s="326"/>
      <c r="BA473" s="326"/>
      <c r="BB473" s="326"/>
      <c r="BC473" s="326"/>
      <c r="BD473" s="345"/>
      <c r="BE473" s="368"/>
      <c r="BF473" s="393" t="s">
        <v>114</v>
      </c>
      <c r="BG473" s="396"/>
      <c r="BH473" s="396"/>
      <c r="BI473" s="396"/>
      <c r="BJ473" s="396"/>
      <c r="BK473" s="396"/>
      <c r="BL473" s="396"/>
      <c r="BM473" s="396"/>
      <c r="BN473" s="396"/>
      <c r="BO473" s="396"/>
      <c r="BP473" s="396"/>
      <c r="BQ473" s="396"/>
      <c r="BR473" s="396"/>
      <c r="BS473" s="396"/>
      <c r="BT473" s="396"/>
      <c r="BU473" s="398"/>
    </row>
    <row r="474" ht="15.15" spans="45:73">
      <c r="AS474" s="322"/>
      <c r="AT474" s="355" t="s">
        <v>121</v>
      </c>
      <c r="AU474" s="356" t="s">
        <v>115</v>
      </c>
      <c r="AV474" s="357" t="s">
        <v>116</v>
      </c>
      <c r="AW474" s="369"/>
      <c r="AX474" s="266" t="s">
        <v>122</v>
      </c>
      <c r="AY474" s="268" t="s">
        <v>123</v>
      </c>
      <c r="AZ474" s="268" t="s">
        <v>124</v>
      </c>
      <c r="BA474" s="268" t="s">
        <v>91</v>
      </c>
      <c r="BB474" s="268" t="s">
        <v>125</v>
      </c>
      <c r="BC474" s="268" t="s">
        <v>126</v>
      </c>
      <c r="BD474" s="269" t="s">
        <v>127</v>
      </c>
      <c r="BE474" s="369"/>
      <c r="BF474" s="266">
        <v>2025</v>
      </c>
      <c r="BG474" s="266">
        <v>2024</v>
      </c>
      <c r="BH474" s="266">
        <v>2023</v>
      </c>
      <c r="BI474" s="268">
        <v>2022</v>
      </c>
      <c r="BJ474" s="268">
        <v>2021</v>
      </c>
      <c r="BK474" s="268">
        <v>2020</v>
      </c>
      <c r="BL474" s="268">
        <v>2019</v>
      </c>
      <c r="BM474" s="268">
        <v>2018</v>
      </c>
      <c r="BN474" s="268">
        <v>2017</v>
      </c>
      <c r="BO474" s="268">
        <v>2016</v>
      </c>
      <c r="BP474" s="268">
        <v>2015</v>
      </c>
      <c r="BQ474" s="268">
        <v>2014</v>
      </c>
      <c r="BR474" s="268">
        <v>2013</v>
      </c>
      <c r="BS474" s="268">
        <v>2012</v>
      </c>
      <c r="BT474" s="268">
        <v>2011</v>
      </c>
      <c r="BU474" s="269">
        <v>2010</v>
      </c>
    </row>
    <row r="475" spans="45:73">
      <c r="AS475" s="361" t="s">
        <v>767</v>
      </c>
      <c r="AT475" s="364">
        <v>0.55</v>
      </c>
      <c r="AU475" s="365">
        <v>45716</v>
      </c>
      <c r="AV475" s="364">
        <v>14987.5534</v>
      </c>
      <c r="AW475" s="3"/>
      <c r="AX475" s="376">
        <v>0.007892</v>
      </c>
      <c r="AY475" s="376">
        <v>0.019065</v>
      </c>
      <c r="AZ475" s="376">
        <v>0.038984</v>
      </c>
      <c r="BA475" s="376">
        <v>0.077647</v>
      </c>
      <c r="BB475" s="376">
        <v>0.068559</v>
      </c>
      <c r="BC475" s="376">
        <v>0.062093</v>
      </c>
      <c r="BD475" s="376">
        <v>0.071553</v>
      </c>
      <c r="BE475" s="4"/>
      <c r="BF475" s="376">
        <v>0.019065</v>
      </c>
      <c r="BG475" s="376">
        <v>0.0785015780290896</v>
      </c>
      <c r="BH475" s="376">
        <v>0.071733198824406</v>
      </c>
      <c r="BI475" s="376">
        <v>0.0475756015584419</v>
      </c>
      <c r="BJ475" s="376">
        <v>0.0389370628703264</v>
      </c>
      <c r="BK475" s="376">
        <v>0.0702078928823114</v>
      </c>
      <c r="BL475" s="376">
        <v>0.0846169248250504</v>
      </c>
      <c r="BM475" s="376">
        <v>0.0763134244942061</v>
      </c>
      <c r="BN475" s="376">
        <v>0.0719477905230533</v>
      </c>
      <c r="BO475" s="376">
        <v>0.092353178720875</v>
      </c>
      <c r="BP475" s="376">
        <v>0.0889494642287712</v>
      </c>
      <c r="BQ475" s="376">
        <v>0.096551597669585</v>
      </c>
      <c r="BR475" s="376">
        <v>0.0954938395047863</v>
      </c>
      <c r="BS475" s="376">
        <v>0.0974182502704405</v>
      </c>
      <c r="BT475" s="376">
        <v>0.0920724467182841</v>
      </c>
      <c r="BU475" s="376">
        <v>0.0575854725585056</v>
      </c>
    </row>
    <row r="476" spans="45:73">
      <c r="AS476" s="361" t="s">
        <v>768</v>
      </c>
      <c r="AT476" s="364">
        <v>1.17</v>
      </c>
      <c r="AU476" s="365">
        <v>45716</v>
      </c>
      <c r="AV476" s="364">
        <v>5594.5882</v>
      </c>
      <c r="AW476" s="3"/>
      <c r="AX476" s="376">
        <v>0.007296</v>
      </c>
      <c r="AY476" s="376">
        <v>0.017767</v>
      </c>
      <c r="AZ476" s="376">
        <v>0.034526</v>
      </c>
      <c r="BA476" s="376">
        <v>0.069896</v>
      </c>
      <c r="BB476" s="376">
        <v>0.061937</v>
      </c>
      <c r="BC476" s="376">
        <v>0.052777</v>
      </c>
      <c r="BD476" s="376" t="s">
        <v>129</v>
      </c>
      <c r="BE476" s="4"/>
      <c r="BF476" s="376">
        <v>0.017767</v>
      </c>
      <c r="BG476" s="376">
        <v>0.0702509823996146</v>
      </c>
      <c r="BH476" s="376">
        <v>0.0653460582243965</v>
      </c>
      <c r="BI476" s="376">
        <v>0.0415831328521785</v>
      </c>
      <c r="BJ476" s="376">
        <v>0.031715388858246</v>
      </c>
      <c r="BK476" s="376">
        <v>0.0521676837838572</v>
      </c>
      <c r="BL476" s="376">
        <v>0.0759976583081276</v>
      </c>
      <c r="BM476" s="376">
        <v>0.0249000000000001</v>
      </c>
      <c r="BN476" s="376" t="s">
        <v>129</v>
      </c>
      <c r="BO476" s="376" t="s">
        <v>129</v>
      </c>
      <c r="BP476" s="376" t="s">
        <v>129</v>
      </c>
      <c r="BQ476" s="376" t="s">
        <v>129</v>
      </c>
      <c r="BR476" s="376" t="s">
        <v>129</v>
      </c>
      <c r="BS476" s="376" t="s">
        <v>129</v>
      </c>
      <c r="BT476" s="376" t="s">
        <v>129</v>
      </c>
      <c r="BU476" s="376" t="s">
        <v>129</v>
      </c>
    </row>
    <row r="477" spans="45:73">
      <c r="AS477" s="361" t="s">
        <v>769</v>
      </c>
      <c r="AT477" s="364">
        <v>0.47</v>
      </c>
      <c r="AU477" s="365">
        <v>45716</v>
      </c>
      <c r="AV477" s="364">
        <v>3640.71</v>
      </c>
      <c r="AW477" s="3"/>
      <c r="AX477" s="376">
        <v>0.007329</v>
      </c>
      <c r="AY477" s="376">
        <v>0.018654</v>
      </c>
      <c r="AZ477" s="376">
        <v>0.036454</v>
      </c>
      <c r="BA477" s="376">
        <v>0.074066</v>
      </c>
      <c r="BB477" s="376">
        <v>0.065902</v>
      </c>
      <c r="BC477" s="376">
        <v>0.05603</v>
      </c>
      <c r="BD477" s="376" t="s">
        <v>129</v>
      </c>
      <c r="BE477" s="4"/>
      <c r="BF477" s="376">
        <v>0.018654</v>
      </c>
      <c r="BG477" s="376">
        <v>0.0744020803574698</v>
      </c>
      <c r="BH477" s="376">
        <v>0.0702022577610536</v>
      </c>
      <c r="BI477" s="376">
        <v>0.0440163035471674</v>
      </c>
      <c r="BJ477" s="376">
        <v>0.0328410695114837</v>
      </c>
      <c r="BK477" s="376">
        <v>0.0563175283507457</v>
      </c>
      <c r="BL477" s="376">
        <v>0.0802129752879218</v>
      </c>
      <c r="BM477" s="376">
        <v>0.03674</v>
      </c>
      <c r="BN477" s="376" t="s">
        <v>129</v>
      </c>
      <c r="BO477" s="376" t="s">
        <v>129</v>
      </c>
      <c r="BP477" s="376" t="s">
        <v>129</v>
      </c>
      <c r="BQ477" s="376" t="s">
        <v>129</v>
      </c>
      <c r="BR477" s="376" t="s">
        <v>129</v>
      </c>
      <c r="BS477" s="376" t="s">
        <v>129</v>
      </c>
      <c r="BT477" s="376" t="s">
        <v>129</v>
      </c>
      <c r="BU477" s="376" t="s">
        <v>129</v>
      </c>
    </row>
    <row r="478" spans="45:73">
      <c r="AS478" s="361" t="s">
        <v>770</v>
      </c>
      <c r="AT478" s="364">
        <v>0.85</v>
      </c>
      <c r="AU478" s="365">
        <v>45716</v>
      </c>
      <c r="AV478" s="364">
        <v>157.3995</v>
      </c>
      <c r="AW478" s="3"/>
      <c r="AX478" s="376">
        <v>0.007179</v>
      </c>
      <c r="AY478" s="376">
        <v>0.017614</v>
      </c>
      <c r="AZ478" s="376">
        <v>0.033904</v>
      </c>
      <c r="BA478" s="376">
        <v>0.067808</v>
      </c>
      <c r="BB478" s="376">
        <v>0.060336</v>
      </c>
      <c r="BC478" s="376">
        <v>0.051532</v>
      </c>
      <c r="BD478" s="376">
        <v>0.065649</v>
      </c>
      <c r="BE478" s="4"/>
      <c r="BF478" s="376">
        <v>0.017614</v>
      </c>
      <c r="BG478" s="376">
        <v>0.0667056563744505</v>
      </c>
      <c r="BH478" s="376">
        <v>0.0622955873796588</v>
      </c>
      <c r="BI478" s="376">
        <v>0.0436083726954033</v>
      </c>
      <c r="BJ478" s="376">
        <v>0.0315446943359443</v>
      </c>
      <c r="BK478" s="376">
        <v>0.0494955104589931</v>
      </c>
      <c r="BL478" s="376">
        <v>0.0753257048865357</v>
      </c>
      <c r="BM478" s="376">
        <v>0.0760662501311691</v>
      </c>
      <c r="BN478" s="376">
        <v>0.0795075939406007</v>
      </c>
      <c r="BO478" s="376">
        <v>0.0914942172356656</v>
      </c>
      <c r="BP478" s="376">
        <v>0.0868172450258485</v>
      </c>
      <c r="BQ478" s="376">
        <v>0.0933778441282607</v>
      </c>
      <c r="BR478" s="376">
        <v>0.09173203579637</v>
      </c>
      <c r="BS478" s="376">
        <v>0.0851698833216513</v>
      </c>
      <c r="BT478" s="376">
        <v>0.0820562226502912</v>
      </c>
      <c r="BU478" s="376">
        <v>0.05014813839418</v>
      </c>
    </row>
    <row r="479" spans="45:73">
      <c r="AS479" s="361" t="s">
        <v>771</v>
      </c>
      <c r="AT479" s="364">
        <v>0.48</v>
      </c>
      <c r="AU479" s="365">
        <v>45716</v>
      </c>
      <c r="AV479" s="364">
        <v>1407.5111</v>
      </c>
      <c r="AW479" s="3"/>
      <c r="AX479" s="376">
        <v>0.007724</v>
      </c>
      <c r="AY479" s="376">
        <v>0.019036</v>
      </c>
      <c r="AZ479" s="376">
        <v>0.037004</v>
      </c>
      <c r="BA479" s="376">
        <v>0.074784</v>
      </c>
      <c r="BB479" s="376">
        <v>0.068184</v>
      </c>
      <c r="BC479" s="376">
        <v>0.057687</v>
      </c>
      <c r="BD479" s="376" t="s">
        <v>129</v>
      </c>
      <c r="BE479" s="4"/>
      <c r="BF479" s="376">
        <v>0.019036</v>
      </c>
      <c r="BG479" s="376">
        <v>0.0748942385657873</v>
      </c>
      <c r="BH479" s="376">
        <v>0.0719929767716605</v>
      </c>
      <c r="BI479" s="376">
        <v>0.0490562476099038</v>
      </c>
      <c r="BJ479" s="376">
        <v>0.036821185527578</v>
      </c>
      <c r="BK479" s="376">
        <v>0.0509127354758233</v>
      </c>
      <c r="BL479" s="376">
        <v>0.0761193680983849</v>
      </c>
      <c r="BM479" s="376">
        <v>0.0481695</v>
      </c>
      <c r="BN479" s="376" t="s">
        <v>129</v>
      </c>
      <c r="BO479" s="376" t="s">
        <v>129</v>
      </c>
      <c r="BP479" s="376" t="s">
        <v>129</v>
      </c>
      <c r="BQ479" s="376" t="s">
        <v>129</v>
      </c>
      <c r="BR479" s="376" t="s">
        <v>129</v>
      </c>
      <c r="BS479" s="376" t="s">
        <v>129</v>
      </c>
      <c r="BT479" s="376" t="s">
        <v>129</v>
      </c>
      <c r="BU479" s="376" t="s">
        <v>129</v>
      </c>
    </row>
    <row r="480" spans="45:73">
      <c r="AS480" s="361" t="s">
        <v>772</v>
      </c>
      <c r="AT480" s="364">
        <v>0.95</v>
      </c>
      <c r="AU480" s="365">
        <v>45716</v>
      </c>
      <c r="AV480" s="364">
        <v>515.16</v>
      </c>
      <c r="AW480" s="3"/>
      <c r="AX480" s="376">
        <v>0.007492</v>
      </c>
      <c r="AY480" s="376">
        <v>0.017883</v>
      </c>
      <c r="AZ480" s="376">
        <v>0.034348</v>
      </c>
      <c r="BA480" s="376">
        <v>0.068788</v>
      </c>
      <c r="BB480" s="376">
        <v>0.060288</v>
      </c>
      <c r="BC480" s="376">
        <v>0.049365</v>
      </c>
      <c r="BD480" s="376">
        <v>0.057629</v>
      </c>
      <c r="BE480" s="4"/>
      <c r="BF480" s="376">
        <v>0.017883</v>
      </c>
      <c r="BG480" s="376">
        <v>0.0679072296152074</v>
      </c>
      <c r="BH480" s="376">
        <v>0.0635687809013552</v>
      </c>
      <c r="BI480" s="376">
        <v>0.0392757287852133</v>
      </c>
      <c r="BJ480" s="376">
        <v>0.026276383053146</v>
      </c>
      <c r="BK480" s="376">
        <v>0.0452069882057725</v>
      </c>
      <c r="BL480" s="376">
        <v>0.065814688092081</v>
      </c>
      <c r="BM480" s="376">
        <v>0.0612612694932844</v>
      </c>
      <c r="BN480" s="376">
        <v>0.0569756954373184</v>
      </c>
      <c r="BO480" s="376">
        <v>0.0728011164333007</v>
      </c>
      <c r="BP480" s="376">
        <v>0.0840938946348542</v>
      </c>
      <c r="BQ480" s="376">
        <v>0.0934321695731411</v>
      </c>
      <c r="BR480" s="376">
        <v>0.0914456911828682</v>
      </c>
      <c r="BS480" s="376">
        <v>0.0988931281226893</v>
      </c>
      <c r="BT480" s="376">
        <v>0.09298833728971</v>
      </c>
      <c r="BU480" s="376">
        <v>0.0576510228289898</v>
      </c>
    </row>
    <row r="481" spans="45:73">
      <c r="AS481" s="361" t="s">
        <v>773</v>
      </c>
      <c r="AT481" s="364">
        <v>1.01</v>
      </c>
      <c r="AU481" s="365">
        <v>45716</v>
      </c>
      <c r="AV481" s="364">
        <v>2901.8039</v>
      </c>
      <c r="AW481" s="3"/>
      <c r="AX481" s="376">
        <v>0.008375</v>
      </c>
      <c r="AY481" s="376">
        <v>0.019615</v>
      </c>
      <c r="AZ481" s="376">
        <v>0.036322</v>
      </c>
      <c r="BA481" s="376">
        <v>0.071441</v>
      </c>
      <c r="BB481" s="376">
        <v>0.062653</v>
      </c>
      <c r="BC481" s="376">
        <v>0.051918</v>
      </c>
      <c r="BD481" s="376">
        <v>0.058818</v>
      </c>
      <c r="BE481" s="4"/>
      <c r="BF481" s="376">
        <v>0.019615</v>
      </c>
      <c r="BG481" s="376">
        <v>0.0691770511729053</v>
      </c>
      <c r="BH481" s="376">
        <v>0.0668693152744973</v>
      </c>
      <c r="BI481" s="376">
        <v>0.0410653371865877</v>
      </c>
      <c r="BJ481" s="376">
        <v>0.0287089627436709</v>
      </c>
      <c r="BK481" s="376">
        <v>0.0473568157037972</v>
      </c>
      <c r="BL481" s="376">
        <v>0.0729407338217493</v>
      </c>
      <c r="BM481" s="376">
        <v>0.049964661437783</v>
      </c>
      <c r="BN481" s="376">
        <v>0.0604567612841402</v>
      </c>
      <c r="BO481" s="376">
        <v>0.0750735730065213</v>
      </c>
      <c r="BP481" s="376">
        <v>0.0794479477286344</v>
      </c>
      <c r="BQ481" s="376">
        <v>0.0877120705989107</v>
      </c>
      <c r="BR481" s="376">
        <v>0.091590296886751</v>
      </c>
      <c r="BS481" s="376">
        <v>0.0890495897793321</v>
      </c>
      <c r="BT481" s="376">
        <v>0.0848227667631415</v>
      </c>
      <c r="BU481" s="376">
        <v>0.0503377746097906</v>
      </c>
    </row>
    <row r="482" spans="45:73">
      <c r="AS482" s="361" t="s">
        <v>774</v>
      </c>
      <c r="AT482" s="364">
        <v>0.67</v>
      </c>
      <c r="AU482" s="365">
        <v>45716</v>
      </c>
      <c r="AV482" s="364">
        <v>273.021033786</v>
      </c>
      <c r="AW482" s="3"/>
      <c r="AX482" s="376">
        <v>0.007723</v>
      </c>
      <c r="AY482" s="376">
        <v>0.018653</v>
      </c>
      <c r="AZ482" s="376">
        <v>0.035756</v>
      </c>
      <c r="BA482" s="376" t="s">
        <v>129</v>
      </c>
      <c r="BB482" s="376" t="s">
        <v>129</v>
      </c>
      <c r="BC482" s="376" t="s">
        <v>129</v>
      </c>
      <c r="BD482" s="376" t="s">
        <v>129</v>
      </c>
      <c r="BE482" s="4"/>
      <c r="BF482" s="376">
        <v>0.018653</v>
      </c>
      <c r="BG482" s="376">
        <v>0.0234400000000001</v>
      </c>
      <c r="BH482" s="376" t="s">
        <v>129</v>
      </c>
      <c r="BI482" s="376" t="s">
        <v>129</v>
      </c>
      <c r="BJ482" s="376" t="s">
        <v>129</v>
      </c>
      <c r="BK482" s="376" t="s">
        <v>129</v>
      </c>
      <c r="BL482" s="376" t="s">
        <v>129</v>
      </c>
      <c r="BM482" s="376" t="s">
        <v>129</v>
      </c>
      <c r="BN482" s="376" t="s">
        <v>129</v>
      </c>
      <c r="BO482" s="376" t="s">
        <v>129</v>
      </c>
      <c r="BP482" s="376" t="s">
        <v>129</v>
      </c>
      <c r="BQ482" s="376" t="s">
        <v>129</v>
      </c>
      <c r="BR482" s="376" t="s">
        <v>129</v>
      </c>
      <c r="BS482" s="376" t="s">
        <v>129</v>
      </c>
      <c r="BT482" s="376" t="s">
        <v>129</v>
      </c>
      <c r="BU482" s="376" t="s">
        <v>129</v>
      </c>
    </row>
    <row r="483" spans="45:73">
      <c r="AS483" s="361" t="s">
        <v>775</v>
      </c>
      <c r="AT483" s="364">
        <v>0.7</v>
      </c>
      <c r="AU483" s="365">
        <v>45716</v>
      </c>
      <c r="AV483" s="364">
        <v>14202.2887</v>
      </c>
      <c r="AW483" s="3"/>
      <c r="AX483" s="376">
        <v>0.007655</v>
      </c>
      <c r="AY483" s="376">
        <v>0.018746</v>
      </c>
      <c r="AZ483" s="376">
        <v>0.036493</v>
      </c>
      <c r="BA483" s="376">
        <v>0.074182</v>
      </c>
      <c r="BB483" s="376">
        <v>0.06598</v>
      </c>
      <c r="BC483" s="376">
        <v>0.058248</v>
      </c>
      <c r="BD483" s="376" t="s">
        <v>129</v>
      </c>
      <c r="BE483" s="4"/>
      <c r="BF483" s="376">
        <v>0.018746</v>
      </c>
      <c r="BG483" s="376">
        <v>0.0746956380927144</v>
      </c>
      <c r="BH483" s="376">
        <v>0.0691334901985473</v>
      </c>
      <c r="BI483" s="376">
        <v>0.044939477665943</v>
      </c>
      <c r="BJ483" s="376">
        <v>0.0354728291411932</v>
      </c>
      <c r="BK483" s="376">
        <v>0.0639597035748582</v>
      </c>
      <c r="BL483" s="376">
        <v>0.0779386920049609</v>
      </c>
      <c r="BM483" s="376">
        <v>0.02401</v>
      </c>
      <c r="BN483" s="376" t="s">
        <v>129</v>
      </c>
      <c r="BO483" s="376" t="s">
        <v>129</v>
      </c>
      <c r="BP483" s="376" t="s">
        <v>129</v>
      </c>
      <c r="BQ483" s="376" t="s">
        <v>129</v>
      </c>
      <c r="BR483" s="376" t="s">
        <v>129</v>
      </c>
      <c r="BS483" s="376" t="s">
        <v>129</v>
      </c>
      <c r="BT483" s="376" t="s">
        <v>129</v>
      </c>
      <c r="BU483" s="376" t="s">
        <v>129</v>
      </c>
    </row>
    <row r="484" spans="45:73">
      <c r="AS484" s="361" t="s">
        <v>776</v>
      </c>
      <c r="AT484" s="364">
        <v>0.48</v>
      </c>
      <c r="AU484" s="365">
        <v>45716</v>
      </c>
      <c r="AV484" s="364">
        <v>2548.7264</v>
      </c>
      <c r="AW484" s="3"/>
      <c r="AX484" s="376">
        <v>0.007914</v>
      </c>
      <c r="AY484" s="376">
        <v>0.019081</v>
      </c>
      <c r="AZ484" s="376">
        <v>0.036736</v>
      </c>
      <c r="BA484" s="376">
        <v>0.074315</v>
      </c>
      <c r="BB484" s="376">
        <v>0.066273</v>
      </c>
      <c r="BC484" s="376">
        <v>0.056639</v>
      </c>
      <c r="BD484" s="376" t="s">
        <v>129</v>
      </c>
      <c r="BE484" s="4"/>
      <c r="BF484" s="376">
        <v>0.019081</v>
      </c>
      <c r="BG484" s="376">
        <v>0.0741572502501621</v>
      </c>
      <c r="BH484" s="376">
        <v>0.0696881661807407</v>
      </c>
      <c r="BI484" s="376">
        <v>0.0454896277267235</v>
      </c>
      <c r="BJ484" s="376">
        <v>0.0347964554431644</v>
      </c>
      <c r="BK484" s="376">
        <v>0.0491241</v>
      </c>
      <c r="BL484" s="376" t="s">
        <v>129</v>
      </c>
      <c r="BM484" s="376" t="s">
        <v>129</v>
      </c>
      <c r="BN484" s="376" t="s">
        <v>129</v>
      </c>
      <c r="BO484" s="376" t="s">
        <v>129</v>
      </c>
      <c r="BP484" s="376" t="s">
        <v>129</v>
      </c>
      <c r="BQ484" s="376" t="s">
        <v>129</v>
      </c>
      <c r="BR484" s="376" t="s">
        <v>129</v>
      </c>
      <c r="BS484" s="376" t="s">
        <v>129</v>
      </c>
      <c r="BT484" s="376" t="s">
        <v>129</v>
      </c>
      <c r="BU484" s="376" t="s">
        <v>129</v>
      </c>
    </row>
    <row r="485" spans="45:73">
      <c r="AS485" s="361" t="s">
        <v>777</v>
      </c>
      <c r="AT485" s="364">
        <v>0.8</v>
      </c>
      <c r="AU485" s="365">
        <v>45716</v>
      </c>
      <c r="AV485" s="364">
        <v>13589.348319597</v>
      </c>
      <c r="AW485" s="3"/>
      <c r="AX485" s="376">
        <v>0.007605</v>
      </c>
      <c r="AY485" s="376">
        <v>0.018549</v>
      </c>
      <c r="AZ485" s="376">
        <v>0.036406</v>
      </c>
      <c r="BA485" s="376">
        <v>0.07365</v>
      </c>
      <c r="BB485" s="376">
        <v>0.06616</v>
      </c>
      <c r="BC485" s="376">
        <v>0.059354</v>
      </c>
      <c r="BD485" s="376">
        <v>0.070495</v>
      </c>
      <c r="BE485" s="4"/>
      <c r="BF485" s="376">
        <v>0.018549</v>
      </c>
      <c r="BG485" s="376">
        <v>0.0748545691863932</v>
      </c>
      <c r="BH485" s="376">
        <v>0.0691279966232804</v>
      </c>
      <c r="BI485" s="376">
        <v>0.0454136123768529</v>
      </c>
      <c r="BJ485" s="376">
        <v>0.040048702819144</v>
      </c>
      <c r="BK485" s="376">
        <v>0.0653349563967991</v>
      </c>
      <c r="BL485" s="376">
        <v>0.0843074992291421</v>
      </c>
      <c r="BM485" s="376">
        <v>0.0749491190323895</v>
      </c>
      <c r="BN485" s="376">
        <v>0.0693388219053718</v>
      </c>
      <c r="BO485" s="376">
        <v>0.0981678878471488</v>
      </c>
      <c r="BP485" s="376">
        <v>0.0912457711739369</v>
      </c>
      <c r="BQ485" s="376">
        <v>0.148277130804576</v>
      </c>
      <c r="BR485" s="376">
        <v>0.0306544495691974</v>
      </c>
      <c r="BS485" s="376">
        <v>0.0939040507818906</v>
      </c>
      <c r="BT485" s="376">
        <v>0.03659</v>
      </c>
      <c r="BU485" s="376" t="s">
        <v>129</v>
      </c>
    </row>
    <row r="486" spans="45:73">
      <c r="AS486" s="361" t="s">
        <v>778</v>
      </c>
      <c r="AT486" s="364">
        <v>0.74</v>
      </c>
      <c r="AU486" s="365">
        <v>45716</v>
      </c>
      <c r="AV486" s="364">
        <v>1337.068</v>
      </c>
      <c r="AW486" s="3"/>
      <c r="AX486" s="376">
        <v>0.007625</v>
      </c>
      <c r="AY486" s="376">
        <v>0.019176</v>
      </c>
      <c r="AZ486" s="376">
        <v>0.036599</v>
      </c>
      <c r="BA486" s="376">
        <v>0.072825</v>
      </c>
      <c r="BB486" s="376">
        <v>0.064099</v>
      </c>
      <c r="BC486" s="376">
        <v>0.053766</v>
      </c>
      <c r="BD486" s="376">
        <v>0.064914</v>
      </c>
      <c r="BE486" s="4"/>
      <c r="BF486" s="376">
        <v>0.019176</v>
      </c>
      <c r="BG486" s="376">
        <v>0.074749025309996</v>
      </c>
      <c r="BH486" s="376">
        <v>0.0662050304465719</v>
      </c>
      <c r="BI486" s="376">
        <v>0.0410412814701438</v>
      </c>
      <c r="BJ486" s="376">
        <v>0.0303323006067964</v>
      </c>
      <c r="BK486" s="376">
        <v>0.0510374634627095</v>
      </c>
      <c r="BL486" s="376">
        <v>0.0759469137966082</v>
      </c>
      <c r="BM486" s="376">
        <v>0.0733358452260779</v>
      </c>
      <c r="BN486" s="376">
        <v>0.0713804441304446</v>
      </c>
      <c r="BO486" s="376">
        <v>0.0912619506165896</v>
      </c>
      <c r="BP486" s="376">
        <v>0.0828000330785922</v>
      </c>
      <c r="BQ486" s="376">
        <v>0.1011036348384</v>
      </c>
      <c r="BR486" s="376">
        <v>0.0611069885123833</v>
      </c>
      <c r="BS486" s="376">
        <v>0.088600926122762</v>
      </c>
      <c r="BT486" s="376">
        <v>0.08193</v>
      </c>
      <c r="BU486" s="376">
        <v>0</v>
      </c>
    </row>
    <row r="487" spans="45:73">
      <c r="AS487" s="361" t="s">
        <v>779</v>
      </c>
      <c r="AT487" s="364">
        <v>0.95</v>
      </c>
      <c r="AU487" s="365">
        <v>45716</v>
      </c>
      <c r="AV487" s="364">
        <v>195.7271</v>
      </c>
      <c r="AW487" s="3"/>
      <c r="AX487" s="376">
        <v>0.006662</v>
      </c>
      <c r="AY487" s="376">
        <v>0.016608</v>
      </c>
      <c r="AZ487" s="376">
        <v>0.032767</v>
      </c>
      <c r="BA487" s="376">
        <v>0.065836</v>
      </c>
      <c r="BB487" s="376">
        <v>0.058554</v>
      </c>
      <c r="BC487" s="376" t="s">
        <v>129</v>
      </c>
      <c r="BD487" s="376" t="s">
        <v>129</v>
      </c>
      <c r="BE487" s="4"/>
      <c r="BF487" s="376">
        <v>0.016608</v>
      </c>
      <c r="BG487" s="376">
        <v>0.0658470365183763</v>
      </c>
      <c r="BH487" s="376">
        <v>0.0627645064804826</v>
      </c>
      <c r="BI487" s="376">
        <v>0.0377034362135186</v>
      </c>
      <c r="BJ487" s="376">
        <v>0.0173582</v>
      </c>
      <c r="BK487" s="376" t="s">
        <v>129</v>
      </c>
      <c r="BL487" s="376" t="s">
        <v>129</v>
      </c>
      <c r="BM487" s="376" t="s">
        <v>129</v>
      </c>
      <c r="BN487" s="376" t="s">
        <v>129</v>
      </c>
      <c r="BO487" s="376" t="s">
        <v>129</v>
      </c>
      <c r="BP487" s="376" t="s">
        <v>129</v>
      </c>
      <c r="BQ487" s="376" t="s">
        <v>129</v>
      </c>
      <c r="BR487" s="376" t="s">
        <v>129</v>
      </c>
      <c r="BS487" s="376" t="s">
        <v>129</v>
      </c>
      <c r="BT487" s="376" t="s">
        <v>129</v>
      </c>
      <c r="BU487" s="376" t="s">
        <v>129</v>
      </c>
    </row>
    <row r="488" spans="45:73">
      <c r="AS488" s="361" t="s">
        <v>780</v>
      </c>
      <c r="AT488" s="364">
        <v>0.81</v>
      </c>
      <c r="AU488" s="365">
        <v>45716</v>
      </c>
      <c r="AV488" s="364">
        <v>12726.3063</v>
      </c>
      <c r="AW488" s="3"/>
      <c r="AX488" s="376">
        <v>0.007788</v>
      </c>
      <c r="AY488" s="376">
        <v>0.018289</v>
      </c>
      <c r="AZ488" s="376">
        <v>0.03554</v>
      </c>
      <c r="BA488" s="376">
        <v>0.071975</v>
      </c>
      <c r="BB488" s="376">
        <v>0.064533</v>
      </c>
      <c r="BC488" s="376">
        <v>0.055734</v>
      </c>
      <c r="BD488" s="376">
        <v>0.065688</v>
      </c>
      <c r="BE488" s="4"/>
      <c r="BF488" s="376">
        <v>0.018289</v>
      </c>
      <c r="BG488" s="376">
        <v>0.0724104208333656</v>
      </c>
      <c r="BH488" s="376">
        <v>0.0680391977591782</v>
      </c>
      <c r="BI488" s="376">
        <v>0.0445831669242388</v>
      </c>
      <c r="BJ488" s="376">
        <v>0.032122587968218</v>
      </c>
      <c r="BK488" s="376">
        <v>0.0584121604532349</v>
      </c>
      <c r="BL488" s="376">
        <v>0.0784463477169823</v>
      </c>
      <c r="BM488" s="376">
        <v>0.0741751299245905</v>
      </c>
      <c r="BN488" s="376">
        <v>0.0665325573219797</v>
      </c>
      <c r="BO488" s="376">
        <v>0.0816943065385021</v>
      </c>
      <c r="BP488" s="376">
        <v>0.0862880091795754</v>
      </c>
      <c r="BQ488" s="376">
        <v>0.0942718666030488</v>
      </c>
      <c r="BR488" s="376">
        <v>0.0894461528359907</v>
      </c>
      <c r="BS488" s="376">
        <v>0.0962761235213667</v>
      </c>
      <c r="BT488" s="376">
        <v>0.0919857203681262</v>
      </c>
      <c r="BU488" s="376">
        <v>0.05687088958117</v>
      </c>
    </row>
    <row r="489" spans="45:73">
      <c r="AS489" s="361" t="s">
        <v>781</v>
      </c>
      <c r="AT489" s="364">
        <v>0.95</v>
      </c>
      <c r="AU489" s="365">
        <v>45716</v>
      </c>
      <c r="AV489" s="364">
        <v>365.8522</v>
      </c>
      <c r="AW489" s="3"/>
      <c r="AX489" s="376">
        <v>0.006997</v>
      </c>
      <c r="AY489" s="376">
        <v>0.01758</v>
      </c>
      <c r="AZ489" s="376">
        <v>0.034129</v>
      </c>
      <c r="BA489" s="376">
        <v>0.069309</v>
      </c>
      <c r="BB489" s="376">
        <v>0.060087</v>
      </c>
      <c r="BC489" s="376">
        <v>0.050384</v>
      </c>
      <c r="BD489" s="376" t="s">
        <v>129</v>
      </c>
      <c r="BE489" s="4"/>
      <c r="BF489" s="376">
        <v>0.01758</v>
      </c>
      <c r="BG489" s="376">
        <v>0.0690546236556258</v>
      </c>
      <c r="BH489" s="376">
        <v>0.0593629509761651</v>
      </c>
      <c r="BI489" s="376">
        <v>0.0421545364306499</v>
      </c>
      <c r="BJ489" s="376">
        <v>0.0316498208588891</v>
      </c>
      <c r="BK489" s="376">
        <v>0.043099236026022</v>
      </c>
      <c r="BL489" s="376">
        <v>0.00507349999999997</v>
      </c>
      <c r="BM489" s="376" t="s">
        <v>129</v>
      </c>
      <c r="BN489" s="376" t="s">
        <v>129</v>
      </c>
      <c r="BO489" s="376" t="s">
        <v>129</v>
      </c>
      <c r="BP489" s="376" t="s">
        <v>129</v>
      </c>
      <c r="BQ489" s="376" t="s">
        <v>129</v>
      </c>
      <c r="BR489" s="376" t="s">
        <v>129</v>
      </c>
      <c r="BS489" s="376" t="s">
        <v>129</v>
      </c>
      <c r="BT489" s="376" t="s">
        <v>129</v>
      </c>
      <c r="BU489" s="376" t="s">
        <v>129</v>
      </c>
    </row>
    <row r="490" spans="45:73">
      <c r="AS490" s="361" t="s">
        <v>782</v>
      </c>
      <c r="AT490" s="364">
        <v>0.69</v>
      </c>
      <c r="AU490" s="365">
        <v>45716</v>
      </c>
      <c r="AV490" s="364">
        <v>204.7227</v>
      </c>
      <c r="AW490" s="3"/>
      <c r="AX490" s="376">
        <v>0.007452</v>
      </c>
      <c r="AY490" s="376">
        <v>0.018568</v>
      </c>
      <c r="AZ490" s="376">
        <v>0.03629</v>
      </c>
      <c r="BA490" s="376">
        <v>0.073663</v>
      </c>
      <c r="BB490" s="376">
        <v>0.065129</v>
      </c>
      <c r="BC490" s="376">
        <v>0.055624</v>
      </c>
      <c r="BD490" s="376" t="s">
        <v>129</v>
      </c>
      <c r="BE490" s="4"/>
      <c r="BF490" s="376">
        <v>0.018568</v>
      </c>
      <c r="BG490" s="376">
        <v>0.0734976398381628</v>
      </c>
      <c r="BH490" s="376">
        <v>0.0685608577028996</v>
      </c>
      <c r="BI490" s="376">
        <v>0.0435762456388834</v>
      </c>
      <c r="BJ490" s="376">
        <v>0.0329214332690578</v>
      </c>
      <c r="BK490" s="376">
        <v>0.059209221448619</v>
      </c>
      <c r="BL490" s="376">
        <v>0.0129081</v>
      </c>
      <c r="BM490" s="376" t="s">
        <v>129</v>
      </c>
      <c r="BN490" s="376" t="s">
        <v>129</v>
      </c>
      <c r="BO490" s="376" t="s">
        <v>129</v>
      </c>
      <c r="BP490" s="376" t="s">
        <v>129</v>
      </c>
      <c r="BQ490" s="376" t="s">
        <v>129</v>
      </c>
      <c r="BR490" s="376" t="s">
        <v>129</v>
      </c>
      <c r="BS490" s="376" t="s">
        <v>129</v>
      </c>
      <c r="BT490" s="376" t="s">
        <v>129</v>
      </c>
      <c r="BU490" s="376" t="s">
        <v>129</v>
      </c>
    </row>
    <row r="491" spans="45:73">
      <c r="AS491" s="361" t="s">
        <v>783</v>
      </c>
      <c r="AT491" s="364">
        <v>0.42</v>
      </c>
      <c r="AU491" s="365">
        <v>45716</v>
      </c>
      <c r="AV491" s="364">
        <v>1601.774413624</v>
      </c>
      <c r="AW491" s="3"/>
      <c r="AX491" s="376">
        <v>0.007752</v>
      </c>
      <c r="AY491" s="376">
        <v>0.019334</v>
      </c>
      <c r="AZ491" s="376">
        <v>0.037752</v>
      </c>
      <c r="BA491" s="376">
        <v>0.076423</v>
      </c>
      <c r="BB491" s="376">
        <v>0.067997</v>
      </c>
      <c r="BC491" s="376" t="s">
        <v>129</v>
      </c>
      <c r="BD491" s="376" t="s">
        <v>129</v>
      </c>
      <c r="BE491" s="4"/>
      <c r="BF491" s="376">
        <v>0.019334</v>
      </c>
      <c r="BG491" s="376">
        <v>0.0765265719460334</v>
      </c>
      <c r="BH491" s="376">
        <v>0.0711174937700092</v>
      </c>
      <c r="BI491" s="376">
        <v>0.0466546250073559</v>
      </c>
      <c r="BJ491" s="376">
        <v>0.0346211801794333</v>
      </c>
      <c r="BK491" s="376">
        <v>0.00846360000000004</v>
      </c>
      <c r="BL491" s="376" t="s">
        <v>129</v>
      </c>
      <c r="BM491" s="376" t="s">
        <v>129</v>
      </c>
      <c r="BN491" s="376" t="s">
        <v>129</v>
      </c>
      <c r="BO491" s="376" t="s">
        <v>129</v>
      </c>
      <c r="BP491" s="376" t="s">
        <v>129</v>
      </c>
      <c r="BQ491" s="376" t="s">
        <v>129</v>
      </c>
      <c r="BR491" s="376" t="s">
        <v>129</v>
      </c>
      <c r="BS491" s="376" t="s">
        <v>129</v>
      </c>
      <c r="BT491" s="376" t="s">
        <v>129</v>
      </c>
      <c r="BU491" s="376" t="s">
        <v>129</v>
      </c>
    </row>
    <row r="492" spans="45:73">
      <c r="AS492" s="361" t="s">
        <v>784</v>
      </c>
      <c r="AT492" s="364">
        <v>1.06</v>
      </c>
      <c r="AU492" s="365">
        <v>45716</v>
      </c>
      <c r="AV492" s="364">
        <v>504.1021</v>
      </c>
      <c r="AW492" s="3"/>
      <c r="AX492" s="376">
        <v>0.004975</v>
      </c>
      <c r="AY492" s="376">
        <v>0.014094</v>
      </c>
      <c r="AZ492" s="376">
        <v>0.027887</v>
      </c>
      <c r="BA492" s="376">
        <v>0.058878</v>
      </c>
      <c r="BB492" s="376">
        <v>0.053665</v>
      </c>
      <c r="BC492" s="376">
        <v>0.044111</v>
      </c>
      <c r="BD492" s="376">
        <v>0.037523</v>
      </c>
      <c r="BE492" s="4"/>
      <c r="BF492" s="376">
        <v>0.014094</v>
      </c>
      <c r="BG492" s="376">
        <v>0.0601502763893946</v>
      </c>
      <c r="BH492" s="376">
        <v>0.0578896133455658</v>
      </c>
      <c r="BI492" s="376">
        <v>0.0360166878287683</v>
      </c>
      <c r="BJ492" s="376">
        <v>0.0237241051466601</v>
      </c>
      <c r="BK492" s="376">
        <v>0.0434327698853729</v>
      </c>
      <c r="BL492" s="376">
        <v>0.0620205445626049</v>
      </c>
      <c r="BM492" s="376">
        <v>-0.0808107556006143</v>
      </c>
      <c r="BN492" s="376">
        <v>0.055088128232965</v>
      </c>
      <c r="BO492" s="376">
        <v>0.063772694077886</v>
      </c>
      <c r="BP492" s="376">
        <v>0.0661150291058221</v>
      </c>
      <c r="BQ492" s="376">
        <v>0.0753930779340895</v>
      </c>
      <c r="BR492" s="376">
        <v>0.02715</v>
      </c>
      <c r="BS492" s="376" t="s">
        <v>129</v>
      </c>
      <c r="BT492" s="376" t="s">
        <v>129</v>
      </c>
      <c r="BU492" s="376" t="s">
        <v>129</v>
      </c>
    </row>
    <row r="493" spans="45:73">
      <c r="AS493" s="361" t="s">
        <v>785</v>
      </c>
      <c r="AT493" s="364">
        <v>1.09</v>
      </c>
      <c r="AU493" s="365">
        <v>45716</v>
      </c>
      <c r="AV493" s="364">
        <v>7544.6112</v>
      </c>
      <c r="AW493" s="3"/>
      <c r="AX493" s="376">
        <v>0.007495</v>
      </c>
      <c r="AY493" s="376">
        <v>0.018266</v>
      </c>
      <c r="AZ493" s="376">
        <v>0.03573</v>
      </c>
      <c r="BA493" s="376">
        <v>0.072092</v>
      </c>
      <c r="BB493" s="376">
        <v>0.064332</v>
      </c>
      <c r="BC493" s="376">
        <v>0.063866</v>
      </c>
      <c r="BD493" s="376">
        <v>0.059164</v>
      </c>
      <c r="BE493" s="4"/>
      <c r="BF493" s="376">
        <v>0.018266</v>
      </c>
      <c r="BG493" s="376">
        <v>0.0724381722484612</v>
      </c>
      <c r="BH493" s="376">
        <v>0.066857690040425</v>
      </c>
      <c r="BI493" s="376">
        <v>0.0458899521349851</v>
      </c>
      <c r="BJ493" s="376">
        <v>0.0777526548118869</v>
      </c>
      <c r="BK493" s="376">
        <v>0.0486616614255693</v>
      </c>
      <c r="BL493" s="376">
        <v>0.00875590379545155</v>
      </c>
      <c r="BM493" s="376">
        <v>0.073213352183412</v>
      </c>
      <c r="BN493" s="376">
        <v>0.058067807436227</v>
      </c>
      <c r="BO493" s="376">
        <v>0.0680978591052989</v>
      </c>
      <c r="BP493" s="376">
        <v>0.0764270475051346</v>
      </c>
      <c r="BQ493" s="376">
        <v>0.0843433077147296</v>
      </c>
      <c r="BR493" s="376">
        <v>0.0851170570636431</v>
      </c>
      <c r="BS493" s="376">
        <v>0.0924366415452333</v>
      </c>
      <c r="BT493" s="376">
        <v>0.0897573379738138</v>
      </c>
      <c r="BU493" s="376">
        <v>0.0445785961028944</v>
      </c>
    </row>
    <row r="494" spans="45:73">
      <c r="AS494" s="361" t="s">
        <v>786</v>
      </c>
      <c r="AT494" s="364">
        <v>0.92</v>
      </c>
      <c r="AU494" s="365">
        <v>45716</v>
      </c>
      <c r="AV494" s="364">
        <v>204.1266</v>
      </c>
      <c r="AW494" s="3"/>
      <c r="AX494" s="376">
        <v>0.007101</v>
      </c>
      <c r="AY494" s="376">
        <v>0.0174</v>
      </c>
      <c r="AZ494" s="376">
        <v>0.034026</v>
      </c>
      <c r="BA494" s="376">
        <v>0.068768</v>
      </c>
      <c r="BB494" s="376">
        <v>0.061785</v>
      </c>
      <c r="BC494" s="376">
        <v>0.053513</v>
      </c>
      <c r="BD494" s="376">
        <v>0.071499</v>
      </c>
      <c r="BE494" s="4"/>
      <c r="BF494" s="376">
        <v>0.0174</v>
      </c>
      <c r="BG494" s="376">
        <v>0.068721202458689</v>
      </c>
      <c r="BH494" s="376">
        <v>0.0652017515339758</v>
      </c>
      <c r="BI494" s="376">
        <v>0.0429453164173397</v>
      </c>
      <c r="BJ494" s="376">
        <v>0.0325660222743695</v>
      </c>
      <c r="BK494" s="376">
        <v>0.0565608544734709</v>
      </c>
      <c r="BL494" s="376">
        <v>0.139636892054323</v>
      </c>
      <c r="BM494" s="376">
        <v>0.0776830423602652</v>
      </c>
      <c r="BN494" s="376">
        <v>0.0684307558833098</v>
      </c>
      <c r="BO494" s="376">
        <v>0.0839915582997923</v>
      </c>
      <c r="BP494" s="376">
        <v>0.0891570231809481</v>
      </c>
      <c r="BQ494" s="376">
        <v>0.0953032862971891</v>
      </c>
      <c r="BR494" s="376">
        <v>0.0994750174382319</v>
      </c>
      <c r="BS494" s="376">
        <v>0.0998279941534163</v>
      </c>
      <c r="BT494" s="376">
        <v>0.0948111998161066</v>
      </c>
      <c r="BU494" s="376">
        <v>0.0566194604289664</v>
      </c>
    </row>
    <row r="495" spans="45:73">
      <c r="AS495" s="361" t="s">
        <v>787</v>
      </c>
      <c r="AT495" s="364">
        <v>0.54</v>
      </c>
      <c r="AU495" s="365">
        <v>45716</v>
      </c>
      <c r="AV495" s="364">
        <v>11986.9984</v>
      </c>
      <c r="AW495" s="3"/>
      <c r="AX495" s="376">
        <v>0.007639</v>
      </c>
      <c r="AY495" s="376">
        <v>0.018828</v>
      </c>
      <c r="AZ495" s="376">
        <v>0.036419</v>
      </c>
      <c r="BA495" s="376">
        <v>0.074061</v>
      </c>
      <c r="BB495" s="376">
        <v>0.065669</v>
      </c>
      <c r="BC495" s="376">
        <v>0.056839</v>
      </c>
      <c r="BD495" s="376">
        <v>0.066115</v>
      </c>
      <c r="BE495" s="4"/>
      <c r="BF495" s="376">
        <v>0.018828</v>
      </c>
      <c r="BG495" s="376">
        <v>0.0741913552974889</v>
      </c>
      <c r="BH495" s="376">
        <v>0.069590445334369</v>
      </c>
      <c r="BI495" s="376">
        <v>0.044560395944906</v>
      </c>
      <c r="BJ495" s="376">
        <v>0.0337051760942446</v>
      </c>
      <c r="BK495" s="376">
        <v>0.0587776517623597</v>
      </c>
      <c r="BL495" s="376">
        <v>0.0796413910323125</v>
      </c>
      <c r="BM495" s="376">
        <v>0.0791961698880455</v>
      </c>
      <c r="BN495" s="376">
        <v>0.0660462776075489</v>
      </c>
      <c r="BO495" s="376">
        <v>0.0765708091365683</v>
      </c>
      <c r="BP495" s="376">
        <v>0.0831173168299952</v>
      </c>
      <c r="BQ495" s="376">
        <v>0.0902720539646853</v>
      </c>
      <c r="BR495" s="376">
        <v>0.0932752246480653</v>
      </c>
      <c r="BS495" s="376">
        <v>0.0934823751356754</v>
      </c>
      <c r="BT495" s="376">
        <v>0.0872682485939204</v>
      </c>
      <c r="BU495" s="376">
        <v>0.0543058586536846</v>
      </c>
    </row>
    <row r="496" spans="45:73">
      <c r="AS496" s="361" t="s">
        <v>788</v>
      </c>
      <c r="AT496" s="364">
        <v>1.5</v>
      </c>
      <c r="AU496" s="365">
        <v>45716</v>
      </c>
      <c r="AV496" s="364">
        <v>2004.572884</v>
      </c>
      <c r="AW496" s="3"/>
      <c r="AX496" s="376">
        <v>0.006894</v>
      </c>
      <c r="AY496" s="376">
        <v>0.016415</v>
      </c>
      <c r="AZ496" s="376">
        <v>0.031911</v>
      </c>
      <c r="BA496" s="376">
        <v>0.064434</v>
      </c>
      <c r="BB496" s="376">
        <v>0.057169</v>
      </c>
      <c r="BC496" s="376">
        <v>0.04663</v>
      </c>
      <c r="BD496" s="376">
        <v>0.052752</v>
      </c>
      <c r="BE496" s="4"/>
      <c r="BF496" s="376">
        <v>0.016415</v>
      </c>
      <c r="BG496" s="376">
        <v>0.0644655635028735</v>
      </c>
      <c r="BH496" s="376">
        <v>0.0609618308779159</v>
      </c>
      <c r="BI496" s="376">
        <v>0.0366045370362156</v>
      </c>
      <c r="BJ496" s="376">
        <v>0.0268215633012401</v>
      </c>
      <c r="BK496" s="376">
        <v>0.0405535348749353</v>
      </c>
      <c r="BL496" s="376">
        <v>0.0650241128290294</v>
      </c>
      <c r="BM496" s="376">
        <v>0.012191077044443</v>
      </c>
      <c r="BN496" s="376">
        <v>0.0625015946758575</v>
      </c>
      <c r="BO496" s="376">
        <v>0.0794306136953563</v>
      </c>
      <c r="BP496" s="376">
        <v>0.0882378282488629</v>
      </c>
      <c r="BQ496" s="376">
        <v>0.0944386038978451</v>
      </c>
      <c r="BR496" s="376">
        <v>0.0978225201857667</v>
      </c>
      <c r="BS496" s="376">
        <v>0.100440931168708</v>
      </c>
      <c r="BT496" s="376">
        <v>0.0692782816403855</v>
      </c>
      <c r="BU496" s="376">
        <v>0.0408859252202906</v>
      </c>
    </row>
    <row r="497" spans="45:73">
      <c r="AS497" s="361" t="s">
        <v>789</v>
      </c>
      <c r="AT497" s="364">
        <v>1.16</v>
      </c>
      <c r="AU497" s="365">
        <v>45716</v>
      </c>
      <c r="AV497" s="364">
        <v>5208.8167806297</v>
      </c>
      <c r="AW497" s="3"/>
      <c r="AX497" s="376">
        <v>0.007217</v>
      </c>
      <c r="AY497" s="376">
        <v>0.017891</v>
      </c>
      <c r="AZ497" s="376">
        <v>0.035162</v>
      </c>
      <c r="BA497" s="376">
        <v>0.070314</v>
      </c>
      <c r="BB497" s="376">
        <v>0.061637</v>
      </c>
      <c r="BC497" s="376">
        <v>0.052068</v>
      </c>
      <c r="BD497" s="376" t="s">
        <v>129</v>
      </c>
      <c r="BE497" s="4"/>
      <c r="BF497" s="376">
        <v>0.017891</v>
      </c>
      <c r="BG497" s="376">
        <v>0.0701453899877211</v>
      </c>
      <c r="BH497" s="376">
        <v>0.0646821266497358</v>
      </c>
      <c r="BI497" s="376">
        <v>0.0411356740355439</v>
      </c>
      <c r="BJ497" s="376">
        <v>0.0309232281705246</v>
      </c>
      <c r="BK497" s="376">
        <v>0.0492704152443827</v>
      </c>
      <c r="BL497" s="376">
        <v>0.0663600000000001</v>
      </c>
      <c r="BM497" s="376" t="s">
        <v>129</v>
      </c>
      <c r="BN497" s="376" t="s">
        <v>129</v>
      </c>
      <c r="BO497" s="376" t="s">
        <v>129</v>
      </c>
      <c r="BP497" s="376" t="s">
        <v>129</v>
      </c>
      <c r="BQ497" s="376" t="s">
        <v>129</v>
      </c>
      <c r="BR497" s="376" t="s">
        <v>129</v>
      </c>
      <c r="BS497" s="376" t="s">
        <v>129</v>
      </c>
      <c r="BT497" s="376" t="s">
        <v>129</v>
      </c>
      <c r="BU497" s="376" t="s">
        <v>129</v>
      </c>
    </row>
    <row r="498" spans="45:73">
      <c r="AS498" s="361" t="s">
        <v>790</v>
      </c>
      <c r="AT498" s="364">
        <v>0.92</v>
      </c>
      <c r="AU498" s="365">
        <v>45716</v>
      </c>
      <c r="AV498" s="364">
        <v>3384.6374</v>
      </c>
      <c r="AW498" s="3"/>
      <c r="AX498" s="376">
        <v>0.007378</v>
      </c>
      <c r="AY498" s="376">
        <v>0.018035</v>
      </c>
      <c r="AZ498" s="376">
        <v>0.035213</v>
      </c>
      <c r="BA498" s="376">
        <v>0.07172</v>
      </c>
      <c r="BB498" s="376">
        <v>0.063571</v>
      </c>
      <c r="BC498" s="376">
        <v>0.060471</v>
      </c>
      <c r="BD498" s="376">
        <v>0.063251</v>
      </c>
      <c r="BE498" s="4"/>
      <c r="BF498" s="376">
        <v>0.018035</v>
      </c>
      <c r="BG498" s="376">
        <v>0.0721492235447482</v>
      </c>
      <c r="BH498" s="376">
        <v>0.0673041683270701</v>
      </c>
      <c r="BI498" s="376">
        <v>0.0421864576301597</v>
      </c>
      <c r="BJ498" s="376">
        <v>0.0610042769181628</v>
      </c>
      <c r="BK498" s="376">
        <v>0.0525695499525756</v>
      </c>
      <c r="BL498" s="376">
        <v>0.0327223846634991</v>
      </c>
      <c r="BM498" s="376">
        <v>0.0701499654000181</v>
      </c>
      <c r="BN498" s="376">
        <v>0.0664577509617143</v>
      </c>
      <c r="BO498" s="376">
        <v>0.0886755405333536</v>
      </c>
      <c r="BP498" s="376">
        <v>0.0851084345607741</v>
      </c>
      <c r="BQ498" s="376">
        <v>0.0883685791287848</v>
      </c>
      <c r="BR498" s="376">
        <v>0.0975255235968892</v>
      </c>
      <c r="BS498" s="376">
        <v>0.0900002390515145</v>
      </c>
      <c r="BT498" s="376">
        <v>0.0823279247670853</v>
      </c>
      <c r="BU498" s="376">
        <v>0.0541515134434285</v>
      </c>
    </row>
    <row r="499" ht="15.15" spans="45:73">
      <c r="AS499" s="361" t="s">
        <v>791</v>
      </c>
      <c r="AT499" s="364">
        <v>1.03</v>
      </c>
      <c r="AU499" s="365">
        <v>45716</v>
      </c>
      <c r="AV499" s="364">
        <v>372.1248</v>
      </c>
      <c r="AW499" s="3"/>
      <c r="AX499" s="376">
        <v>0.007007</v>
      </c>
      <c r="AY499" s="376">
        <v>0.017543</v>
      </c>
      <c r="AZ499" s="376">
        <v>0.034466</v>
      </c>
      <c r="BA499" s="376">
        <v>0.068999</v>
      </c>
      <c r="BB499" s="376">
        <v>0.060674</v>
      </c>
      <c r="BC499" s="376">
        <v>0.05032</v>
      </c>
      <c r="BD499" s="376" t="s">
        <v>129</v>
      </c>
      <c r="BE499" s="4"/>
      <c r="BF499" s="376">
        <v>0.017543</v>
      </c>
      <c r="BG499" s="376">
        <v>0.0689246415803738</v>
      </c>
      <c r="BH499" s="376">
        <v>0.0637709068290082</v>
      </c>
      <c r="BI499" s="376">
        <v>0.0389542695910552</v>
      </c>
      <c r="BJ499" s="376">
        <v>0.039875636523721</v>
      </c>
      <c r="BK499" s="376">
        <v>0.035494116822238</v>
      </c>
      <c r="BL499" s="376">
        <v>0.0340925</v>
      </c>
      <c r="BM499" s="376" t="s">
        <v>129</v>
      </c>
      <c r="BN499" s="376" t="s">
        <v>129</v>
      </c>
      <c r="BO499" s="376" t="s">
        <v>129</v>
      </c>
      <c r="BP499" s="376" t="s">
        <v>129</v>
      </c>
      <c r="BQ499" s="376" t="s">
        <v>129</v>
      </c>
      <c r="BR499" s="376" t="s">
        <v>129</v>
      </c>
      <c r="BS499" s="376" t="s">
        <v>129</v>
      </c>
      <c r="BT499" s="376" t="s">
        <v>129</v>
      </c>
      <c r="BU499" s="376" t="s">
        <v>129</v>
      </c>
    </row>
    <row r="500" ht="15.15" spans="45:73">
      <c r="AS500" s="312" t="s">
        <v>162</v>
      </c>
      <c r="AT500"/>
      <c r="AU500"/>
      <c r="AV500"/>
      <c r="AW500" s="377"/>
      <c r="AX500" s="378">
        <f t="shared" ref="AX500:BD500" si="52">AVERAGE(AX475:AX499)</f>
        <v>0.00736664</v>
      </c>
      <c r="AY500" s="378">
        <f t="shared" si="52"/>
        <v>0.0181076</v>
      </c>
      <c r="AZ500" s="378">
        <f t="shared" si="52"/>
        <v>0.03523296</v>
      </c>
      <c r="BA500" s="378">
        <f t="shared" si="52"/>
        <v>0.0710780833333333</v>
      </c>
      <c r="BB500" s="378">
        <f t="shared" si="52"/>
        <v>0.0631322083333333</v>
      </c>
      <c r="BC500" s="378">
        <f t="shared" si="52"/>
        <v>0.0544985909090909</v>
      </c>
      <c r="BD500" s="378">
        <f t="shared" si="52"/>
        <v>0.0619269230769231</v>
      </c>
      <c r="BE500" s="377"/>
      <c r="BF500" s="378">
        <f t="shared" ref="BF500:BU500" si="53">AVERAGE(BF475:BF499)</f>
        <v>0.0181076</v>
      </c>
      <c r="BG500" s="378">
        <f t="shared" si="53"/>
        <v>0.0692902966862042</v>
      </c>
      <c r="BH500" s="378">
        <f t="shared" si="53"/>
        <v>0.0663444332588737</v>
      </c>
      <c r="BI500" s="378">
        <f t="shared" si="53"/>
        <v>0.0427512510128408</v>
      </c>
      <c r="BJ500" s="378">
        <f t="shared" si="53"/>
        <v>0.0351058716844625</v>
      </c>
      <c r="BK500" s="378">
        <f t="shared" si="53"/>
        <v>0.0502446152462803</v>
      </c>
      <c r="BL500" s="378">
        <f t="shared" si="53"/>
        <v>0.0644715635716555</v>
      </c>
      <c r="BM500" s="378">
        <f t="shared" si="53"/>
        <v>0.0500887088832394</v>
      </c>
      <c r="BN500" s="378">
        <f t="shared" si="53"/>
        <v>0.0655947676415793</v>
      </c>
      <c r="BO500" s="378">
        <f t="shared" si="53"/>
        <v>0.0817988696343737</v>
      </c>
      <c r="BP500" s="378">
        <f t="shared" si="53"/>
        <v>0.0836773111139807</v>
      </c>
      <c r="BQ500" s="378">
        <f t="shared" si="53"/>
        <v>0.0956034787040958</v>
      </c>
      <c r="BR500" s="378">
        <f t="shared" si="53"/>
        <v>0.0809103690169956</v>
      </c>
      <c r="BS500" s="378">
        <f t="shared" si="53"/>
        <v>0.09379167774789</v>
      </c>
      <c r="BT500" s="378">
        <f t="shared" si="53"/>
        <v>0.0821573738817387</v>
      </c>
      <c r="BU500" s="378">
        <f t="shared" si="53"/>
        <v>0.0475576956201728</v>
      </c>
    </row>
    <row r="501" spans="45:73">
      <c r="AS501" s="312" t="s">
        <v>178</v>
      </c>
      <c r="AT501"/>
      <c r="AU501"/>
      <c r="AV501"/>
      <c r="AW501"/>
      <c r="AX501" s="379">
        <v>0.0087263867959253</v>
      </c>
      <c r="AY501" s="379">
        <v>0.0207643930788102</v>
      </c>
      <c r="AZ501" s="379">
        <v>0.0377184412193585</v>
      </c>
      <c r="BA501" s="379">
        <v>0.080280059411505</v>
      </c>
      <c r="BB501" s="379">
        <v>0.0659301709109001</v>
      </c>
      <c r="BC501" s="379">
        <v>0.0655149768088614</v>
      </c>
      <c r="BD501" s="379">
        <v>0.0738047315298365</v>
      </c>
      <c r="BE501" s="382"/>
      <c r="BF501" s="379">
        <v>0.0207643930788102</v>
      </c>
      <c r="BG501" s="379">
        <v>0.0797029257152309</v>
      </c>
      <c r="BH501" s="379">
        <v>0.0725988870220093</v>
      </c>
      <c r="BI501" s="379">
        <v>0.0358682288812193</v>
      </c>
      <c r="BJ501" s="379">
        <v>0.0437965988907254</v>
      </c>
      <c r="BK501" s="379">
        <v>0.104161972570555</v>
      </c>
      <c r="BL501" s="379">
        <v>0.0953364838894115</v>
      </c>
      <c r="BM501" s="379">
        <v>0.0665068187794211</v>
      </c>
      <c r="BN501" s="379">
        <v>0.0602957159773323</v>
      </c>
      <c r="BO501" s="379">
        <v>0.0986738756953636</v>
      </c>
      <c r="BP501" s="379">
        <v>0.0865549936165921</v>
      </c>
      <c r="BQ501" s="379">
        <v>0.104681934209951</v>
      </c>
      <c r="BR501" s="379">
        <v>0.0827206164504672</v>
      </c>
      <c r="BS501" s="379">
        <v>0.0912371315059957</v>
      </c>
      <c r="BT501" s="379">
        <v>0.0786771029274067</v>
      </c>
      <c r="BU501" s="379">
        <v>0.0470040326565153</v>
      </c>
    </row>
  </sheetData>
  <mergeCells count="105">
    <mergeCell ref="D3:E3"/>
    <mergeCell ref="F3:L3"/>
    <mergeCell ref="N3:AN3"/>
    <mergeCell ref="AU3:AV3"/>
    <mergeCell ref="AX3:BD3"/>
    <mergeCell ref="BF3:BU3"/>
    <mergeCell ref="D32:E32"/>
    <mergeCell ref="F32:L32"/>
    <mergeCell ref="N32:AN32"/>
    <mergeCell ref="AU41:AV41"/>
    <mergeCell ref="AX41:BD41"/>
    <mergeCell ref="BF41:BU41"/>
    <mergeCell ref="D57:E57"/>
    <mergeCell ref="F57:L57"/>
    <mergeCell ref="N57:AN57"/>
    <mergeCell ref="D84:E84"/>
    <mergeCell ref="F84:L84"/>
    <mergeCell ref="N84:AN84"/>
    <mergeCell ref="AU87:AV87"/>
    <mergeCell ref="AX87:BD87"/>
    <mergeCell ref="BF87:BU87"/>
    <mergeCell ref="D101:E101"/>
    <mergeCell ref="F101:L101"/>
    <mergeCell ref="N101:AN101"/>
    <mergeCell ref="AU105:AV105"/>
    <mergeCell ref="AX105:BD105"/>
    <mergeCell ref="BF105:BU105"/>
    <mergeCell ref="D126:E126"/>
    <mergeCell ref="F126:L126"/>
    <mergeCell ref="N126:AN126"/>
    <mergeCell ref="AU132:AV132"/>
    <mergeCell ref="AX132:BD132"/>
    <mergeCell ref="BF132:BU132"/>
    <mergeCell ref="D146:E146"/>
    <mergeCell ref="F146:L146"/>
    <mergeCell ref="N146:AN146"/>
    <mergeCell ref="AU148:AV148"/>
    <mergeCell ref="AX148:BD148"/>
    <mergeCell ref="BF148:BU148"/>
    <mergeCell ref="AU159:AV159"/>
    <mergeCell ref="AX159:BD159"/>
    <mergeCell ref="BF159:BU159"/>
    <mergeCell ref="D166:E166"/>
    <mergeCell ref="F166:L166"/>
    <mergeCell ref="N166:AN166"/>
    <mergeCell ref="D190:E190"/>
    <mergeCell ref="F190:L190"/>
    <mergeCell ref="N190:AC190"/>
    <mergeCell ref="AU203:AV203"/>
    <mergeCell ref="AX203:BD203"/>
    <mergeCell ref="BF203:BU203"/>
    <mergeCell ref="AU219:AV219"/>
    <mergeCell ref="AX219:BD219"/>
    <mergeCell ref="BF219:BU219"/>
    <mergeCell ref="AU244:AV244"/>
    <mergeCell ref="AX244:BD244"/>
    <mergeCell ref="BF244:BU244"/>
    <mergeCell ref="AU262:AV262"/>
    <mergeCell ref="AX262:BD262"/>
    <mergeCell ref="BF262:BU262"/>
    <mergeCell ref="AU280:AV280"/>
    <mergeCell ref="AX280:BD280"/>
    <mergeCell ref="BF280:BU280"/>
    <mergeCell ref="AU309:AV309"/>
    <mergeCell ref="AX309:BD309"/>
    <mergeCell ref="BF309:BU309"/>
    <mergeCell ref="AU348:AV348"/>
    <mergeCell ref="AX348:BD348"/>
    <mergeCell ref="BF348:BU348"/>
    <mergeCell ref="AU443:AV443"/>
    <mergeCell ref="AX443:BD443"/>
    <mergeCell ref="BF443:BU443"/>
    <mergeCell ref="AU473:AV473"/>
    <mergeCell ref="AX473:BD473"/>
    <mergeCell ref="BF473:BU473"/>
    <mergeCell ref="B32:B33"/>
    <mergeCell ref="B57:B58"/>
    <mergeCell ref="B84:B85"/>
    <mergeCell ref="B101:B102"/>
    <mergeCell ref="B126:B127"/>
    <mergeCell ref="B146:B147"/>
    <mergeCell ref="B166:B167"/>
    <mergeCell ref="B190:B191"/>
    <mergeCell ref="C32:C33"/>
    <mergeCell ref="C57:C58"/>
    <mergeCell ref="C84:C85"/>
    <mergeCell ref="C101:C102"/>
    <mergeCell ref="C126:C127"/>
    <mergeCell ref="C146:C147"/>
    <mergeCell ref="C166:C167"/>
    <mergeCell ref="AS41:AS42"/>
    <mergeCell ref="AS87:AS88"/>
    <mergeCell ref="AS105:AS106"/>
    <mergeCell ref="AS132:AS133"/>
    <mergeCell ref="AS148:AS149"/>
    <mergeCell ref="AS159:AS160"/>
    <mergeCell ref="AS203:AS204"/>
    <mergeCell ref="AS219:AS220"/>
    <mergeCell ref="AS244:AS245"/>
    <mergeCell ref="AS262:AS263"/>
    <mergeCell ref="AS280:AS281"/>
    <mergeCell ref="AS309:AS310"/>
    <mergeCell ref="AS348:AS349"/>
    <mergeCell ref="AS443:AS444"/>
    <mergeCell ref="AS473:AS474"/>
  </mergeCells>
  <conditionalFormatting sqref="S6:T6">
    <cfRule type="cellIs" dxfId="0" priority="59" operator="lessThan">
      <formula>0</formula>
    </cfRule>
  </conditionalFormatting>
  <conditionalFormatting sqref="S6:AM6">
    <cfRule type="cellIs" dxfId="1" priority="58" stopIfTrue="1" operator="greaterThan">
      <formula>0</formula>
    </cfRule>
  </conditionalFormatting>
  <conditionalFormatting sqref="U6:AM6">
    <cfRule type="cellIs" dxfId="0" priority="62" operator="lessThan">
      <formula>0</formula>
    </cfRule>
  </conditionalFormatting>
  <conditionalFormatting sqref="F29:L29">
    <cfRule type="cellIs" dxfId="1" priority="55" stopIfTrue="1" operator="greaterThan">
      <formula>0</formula>
    </cfRule>
    <cfRule type="cellIs" dxfId="0" priority="56" operator="lessThan">
      <formula>0</formula>
    </cfRule>
  </conditionalFormatting>
  <conditionalFormatting sqref="F82:L82">
    <cfRule type="cellIs" dxfId="1" priority="43" stopIfTrue="1" operator="greaterThan">
      <formula>0</formula>
    </cfRule>
    <cfRule type="cellIs" dxfId="0" priority="44" operator="lessThan">
      <formula>0</formula>
    </cfRule>
  </conditionalFormatting>
  <conditionalFormatting sqref="F99:L99">
    <cfRule type="cellIs" dxfId="1" priority="37" stopIfTrue="1" operator="greaterThan">
      <formula>0</formula>
    </cfRule>
    <cfRule type="cellIs" dxfId="0" priority="38" operator="lessThan">
      <formula>0</formula>
    </cfRule>
  </conditionalFormatting>
  <conditionalFormatting sqref="F123:L123">
    <cfRule type="cellIs" dxfId="1" priority="33" stopIfTrue="1" operator="greaterThan">
      <formula>0</formula>
    </cfRule>
    <cfRule type="cellIs" dxfId="0" priority="34" operator="lessThan">
      <formula>0</formula>
    </cfRule>
  </conditionalFormatting>
  <conditionalFormatting sqref="F163:L163">
    <cfRule type="cellIs" dxfId="1" priority="13" stopIfTrue="1" operator="greaterThan">
      <formula>0</formula>
    </cfRule>
    <cfRule type="cellIs" dxfId="0" priority="14" operator="lessThan">
      <formula>0</formula>
    </cfRule>
  </conditionalFormatting>
  <conditionalFormatting sqref="N163:P163">
    <cfRule type="cellIs" dxfId="1" priority="12" stopIfTrue="1" operator="greaterThan">
      <formula>0</formula>
    </cfRule>
  </conditionalFormatting>
  <conditionalFormatting sqref="F188:L188">
    <cfRule type="cellIs" dxfId="1" priority="7" stopIfTrue="1" operator="greaterThan">
      <formula>0</formula>
    </cfRule>
    <cfRule type="cellIs" dxfId="0" priority="8" operator="lessThan">
      <formula>0</formula>
    </cfRule>
  </conditionalFormatting>
  <conditionalFormatting sqref="N188:P188">
    <cfRule type="cellIs" dxfId="1" priority="5" stopIfTrue="1" operator="greaterThan">
      <formula>0</formula>
    </cfRule>
  </conditionalFormatting>
  <conditionalFormatting sqref="AX452:BA452">
    <cfRule type="colorScale" priority="253">
      <colorScale>
        <cfvo type="min"/>
        <cfvo type="max"/>
        <color rgb="FF63BE7B"/>
        <color rgb="FFFFEF9C"/>
      </colorScale>
    </cfRule>
  </conditionalFormatting>
  <conditionalFormatting sqref="Q5:R28 Q29:AM29 N5:P29 F5:K29">
    <cfRule type="cellIs" dxfId="0" priority="57" operator="lessThan">
      <formula>0</formula>
    </cfRule>
  </conditionalFormatting>
  <conditionalFormatting sqref="N5:P29">
    <cfRule type="cellIs" dxfId="1" priority="53" stopIfTrue="1" operator="greaterThan">
      <formula>0</formula>
    </cfRule>
  </conditionalFormatting>
  <conditionalFormatting sqref="Q5:R28 Q29:AM29">
    <cfRule type="cellIs" dxfId="1" priority="54" stopIfTrue="1" operator="greaterThan">
      <formula>0</formula>
    </cfRule>
  </conditionalFormatting>
  <conditionalFormatting sqref="S5:AM28">
    <cfRule type="cellIs" dxfId="1" priority="60" stopIfTrue="1" operator="greaterThan">
      <formula>0</formula>
    </cfRule>
    <cfRule type="cellIs" dxfId="0" priority="61" operator="lessThan">
      <formula>0</formula>
    </cfRule>
  </conditionalFormatting>
  <conditionalFormatting sqref="AX16:BD37 BF16:BU37 AX89:BD101 BF89:BU101">
    <cfRule type="cellIs" dxfId="0" priority="279" operator="lessThan">
      <formula>0</formula>
    </cfRule>
    <cfRule type="cellIs" dxfId="1" priority="280" operator="greaterThan">
      <formula>0</formula>
    </cfRule>
  </conditionalFormatting>
  <conditionalFormatting sqref="N124:AN125 F30:K32 N30:AN31 N55:AN56 N83:AN83 N100:AN100 N145:AN146 Q147:AM147 N166:AN166 Q167:AM167 AN82">
    <cfRule type="cellIs" dxfId="0" priority="303" operator="lessThan">
      <formula>0</formula>
    </cfRule>
  </conditionalFormatting>
  <conditionalFormatting sqref="N124:U125 Q30:AN31 N55:AN56 N83:AN83 N100:AN100 AN82">
    <cfRule type="cellIs" dxfId="1" priority="290" stopIfTrue="1" operator="greaterThan">
      <formula>0</formula>
    </cfRule>
  </conditionalFormatting>
  <conditionalFormatting sqref="N30:P31">
    <cfRule type="cellIs" dxfId="1" priority="287" stopIfTrue="1" operator="greaterThan">
      <formula>0</formula>
    </cfRule>
  </conditionalFormatting>
  <conditionalFormatting sqref="F34:K54 L54">
    <cfRule type="cellIs" dxfId="0" priority="50" operator="lessThan">
      <formula>0</formula>
    </cfRule>
  </conditionalFormatting>
  <conditionalFormatting sqref="N34:AM54 F54:L54">
    <cfRule type="cellIs" dxfId="1" priority="48" stopIfTrue="1" operator="greaterThan">
      <formula>0</formula>
    </cfRule>
  </conditionalFormatting>
  <conditionalFormatting sqref="N34:AM54">
    <cfRule type="cellIs" dxfId="0" priority="49" operator="lessThan">
      <formula>0</formula>
    </cfRule>
  </conditionalFormatting>
  <conditionalFormatting sqref="N34:P53">
    <cfRule type="cellIs" dxfId="0" priority="52" operator="lessThan">
      <formula>0</formula>
    </cfRule>
    <cfRule type="cellIs" dxfId="1" priority="51" stopIfTrue="1" operator="greaterThan">
      <formula>0</formula>
    </cfRule>
  </conditionalFormatting>
  <conditionalFormatting sqref="AX445:BD469 AX43:BD83 AX107:BD128 BF107:BU128 AX134:BD144 AX150:BD155 AX161:BD199 BF161:BU199 AX205:BD215 AX221:BD240 BF221:BU240 AX246:BD258 BF246:BU258 AX264:BD276 AX282:BD305 BF282:BU305 AX311:BD344 AX350:BD439 BF350:BU439 BF445:BU469 AX475:BD499 BF475:BU499">
    <cfRule type="cellIs" dxfId="0" priority="268" operator="lessThan">
      <formula>0</formula>
    </cfRule>
    <cfRule type="cellIs" dxfId="1" priority="269" operator="greaterThan">
      <formula>0</formula>
    </cfRule>
  </conditionalFormatting>
  <conditionalFormatting sqref="BF43:BU83">
    <cfRule type="cellIs" dxfId="0" priority="264" operator="lessThan">
      <formula>0</formula>
    </cfRule>
    <cfRule type="cellIs" dxfId="1" priority="265" operator="greaterThan">
      <formula>0</formula>
    </cfRule>
  </conditionalFormatting>
  <conditionalFormatting sqref="N59:AM82 F59:K80 F81:M81">
    <cfRule type="cellIs" dxfId="0" priority="45" operator="lessThan">
      <formula>0</formula>
    </cfRule>
  </conditionalFormatting>
  <conditionalFormatting sqref="M59:P80">
    <cfRule type="cellIs" dxfId="0" priority="47" operator="lessThan">
      <formula>0</formula>
    </cfRule>
  </conditionalFormatting>
  <conditionalFormatting sqref="N59:AM82">
    <cfRule type="cellIs" dxfId="1" priority="42" stopIfTrue="1" operator="greaterThan">
      <formula>0</formula>
    </cfRule>
  </conditionalFormatting>
  <conditionalFormatting sqref="N59:P81">
    <cfRule type="cellIs" dxfId="1" priority="46" stopIfTrue="1" operator="greaterThan">
      <formula>0</formula>
    </cfRule>
  </conditionalFormatting>
  <conditionalFormatting sqref="N86:AM99 F86:K99">
    <cfRule type="cellIs" dxfId="0" priority="39" operator="lessThan">
      <formula>0</formula>
    </cfRule>
  </conditionalFormatting>
  <conditionalFormatting sqref="N86:AM99">
    <cfRule type="cellIs" dxfId="1" priority="36" stopIfTrue="1" operator="greaterThan">
      <formula>0</formula>
    </cfRule>
  </conditionalFormatting>
  <conditionalFormatting sqref="N86:P98">
    <cfRule type="cellIs" dxfId="0" priority="41" operator="lessThan">
      <formula>0</formula>
    </cfRule>
    <cfRule type="cellIs" dxfId="1" priority="40" stopIfTrue="1" operator="greaterThan">
      <formula>0</formula>
    </cfRule>
  </conditionalFormatting>
  <conditionalFormatting sqref="Q103:AM123 F103:K123">
    <cfRule type="cellIs" dxfId="0" priority="35" operator="lessThan">
      <formula>0</formula>
    </cfRule>
  </conditionalFormatting>
  <conditionalFormatting sqref="N103:AM123">
    <cfRule type="cellIs" dxfId="1" priority="27" stopIfTrue="1" operator="greaterThan">
      <formula>0</formula>
    </cfRule>
  </conditionalFormatting>
  <conditionalFormatting sqref="N103:P122">
    <cfRule type="cellIs" dxfId="1" priority="31" stopIfTrue="1" operator="greaterThan">
      <formula>0</formula>
    </cfRule>
    <cfRule type="cellIs" dxfId="0" priority="32" operator="lessThan">
      <formula>0</formula>
    </cfRule>
  </conditionalFormatting>
  <conditionalFormatting sqref="N103:P123 Q123:AM123">
    <cfRule type="cellIs" dxfId="0" priority="28" operator="lessThan">
      <formula>0</formula>
    </cfRule>
  </conditionalFormatting>
  <conditionalFormatting sqref="Q121:T122">
    <cfRule type="cellIs" dxfId="1" priority="29" stopIfTrue="1" operator="greaterThan">
      <formula>0</formula>
    </cfRule>
    <cfRule type="cellIs" dxfId="0" priority="30" operator="lessThan">
      <formula>0</formula>
    </cfRule>
  </conditionalFormatting>
  <conditionalFormatting sqref="Q128:T143 F128:K144 L144:P144">
    <cfRule type="cellIs" dxfId="0" priority="22" operator="lessThan">
      <formula>0</formula>
    </cfRule>
  </conditionalFormatting>
  <conditionalFormatting sqref="N128:T143 F144:AM144">
    <cfRule type="cellIs" dxfId="1" priority="18" stopIfTrue="1" operator="greaterThan">
      <formula>0</formula>
    </cfRule>
  </conditionalFormatting>
  <conditionalFormatting sqref="N128:P140">
    <cfRule type="cellIs" dxfId="0" priority="24" operator="lessThan">
      <formula>0</formula>
    </cfRule>
    <cfRule type="cellIs" dxfId="1" priority="23" stopIfTrue="1" operator="greaterThan">
      <formula>0</formula>
    </cfRule>
  </conditionalFormatting>
  <conditionalFormatting sqref="N128:P144">
    <cfRule type="cellIs" dxfId="0" priority="21" operator="lessThan">
      <formula>0</formula>
    </cfRule>
  </conditionalFormatting>
  <conditionalFormatting sqref="Q128:AM140">
    <cfRule type="cellIs" dxfId="1" priority="19" stopIfTrue="1" operator="greaterThan">
      <formula>0</formula>
    </cfRule>
  </conditionalFormatting>
  <conditionalFormatting sqref="Q128:AM144">
    <cfRule type="cellIs" dxfId="0" priority="20" operator="lessThan">
      <formula>0</formula>
    </cfRule>
  </conditionalFormatting>
  <conditionalFormatting sqref="BF134:BU144">
    <cfRule type="cellIs" dxfId="0" priority="262" operator="lessThan">
      <formula>0</formula>
    </cfRule>
    <cfRule type="cellIs" dxfId="1" priority="263" operator="greaterThan">
      <formula>0</formula>
    </cfRule>
  </conditionalFormatting>
  <conditionalFormatting sqref="U141:AM143">
    <cfRule type="cellIs" dxfId="0" priority="26" operator="lessThan">
      <formula>0</formula>
    </cfRule>
    <cfRule type="cellIs" dxfId="1" priority="25" stopIfTrue="1" operator="greaterThan">
      <formula>0</formula>
    </cfRule>
  </conditionalFormatting>
  <conditionalFormatting sqref="N148:AM163 F148:K163">
    <cfRule type="cellIs" dxfId="0" priority="15" operator="lessThan">
      <formula>0</formula>
    </cfRule>
  </conditionalFormatting>
  <conditionalFormatting sqref="N148:P162">
    <cfRule type="cellIs" dxfId="0" priority="17" operator="lessThan">
      <formula>0</formula>
    </cfRule>
    <cfRule type="cellIs" dxfId="1" priority="16" stopIfTrue="1" operator="greaterThan">
      <formula>0</formula>
    </cfRule>
  </conditionalFormatting>
  <conditionalFormatting sqref="Q148:AM163">
    <cfRule type="cellIs" dxfId="1" priority="11" stopIfTrue="1" operator="greaterThan">
      <formula>0</formula>
    </cfRule>
  </conditionalFormatting>
  <conditionalFormatting sqref="BF150:BU155">
    <cfRule type="cellIs" dxfId="0" priority="260" operator="lessThan">
      <formula>0</formula>
    </cfRule>
    <cfRule type="cellIs" dxfId="1" priority="261" operator="greaterThan">
      <formula>0</formula>
    </cfRule>
  </conditionalFormatting>
  <conditionalFormatting sqref="N168:AM188 F168:K188">
    <cfRule type="cellIs" dxfId="0" priority="9" operator="lessThan">
      <formula>0</formula>
    </cfRule>
  </conditionalFormatting>
  <conditionalFormatting sqref="N168:P187">
    <cfRule type="cellIs" dxfId="1" priority="10" stopIfTrue="1" operator="greaterThan">
      <formula>0</formula>
    </cfRule>
  </conditionalFormatting>
  <conditionalFormatting sqref="Q168:AM188">
    <cfRule type="cellIs" dxfId="1" priority="6" stopIfTrue="1" operator="greaterThan">
      <formula>0</formula>
    </cfRule>
  </conditionalFormatting>
  <conditionalFormatting sqref="F192:L227">
    <cfRule type="cellIs" dxfId="0" priority="3" operator="lessThan">
      <formula>0</formula>
    </cfRule>
    <cfRule type="cellIs" dxfId="1" priority="4" operator="greaterThan">
      <formula>0</formula>
    </cfRule>
  </conditionalFormatting>
  <conditionalFormatting sqref="N192:Z227">
    <cfRule type="cellIs" dxfId="0" priority="1" operator="lessThan">
      <formula>0</formula>
    </cfRule>
    <cfRule type="cellIs" dxfId="1" priority="2" operator="greaterThan">
      <formula>0</formula>
    </cfRule>
  </conditionalFormatting>
  <conditionalFormatting sqref="AA192:AC226">
    <cfRule type="cellIs" dxfId="0" priority="127" operator="lessThan">
      <formula>0</formula>
    </cfRule>
    <cfRule type="cellIs" dxfId="1" priority="128" operator="greaterThan">
      <formula>0</formula>
    </cfRule>
  </conditionalFormatting>
  <conditionalFormatting sqref="BF205:BU215">
    <cfRule type="cellIs" dxfId="0" priority="258" operator="lessThan">
      <formula>0</formula>
    </cfRule>
    <cfRule type="cellIs" dxfId="1" priority="259" operator="greaterThan">
      <formula>0</formula>
    </cfRule>
  </conditionalFormatting>
  <conditionalFormatting sqref="BF264:BU276">
    <cfRule type="cellIs" dxfId="0" priority="256" operator="lessThan">
      <formula>0</formula>
    </cfRule>
    <cfRule type="cellIs" dxfId="1" priority="257" operator="greaterThan">
      <formula>0</formula>
    </cfRule>
  </conditionalFormatting>
  <conditionalFormatting sqref="BF311:BU344">
    <cfRule type="cellIs" dxfId="0" priority="254" operator="lessThan">
      <formula>0</formula>
    </cfRule>
    <cfRule type="cellIs" dxfId="1" priority="255" operator="greaterThan">
      <formula>0</formula>
    </cfRule>
  </conditionalFormatting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AF111"/>
  <sheetViews>
    <sheetView showGridLines="0" zoomScale="47" zoomScaleNormal="47" workbookViewId="0">
      <selection activeCell="M47" sqref="M47"/>
    </sheetView>
  </sheetViews>
  <sheetFormatPr defaultColWidth="9" defaultRowHeight="14.4"/>
  <cols>
    <col min="1" max="1" width="36.7222222222222" customWidth="1"/>
    <col min="2" max="2" width="15.3611111111111" customWidth="1"/>
    <col min="3" max="3" width="15.2685185185185" customWidth="1"/>
    <col min="4" max="4" width="15.3611111111111" customWidth="1"/>
    <col min="5" max="5" width="20.7222222222222" customWidth="1"/>
    <col min="6" max="6" width="23.0925925925926" customWidth="1"/>
    <col min="7" max="7" width="9.17592592592593" customWidth="1"/>
    <col min="8" max="11" width="23.0925925925926" customWidth="1"/>
    <col min="12" max="12" width="8.72222222222222" customWidth="1"/>
    <col min="13" max="13" width="42.9074074074074" customWidth="1"/>
    <col min="14" max="19" width="15.3611111111111" customWidth="1"/>
    <col min="20" max="20" width="26.4537037037037" customWidth="1"/>
    <col min="21" max="21" width="15.3611111111111" customWidth="1"/>
    <col min="24" max="24" width="36.7222222222222" customWidth="1"/>
    <col min="25" max="30" width="15.3611111111111" customWidth="1"/>
    <col min="31" max="31" width="17.0925925925926" customWidth="1"/>
    <col min="32" max="32" width="15.3611111111111" customWidth="1"/>
    <col min="35" max="36" width="25.0925925925926" customWidth="1"/>
    <col min="37" max="37" width="15.3611111111111" customWidth="1"/>
    <col min="40" max="40" width="36.7222222222222" customWidth="1"/>
    <col min="41" max="42" width="15.3611111111111" customWidth="1"/>
    <col min="43" max="43" width="21.0925925925926" customWidth="1"/>
    <col min="44" max="46" width="15.3611111111111" customWidth="1"/>
    <col min="47" max="47" width="23.1759259259259" customWidth="1"/>
    <col min="48" max="48" width="15.3611111111111" customWidth="1"/>
    <col min="51" max="51" width="25.0925925925926" customWidth="1"/>
    <col min="52" max="53" width="15.3611111111111" customWidth="1"/>
  </cols>
  <sheetData>
    <row r="1" spans="1:32">
      <c r="A1" s="200" t="s">
        <v>72</v>
      </c>
      <c r="B1" s="116"/>
      <c r="C1" s="116"/>
      <c r="D1" s="116"/>
      <c r="E1" s="116"/>
      <c r="F1" s="116"/>
      <c r="H1" s="116"/>
      <c r="I1" s="116"/>
      <c r="J1" s="116"/>
      <c r="K1" s="116"/>
      <c r="M1" s="32" t="s">
        <v>104</v>
      </c>
      <c r="N1" s="98"/>
      <c r="O1" s="98"/>
      <c r="P1" s="98"/>
      <c r="Q1" s="98"/>
      <c r="R1" s="98"/>
      <c r="S1" s="98"/>
      <c r="T1" s="98"/>
      <c r="U1" s="98"/>
      <c r="V1" s="98"/>
      <c r="W1" s="98"/>
      <c r="X1" s="98"/>
      <c r="Y1" s="98"/>
      <c r="Z1" s="98"/>
      <c r="AA1" s="98"/>
      <c r="AB1" s="98"/>
      <c r="AC1" s="98"/>
      <c r="AD1" s="98"/>
      <c r="AE1" s="98"/>
      <c r="AF1" s="33"/>
    </row>
    <row r="2" ht="15.15" spans="1:32">
      <c r="A2" s="200"/>
      <c r="B2" s="116"/>
      <c r="C2" s="116"/>
      <c r="D2" s="116"/>
      <c r="E2" s="116"/>
      <c r="F2" s="116"/>
      <c r="H2" s="116"/>
      <c r="I2" s="116"/>
      <c r="J2" s="116"/>
      <c r="K2" s="116"/>
      <c r="M2" s="226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227"/>
      <c r="AD2" s="227"/>
      <c r="AE2" s="227"/>
      <c r="AF2" s="229"/>
    </row>
    <row r="3" ht="15.15" spans="13:32">
      <c r="M3" s="228" t="s">
        <v>792</v>
      </c>
      <c r="N3" s="229"/>
      <c r="O3" s="226" t="s">
        <v>82</v>
      </c>
      <c r="P3" s="227"/>
      <c r="Q3" s="227"/>
      <c r="R3" s="227"/>
      <c r="S3" s="227"/>
      <c r="T3" s="227"/>
      <c r="U3" s="229"/>
      <c r="X3" s="228" t="s">
        <v>81</v>
      </c>
      <c r="Y3" s="226" t="s">
        <v>82</v>
      </c>
      <c r="Z3" s="227"/>
      <c r="AA3" s="227"/>
      <c r="AB3" s="227"/>
      <c r="AC3" s="227"/>
      <c r="AD3" s="227"/>
      <c r="AE3" s="227"/>
      <c r="AF3" s="229"/>
    </row>
    <row r="4" ht="15.15" spans="1:32">
      <c r="A4" s="201" t="s">
        <v>73</v>
      </c>
      <c r="B4" s="33" t="s">
        <v>74</v>
      </c>
      <c r="C4" s="201" t="s">
        <v>75</v>
      </c>
      <c r="D4" s="33" t="s">
        <v>76</v>
      </c>
      <c r="E4" s="33" t="s">
        <v>77</v>
      </c>
      <c r="F4" s="160" t="s">
        <v>793</v>
      </c>
      <c r="H4" s="32" t="s">
        <v>117</v>
      </c>
      <c r="I4" s="33" t="s">
        <v>118</v>
      </c>
      <c r="J4" s="32" t="s">
        <v>794</v>
      </c>
      <c r="K4" s="33" t="s">
        <v>795</v>
      </c>
      <c r="M4" s="230" t="s">
        <v>792</v>
      </c>
      <c r="N4" s="33" t="s">
        <v>87</v>
      </c>
      <c r="O4" s="231" t="s">
        <v>88</v>
      </c>
      <c r="P4" s="232" t="s">
        <v>89</v>
      </c>
      <c r="Q4" s="232" t="s">
        <v>90</v>
      </c>
      <c r="R4" s="232" t="s">
        <v>91</v>
      </c>
      <c r="S4" s="232" t="s">
        <v>93</v>
      </c>
      <c r="T4" s="232" t="s">
        <v>94</v>
      </c>
      <c r="U4" s="258" t="s">
        <v>95</v>
      </c>
      <c r="X4" s="230" t="s">
        <v>81</v>
      </c>
      <c r="Y4" s="266" t="s">
        <v>96</v>
      </c>
      <c r="Z4" s="267">
        <v>2024</v>
      </c>
      <c r="AA4" s="267">
        <v>2023</v>
      </c>
      <c r="AB4" s="268">
        <v>2022</v>
      </c>
      <c r="AC4" s="268">
        <v>2021</v>
      </c>
      <c r="AD4" s="268">
        <v>2020</v>
      </c>
      <c r="AE4" s="268">
        <v>2019</v>
      </c>
      <c r="AF4" s="269">
        <v>2018</v>
      </c>
    </row>
    <row r="5" ht="15.15" spans="1:32">
      <c r="A5" s="176" t="s">
        <v>16</v>
      </c>
      <c r="B5" s="199" t="str" cm="1">
        <f t="array" ref="B5:B35">_xlfn.IFNA(VLOOKUP($A$5:$A$35,'Selector Sheet '!$B$14:$D$59,3,FALSE),"")</f>
        <v/>
      </c>
      <c r="C5" s="176" t="str" cm="1">
        <f t="array" ref="C5:C35">_xlfn.IFNA(VLOOKUP($A$5:$A$35,Source_Data!$T$2:$W$24,2,FALSE),"")</f>
        <v/>
      </c>
      <c r="D5" s="194" t="str" cm="1">
        <f t="array" ref="D5:D35">_xlfn.IFNA(VLOOKUP($A$5:$A$35,Source_Data!$T$2:$W$24,3,FALSE),"")</f>
        <v/>
      </c>
      <c r="E5" s="194" t="str" cm="1">
        <f t="array" ref="E5:E35">_xlfn.IFNA(VLOOKUP($A$5:$A$35,Source_Data!$T$2:$W$24,4,FALSE),"")</f>
        <v/>
      </c>
      <c r="F5" s="199" t="str" cm="1">
        <f t="array" ref="F5:F35">_xlfn.IFNA(VLOOKUP($A$5:$A$35,Source_Data!$T$2:$X$24,5,FALSE),"")</f>
        <v/>
      </c>
      <c r="H5" s="176" t="str" cm="1">
        <f t="array" ref="H5:H35">_xlfn.IFNA(VLOOKUP($A$5:$A$35,Source_Data!$T$2:$AB$24,6,FALSE),"")</f>
        <v/>
      </c>
      <c r="I5" s="176" t="str" cm="1">
        <f t="array" ref="I5:I35">_xlfn.IFNA(VLOOKUP($A$5:$A$35,Source_Data!$T$2:$AB$24,7,FALSE),"")</f>
        <v/>
      </c>
      <c r="J5" s="176" t="str" cm="1">
        <f t="array" ref="J5:J35">_xlfn.IFNA(VLOOKUP($A$5:$A$35,Source_Data!$T$2:$AB$24,8,FALSE),"")</f>
        <v/>
      </c>
      <c r="K5" s="176" t="str" cm="1">
        <f t="array" ref="K5:K35">_xlfn.IFNA(VLOOKUP($A$5:$A$35,Source_Data!$T$2:$AB$24,9,FALSE),"")</f>
        <v/>
      </c>
      <c r="M5" s="110" t="str" cm="1">
        <f t="array" ref="M5:M10">IF($A$5:$A$10&gt;0,$A$5:$A$10,"")</f>
        <v>Large Cap</v>
      </c>
      <c r="N5" s="194" t="str" cm="1">
        <f t="array" ref="N5:N10">IFERROR(INDEX('Performance Data'!$B$3:$AN$293,MATCH(TRIM(_xlfn.ANCHORARRAY($M$5)),'Performance Data'!$B$3:$B$294,0),MATCH(TRIM(N$4),'Performance Data'!$B$4:$AM$4,0)),"")</f>
        <v/>
      </c>
      <c r="O5" s="194" t="str" cm="1">
        <f t="array" ref="O5:O10">IFERROR(INDEX('Performance Data'!$B$3:$AN$293,MATCH(TRIM(_xlfn.ANCHORARRAY($M$5)),'Performance Data'!$B$3:$B$294,0),MATCH(TRIM(O$4),'Performance Data'!$B$4:$AM$4,0)),"")</f>
        <v/>
      </c>
      <c r="P5" s="194" t="str" cm="1">
        <f t="array" ref="P5:P10">IFERROR(INDEX('Performance Data'!$B$3:$AN$293,MATCH(TRIM(_xlfn.ANCHORARRAY($M$5)),'Performance Data'!$B$3:$B$294,0),MATCH(TRIM(P$4),'Performance Data'!$B$4:$AM$4,0)),"")</f>
        <v/>
      </c>
      <c r="Q5" s="194" t="str" cm="1">
        <f t="array" ref="Q5:Q10">IFERROR(INDEX('Performance Data'!$B$3:$AN$293,MATCH(TRIM(_xlfn.ANCHORARRAY($M$5)),'Performance Data'!$B$3:$B$294,0),MATCH(TRIM(Q$4),'Performance Data'!$B$4:$AM$4,0)),"")</f>
        <v/>
      </c>
      <c r="R5" s="194" t="str" cm="1">
        <f t="array" ref="R5:R10">IFERROR(INDEX('Performance Data'!$B$3:$AN$293,MATCH(TRIM(_xlfn.ANCHORARRAY($M$5)),'Performance Data'!$B$3:$B$294,0),MATCH(TRIM(R$4),'Performance Data'!$B$4:$AM$4,0)),"")</f>
        <v/>
      </c>
      <c r="S5" s="194" t="str" cm="1">
        <f t="array" ref="S5:S10">IFERROR(INDEX('Performance Data'!$B$3:$AN$293,MATCH(TRIM(_xlfn.ANCHORARRAY($M$5)),'Performance Data'!$B$3:$B$294,0),MATCH(TRIM(S$4),'Performance Data'!$B$4:$AM$4,0)),"")</f>
        <v/>
      </c>
      <c r="T5" s="194" t="str" cm="1">
        <f t="array" ref="T5:T10">IFERROR(INDEX('Performance Data'!$B$3:$AN$293,MATCH(TRIM(_xlfn.ANCHORARRAY($M$5)),'Performance Data'!$B$3:$B$294,0),MATCH(TRIM(T$4),'Performance Data'!$B$4:$AM$4,0)),"")</f>
        <v/>
      </c>
      <c r="U5" s="199" t="str" cm="1">
        <f t="array" ref="U5:U10">IFERROR(INDEX('Performance Data'!$B$3:$AN$293,MATCH(TRIM(_xlfn.ANCHORARRAY($M$5)),'Performance Data'!$B$3:$B$294,0),MATCH(TRIM(U$4),'Performance Data'!$B$4:$AM$4,0)),"")</f>
        <v/>
      </c>
      <c r="X5" s="110" t="str" cm="1">
        <f t="array" ref="X5:X10">IF($A$5:$A$10&gt;0,$A$5:$A$10,"")</f>
        <v>Large Cap</v>
      </c>
      <c r="Y5" s="194" t="str" cm="1">
        <f t="array" ref="Y5:Y10">_xlfn.IFNA(INDEX('Performance Data'!$B$4:$AN$294,MATCH(_xlfn.ANCHORARRAY($X$5),'Performance Data'!$B$4:$B$294,0),MATCH(Y$4,'Performance Data'!$B$4:$AM$4,0)),"")</f>
        <v/>
      </c>
      <c r="Z5" s="194" t="str" cm="1">
        <f t="array" ref="Z5:Z10">_xlfn.IFNA(INDEX('Performance Data'!$B$4:$AN$294,MATCH(_xlfn.ANCHORARRAY($X$5),'Performance Data'!$B$4:$B$294,0),MATCH(Z$4,'Performance Data'!$B$4:$AM$4,0)),"")</f>
        <v/>
      </c>
      <c r="AA5" s="194" t="str" cm="1">
        <f t="array" ref="AA5:AA10">_xlfn.IFNA(INDEX('Performance Data'!$B$4:$AN$294,MATCH(_xlfn.ANCHORARRAY($X$5),'Performance Data'!$B$4:$B$294,0),MATCH(AA$4,'Performance Data'!$B$4:$AM$4,0)),"")</f>
        <v/>
      </c>
      <c r="AB5" s="194" t="str" cm="1">
        <f t="array" ref="AB5:AB10">_xlfn.IFNA(INDEX('Performance Data'!$B$4:$AN$294,MATCH(_xlfn.ANCHORARRAY($X$5),'Performance Data'!$B$4:$B$294,0),MATCH(AB$4,'Performance Data'!$B$4:$AM$4,0)),"")</f>
        <v/>
      </c>
      <c r="AC5" s="194" t="str" cm="1">
        <f t="array" ref="AC5:AC10">_xlfn.IFNA(INDEX('Performance Data'!$B$4:$AN$294,MATCH(_xlfn.ANCHORARRAY($X$5),'Performance Data'!$B$4:$B$294,0),MATCH(AC$4,'Performance Data'!$B$4:$AM$4,0)),"")</f>
        <v/>
      </c>
      <c r="AD5" s="194" t="str" cm="1">
        <f t="array" ref="AD5:AD10">_xlfn.IFNA(INDEX('Performance Data'!$B$4:$AN$294,MATCH(_xlfn.ANCHORARRAY($X$5),'Performance Data'!$B$4:$B$294,0),MATCH(AD$4,'Performance Data'!$B$4:$AM$4,0)),"")</f>
        <v/>
      </c>
      <c r="AE5" s="194" t="str" cm="1">
        <f t="array" ref="AE5:AE10">_xlfn.IFNA(INDEX('Performance Data'!$B$4:$AN$294,MATCH(_xlfn.ANCHORARRAY($X$5),'Performance Data'!$B$4:$B$294,0),MATCH(AE$4,'Performance Data'!$B$4:$AM$4,0)),"")</f>
        <v/>
      </c>
      <c r="AF5" s="199" t="str" cm="1">
        <f t="array" ref="AF5:AF10">_xlfn.IFNA(INDEX('Performance Data'!$B$4:$AN$294,MATCH(_xlfn.ANCHORARRAY($X$5),'Performance Data'!$B$4:$B$294,0),MATCH(AF$4,'Performance Data'!$B$4:$AM$4,0)),"")</f>
        <v/>
      </c>
    </row>
    <row r="6" spans="1:32">
      <c r="A6" s="89" t="str" cm="1">
        <f t="array" ref="A6:A7">_xlfn._xlws.FILTER('Selector Sheet '!$B$14:$B$19,'Selector Sheet '!$A$14:$A$19=TRUE,"No funds selected")</f>
        <v>Nippon India Large Cap Fund(G)</v>
      </c>
      <c r="B6" s="202">
        <v>0.2</v>
      </c>
      <c r="C6" s="203">
        <v>0.837409</v>
      </c>
      <c r="D6" s="204">
        <v>0.107269</v>
      </c>
      <c r="E6" s="204">
        <v>0.038736</v>
      </c>
      <c r="F6" s="202">
        <v>0.016586</v>
      </c>
      <c r="H6" s="205">
        <v>1.1</v>
      </c>
      <c r="I6" s="233">
        <v>0.92</v>
      </c>
      <c r="J6" s="205">
        <v>24.11</v>
      </c>
      <c r="K6" s="234">
        <v>3.69</v>
      </c>
      <c r="M6" s="235" t="str">
        <v>Nippon India Large Cap Fund(G)</v>
      </c>
      <c r="N6" s="42">
        <v>1.51</v>
      </c>
      <c r="O6" s="236">
        <v>-0.017875</v>
      </c>
      <c r="P6" s="204">
        <v>0.047609</v>
      </c>
      <c r="Q6" s="204">
        <v>0.078495</v>
      </c>
      <c r="R6" s="204">
        <v>0.006832</v>
      </c>
      <c r="S6" s="204">
        <v>0.204123</v>
      </c>
      <c r="T6" s="204">
        <v>0.251486</v>
      </c>
      <c r="U6" s="202">
        <v>0.137065</v>
      </c>
      <c r="V6" s="2"/>
      <c r="X6" s="235" t="str">
        <v>Nippon India Large Cap Fund(G)</v>
      </c>
      <c r="Y6" s="236">
        <v>0.045961</v>
      </c>
      <c r="Z6" s="204">
        <v>0.182397253978206</v>
      </c>
      <c r="AA6" s="204">
        <v>0.321478427661326</v>
      </c>
      <c r="AB6" s="204">
        <v>0.113278340777579</v>
      </c>
      <c r="AC6" s="204">
        <v>0.323671949303782</v>
      </c>
      <c r="AD6" s="204">
        <v>0.0490812677272166</v>
      </c>
      <c r="AE6" s="204">
        <v>0.0725190954426446</v>
      </c>
      <c r="AF6" s="202">
        <v>-0.00200396593257917</v>
      </c>
    </row>
    <row r="7" spans="1:32">
      <c r="A7" s="89" t="str">
        <v>Canara Rob Bluechip Equity Fund-Reg(G)</v>
      </c>
      <c r="B7" s="202">
        <v>0.2</v>
      </c>
      <c r="C7" s="203">
        <v>0.904036</v>
      </c>
      <c r="D7" s="204">
        <v>0.053861</v>
      </c>
      <c r="E7" s="204">
        <v>0</v>
      </c>
      <c r="F7" s="202">
        <v>0.042103</v>
      </c>
      <c r="H7" s="206">
        <v>0.81</v>
      </c>
      <c r="I7" s="237">
        <v>0.91</v>
      </c>
      <c r="J7" s="206">
        <v>26.47</v>
      </c>
      <c r="K7" s="238">
        <v>4.07</v>
      </c>
      <c r="M7" s="235" t="str">
        <v>Canara Rob Bluechip Equity Fund-Reg(G)</v>
      </c>
      <c r="N7" s="42">
        <v>1.64</v>
      </c>
      <c r="O7" s="204">
        <v>-0.022278</v>
      </c>
      <c r="P7" s="204">
        <v>0.029528</v>
      </c>
      <c r="Q7" s="204">
        <v>0.065354</v>
      </c>
      <c r="R7" s="204">
        <v>0.018666</v>
      </c>
      <c r="S7" s="204">
        <v>0.161045</v>
      </c>
      <c r="T7" s="204">
        <v>0.186387</v>
      </c>
      <c r="U7" s="202">
        <v>0.131291</v>
      </c>
      <c r="X7" s="235" t="str">
        <v>Canara Rob Bluechip Equity Fund-Reg(G)</v>
      </c>
      <c r="Y7" s="204">
        <v>0.039245</v>
      </c>
      <c r="Z7" s="204">
        <v>0.177881802223522</v>
      </c>
      <c r="AA7" s="204">
        <v>0.222169249106079</v>
      </c>
      <c r="AB7" s="204">
        <v>0.00817111271329016</v>
      </c>
      <c r="AC7" s="204">
        <v>0.245435498353786</v>
      </c>
      <c r="AD7" s="204">
        <v>0.230570902394107</v>
      </c>
      <c r="AE7" s="204">
        <v>0.156795909671922</v>
      </c>
      <c r="AF7" s="202">
        <v>0.033920704845815</v>
      </c>
    </row>
    <row r="8" spans="1:32">
      <c r="A8" s="89"/>
      <c r="B8" s="202" t="str">
        <v/>
      </c>
      <c r="C8" s="203" t="str">
        <v/>
      </c>
      <c r="D8" s="204" t="str">
        <v/>
      </c>
      <c r="E8" s="204" t="str">
        <v/>
      </c>
      <c r="F8" s="202" t="str">
        <v/>
      </c>
      <c r="H8" s="206" t="str">
        <v/>
      </c>
      <c r="I8" s="237" t="str">
        <v/>
      </c>
      <c r="J8" s="206" t="str">
        <v/>
      </c>
      <c r="K8" s="238" t="str">
        <v/>
      </c>
      <c r="M8" s="235" t="str">
        <v/>
      </c>
      <c r="N8" s="42" t="str">
        <v/>
      </c>
      <c r="O8" s="204" t="str">
        <v/>
      </c>
      <c r="P8" s="204" t="str">
        <v/>
      </c>
      <c r="Q8" s="204" t="str">
        <v/>
      </c>
      <c r="R8" s="204" t="str">
        <v/>
      </c>
      <c r="S8" s="204" t="str">
        <v/>
      </c>
      <c r="T8" s="204" t="str">
        <v/>
      </c>
      <c r="U8" s="202" t="str">
        <v/>
      </c>
      <c r="X8" s="235" t="str">
        <v/>
      </c>
      <c r="Y8" s="204" t="str">
        <v/>
      </c>
      <c r="Z8" s="204" t="str">
        <v/>
      </c>
      <c r="AA8" s="204" t="str">
        <v/>
      </c>
      <c r="AB8" s="204" t="str">
        <v/>
      </c>
      <c r="AC8" s="204" t="str">
        <v/>
      </c>
      <c r="AD8" s="204" t="str">
        <v/>
      </c>
      <c r="AE8" s="204" t="str">
        <v/>
      </c>
      <c r="AF8" s="202" t="str">
        <v/>
      </c>
    </row>
    <row r="9" spans="1:32">
      <c r="A9" s="89"/>
      <c r="B9" s="202" t="str">
        <v/>
      </c>
      <c r="C9" s="203" t="str">
        <v/>
      </c>
      <c r="D9" s="204" t="str">
        <v/>
      </c>
      <c r="E9" s="204" t="str">
        <v/>
      </c>
      <c r="F9" s="202" t="str">
        <v/>
      </c>
      <c r="H9" s="206" t="str">
        <v/>
      </c>
      <c r="I9" s="237" t="str">
        <v/>
      </c>
      <c r="J9" s="206" t="str">
        <v/>
      </c>
      <c r="K9" s="238" t="str">
        <v/>
      </c>
      <c r="M9" s="235" t="str">
        <v/>
      </c>
      <c r="N9" s="42" t="str">
        <v/>
      </c>
      <c r="O9" s="204" t="str">
        <v/>
      </c>
      <c r="P9" s="204" t="str">
        <v/>
      </c>
      <c r="Q9" s="204" t="str">
        <v/>
      </c>
      <c r="R9" s="204" t="str">
        <v/>
      </c>
      <c r="S9" s="204" t="str">
        <v/>
      </c>
      <c r="T9" s="204" t="str">
        <v/>
      </c>
      <c r="U9" s="202" t="str">
        <v/>
      </c>
      <c r="X9" s="235" t="str">
        <v/>
      </c>
      <c r="Y9" s="204" t="str">
        <v/>
      </c>
      <c r="Z9" s="204" t="str">
        <v/>
      </c>
      <c r="AA9" s="204" t="str">
        <v/>
      </c>
      <c r="AB9" s="204" t="str">
        <v/>
      </c>
      <c r="AC9" s="204" t="str">
        <v/>
      </c>
      <c r="AD9" s="204" t="str">
        <v/>
      </c>
      <c r="AE9" s="204" t="str">
        <v/>
      </c>
      <c r="AF9" s="202" t="str">
        <v/>
      </c>
    </row>
    <row r="10" spans="1:32">
      <c r="A10" s="89"/>
      <c r="B10" s="202" t="str">
        <v/>
      </c>
      <c r="C10" s="203" t="str">
        <v/>
      </c>
      <c r="D10" s="204" t="str">
        <v/>
      </c>
      <c r="E10" s="204" t="str">
        <v/>
      </c>
      <c r="F10" s="202" t="str">
        <v/>
      </c>
      <c r="H10" s="206" t="str">
        <v/>
      </c>
      <c r="I10" s="237" t="str">
        <v/>
      </c>
      <c r="J10" s="206" t="str">
        <v/>
      </c>
      <c r="K10" s="238" t="str">
        <v/>
      </c>
      <c r="M10" s="235" t="str">
        <v/>
      </c>
      <c r="N10" s="42" t="str">
        <v/>
      </c>
      <c r="O10" s="204" t="str">
        <v/>
      </c>
      <c r="P10" s="204" t="str">
        <v/>
      </c>
      <c r="Q10" s="204" t="str">
        <v/>
      </c>
      <c r="R10" s="204" t="str">
        <v/>
      </c>
      <c r="S10" s="204" t="str">
        <v/>
      </c>
      <c r="T10" s="204" t="str">
        <v/>
      </c>
      <c r="U10" s="202" t="str">
        <v/>
      </c>
      <c r="X10" s="235" t="str">
        <v/>
      </c>
      <c r="Y10" s="204" t="str">
        <v/>
      </c>
      <c r="Z10" s="204" t="str">
        <v/>
      </c>
      <c r="AA10" s="204" t="str">
        <v/>
      </c>
      <c r="AB10" s="204" t="str">
        <v/>
      </c>
      <c r="AC10" s="204" t="str">
        <v/>
      </c>
      <c r="AD10" s="204" t="str">
        <v/>
      </c>
      <c r="AE10" s="204" t="str">
        <v/>
      </c>
      <c r="AF10" s="202" t="str">
        <v/>
      </c>
    </row>
    <row r="11" ht="15.15" spans="1:32">
      <c r="A11" s="89"/>
      <c r="B11" s="164" t="str">
        <v/>
      </c>
      <c r="C11" s="190" t="str">
        <v/>
      </c>
      <c r="D11" s="174" t="str">
        <v/>
      </c>
      <c r="E11" s="174" t="str">
        <v/>
      </c>
      <c r="F11" s="164" t="str">
        <v/>
      </c>
      <c r="H11" s="207" t="str">
        <v/>
      </c>
      <c r="I11" s="239" t="str">
        <v/>
      </c>
      <c r="J11" s="207" t="str">
        <v/>
      </c>
      <c r="K11" s="240" t="str">
        <v/>
      </c>
      <c r="M11" s="241" t="s">
        <v>158</v>
      </c>
      <c r="N11" s="242"/>
      <c r="O11" s="243">
        <f>IFERROR(INDEX('Performance Data'!$B$3:$AN$293,MATCH(TRIM($M$11),'Performance Data'!$B$3:$B$294,0),MATCH(TRIM(O$4),'Performance Data'!$B$4:$AM$4,0)),"")</f>
        <v>-0.029341</v>
      </c>
      <c r="P11" s="243">
        <f>IFERROR(INDEX('Performance Data'!$B$3:$AN$293,MATCH(TRIM($M$11),'Performance Data'!$B$3:$B$294,0),MATCH(TRIM(P$4),'Performance Data'!$B$4:$AM$4,0)),"")</f>
        <v>0.017841</v>
      </c>
      <c r="Q11" s="243">
        <f>IFERROR(INDEX('Performance Data'!$B$3:$AN$293,MATCH(TRIM($M$11),'Performance Data'!$B$3:$B$294,0),MATCH(TRIM(Q$4),'Performance Data'!$B$4:$AM$4,0)),"")</f>
        <v>0.053596</v>
      </c>
      <c r="R11" s="243">
        <f>IFERROR(INDEX('Performance Data'!$B$3:$AN$293,MATCH(TRIM($M$11),'Performance Data'!$B$3:$B$294,0),MATCH(TRIM(R$4),'Performance Data'!$B$4:$AM$4,0)),"")</f>
        <v>-0.007326</v>
      </c>
      <c r="S11" s="243">
        <f>IFERROR(INDEX('Performance Data'!$B$3:$AN$293,MATCH(TRIM($M$11),'Performance Data'!$B$3:$B$294,0),MATCH(TRIM(S$4),'Performance Data'!$B$4:$AM$4,0)),"")</f>
        <v>0.129786</v>
      </c>
      <c r="T11" s="243">
        <f>IFERROR(INDEX('Performance Data'!$B$3:$AN$293,MATCH(TRIM($M$11),'Performance Data'!$B$3:$B$294,0),MATCH(TRIM(T$4),'Performance Data'!$B$4:$AM$4,0)),"")</f>
        <v>0.174585</v>
      </c>
      <c r="U11" s="259">
        <f>IFERROR(INDEX('Performance Data'!$B$3:$AN$293,MATCH(TRIM($M$11),'Performance Data'!$B$3:$B$294,0),MATCH(TRIM(U$4),'Performance Data'!$B$4:$AM$4,0)),"")</f>
        <v>0.112352</v>
      </c>
      <c r="X11" s="241" t="s">
        <v>158</v>
      </c>
      <c r="Y11" s="270">
        <f>_xlfn.IFNA(INDEX('Performance Data'!$B$4:$AN$294,MATCH($X$11,'Performance Data'!$B$4:$B$294,0),MATCH(Y$4,'Performance Data'!$B$4:$AM$4,0)),"")</f>
        <v>0.047518</v>
      </c>
      <c r="Z11" s="243">
        <f>_xlfn.IFNA(INDEX('Performance Data'!$B$4:$AN$294,MATCH($X$11,'Performance Data'!$B$4:$B$294,0),MATCH(Z$4,'Performance Data'!$B$4:$AM$4,0)),"")</f>
        <v>0.0880476902077809</v>
      </c>
      <c r="AA11" s="243">
        <f>_xlfn.IFNA(INDEX('Performance Data'!$B$4:$AN$294,MATCH($X$11,'Performance Data'!$B$4:$B$294,0),MATCH(AA$4,'Performance Data'!$B$4:$AM$4,0)),"")</f>
        <v>0.200278393101744</v>
      </c>
      <c r="AB11" s="243">
        <f>_xlfn.IFNA(INDEX('Performance Data'!$B$4:$AN$294,MATCH($X$11,'Performance Data'!$B$4:$B$294,0),MATCH(AB$4,'Performance Data'!$B$4:$AM$4,0)),"")</f>
        <v>0.0432896067488569</v>
      </c>
      <c r="AC11" s="243">
        <f>_xlfn.IFNA(INDEX('Performance Data'!$B$4:$AN$294,MATCH($X$11,'Performance Data'!$B$4:$B$294,0),MATCH(AC$4,'Performance Data'!$B$4:$AM$4,0)),"")</f>
        <v>0.241192983710909</v>
      </c>
      <c r="AD11" s="243">
        <f>_xlfn.IFNA(INDEX('Performance Data'!$B$4:$AN$294,MATCH($X$11,'Performance Data'!$B$4:$B$294,0),MATCH(AD$4,'Performance Data'!$B$4:$AM$4,0)),"")</f>
        <v>0.149016514017808</v>
      </c>
      <c r="AE11" s="243">
        <f>_xlfn.IFNA(INDEX('Performance Data'!$B$4:$AN$294,MATCH($X$11,'Performance Data'!$B$4:$B$294,0),MATCH(AE$4,'Performance Data'!$B$4:$AM$4,0)),"")</f>
        <v>0.120220390239861</v>
      </c>
      <c r="AF11" s="259">
        <f>_xlfn.IFNA(INDEX('Performance Data'!$B$4:$AN$294,MATCH($X$11,'Performance Data'!$B$4:$B$294,0),MATCH(AF$4,'Performance Data'!$B$4:$AM$4,0)),"")</f>
        <v>0.0315126249916908</v>
      </c>
    </row>
    <row r="12" ht="15.15" spans="1:32">
      <c r="A12" s="176" t="s">
        <v>25</v>
      </c>
      <c r="B12" s="199" t="str">
        <v/>
      </c>
      <c r="C12" s="176" t="str">
        <v/>
      </c>
      <c r="D12" s="194" t="str">
        <v/>
      </c>
      <c r="E12" s="194" t="str">
        <v/>
      </c>
      <c r="F12" s="199" t="str">
        <v/>
      </c>
      <c r="H12" s="176" t="str">
        <v/>
      </c>
      <c r="I12" s="199" t="str">
        <v/>
      </c>
      <c r="J12" s="176" t="str">
        <v/>
      </c>
      <c r="K12" s="199" t="str">
        <v/>
      </c>
      <c r="M12" s="110" t="str" cm="1">
        <f t="array" ref="M12:M15">IF($A$12:$A$15&gt;0,$A$12:$A$15,"")</f>
        <v>Large -Mid Cap </v>
      </c>
      <c r="N12" s="194" t="str" cm="1">
        <f t="array" ref="N12:N15">IFERROR(INDEX('Performance Data'!$B$3:$AN$293,MATCH(TRIM(_xlfn.ANCHORARRAY($M$12)),'Performance Data'!$B$3:$B$294,0),MATCH(TRIM(N$4),'Performance Data'!$B$4:$AM$4,0)),"")</f>
        <v/>
      </c>
      <c r="O12" s="194" t="str" cm="1">
        <f t="array" ref="O12:O15">IFERROR(INDEX('Performance Data'!$B$3:$AN$293,MATCH(TRIM(_xlfn.ANCHORARRAY($M$12)),'Performance Data'!$B$3:$B$294,0),MATCH(TRIM(O$4),'Performance Data'!$B$4:$AM$4,0)),"")</f>
        <v/>
      </c>
      <c r="P12" s="194" t="str" cm="1">
        <f t="array" ref="P12:P15">IFERROR(INDEX('Performance Data'!$B$3:$AN$293,MATCH(TRIM(_xlfn.ANCHORARRAY($M$12)),'Performance Data'!$B$3:$B$294,0),MATCH(TRIM(P$4),'Performance Data'!$B$4:$AM$4,0)),"")</f>
        <v/>
      </c>
      <c r="Q12" s="194" t="str" cm="1">
        <f t="array" ref="Q12:Q15">IFERROR(INDEX('Performance Data'!$B$3:$AN$293,MATCH(TRIM(_xlfn.ANCHORARRAY($M$12)),'Performance Data'!$B$3:$B$294,0),MATCH(TRIM(Q$4),'Performance Data'!$B$4:$AM$4,0)),"")</f>
        <v/>
      </c>
      <c r="R12" s="194" t="str" cm="1">
        <f t="array" ref="R12:R15">IFERROR(INDEX('Performance Data'!$B$3:$AN$293,MATCH(TRIM(_xlfn.ANCHORARRAY($M$12)),'Performance Data'!$B$3:$B$294,0),MATCH(TRIM(R$4),'Performance Data'!$B$4:$AM$4,0)),"")</f>
        <v/>
      </c>
      <c r="S12" s="194" t="str" cm="1">
        <f t="array" ref="S12:S15">IFERROR(INDEX('Performance Data'!$B$3:$AN$293,MATCH(TRIM(_xlfn.ANCHORARRAY($M$12)),'Performance Data'!$B$3:$B$294,0),MATCH(TRIM(S$4),'Performance Data'!$B$4:$AM$4,0)),"")</f>
        <v/>
      </c>
      <c r="T12" s="194" t="str" cm="1">
        <f t="array" ref="T12:T15">IFERROR(INDEX('Performance Data'!$B$3:$AN$293,MATCH(TRIM(_xlfn.ANCHORARRAY($M$12)),'Performance Data'!$B$3:$B$294,0),MATCH(TRIM(T$4),'Performance Data'!$B$4:$AM$4,0)),"")</f>
        <v/>
      </c>
      <c r="U12" s="199" t="str" cm="1">
        <f t="array" ref="U12:U15">IFERROR(INDEX('Performance Data'!$B$3:$AN$293,MATCH(TRIM(_xlfn.ANCHORARRAY($M$12)),'Performance Data'!$B$3:$B$294,0),MATCH(TRIM(U$4),'Performance Data'!$B$4:$AM$4,0)),"")</f>
        <v/>
      </c>
      <c r="X12" s="110" t="str" cm="1">
        <f t="array" ref="X12:X15">IF($A$12:$A$15&gt;0,$A$12:$A$15,"")</f>
        <v>Large -Mid Cap </v>
      </c>
      <c r="Y12" s="194" t="str" cm="1">
        <f t="array" ref="Y12:Y15">_xlfn.IFNA(INDEX('Performance Data'!$B$4:$AN$294,MATCH(_xlfn.ANCHORARRAY($X$12),'Performance Data'!$B$4:$B$294,0),MATCH(Y$4,'Performance Data'!$B$4:$AM$4,0)),"")</f>
        <v/>
      </c>
      <c r="Z12" s="194" t="str" cm="1">
        <f t="array" ref="Z12:Z15">_xlfn.IFNA(INDEX('Performance Data'!$B$4:$AN$294,MATCH(_xlfn.ANCHORARRAY($X$12),'Performance Data'!$B$4:$B$294,0),MATCH(Z$4,'Performance Data'!$B$4:$AM$4,0)),"")</f>
        <v/>
      </c>
      <c r="AA12" s="194" t="str" cm="1">
        <f t="array" ref="AA12:AA15">_xlfn.IFNA(INDEX('Performance Data'!$B$4:$AN$294,MATCH(_xlfn.ANCHORARRAY($X$12),'Performance Data'!$B$4:$B$294,0),MATCH(AA$4,'Performance Data'!$B$4:$AM$4,0)),"")</f>
        <v/>
      </c>
      <c r="AB12" s="194" t="str" cm="1">
        <f t="array" ref="AB12:AB15">_xlfn.IFNA(INDEX('Performance Data'!$B$4:$AN$294,MATCH(_xlfn.ANCHORARRAY($X$12),'Performance Data'!$B$4:$B$294,0),MATCH(AB$4,'Performance Data'!$B$4:$AM$4,0)),"")</f>
        <v/>
      </c>
      <c r="AC12" s="194" t="str" cm="1">
        <f t="array" ref="AC12:AC15">_xlfn.IFNA(INDEX('Performance Data'!$B$4:$AN$294,MATCH(_xlfn.ANCHORARRAY($X$12),'Performance Data'!$B$4:$B$294,0),MATCH(AC$4,'Performance Data'!$B$4:$AM$4,0)),"")</f>
        <v/>
      </c>
      <c r="AD12" s="194" t="str" cm="1">
        <f t="array" ref="AD12:AD15">_xlfn.IFNA(INDEX('Performance Data'!$B$4:$AN$294,MATCH(_xlfn.ANCHORARRAY($X$12),'Performance Data'!$B$4:$B$294,0),MATCH(AD$4,'Performance Data'!$B$4:$AM$4,0)),"")</f>
        <v/>
      </c>
      <c r="AE12" s="194" t="str" cm="1">
        <f t="array" ref="AE12:AE15">_xlfn.IFNA(INDEX('Performance Data'!$B$4:$AN$294,MATCH(_xlfn.ANCHORARRAY($X$12),'Performance Data'!$B$4:$B$294,0),MATCH(AE$4,'Performance Data'!$B$4:$AM$4,0)),"")</f>
        <v/>
      </c>
      <c r="AF12" s="199" t="str" cm="1">
        <f t="array" ref="AF12:AF15">_xlfn.IFNA(INDEX('Performance Data'!$B$4:$AN$294,MATCH(_xlfn.ANCHORARRAY($X$12),'Performance Data'!$B$4:$B$294,0),MATCH(AF$4,'Performance Data'!$B$4:$AM$4,0)),"")</f>
        <v/>
      </c>
    </row>
    <row r="13" spans="1:32">
      <c r="A13" s="89" t="str" cm="1">
        <f t="array" ref="A13:A14">_xlfn._xlws.FILTER('Selector Sheet '!$B$21:$B$23,'Selector Sheet '!$A$21:$A$23=TRUE,"No funds selected")</f>
        <v>SBI Large &amp; Midcap Fund-Reg(G)</v>
      </c>
      <c r="B13" s="164">
        <v>0.04</v>
      </c>
      <c r="C13" s="190">
        <v>0.433817</v>
      </c>
      <c r="D13" s="174">
        <v>0.360591</v>
      </c>
      <c r="E13" s="174">
        <v>0.149174</v>
      </c>
      <c r="F13" s="164">
        <v>0.056418</v>
      </c>
      <c r="H13" s="208">
        <v>1.06</v>
      </c>
      <c r="I13" s="244">
        <v>0.82</v>
      </c>
      <c r="J13" s="208">
        <v>25.9</v>
      </c>
      <c r="K13" s="245">
        <v>3.5</v>
      </c>
      <c r="M13" s="235" t="str">
        <v>SBI Large &amp; Midcap Fund-Reg(G)</v>
      </c>
      <c r="N13" s="42">
        <v>1.58</v>
      </c>
      <c r="O13" s="174">
        <v>-0.009427</v>
      </c>
      <c r="P13" s="174">
        <v>0.065682</v>
      </c>
      <c r="Q13" s="174">
        <v>0.085126</v>
      </c>
      <c r="R13" s="174">
        <v>0.02127</v>
      </c>
      <c r="S13" s="174">
        <v>0.192237</v>
      </c>
      <c r="T13" s="174">
        <v>0.246868</v>
      </c>
      <c r="U13" s="164">
        <v>0.141788</v>
      </c>
      <c r="X13" s="235" t="str">
        <v>SBI Large &amp; Midcap Fund-Reg(G)</v>
      </c>
      <c r="Y13" s="174">
        <v>0.049623</v>
      </c>
      <c r="Z13" s="174">
        <v>0.180429945474413</v>
      </c>
      <c r="AA13" s="174">
        <v>0.267927654028178</v>
      </c>
      <c r="AB13" s="174">
        <v>0.0727005482251813</v>
      </c>
      <c r="AC13" s="174">
        <v>0.393453444860057</v>
      </c>
      <c r="AD13" s="174">
        <v>0.157561874583203</v>
      </c>
      <c r="AE13" s="174">
        <v>0.0682271555012597</v>
      </c>
      <c r="AF13" s="164">
        <v>-0.0525042773477515</v>
      </c>
    </row>
    <row r="14" spans="1:32">
      <c r="A14" s="89" t="str">
        <v>Canara Rob Emerg Equities Fund-Reg(G)</v>
      </c>
      <c r="B14" s="164">
        <v>0.04</v>
      </c>
      <c r="C14" s="190">
        <v>0.453308</v>
      </c>
      <c r="D14" s="174">
        <v>0.392334</v>
      </c>
      <c r="E14" s="174">
        <v>0.125245</v>
      </c>
      <c r="F14" s="164">
        <v>0.029113</v>
      </c>
      <c r="H14" s="209">
        <v>0.78</v>
      </c>
      <c r="I14" s="246">
        <v>0.98</v>
      </c>
      <c r="J14" s="209">
        <v>37.5</v>
      </c>
      <c r="K14" s="247">
        <v>5.94</v>
      </c>
      <c r="M14" s="235" t="str">
        <v>Canara Rob Emerg Equities Fund-Reg(G)</v>
      </c>
      <c r="N14" s="42">
        <v>1.6</v>
      </c>
      <c r="O14" s="174">
        <v>-0.025189</v>
      </c>
      <c r="P14" s="174">
        <v>0.055282</v>
      </c>
      <c r="Q14" s="174">
        <v>0.073313</v>
      </c>
      <c r="R14" s="174">
        <v>0.005758</v>
      </c>
      <c r="S14" s="174">
        <v>0.173117</v>
      </c>
      <c r="T14" s="174">
        <v>0.221895</v>
      </c>
      <c r="U14" s="164">
        <v>0.147989</v>
      </c>
      <c r="X14" s="235" t="str">
        <v>Canara Rob Emerg Equities Fund-Reg(G)</v>
      </c>
      <c r="Y14" s="174">
        <v>0.002476</v>
      </c>
      <c r="Z14" s="174">
        <v>0.263157894736842</v>
      </c>
      <c r="AA14" s="174">
        <v>0.24037691691815</v>
      </c>
      <c r="AB14" s="174">
        <v>-0.0164758616512205</v>
      </c>
      <c r="AC14" s="174">
        <v>0.369927806821011</v>
      </c>
      <c r="AD14" s="174">
        <v>0.245452666391071</v>
      </c>
      <c r="AE14" s="174">
        <v>0.0868246658429743</v>
      </c>
      <c r="AF14" s="164">
        <v>-0.0929190015282731</v>
      </c>
    </row>
    <row r="15" spans="1:32">
      <c r="A15" s="89"/>
      <c r="B15" s="164" t="str">
        <v/>
      </c>
      <c r="C15" s="190" t="str">
        <v/>
      </c>
      <c r="D15" s="174" t="str">
        <v/>
      </c>
      <c r="E15" s="174" t="str">
        <v/>
      </c>
      <c r="F15" s="164" t="str">
        <v/>
      </c>
      <c r="H15" s="209" t="str">
        <v/>
      </c>
      <c r="I15" s="246" t="str">
        <v/>
      </c>
      <c r="J15" s="209" t="str">
        <v/>
      </c>
      <c r="K15" s="247" t="str">
        <v/>
      </c>
      <c r="M15" s="179" t="str">
        <v/>
      </c>
      <c r="N15" s="42" t="str">
        <v/>
      </c>
      <c r="O15" s="174" t="str">
        <v/>
      </c>
      <c r="P15" s="174" t="str">
        <v/>
      </c>
      <c r="Q15" s="174" t="str">
        <v/>
      </c>
      <c r="R15" s="174" t="str">
        <v/>
      </c>
      <c r="S15" s="174" t="str">
        <v/>
      </c>
      <c r="T15" s="174" t="str">
        <v/>
      </c>
      <c r="U15" s="164" t="str">
        <v/>
      </c>
      <c r="X15" s="179" t="str">
        <v/>
      </c>
      <c r="Y15" s="174" t="str">
        <v/>
      </c>
      <c r="Z15" s="174" t="str">
        <v/>
      </c>
      <c r="AA15" s="174" t="str">
        <v/>
      </c>
      <c r="AB15" s="174" t="str">
        <v/>
      </c>
      <c r="AC15" s="174" t="str">
        <v/>
      </c>
      <c r="AD15" s="174" t="str">
        <v/>
      </c>
      <c r="AE15" s="174" t="str">
        <v/>
      </c>
      <c r="AF15" s="164" t="str">
        <v/>
      </c>
    </row>
    <row r="16" ht="15.15" spans="1:32">
      <c r="A16" s="89"/>
      <c r="B16" s="164" t="str">
        <v/>
      </c>
      <c r="C16" s="190" t="str">
        <v/>
      </c>
      <c r="D16" s="174" t="str">
        <v/>
      </c>
      <c r="E16" s="174" t="str">
        <v/>
      </c>
      <c r="F16" s="164" t="str">
        <v/>
      </c>
      <c r="H16" s="207" t="str">
        <v/>
      </c>
      <c r="I16" s="239" t="str">
        <v/>
      </c>
      <c r="J16" s="207" t="str">
        <v/>
      </c>
      <c r="K16" s="240" t="str">
        <v/>
      </c>
      <c r="M16" s="241" t="s">
        <v>201</v>
      </c>
      <c r="N16" s="242"/>
      <c r="O16" s="243">
        <f>IFERROR(INDEX('Performance Data'!$B$3:$AN$293,MATCH(TRIM($M$16),'Performance Data'!$B$3:$B$294,0),MATCH(TRIM(O$4),'Performance Data'!$B$4:$AM$4,0)),"")</f>
        <v>-0.02971</v>
      </c>
      <c r="P16" s="243">
        <f>IFERROR(INDEX('Performance Data'!$B$3:$AN$293,MATCH(TRIM($M$16),'Performance Data'!$B$3:$B$294,0),MATCH(TRIM(P$4),'Performance Data'!$B$4:$AM$4,0)),"")</f>
        <v>0.026524</v>
      </c>
      <c r="Q16" s="243">
        <f>IFERROR(INDEX('Performance Data'!$B$3:$AN$293,MATCH(TRIM($M$16),'Performance Data'!$B$3:$B$294,0),MATCH(TRIM(Q$4),'Performance Data'!$B$4:$AM$4,0)),"")</f>
        <v>0.054662</v>
      </c>
      <c r="R16" s="243">
        <f>IFERROR(INDEX('Performance Data'!$B$3:$AN$293,MATCH(TRIM($M$16),'Performance Data'!$B$3:$B$294,0),MATCH(TRIM(R$4),'Performance Data'!$B$4:$AM$4,0)),"")</f>
        <v>-0.02863</v>
      </c>
      <c r="S16" s="243">
        <f>IFERROR(INDEX('Performance Data'!$B$3:$AN$293,MATCH(TRIM($M$16),'Performance Data'!$B$3:$B$294,0),MATCH(TRIM(S$4),'Performance Data'!$B$4:$AM$4,0)),"")</f>
        <v>0.145994</v>
      </c>
      <c r="T16" s="243">
        <f>IFERROR(INDEX('Performance Data'!$B$3:$AN$293,MATCH(TRIM($M$16),'Performance Data'!$B$3:$B$294,0),MATCH(TRIM(T$4),'Performance Data'!$B$4:$AM$4,0)),"")</f>
        <v>0.192965</v>
      </c>
      <c r="U16" s="259">
        <f>IFERROR(INDEX('Performance Data'!$B$3:$AN$293,MATCH(TRIM($M$16),'Performance Data'!$B$3:$B$294,0),MATCH(TRIM(U$4),'Performance Data'!$B$4:$AM$4,0)),"")</f>
        <v>0.120911</v>
      </c>
      <c r="X16" s="241" t="s">
        <v>201</v>
      </c>
      <c r="Y16" s="270">
        <f>_xlfn.IFNA(INDEX('Performance Data'!$B$4:$AN$294,MATCH($X$16,'Performance Data'!$B$4:$B$294,0),MATCH(Y$4,'Performance Data'!$B$4:$AM$4,0)),"")</f>
        <v>0.02902</v>
      </c>
      <c r="Z16" s="243">
        <f>_xlfn.IFNA(INDEX('Performance Data'!$B$4:$AN$294,MATCH($X$16,'Performance Data'!$B$4:$B$294,0),MATCH(Z$4,'Performance Data'!$B$4:$AM$4,0)),"")</f>
        <v>0.13404855498046</v>
      </c>
      <c r="AA16" s="243">
        <f>_xlfn.IFNA(INDEX('Performance Data'!$B$4:$AN$294,MATCH($X$16,'Performance Data'!$B$4:$B$294,0),MATCH(AA$4,'Performance Data'!$B$4:$AM$4,0)),"")</f>
        <v>0.227583071297849</v>
      </c>
      <c r="AB16" s="243">
        <f>_xlfn.IFNA(INDEX('Performance Data'!$B$4:$AN$294,MATCH($X$16,'Performance Data'!$B$4:$B$294,0),MATCH(AB$4,'Performance Data'!$B$4:$AM$4,0)),"")</f>
        <v>0.0418381062193249</v>
      </c>
      <c r="AC16" s="243">
        <f>_xlfn.IFNA(INDEX('Performance Data'!$B$4:$AN$294,MATCH($X$16,'Performance Data'!$B$4:$B$294,0),MATCH(AC$4,'Performance Data'!$B$4:$AM$4,0)),"")</f>
        <v>0.275916009663324</v>
      </c>
      <c r="AD16" s="243">
        <f>_xlfn.IFNA(INDEX('Performance Data'!$B$4:$AN$294,MATCH($X$16,'Performance Data'!$B$4:$B$294,0),MATCH(AD$4,'Performance Data'!$B$4:$AM$4,0)),"")</f>
        <v>0.163126865730421</v>
      </c>
      <c r="AE16" s="243">
        <f>_xlfn.IFNA(INDEX('Performance Data'!$B$4:$AN$294,MATCH($X$16,'Performance Data'!$B$4:$B$294,0),MATCH(AE$4,'Performance Data'!$B$4:$AM$4,0)),"")</f>
        <v>0.0912740025098415</v>
      </c>
      <c r="AF16" s="259">
        <f>_xlfn.IFNA(INDEX('Performance Data'!$B$4:$AN$294,MATCH($X$16,'Performance Data'!$B$4:$B$294,0),MATCH(AF$4,'Performance Data'!$B$4:$AM$4,0)),"")</f>
        <v>-0.00538165279576636</v>
      </c>
    </row>
    <row r="17" ht="15.15" spans="1:32">
      <c r="A17" s="176" t="s">
        <v>29</v>
      </c>
      <c r="B17" s="199" t="str">
        <v/>
      </c>
      <c r="C17" s="176" t="str">
        <v/>
      </c>
      <c r="D17" s="194" t="str">
        <v/>
      </c>
      <c r="E17" s="194" t="str">
        <v/>
      </c>
      <c r="F17" s="199" t="str">
        <v/>
      </c>
      <c r="H17" s="176" t="str">
        <v/>
      </c>
      <c r="I17" s="199" t="str">
        <v/>
      </c>
      <c r="J17" s="176" t="str">
        <v/>
      </c>
      <c r="K17" s="199" t="str">
        <v/>
      </c>
      <c r="M17" s="110" t="str" cm="1">
        <f t="array" ref="M17:M19">IF($A$17:$A$19&gt;0,$A$17:$A$19,"")</f>
        <v>Mid/Small cap</v>
      </c>
      <c r="N17" s="194" t="str" cm="1">
        <f t="array" ref="N17:N19">IFERROR(INDEX('Performance Data'!$B$3:$AN$293,MATCH(TRIM(_xlfn.ANCHORARRAY($M$17)),'Performance Data'!$B$3:$B$294,0),MATCH(TRIM(N$4),'Performance Data'!$B$4:$AM$4,0)),"")</f>
        <v/>
      </c>
      <c r="O17" s="194" t="str" cm="1">
        <f t="array" ref="O17:O19">IFERROR(INDEX('Performance Data'!$B$3:$AN$293,MATCH(TRIM(_xlfn.ANCHORARRAY($M$17)),'Performance Data'!$B$3:$B$294,0),MATCH(TRIM(O$4),'Performance Data'!$B$4:$AM$4,0)),"")</f>
        <v/>
      </c>
      <c r="P17" s="194" t="str" cm="1">
        <f t="array" ref="P17:P19">IFERROR(INDEX('Performance Data'!$B$3:$AN$293,MATCH(TRIM(_xlfn.ANCHORARRAY($M$17)),'Performance Data'!$B$3:$B$294,0),MATCH(TRIM(P$4),'Performance Data'!$B$4:$AM$4,0)),"")</f>
        <v/>
      </c>
      <c r="Q17" s="194" t="str" cm="1">
        <f t="array" ref="Q17:Q19">IFERROR(INDEX('Performance Data'!$B$3:$AN$293,MATCH(TRIM(_xlfn.ANCHORARRAY($M$17)),'Performance Data'!$B$3:$B$294,0),MATCH(TRIM(Q$4),'Performance Data'!$B$4:$AM$4,0)),"")</f>
        <v/>
      </c>
      <c r="R17" s="194" t="str" cm="1">
        <f t="array" ref="R17:R19">IFERROR(INDEX('Performance Data'!$B$3:$AN$293,MATCH(TRIM(_xlfn.ANCHORARRAY($M$17)),'Performance Data'!$B$3:$B$294,0),MATCH(TRIM(R$4),'Performance Data'!$B$4:$AM$4,0)),"")</f>
        <v/>
      </c>
      <c r="S17" s="194" t="str" cm="1">
        <f t="array" ref="S17:S19">IFERROR(INDEX('Performance Data'!$B$3:$AN$293,MATCH(TRIM(_xlfn.ANCHORARRAY($M$17)),'Performance Data'!$B$3:$B$294,0),MATCH(TRIM(S$4),'Performance Data'!$B$4:$AM$4,0)),"")</f>
        <v/>
      </c>
      <c r="T17" s="194" t="str" cm="1">
        <f t="array" ref="T17:T19">IFERROR(INDEX('Performance Data'!$B$3:$AN$293,MATCH(TRIM(_xlfn.ANCHORARRAY($M$17)),'Performance Data'!$B$3:$B$294,0),MATCH(TRIM(T$4),'Performance Data'!$B$4:$AM$4,0)),"")</f>
        <v/>
      </c>
      <c r="U17" s="199" t="str" cm="1">
        <f t="array" ref="U17:U19">IFERROR(INDEX('Performance Data'!$B$3:$AN$293,MATCH(TRIM(_xlfn.ANCHORARRAY($M$17)),'Performance Data'!$B$3:$B$294,0),MATCH(TRIM(U$4),'Performance Data'!$B$4:$AM$4,0)),"")</f>
        <v/>
      </c>
      <c r="X17" s="110" t="str" cm="1">
        <f t="array" ref="X17:X19">IF($A$17:$A$19&gt;0,$A$17:$A$19,"")</f>
        <v>Mid/Small cap</v>
      </c>
      <c r="Y17" s="194" t="str" cm="1">
        <f t="array" ref="Y17:Y19">_xlfn.IFNA(INDEX('Performance Data'!$B$4:$AN$294,MATCH(_xlfn.ANCHORARRAY($X$17),'Performance Data'!$B$4:$B$294,0),MATCH(Y$4,'Performance Data'!$B$4:$AM$4,0)),"")</f>
        <v/>
      </c>
      <c r="Z17" s="194" t="str" cm="1">
        <f t="array" ref="Z17:Z19">_xlfn.IFNA(INDEX('Performance Data'!$B$4:$AN$294,MATCH(_xlfn.ANCHORARRAY($X$17),'Performance Data'!$B$4:$B$294,0),MATCH(Z$4,'Performance Data'!$B$4:$AM$4,0)),"")</f>
        <v/>
      </c>
      <c r="AA17" s="194" t="str" cm="1">
        <f t="array" ref="AA17:AA19">_xlfn.IFNA(INDEX('Performance Data'!$B$4:$AN$294,MATCH(_xlfn.ANCHORARRAY($X$17),'Performance Data'!$B$4:$B$294,0),MATCH(AA$4,'Performance Data'!$B$4:$AM$4,0)),"")</f>
        <v/>
      </c>
      <c r="AB17" s="194" t="str" cm="1">
        <f t="array" ref="AB17:AB19">_xlfn.IFNA(INDEX('Performance Data'!$B$4:$AN$294,MATCH(_xlfn.ANCHORARRAY($X$17),'Performance Data'!$B$4:$B$294,0),MATCH(AB$4,'Performance Data'!$B$4:$AM$4,0)),"")</f>
        <v/>
      </c>
      <c r="AC17" s="194" t="str" cm="1">
        <f t="array" ref="AC17:AC19">_xlfn.IFNA(INDEX('Performance Data'!$B$4:$AN$294,MATCH(_xlfn.ANCHORARRAY($X$17),'Performance Data'!$B$4:$B$294,0),MATCH(AC$4,'Performance Data'!$B$4:$AM$4,0)),"")</f>
        <v/>
      </c>
      <c r="AD17" s="194" t="str" cm="1">
        <f t="array" ref="AD17:AD19">_xlfn.IFNA(INDEX('Performance Data'!$B$4:$AN$294,MATCH(_xlfn.ANCHORARRAY($X$17),'Performance Data'!$B$4:$B$294,0),MATCH(AD$4,'Performance Data'!$B$4:$AM$4,0)),"")</f>
        <v/>
      </c>
      <c r="AE17" s="194" t="str" cm="1">
        <f t="array" ref="AE17:AE19">_xlfn.IFNA(INDEX('Performance Data'!$B$4:$AN$294,MATCH(_xlfn.ANCHORARRAY($X$17),'Performance Data'!$B$4:$B$294,0),MATCH(AE$4,'Performance Data'!$B$4:$AM$4,0)),"")</f>
        <v/>
      </c>
      <c r="AF17" s="199" t="str" cm="1">
        <f t="array" ref="AF17:AF19">_xlfn.IFNA(INDEX('Performance Data'!$B$4:$AN$294,MATCH(_xlfn.ANCHORARRAY($X$17),'Performance Data'!$B$4:$B$294,0),MATCH(AF$4,'Performance Data'!$B$4:$AM$4,0)),"")</f>
        <v/>
      </c>
    </row>
    <row r="18" spans="1:32">
      <c r="A18" s="89" t="str" cm="1">
        <f t="array" ref="A18">_xlfn._xlws.FILTER('Selector Sheet '!$B$24:$B$26,'Selector Sheet '!$A$24:$A$26=TRUE,"No funds selected")</f>
        <v>No funds selected</v>
      </c>
      <c r="B18" s="164" t="str">
        <v/>
      </c>
      <c r="C18" s="190" t="str">
        <v/>
      </c>
      <c r="D18" s="174" t="str">
        <v/>
      </c>
      <c r="E18" s="174" t="str">
        <v/>
      </c>
      <c r="F18" s="164" t="str">
        <v/>
      </c>
      <c r="H18" s="208" t="str">
        <v/>
      </c>
      <c r="I18" s="244" t="str">
        <v/>
      </c>
      <c r="J18" s="208" t="str">
        <v/>
      </c>
      <c r="K18" s="245" t="str">
        <v/>
      </c>
      <c r="M18" s="179" t="str">
        <v>No funds selected</v>
      </c>
      <c r="N18" s="42" t="str">
        <v/>
      </c>
      <c r="O18" s="174" t="str">
        <v/>
      </c>
      <c r="P18" s="174" t="str">
        <v/>
      </c>
      <c r="Q18" s="174" t="str">
        <v/>
      </c>
      <c r="R18" s="174" t="str">
        <v/>
      </c>
      <c r="S18" s="174" t="str">
        <v/>
      </c>
      <c r="T18" s="174" t="str">
        <v/>
      </c>
      <c r="U18" s="164" t="str">
        <v/>
      </c>
      <c r="X18" s="179" t="str">
        <v>No funds selected</v>
      </c>
      <c r="Y18" s="174" t="str">
        <v/>
      </c>
      <c r="Z18" s="174" t="str">
        <v/>
      </c>
      <c r="AA18" s="174" t="str">
        <v/>
      </c>
      <c r="AB18" s="174" t="str">
        <v/>
      </c>
      <c r="AC18" s="174" t="str">
        <v/>
      </c>
      <c r="AD18" s="174" t="str">
        <v/>
      </c>
      <c r="AE18" s="174" t="str">
        <v/>
      </c>
      <c r="AF18" s="164" t="str">
        <v/>
      </c>
    </row>
    <row r="19" ht="15.15" spans="1:32">
      <c r="A19" s="89"/>
      <c r="B19" s="164" t="str">
        <v/>
      </c>
      <c r="C19" s="190" t="str">
        <v/>
      </c>
      <c r="D19" s="174" t="str">
        <v/>
      </c>
      <c r="E19" s="174" t="str">
        <v/>
      </c>
      <c r="F19" s="164" t="str">
        <v/>
      </c>
      <c r="H19" s="207" t="str">
        <v/>
      </c>
      <c r="I19" s="239" t="str">
        <v/>
      </c>
      <c r="J19" s="207" t="str">
        <v/>
      </c>
      <c r="K19" s="240" t="str">
        <v/>
      </c>
      <c r="M19" s="179" t="str">
        <v/>
      </c>
      <c r="N19" s="42" t="str">
        <v/>
      </c>
      <c r="O19" s="174" t="str">
        <v/>
      </c>
      <c r="P19" s="174" t="str">
        <v/>
      </c>
      <c r="Q19" s="174" t="str">
        <v/>
      </c>
      <c r="R19" s="174" t="str">
        <v/>
      </c>
      <c r="S19" s="174" t="str">
        <v/>
      </c>
      <c r="T19" s="174" t="str">
        <v/>
      </c>
      <c r="U19" s="164" t="str">
        <v/>
      </c>
      <c r="X19" s="179" t="str">
        <v/>
      </c>
      <c r="Y19" s="174" t="str">
        <v/>
      </c>
      <c r="Z19" s="174" t="str">
        <v/>
      </c>
      <c r="AA19" s="174" t="str">
        <v/>
      </c>
      <c r="AB19" s="174" t="str">
        <v/>
      </c>
      <c r="AC19" s="174" t="str">
        <v/>
      </c>
      <c r="AD19" s="174" t="str">
        <v/>
      </c>
      <c r="AE19" s="174" t="str">
        <v/>
      </c>
      <c r="AF19" s="164" t="str">
        <v/>
      </c>
    </row>
    <row r="20" ht="15.15" spans="1:32">
      <c r="A20" s="176" t="s">
        <v>32</v>
      </c>
      <c r="B20" s="199" t="str">
        <v/>
      </c>
      <c r="C20" s="176" t="str">
        <v/>
      </c>
      <c r="D20" s="194" t="str">
        <v/>
      </c>
      <c r="E20" s="194" t="str">
        <v/>
      </c>
      <c r="F20" s="199" t="str">
        <v/>
      </c>
      <c r="H20" s="176" t="str">
        <v/>
      </c>
      <c r="I20" s="199" t="str">
        <v/>
      </c>
      <c r="J20" s="176" t="str">
        <v/>
      </c>
      <c r="K20" s="199" t="str">
        <v/>
      </c>
      <c r="M20" s="241" t="s">
        <v>316</v>
      </c>
      <c r="N20" s="242"/>
      <c r="O20" s="243">
        <f>IFERROR(INDEX('Performance Data'!$B$3:$AN$293,MATCH(TRIM($M$20),'Performance Data'!$B$3:$B$294,0),MATCH(TRIM(O$4),'Performance Data'!$B$4:$AM$4,0)),"")</f>
        <v>-0.028531</v>
      </c>
      <c r="P20" s="243">
        <f>IFERROR(INDEX('Performance Data'!$B$3:$AN$293,MATCH(TRIM($M$20),'Performance Data'!$B$3:$B$294,0),MATCH(TRIM(P$4),'Performance Data'!$B$4:$AM$4,0)),"")</f>
        <v>0.074882</v>
      </c>
      <c r="Q20" s="243">
        <f>IFERROR(INDEX('Performance Data'!$B$3:$AN$293,MATCH(TRIM($M$20),'Performance Data'!$B$3:$B$294,0),MATCH(TRIM(Q$4),'Performance Data'!$B$4:$AM$4,0)),"")</f>
        <v>0.076085</v>
      </c>
      <c r="R20" s="243">
        <f>IFERROR(INDEX('Performance Data'!$B$3:$AN$293,MATCH(TRIM($M$20),'Performance Data'!$B$3:$B$294,0),MATCH(TRIM(R$4),'Performance Data'!$B$4:$AM$4,0)),"")</f>
        <v>-0.022856</v>
      </c>
      <c r="S20" s="243">
        <f>IFERROR(INDEX('Performance Data'!$B$3:$AN$293,MATCH(TRIM($M$20),'Performance Data'!$B$3:$B$294,0),MATCH(TRIM(S$4),'Performance Data'!$B$4:$AM$4,0)),"")</f>
        <v>0.239604</v>
      </c>
      <c r="T20" s="243">
        <f>IFERROR(INDEX('Performance Data'!$B$3:$AN$293,MATCH(TRIM($M$20),'Performance Data'!$B$3:$B$294,0),MATCH(TRIM(T$4),'Performance Data'!$B$4:$AM$4,0)),"")</f>
        <v>0.294748</v>
      </c>
      <c r="U20" s="259" t="str">
        <f>IFERROR(INDEX('Performance Data'!$B$3:$AN$293,MATCH(TRIM($M$20),'Performance Data'!$B$3:$B$294,0),MATCH(TRIM(U$4),'Performance Data'!$B$4:$AM$4,0)),"")</f>
        <v>NA</v>
      </c>
      <c r="X20" s="241" t="s">
        <v>316</v>
      </c>
      <c r="Y20" s="270">
        <f>_xlfn.IFNA(INDEX('Performance Data'!$B$4:$AN$294,MATCH($X$20,'Performance Data'!$B$4:$B$294,0),MATCH(Y$4,'Performance Data'!$B$4:$AM$4,0)),"")</f>
        <v>0.010411</v>
      </c>
      <c r="Z20" s="243">
        <f>_xlfn.IFNA(INDEX('Performance Data'!$B$4:$AN$294,MATCH($X$20,'Performance Data'!$B$4:$B$294,0),MATCH(Z$4,'Performance Data'!$B$4:$AM$4,0)),"")</f>
        <v>0.237988996928627</v>
      </c>
      <c r="AA20" s="243">
        <f>_xlfn.IFNA(INDEX('Performance Data'!$B$4:$AN$294,MATCH($X$20,'Performance Data'!$B$4:$B$294,0),MATCH(AA$4,'Performance Data'!$B$4:$AM$4,0)),"")</f>
        <v>0.436766716446164</v>
      </c>
      <c r="AB20" s="243">
        <f>_xlfn.IFNA(INDEX('Performance Data'!$B$4:$AN$294,MATCH($X$20,'Performance Data'!$B$4:$B$294,0),MATCH(AB$4,'Performance Data'!$B$4:$AM$4,0)),"")</f>
        <v>0.0296442602145788</v>
      </c>
      <c r="AC20" s="243">
        <f>_xlfn.IFNA(INDEX('Performance Data'!$B$4:$AN$294,MATCH($X$20,'Performance Data'!$B$4:$B$294,0),MATCH(AC$4,'Performance Data'!$B$4:$AM$4,0)),"")</f>
        <v>0.468103371529588</v>
      </c>
      <c r="AD20" s="243">
        <f>_xlfn.IFNA(INDEX('Performance Data'!$B$4:$AN$294,MATCH($X$20,'Performance Data'!$B$4:$B$294,0),MATCH(AD$4,'Performance Data'!$B$4:$AM$4,0)),"")</f>
        <v>0.243814856998228</v>
      </c>
      <c r="AE20" s="243">
        <f>_xlfn.IFNA(INDEX('Performance Data'!$B$4:$AN$294,MATCH($X$20,'Performance Data'!$B$4:$B$294,0),MATCH(AE$4,'Performance Data'!$B$4:$AM$4,0)),"")</f>
        <v>-0.00279210638398558</v>
      </c>
      <c r="AF20" s="259">
        <f>_xlfn.IFNA(INDEX('Performance Data'!$B$4:$AN$294,MATCH($X$20,'Performance Data'!$B$4:$B$294,0),MATCH(AF$4,'Performance Data'!$B$4:$AM$4,0)),"")</f>
        <v>-0.133283931442572</v>
      </c>
    </row>
    <row r="21" ht="15.15" spans="1:32">
      <c r="A21" s="89" t="str" cm="1">
        <f t="array" ref="A21">_xlfn._xlws.FILTER('Selector Sheet '!$B$27:$B$36,'Selector Sheet '!$A$27:$A$36=TRUE,"No funds selected")</f>
        <v>No funds selected</v>
      </c>
      <c r="B21" s="164" t="str">
        <v/>
      </c>
      <c r="C21" s="190" t="str">
        <v/>
      </c>
      <c r="D21" s="174" t="str">
        <v/>
      </c>
      <c r="E21" s="174" t="str">
        <v/>
      </c>
      <c r="F21" s="164" t="str">
        <v/>
      </c>
      <c r="H21" s="208" t="str">
        <v/>
      </c>
      <c r="I21" s="244" t="str">
        <v/>
      </c>
      <c r="J21" s="208" t="str">
        <v/>
      </c>
      <c r="K21" s="245" t="str">
        <v/>
      </c>
      <c r="M21" s="110" t="str" cm="1">
        <f t="array" ref="M21:M30">IF($A$20:$A$29&gt;0,$A$20:$A$29,"")</f>
        <v>Multicap</v>
      </c>
      <c r="N21" s="194" t="str" cm="1">
        <f t="array" ref="N21:N30">IFERROR(INDEX('Performance Data'!$B$3:$AN$293,MATCH(TRIM(_xlfn.ANCHORARRAY($M$21)),'Performance Data'!$B$3:$B$294,0),MATCH(TRIM(N$4),'Performance Data'!$B$4:$AM$4,0)),"")</f>
        <v/>
      </c>
      <c r="O21" s="194" t="str" cm="1">
        <f t="array" ref="O21:O30">IFERROR(INDEX('Performance Data'!$B$3:$AN$293,MATCH(TRIM(_xlfn.ANCHORARRAY($M$21)),'Performance Data'!$B$3:$B$294,0),MATCH(TRIM(O$4),'Performance Data'!$B$4:$AM$4,0)),"")</f>
        <v/>
      </c>
      <c r="P21" s="194" t="str" cm="1">
        <f t="array" ref="P21:P30">IFERROR(INDEX('Performance Data'!$B$3:$AN$293,MATCH(TRIM(_xlfn.ANCHORARRAY($M$21)),'Performance Data'!$B$3:$B$294,0),MATCH(TRIM(P$4),'Performance Data'!$B$4:$AM$4,0)),"")</f>
        <v/>
      </c>
      <c r="Q21" s="194" t="str" cm="1">
        <f t="array" ref="Q21:Q30">IFERROR(INDEX('Performance Data'!$B$3:$AN$293,MATCH(TRIM(_xlfn.ANCHORARRAY($M$21)),'Performance Data'!$B$3:$B$294,0),MATCH(TRIM(Q$4),'Performance Data'!$B$4:$AM$4,0)),"")</f>
        <v/>
      </c>
      <c r="R21" s="194" t="str" cm="1">
        <f t="array" ref="R21:R30">IFERROR(INDEX('Performance Data'!$B$3:$AN$293,MATCH(TRIM(_xlfn.ANCHORARRAY($M$21)),'Performance Data'!$B$3:$B$294,0),MATCH(TRIM(R$4),'Performance Data'!$B$4:$AM$4,0)),"")</f>
        <v/>
      </c>
      <c r="S21" s="194" t="str" cm="1">
        <f t="array" ref="S21:S30">IFERROR(INDEX('Performance Data'!$B$3:$AN$293,MATCH(TRIM(_xlfn.ANCHORARRAY($M$21)),'Performance Data'!$B$3:$B$294,0),MATCH(TRIM(S$4),'Performance Data'!$B$4:$AM$4,0)),"")</f>
        <v/>
      </c>
      <c r="T21" s="194" t="str" cm="1">
        <f t="array" ref="T21:T30">IFERROR(INDEX('Performance Data'!$B$3:$AN$293,MATCH(TRIM(_xlfn.ANCHORARRAY($M$21)),'Performance Data'!$B$3:$B$294,0),MATCH(TRIM(T$4),'Performance Data'!$B$4:$AM$4,0)),"")</f>
        <v/>
      </c>
      <c r="U21" s="199" t="str" cm="1">
        <f t="array" ref="U21:U30">IFERROR(INDEX('Performance Data'!$B$3:$AN$293,MATCH(TRIM(_xlfn.ANCHORARRAY($M$21)),'Performance Data'!$B$3:$B$294,0),MATCH(TRIM(U$4),'Performance Data'!$B$4:$AM$4,0)),"")</f>
        <v/>
      </c>
      <c r="X21" s="110" t="str" cm="1">
        <f t="array" ref="X21:X30">IF($A$20:$A$29&gt;0,$A$20:$A$29,"")</f>
        <v>Multicap</v>
      </c>
      <c r="Y21" s="194" t="str" cm="1">
        <f t="array" ref="Y21:Y30">_xlfn.IFNA(INDEX('Performance Data'!$B$4:$AN$294,MATCH(_xlfn.ANCHORARRAY($X$21),'Performance Data'!$B$4:$B$294,0),MATCH(Y$4,'Performance Data'!$B$4:$AM$4,0)),"")</f>
        <v/>
      </c>
      <c r="Z21" s="194" t="str" cm="1">
        <f t="array" ref="Z21:Z30">_xlfn.IFNA(INDEX('Performance Data'!$B$4:$AN$294,MATCH(_xlfn.ANCHORARRAY($X$21),'Performance Data'!$B$4:$B$294,0),MATCH(Z$4,'Performance Data'!$B$4:$AM$4,0)),"")</f>
        <v/>
      </c>
      <c r="AA21" s="194" t="str" cm="1">
        <f t="array" ref="AA21:AA30">_xlfn.IFNA(INDEX('Performance Data'!$B$4:$AN$294,MATCH(_xlfn.ANCHORARRAY($X$21),'Performance Data'!$B$4:$B$294,0),MATCH(AA$4,'Performance Data'!$B$4:$AM$4,0)),"")</f>
        <v/>
      </c>
      <c r="AB21" s="194" t="str" cm="1">
        <f t="array" ref="AB21:AB30">_xlfn.IFNA(INDEX('Performance Data'!$B$4:$AN$294,MATCH(_xlfn.ANCHORARRAY($X$21),'Performance Data'!$B$4:$B$294,0),MATCH(AB$4,'Performance Data'!$B$4:$AM$4,0)),"")</f>
        <v/>
      </c>
      <c r="AC21" s="194" t="str" cm="1">
        <f t="array" ref="AC21:AC30">_xlfn.IFNA(INDEX('Performance Data'!$B$4:$AN$294,MATCH(_xlfn.ANCHORARRAY($X$21),'Performance Data'!$B$4:$B$294,0),MATCH(AC$4,'Performance Data'!$B$4:$AM$4,0)),"")</f>
        <v/>
      </c>
      <c r="AD21" s="194" t="str" cm="1">
        <f t="array" ref="AD21:AD30">_xlfn.IFNA(INDEX('Performance Data'!$B$4:$AN$294,MATCH(_xlfn.ANCHORARRAY($X$21),'Performance Data'!$B$4:$B$294,0),MATCH(AD$4,'Performance Data'!$B$4:$AM$4,0)),"")</f>
        <v/>
      </c>
      <c r="AE21" s="194" t="str" cm="1">
        <f t="array" ref="AE21:AE30">_xlfn.IFNA(INDEX('Performance Data'!$B$4:$AN$294,MATCH(_xlfn.ANCHORARRAY($X$21),'Performance Data'!$B$4:$B$294,0),MATCH(AE$4,'Performance Data'!$B$4:$AM$4,0)),"")</f>
        <v/>
      </c>
      <c r="AF21" s="199" t="str" cm="1">
        <f t="array" ref="AF21:AF30">_xlfn.IFNA(INDEX('Performance Data'!$B$4:$AN$294,MATCH(_xlfn.ANCHORARRAY($X$21),'Performance Data'!$B$4:$B$294,0),MATCH(AF$4,'Performance Data'!$B$4:$AM$4,0)),"")</f>
        <v/>
      </c>
    </row>
    <row r="22" spans="1:32">
      <c r="A22" s="89"/>
      <c r="B22" s="164" t="str">
        <v/>
      </c>
      <c r="C22" s="190" t="str">
        <v/>
      </c>
      <c r="D22" s="174" t="str">
        <v/>
      </c>
      <c r="E22" s="174" t="str">
        <v/>
      </c>
      <c r="F22" s="164" t="str">
        <v/>
      </c>
      <c r="H22" s="209" t="str">
        <v/>
      </c>
      <c r="I22" s="246" t="str">
        <v/>
      </c>
      <c r="J22" s="209" t="str">
        <v/>
      </c>
      <c r="K22" s="247" t="str">
        <v/>
      </c>
      <c r="M22" s="179" t="str">
        <v>No funds selected</v>
      </c>
      <c r="N22" s="248" t="str">
        <v/>
      </c>
      <c r="O22" s="174" t="str">
        <v/>
      </c>
      <c r="P22" s="174" t="str">
        <v/>
      </c>
      <c r="Q22" s="174" t="str">
        <v/>
      </c>
      <c r="R22" s="174" t="str">
        <v/>
      </c>
      <c r="S22" s="174" t="str">
        <v/>
      </c>
      <c r="T22" s="174" t="str">
        <v/>
      </c>
      <c r="U22" s="164" t="str">
        <v/>
      </c>
      <c r="X22" s="179" t="str">
        <v>No funds selected</v>
      </c>
      <c r="Y22" s="174" t="str">
        <v/>
      </c>
      <c r="Z22" s="174" t="str">
        <v/>
      </c>
      <c r="AA22" s="174" t="str">
        <v/>
      </c>
      <c r="AB22" s="174" t="str">
        <v/>
      </c>
      <c r="AC22" s="174" t="str">
        <v/>
      </c>
      <c r="AD22" s="174" t="str">
        <v/>
      </c>
      <c r="AE22" s="174" t="str">
        <v/>
      </c>
      <c r="AF22" s="164" t="str">
        <v/>
      </c>
    </row>
    <row r="23" spans="1:32">
      <c r="A23" s="89"/>
      <c r="B23" s="164" t="str">
        <v/>
      </c>
      <c r="C23" s="190" t="str">
        <v/>
      </c>
      <c r="D23" s="174" t="str">
        <v/>
      </c>
      <c r="E23" s="174" t="str">
        <v/>
      </c>
      <c r="F23" s="164" t="str">
        <v/>
      </c>
      <c r="H23" s="209" t="str">
        <v/>
      </c>
      <c r="I23" s="246" t="str">
        <v/>
      </c>
      <c r="J23" s="209" t="str">
        <v/>
      </c>
      <c r="K23" s="247" t="str">
        <v/>
      </c>
      <c r="M23" s="179" t="str">
        <v/>
      </c>
      <c r="N23" s="42" t="str">
        <v/>
      </c>
      <c r="O23" s="174" t="str">
        <v/>
      </c>
      <c r="P23" s="174" t="str">
        <v/>
      </c>
      <c r="Q23" s="174" t="str">
        <v/>
      </c>
      <c r="R23" s="174" t="str">
        <v/>
      </c>
      <c r="S23" s="174" t="str">
        <v/>
      </c>
      <c r="T23" s="174" t="str">
        <v/>
      </c>
      <c r="U23" s="164" t="str">
        <v/>
      </c>
      <c r="X23" s="179" t="str">
        <v/>
      </c>
      <c r="Y23" s="174" t="str">
        <v/>
      </c>
      <c r="Z23" s="174" t="str">
        <v/>
      </c>
      <c r="AA23" s="174" t="str">
        <v/>
      </c>
      <c r="AB23" s="174" t="str">
        <v/>
      </c>
      <c r="AC23" s="174" t="str">
        <v/>
      </c>
      <c r="AD23" s="23" t="str">
        <v/>
      </c>
      <c r="AE23" s="174" t="str">
        <v/>
      </c>
      <c r="AF23" s="164" t="str">
        <v/>
      </c>
    </row>
    <row r="24" spans="1:32">
      <c r="A24" s="89"/>
      <c r="B24" s="164" t="str">
        <v/>
      </c>
      <c r="C24" s="190" t="str">
        <v/>
      </c>
      <c r="D24" s="174" t="str">
        <v/>
      </c>
      <c r="E24" s="174" t="str">
        <v/>
      </c>
      <c r="F24" s="164" t="str">
        <v/>
      </c>
      <c r="H24" s="209" t="str">
        <v/>
      </c>
      <c r="I24" s="246" t="str">
        <v/>
      </c>
      <c r="J24" s="209" t="str">
        <v/>
      </c>
      <c r="K24" s="247" t="str">
        <v/>
      </c>
      <c r="M24" s="179" t="str">
        <v/>
      </c>
      <c r="N24" s="42" t="str">
        <v/>
      </c>
      <c r="O24" s="174" t="str">
        <v/>
      </c>
      <c r="P24" s="174" t="str">
        <v/>
      </c>
      <c r="Q24" s="174" t="str">
        <v/>
      </c>
      <c r="R24" s="174" t="str">
        <v/>
      </c>
      <c r="S24" s="174" t="str">
        <v/>
      </c>
      <c r="T24" s="174" t="str">
        <v/>
      </c>
      <c r="U24" s="164" t="str">
        <v/>
      </c>
      <c r="X24" s="179" t="str">
        <v/>
      </c>
      <c r="Y24" s="174" t="str">
        <v/>
      </c>
      <c r="Z24" s="174" t="str">
        <v/>
      </c>
      <c r="AA24" s="174" t="str">
        <v/>
      </c>
      <c r="AB24" s="174" t="str">
        <v/>
      </c>
      <c r="AC24" s="174" t="str">
        <v/>
      </c>
      <c r="AD24" s="174" t="str">
        <v/>
      </c>
      <c r="AE24" s="174" t="str">
        <v/>
      </c>
      <c r="AF24" s="164" t="str">
        <v/>
      </c>
    </row>
    <row r="25" spans="1:32">
      <c r="A25" s="89"/>
      <c r="B25" s="164" t="str">
        <v/>
      </c>
      <c r="C25" s="190" t="str">
        <v/>
      </c>
      <c r="D25" s="174" t="str">
        <v/>
      </c>
      <c r="E25" s="174" t="str">
        <v/>
      </c>
      <c r="F25" s="164" t="str">
        <v/>
      </c>
      <c r="H25" s="209" t="str">
        <v/>
      </c>
      <c r="I25" s="246" t="str">
        <v/>
      </c>
      <c r="J25" s="209" t="str">
        <v/>
      </c>
      <c r="K25" s="247" t="str">
        <v/>
      </c>
      <c r="M25" s="179" t="str">
        <v/>
      </c>
      <c r="N25" s="42" t="str">
        <v/>
      </c>
      <c r="O25" s="174" t="str">
        <v/>
      </c>
      <c r="P25" s="174" t="str">
        <v/>
      </c>
      <c r="Q25" s="174" t="str">
        <v/>
      </c>
      <c r="R25" s="174" t="str">
        <v/>
      </c>
      <c r="S25" s="174" t="str">
        <v/>
      </c>
      <c r="T25" s="174" t="str">
        <v/>
      </c>
      <c r="U25" s="164" t="str">
        <v/>
      </c>
      <c r="X25" s="179" t="str">
        <v/>
      </c>
      <c r="Y25" s="174" t="str">
        <v/>
      </c>
      <c r="Z25" s="174" t="str">
        <v/>
      </c>
      <c r="AA25" s="174" t="str">
        <v/>
      </c>
      <c r="AB25" s="174" t="str">
        <v/>
      </c>
      <c r="AC25" s="174" t="str">
        <v/>
      </c>
      <c r="AD25" s="174" t="str">
        <v/>
      </c>
      <c r="AE25" s="174" t="str">
        <v/>
      </c>
      <c r="AF25" s="164" t="str">
        <v/>
      </c>
    </row>
    <row r="26" spans="1:32">
      <c r="A26" s="89"/>
      <c r="B26" s="164" t="str">
        <v/>
      </c>
      <c r="C26" s="190" t="str">
        <v/>
      </c>
      <c r="D26" s="174" t="str">
        <v/>
      </c>
      <c r="E26" s="174" t="str">
        <v/>
      </c>
      <c r="F26" s="164" t="str">
        <v/>
      </c>
      <c r="H26" s="209" t="str">
        <v/>
      </c>
      <c r="I26" s="246" t="str">
        <v/>
      </c>
      <c r="J26" s="209" t="str">
        <v/>
      </c>
      <c r="K26" s="247" t="str">
        <v/>
      </c>
      <c r="M26" s="179" t="str">
        <v/>
      </c>
      <c r="N26" s="42" t="str">
        <v/>
      </c>
      <c r="O26" s="174" t="str">
        <v/>
      </c>
      <c r="P26" s="174" t="str">
        <v/>
      </c>
      <c r="Q26" s="174" t="str">
        <v/>
      </c>
      <c r="R26" s="174" t="str">
        <v/>
      </c>
      <c r="S26" s="174" t="str">
        <v/>
      </c>
      <c r="T26" s="174" t="str">
        <v/>
      </c>
      <c r="U26" s="164" t="str">
        <v/>
      </c>
      <c r="X26" s="179" t="str">
        <v/>
      </c>
      <c r="Y26" s="174" t="str">
        <v/>
      </c>
      <c r="Z26" s="174" t="str">
        <v/>
      </c>
      <c r="AA26" s="174" t="str">
        <v/>
      </c>
      <c r="AB26" s="174" t="str">
        <v/>
      </c>
      <c r="AC26" s="174" t="str">
        <v/>
      </c>
      <c r="AD26" s="174" t="str">
        <v/>
      </c>
      <c r="AE26" s="174" t="str">
        <v/>
      </c>
      <c r="AF26" s="164" t="str">
        <v/>
      </c>
    </row>
    <row r="27" spans="1:32">
      <c r="A27" s="89"/>
      <c r="B27" s="164" t="str">
        <v/>
      </c>
      <c r="C27" s="190" t="str">
        <v/>
      </c>
      <c r="D27" s="174" t="str">
        <v/>
      </c>
      <c r="E27" s="174" t="str">
        <v/>
      </c>
      <c r="F27" s="164" t="str">
        <v/>
      </c>
      <c r="H27" s="209" t="str">
        <v/>
      </c>
      <c r="I27" s="246" t="str">
        <v/>
      </c>
      <c r="J27" s="209" t="str">
        <v/>
      </c>
      <c r="K27" s="247" t="str">
        <v/>
      </c>
      <c r="M27" s="179" t="str">
        <v/>
      </c>
      <c r="N27" s="42" t="str">
        <v/>
      </c>
      <c r="O27" s="174" t="str">
        <v/>
      </c>
      <c r="P27" s="174" t="str">
        <v/>
      </c>
      <c r="Q27" s="174" t="str">
        <v/>
      </c>
      <c r="R27" s="174" t="str">
        <v/>
      </c>
      <c r="S27" s="174" t="str">
        <v/>
      </c>
      <c r="T27" s="174" t="str">
        <v/>
      </c>
      <c r="U27" s="164" t="str">
        <v/>
      </c>
      <c r="X27" s="179" t="str">
        <v/>
      </c>
      <c r="Y27" s="174" t="str">
        <v/>
      </c>
      <c r="Z27" s="174" t="str">
        <v/>
      </c>
      <c r="AA27" s="174" t="str">
        <v/>
      </c>
      <c r="AB27" s="174" t="str">
        <v/>
      </c>
      <c r="AC27" s="174" t="str">
        <v/>
      </c>
      <c r="AD27" s="174" t="str">
        <v/>
      </c>
      <c r="AE27" s="174" t="str">
        <v/>
      </c>
      <c r="AF27" s="164" t="str">
        <v/>
      </c>
    </row>
    <row r="28" spans="1:32">
      <c r="A28" s="89"/>
      <c r="B28" s="164" t="str">
        <v/>
      </c>
      <c r="C28" s="190" t="str">
        <v/>
      </c>
      <c r="D28" s="174" t="str">
        <v/>
      </c>
      <c r="E28" s="174" t="str">
        <v/>
      </c>
      <c r="F28" s="164" t="str">
        <v/>
      </c>
      <c r="H28" s="209" t="str">
        <v/>
      </c>
      <c r="I28" s="246" t="str">
        <v/>
      </c>
      <c r="J28" s="209" t="str">
        <v/>
      </c>
      <c r="K28" s="247" t="str">
        <v/>
      </c>
      <c r="M28" s="179" t="str">
        <v/>
      </c>
      <c r="N28" s="42" t="str">
        <v/>
      </c>
      <c r="O28" s="174" t="str">
        <v/>
      </c>
      <c r="P28" s="174" t="str">
        <v/>
      </c>
      <c r="Q28" s="174" t="str">
        <v/>
      </c>
      <c r="R28" s="174" t="str">
        <v/>
      </c>
      <c r="S28" s="174" t="str">
        <v/>
      </c>
      <c r="T28" s="174" t="str">
        <v/>
      </c>
      <c r="U28" s="164" t="str">
        <v/>
      </c>
      <c r="X28" s="179" t="str">
        <v/>
      </c>
      <c r="Y28" s="174" t="str">
        <v/>
      </c>
      <c r="Z28" s="174" t="str">
        <v/>
      </c>
      <c r="AA28" s="174" t="str">
        <v/>
      </c>
      <c r="AB28" s="174" t="str">
        <v/>
      </c>
      <c r="AC28" s="174" t="str">
        <v/>
      </c>
      <c r="AD28" s="174" t="str">
        <v/>
      </c>
      <c r="AE28" s="174" t="str">
        <v/>
      </c>
      <c r="AF28" s="164" t="str">
        <v/>
      </c>
    </row>
    <row r="29" spans="1:32">
      <c r="A29" s="89"/>
      <c r="B29" s="164" t="str">
        <v/>
      </c>
      <c r="C29" s="190" t="str">
        <v/>
      </c>
      <c r="D29" s="174" t="str">
        <v/>
      </c>
      <c r="E29" s="174" t="str">
        <v/>
      </c>
      <c r="F29" s="164" t="str">
        <v/>
      </c>
      <c r="H29" s="209" t="str">
        <v/>
      </c>
      <c r="I29" s="246" t="str">
        <v/>
      </c>
      <c r="J29" s="209" t="str">
        <v/>
      </c>
      <c r="K29" s="247" t="str">
        <v/>
      </c>
      <c r="M29" s="179" t="str">
        <v/>
      </c>
      <c r="N29" s="42" t="str">
        <v/>
      </c>
      <c r="O29" s="174" t="str">
        <v/>
      </c>
      <c r="P29" s="174" t="str">
        <v/>
      </c>
      <c r="Q29" s="174" t="str">
        <v/>
      </c>
      <c r="R29" s="174" t="str">
        <v/>
      </c>
      <c r="S29" s="174" t="str">
        <v/>
      </c>
      <c r="T29" s="174" t="str">
        <v/>
      </c>
      <c r="U29" s="164" t="str">
        <v/>
      </c>
      <c r="X29" s="179" t="str">
        <v/>
      </c>
      <c r="Y29" s="174" t="str">
        <v/>
      </c>
      <c r="Z29" s="174" t="str">
        <v/>
      </c>
      <c r="AA29" s="174" t="str">
        <v/>
      </c>
      <c r="AB29" s="174" t="str">
        <v/>
      </c>
      <c r="AC29" s="174" t="str">
        <v/>
      </c>
      <c r="AD29" s="174" t="str">
        <v/>
      </c>
      <c r="AE29" s="174" t="str">
        <v/>
      </c>
      <c r="AF29" s="164" t="str">
        <v/>
      </c>
    </row>
    <row r="30" ht="15.15" spans="1:32">
      <c r="A30" s="89"/>
      <c r="B30" s="164" t="str">
        <v/>
      </c>
      <c r="C30" s="190" t="str">
        <v/>
      </c>
      <c r="D30" s="174" t="str">
        <v/>
      </c>
      <c r="E30" s="174" t="str">
        <v/>
      </c>
      <c r="F30" s="164" t="str">
        <v/>
      </c>
      <c r="H30" s="207" t="str">
        <v/>
      </c>
      <c r="I30" s="239" t="str">
        <v/>
      </c>
      <c r="J30" s="207" t="str">
        <v/>
      </c>
      <c r="K30" s="240" t="str">
        <v/>
      </c>
      <c r="M30" s="179" t="str">
        <v/>
      </c>
      <c r="N30" s="42" t="str">
        <v/>
      </c>
      <c r="O30" s="174" t="str">
        <v/>
      </c>
      <c r="P30" s="174" t="str">
        <v/>
      </c>
      <c r="Q30" s="174" t="str">
        <v/>
      </c>
      <c r="R30" s="174" t="str">
        <v/>
      </c>
      <c r="S30" s="174" t="str">
        <v/>
      </c>
      <c r="T30" s="174" t="str">
        <v/>
      </c>
      <c r="U30" s="164" t="str">
        <v/>
      </c>
      <c r="X30" s="179" t="str">
        <v/>
      </c>
      <c r="Y30" s="174" t="str">
        <v/>
      </c>
      <c r="Z30" s="174" t="str">
        <v/>
      </c>
      <c r="AA30" s="174" t="str">
        <v/>
      </c>
      <c r="AB30" s="174" t="str">
        <v/>
      </c>
      <c r="AC30" s="174" t="str">
        <v/>
      </c>
      <c r="AD30" s="174" t="str">
        <v/>
      </c>
      <c r="AE30" s="174" t="str">
        <v/>
      </c>
      <c r="AF30" s="164" t="str">
        <v/>
      </c>
    </row>
    <row r="31" ht="15.15" spans="1:32">
      <c r="A31" s="210" t="s">
        <v>43</v>
      </c>
      <c r="B31" s="116" t="str">
        <v/>
      </c>
      <c r="C31" s="116" t="str">
        <v/>
      </c>
      <c r="D31" s="116" t="str">
        <v/>
      </c>
      <c r="E31" s="116" t="str">
        <v/>
      </c>
      <c r="F31" s="211" t="str">
        <v/>
      </c>
      <c r="H31" s="212" t="str">
        <v/>
      </c>
      <c r="I31" s="153" t="str">
        <v/>
      </c>
      <c r="J31" s="212" t="str">
        <v/>
      </c>
      <c r="K31" s="153" t="str">
        <v/>
      </c>
      <c r="M31" s="241" t="s">
        <v>250</v>
      </c>
      <c r="N31" s="242"/>
      <c r="O31" s="243">
        <f>IFERROR(INDEX('Performance Data'!$B$3:$AN$293,MATCH(TRIM($M$31),'Performance Data'!$B$3:$B$294,0),MATCH(TRIM(O$4),'Performance Data'!$B$4:$AM$4,0)),"")</f>
        <v>-0.028654</v>
      </c>
      <c r="P31" s="243">
        <f>IFERROR(INDEX('Performance Data'!$B$3:$AN$293,MATCH(TRIM($M$31),'Performance Data'!$B$3:$B$294,0),MATCH(TRIM(P$4),'Performance Data'!$B$4:$AM$4,0)),"")</f>
        <v>0.038723</v>
      </c>
      <c r="Q31" s="243">
        <f>IFERROR(INDEX('Performance Data'!$B$3:$AN$293,MATCH(TRIM($M$31),'Performance Data'!$B$3:$B$294,0),MATCH(TRIM(Q$4),'Performance Data'!$B$4:$AM$4,0)),"")</f>
        <v>0.05945</v>
      </c>
      <c r="R31" s="243">
        <f>IFERROR(INDEX('Performance Data'!$B$3:$AN$293,MATCH(TRIM($M$31),'Performance Data'!$B$3:$B$294,0),MATCH(TRIM(R$4),'Performance Data'!$B$4:$AM$4,0)),"")</f>
        <v>-0.032041</v>
      </c>
      <c r="S31" s="243">
        <f>IFERROR(INDEX('Performance Data'!$B$3:$AN$293,MATCH(TRIM($M$31),'Performance Data'!$B$3:$B$294,0),MATCH(TRIM(S$4),'Performance Data'!$B$4:$AM$4,0)),"")</f>
        <v>0.154431</v>
      </c>
      <c r="T31" s="243">
        <f>IFERROR(INDEX('Performance Data'!$B$3:$AN$293,MATCH(TRIM($M$31),'Performance Data'!$B$3:$B$294,0),MATCH(TRIM(T$4),'Performance Data'!$B$4:$AM$4,0)),"")</f>
        <v>0.201781</v>
      </c>
      <c r="U31" s="259">
        <f>IFERROR(INDEX('Performance Data'!$B$3:$AN$293,MATCH(TRIM($M$31),'Performance Data'!$B$3:$B$294,0),MATCH(TRIM(U$4),'Performance Data'!$B$4:$AM$4,0)),"")</f>
        <v>0.123351</v>
      </c>
      <c r="X31" s="241" t="s">
        <v>250</v>
      </c>
      <c r="Y31" s="270">
        <f>_xlfn.IFNA(INDEX('Performance Data'!$B$4:$AN$294,MATCH($X$31,'Performance Data'!$B$4:$B$294,0),MATCH(Y$4,'Performance Data'!$B$4:$AM$4,0)),"")</f>
        <v>0.022527</v>
      </c>
      <c r="Z31" s="243">
        <f>_xlfn.IFNA(INDEX('Performance Data'!$B$4:$AN$294,MATCH($X$31,'Performance Data'!$B$4:$B$294,0),MATCH(Z$4,'Performance Data'!$B$4:$AM$4,0)),"")</f>
        <v>0.145465796535709</v>
      </c>
      <c r="AA31" s="243">
        <f>_xlfn.IFNA(INDEX('Performance Data'!$B$4:$AN$294,MATCH($X$31,'Performance Data'!$B$4:$B$294,0),MATCH(AA$4,'Performance Data'!$B$4:$AM$4,0)),"")</f>
        <v>0.248498523517645</v>
      </c>
      <c r="AB31" s="243">
        <f>_xlfn.IFNA(INDEX('Performance Data'!$B$4:$AN$294,MATCH($X$31,'Performance Data'!$B$4:$B$294,0),MATCH(AB$4,'Performance Data'!$B$4:$AM$4,0)),"")</f>
        <v>0.0333786905211876</v>
      </c>
      <c r="AC31" s="243">
        <f>_xlfn.IFNA(INDEX('Performance Data'!$B$4:$AN$294,MATCH($X$31,'Performance Data'!$B$4:$B$294,0),MATCH(AC$4,'Performance Data'!$B$4:$AM$4,0)),"")</f>
        <v>0.301140430926607</v>
      </c>
      <c r="AD31" s="271">
        <f>_xlfn.IFNA(INDEX('Performance Data'!$B$4:$AN$294,MATCH($X$31,'Performance Data'!$B$4:$B$294,0),MATCH(AD$4,'Performance Data'!$B$4:$AM$4,0)),"")</f>
        <v>0.168033833223551</v>
      </c>
      <c r="AE31" s="243">
        <f>_xlfn.IFNA(INDEX('Performance Data'!$B$4:$AN$294,MATCH($X$31,'Performance Data'!$B$4:$B$294,0),MATCH(AE$4,'Performance Data'!$B$4:$AM$4,0)),"")</f>
        <v>0.077511676096721</v>
      </c>
      <c r="AF31" s="259">
        <f>_xlfn.IFNA(INDEX('Performance Data'!$B$4:$AN$294,MATCH($X$31,'Performance Data'!$B$4:$B$294,0),MATCH(AF$4,'Performance Data'!$B$4:$AM$4,0)),"")</f>
        <v>-0.0308170579621176</v>
      </c>
    </row>
    <row r="32" ht="15.15" spans="1:32">
      <c r="A32" s="89" t="str" cm="1">
        <f t="array" ref="A32">_xlfn._xlws.FILTER('Selector Sheet '!$B$39:$B$42,'Selector Sheet '!$A$39:$A$42=TRUE,"No funds selected")</f>
        <v>No funds selected</v>
      </c>
      <c r="B32" s="164" t="str">
        <v/>
      </c>
      <c r="C32" s="174" t="str">
        <v/>
      </c>
      <c r="D32" s="174" t="str">
        <v/>
      </c>
      <c r="E32" s="174" t="str">
        <v/>
      </c>
      <c r="F32" s="164" t="str">
        <v/>
      </c>
      <c r="H32" s="208" t="str">
        <v/>
      </c>
      <c r="I32" s="245" t="str">
        <v/>
      </c>
      <c r="J32" s="244" t="str">
        <v/>
      </c>
      <c r="K32" s="245" t="str">
        <v/>
      </c>
      <c r="M32" s="110" t="str" cm="1">
        <f t="array" ref="M32:M37">IF($A$31:$A$36&gt;0,$A$31:$A$36,"")</f>
        <v>Hybrid</v>
      </c>
      <c r="N32" s="194" t="str" cm="1">
        <f t="array" ref="N32:N37">IFERROR(INDEX('Performance Data'!$B$3:$AN$293,MATCH(TRIM(_xlfn.ANCHORARRAY($M$32)),'Performance Data'!$B$3:$B$294,0),MATCH(TRIM(N$4),'Performance Data'!$B$4:$AM$4,0)),"")</f>
        <v/>
      </c>
      <c r="O32" s="194" t="str" cm="1">
        <f t="array" ref="O32:O37">IFERROR(INDEX('Performance Data'!$B$3:$AN$293,MATCH(TRIM(_xlfn.ANCHORARRAY($M$32)),'Performance Data'!$B$3:$B$294,0),MATCH(TRIM(O$4),'Performance Data'!$B$4:$AM$4,0)),"")</f>
        <v/>
      </c>
      <c r="P32" s="194" t="str" cm="1">
        <f t="array" ref="P32:P37">IFERROR(INDEX('Performance Data'!$B$3:$AN$293,MATCH(TRIM(_xlfn.ANCHORARRAY($M$32)),'Performance Data'!$B$3:$B$294,0),MATCH(TRIM(P$4),'Performance Data'!$B$4:$AM$4,0)),"")</f>
        <v/>
      </c>
      <c r="Q32" s="194" t="str" cm="1">
        <f t="array" ref="Q32:Q37">IFERROR(INDEX('Performance Data'!$B$3:$AN$293,MATCH(TRIM(_xlfn.ANCHORARRAY($M$32)),'Performance Data'!$B$3:$B$294,0),MATCH(TRIM(Q$4),'Performance Data'!$B$4:$AM$4,0)),"")</f>
        <v/>
      </c>
      <c r="R32" s="194" t="str" cm="1">
        <f t="array" ref="R32:R37">IFERROR(INDEX('Performance Data'!$B$3:$AN$293,MATCH(TRIM(_xlfn.ANCHORARRAY($M$32)),'Performance Data'!$B$3:$B$294,0),MATCH(TRIM(R$4),'Performance Data'!$B$4:$AM$4,0)),"")</f>
        <v/>
      </c>
      <c r="S32" s="194" t="str" cm="1">
        <f t="array" ref="S32:S37">IFERROR(INDEX('Performance Data'!$B$3:$AN$293,MATCH(TRIM(_xlfn.ANCHORARRAY($M$32)),'Performance Data'!$B$3:$B$294,0),MATCH(TRIM(S$4),'Performance Data'!$B$4:$AM$4,0)),"")</f>
        <v/>
      </c>
      <c r="T32" s="194" t="str" cm="1">
        <f t="array" ref="T32:T37">IFERROR(INDEX('Performance Data'!$B$3:$AN$293,MATCH(TRIM(_xlfn.ANCHORARRAY($M$32)),'Performance Data'!$B$3:$B$294,0),MATCH(TRIM(T$4),'Performance Data'!$B$4:$AM$4,0)),"")</f>
        <v/>
      </c>
      <c r="U32" s="199" t="str" cm="1">
        <f t="array" ref="U32:U37">IFERROR(INDEX('Performance Data'!$B$3:$AN$293,MATCH(TRIM(_xlfn.ANCHORARRAY($M$32)),'Performance Data'!$B$3:$B$294,0),MATCH(TRIM(U$4),'Performance Data'!$B$4:$AM$4,0)),"")</f>
        <v/>
      </c>
      <c r="X32" s="110" t="str" cm="1">
        <f t="array" ref="X32:X37">IF($A$31:$A$36&gt;0,$A$31:$A$36,"")</f>
        <v>Hybrid</v>
      </c>
      <c r="Y32" s="194" t="str" cm="1">
        <f t="array" ref="Y32:Y37">_xlfn.IFNA(INDEX('Performance Data'!$B$4:$AN$294,MATCH(_xlfn.ANCHORARRAY($X$32),'Performance Data'!$B$4:$B$294,0),MATCH(Y$4,'Performance Data'!$B$4:$AM$4,0)),"")</f>
        <v/>
      </c>
      <c r="Z32" s="194" t="str" cm="1">
        <f t="array" ref="Z32:Z37">_xlfn.IFNA(INDEX('Performance Data'!$B$4:$AN$294,MATCH(_xlfn.ANCHORARRAY($X$32),'Performance Data'!$B$4:$B$294,0),MATCH(Z$4,'Performance Data'!$B$4:$AM$4,0)),"")</f>
        <v/>
      </c>
      <c r="AA32" s="194" t="str" cm="1">
        <f t="array" ref="AA32:AA37">_xlfn.IFNA(INDEX('Performance Data'!$B$4:$AN$294,MATCH(_xlfn.ANCHORARRAY($X$32),'Performance Data'!$B$4:$B$294,0),MATCH(AA$4,'Performance Data'!$B$4:$AM$4,0)),"")</f>
        <v/>
      </c>
      <c r="AB32" s="194" t="str" cm="1">
        <f t="array" ref="AB32:AB37">_xlfn.IFNA(INDEX('Performance Data'!$B$4:$AN$294,MATCH(_xlfn.ANCHORARRAY($X$32),'Performance Data'!$B$4:$B$294,0),MATCH(AB$4,'Performance Data'!$B$4:$AM$4,0)),"")</f>
        <v/>
      </c>
      <c r="AC32" s="194" t="str" cm="1">
        <f t="array" ref="AC32:AC37">_xlfn.IFNA(INDEX('Performance Data'!$B$4:$AN$294,MATCH(_xlfn.ANCHORARRAY($X$32),'Performance Data'!$B$4:$B$294,0),MATCH(AC$4,'Performance Data'!$B$4:$AM$4,0)),"")</f>
        <v/>
      </c>
      <c r="AD32" s="194" t="str" cm="1">
        <f t="array" ref="AD32:AD37">_xlfn.IFNA(INDEX('Performance Data'!$B$4:$AN$294,MATCH(_xlfn.ANCHORARRAY($X$32),'Performance Data'!$B$4:$B$294,0),MATCH(AD$4,'Performance Data'!$B$4:$AM$4,0)),"")</f>
        <v/>
      </c>
      <c r="AE32" s="194" t="str" cm="1">
        <f t="array" ref="AE32:AE37">_xlfn.IFNA(INDEX('Performance Data'!$B$4:$AN$294,MATCH(_xlfn.ANCHORARRAY($X$32),'Performance Data'!$B$4:$B$294,0),MATCH(AE$4,'Performance Data'!$B$4:$AM$4,0)),"")</f>
        <v/>
      </c>
      <c r="AF32" s="199" t="str" cm="1">
        <f t="array" ref="AF32:AF37">_xlfn.IFNA(INDEX('Performance Data'!$B$4:$AN$294,MATCH(_xlfn.ANCHORARRAY($X$32),'Performance Data'!$B$4:$B$294,0),MATCH(AF$4,'Performance Data'!$B$4:$AM$4,0)),"")</f>
        <v/>
      </c>
    </row>
    <row r="33" spans="1:32">
      <c r="A33" s="89"/>
      <c r="B33" s="164" t="str">
        <v/>
      </c>
      <c r="C33" s="174" t="str">
        <v/>
      </c>
      <c r="D33" s="174" t="str">
        <v/>
      </c>
      <c r="E33" s="174" t="str">
        <v/>
      </c>
      <c r="F33" s="164" t="str">
        <v/>
      </c>
      <c r="H33" s="209" t="str">
        <v/>
      </c>
      <c r="I33" s="247" t="str">
        <v/>
      </c>
      <c r="J33" s="246" t="str">
        <v/>
      </c>
      <c r="K33" s="247" t="str">
        <v/>
      </c>
      <c r="M33" s="179" t="str">
        <v>No funds selected</v>
      </c>
      <c r="N33" s="42" t="str">
        <v/>
      </c>
      <c r="O33" s="174" t="str">
        <v/>
      </c>
      <c r="P33" s="174" t="str">
        <v/>
      </c>
      <c r="Q33" s="174" t="str">
        <v/>
      </c>
      <c r="R33" s="174" t="str">
        <v/>
      </c>
      <c r="S33" s="174" t="str">
        <v/>
      </c>
      <c r="T33" s="174" t="str">
        <v/>
      </c>
      <c r="U33" s="164" t="str">
        <v/>
      </c>
      <c r="X33" s="179" t="str">
        <v>No funds selected</v>
      </c>
      <c r="Y33" s="174" t="str">
        <v/>
      </c>
      <c r="Z33" s="174" t="str">
        <v/>
      </c>
      <c r="AA33" s="174" t="str">
        <v/>
      </c>
      <c r="AB33" s="174" t="str">
        <v/>
      </c>
      <c r="AC33" s="174" t="str">
        <v/>
      </c>
      <c r="AD33" s="174" t="str">
        <v/>
      </c>
      <c r="AE33" s="174" t="str">
        <v/>
      </c>
      <c r="AF33" s="164" t="str">
        <v/>
      </c>
    </row>
    <row r="34" spans="1:32">
      <c r="A34" s="89"/>
      <c r="B34" s="164" t="str">
        <v/>
      </c>
      <c r="C34" s="174" t="str">
        <v/>
      </c>
      <c r="D34" s="174" t="str">
        <v/>
      </c>
      <c r="E34" s="174" t="str">
        <v/>
      </c>
      <c r="F34" s="164" t="str">
        <v/>
      </c>
      <c r="H34" s="209" t="str">
        <v/>
      </c>
      <c r="I34" s="247" t="str">
        <v/>
      </c>
      <c r="J34" s="246" t="str">
        <v/>
      </c>
      <c r="K34" s="247" t="str">
        <v/>
      </c>
      <c r="M34" s="179" t="str">
        <v/>
      </c>
      <c r="N34" s="42" t="str">
        <v/>
      </c>
      <c r="O34" s="174" t="str">
        <v/>
      </c>
      <c r="P34" s="174" t="str">
        <v/>
      </c>
      <c r="Q34" s="174" t="str">
        <v/>
      </c>
      <c r="R34" s="174" t="str">
        <v/>
      </c>
      <c r="S34" s="174" t="str">
        <v/>
      </c>
      <c r="T34" s="174" t="str">
        <v/>
      </c>
      <c r="U34" s="164" t="str">
        <v/>
      </c>
      <c r="X34" s="179" t="str">
        <v/>
      </c>
      <c r="Y34" s="174" t="str">
        <v/>
      </c>
      <c r="Z34" s="174" t="str">
        <v/>
      </c>
      <c r="AA34" s="174" t="str">
        <v/>
      </c>
      <c r="AB34" s="174" t="str">
        <v/>
      </c>
      <c r="AC34" s="174" t="str">
        <v/>
      </c>
      <c r="AD34" s="174" t="str">
        <v/>
      </c>
      <c r="AE34" s="174" t="str">
        <v/>
      </c>
      <c r="AF34" s="164" t="str">
        <v/>
      </c>
    </row>
    <row r="35" spans="1:32">
      <c r="A35" s="89"/>
      <c r="B35" s="164" t="str">
        <v/>
      </c>
      <c r="C35" s="174" t="str">
        <v/>
      </c>
      <c r="D35" s="174" t="str">
        <v/>
      </c>
      <c r="E35" s="174" t="str">
        <v/>
      </c>
      <c r="F35" s="164" t="str">
        <v/>
      </c>
      <c r="H35" s="209" t="str">
        <v/>
      </c>
      <c r="I35" s="247" t="str">
        <v/>
      </c>
      <c r="J35" s="246" t="str">
        <v/>
      </c>
      <c r="K35" s="247" t="str">
        <v/>
      </c>
      <c r="M35" s="179" t="str">
        <v/>
      </c>
      <c r="N35" s="42" t="str">
        <v/>
      </c>
      <c r="O35" s="174" t="str">
        <v/>
      </c>
      <c r="P35" s="174" t="str">
        <v/>
      </c>
      <c r="Q35" s="174" t="str">
        <v/>
      </c>
      <c r="R35" s="174" t="str">
        <v/>
      </c>
      <c r="S35" s="174" t="str">
        <v/>
      </c>
      <c r="T35" s="174" t="str">
        <v/>
      </c>
      <c r="U35" s="164" t="str">
        <v/>
      </c>
      <c r="X35" s="179" t="str">
        <v/>
      </c>
      <c r="Y35" s="174" t="str">
        <v/>
      </c>
      <c r="Z35" s="174" t="str">
        <v/>
      </c>
      <c r="AA35" s="174" t="str">
        <v/>
      </c>
      <c r="AB35" s="174" t="str">
        <v/>
      </c>
      <c r="AC35" s="174" t="str">
        <v/>
      </c>
      <c r="AD35" s="174" t="str">
        <v/>
      </c>
      <c r="AE35" s="174" t="str">
        <v/>
      </c>
      <c r="AF35" s="164" t="str">
        <v/>
      </c>
    </row>
    <row r="36" spans="1:32">
      <c r="A36" s="89"/>
      <c r="B36" s="164"/>
      <c r="C36" s="213"/>
      <c r="D36" s="213"/>
      <c r="E36" s="213"/>
      <c r="F36" s="214"/>
      <c r="H36" s="209"/>
      <c r="I36" s="247"/>
      <c r="J36" s="246"/>
      <c r="K36" s="247"/>
      <c r="M36" s="179" t="str">
        <v/>
      </c>
      <c r="N36" s="42" t="str">
        <v/>
      </c>
      <c r="O36" s="174" t="str">
        <v/>
      </c>
      <c r="P36" s="174" t="str">
        <v/>
      </c>
      <c r="Q36" s="174" t="str">
        <v/>
      </c>
      <c r="R36" s="174" t="str">
        <v/>
      </c>
      <c r="S36" s="174" t="str">
        <v/>
      </c>
      <c r="T36" s="174" t="str">
        <v/>
      </c>
      <c r="U36" s="164" t="str">
        <v/>
      </c>
      <c r="X36" s="179" t="str">
        <v/>
      </c>
      <c r="Y36" s="174" t="str">
        <v/>
      </c>
      <c r="Z36" s="174" t="str">
        <v/>
      </c>
      <c r="AA36" s="174" t="str">
        <v/>
      </c>
      <c r="AB36" s="174" t="str">
        <v/>
      </c>
      <c r="AC36" s="174" t="str">
        <v/>
      </c>
      <c r="AD36" s="174" t="str">
        <v/>
      </c>
      <c r="AE36" s="174" t="str">
        <v/>
      </c>
      <c r="AF36" s="164" t="str">
        <v/>
      </c>
    </row>
    <row r="37" ht="15.15" spans="1:32">
      <c r="A37" s="94"/>
      <c r="B37" s="166"/>
      <c r="C37" s="96"/>
      <c r="D37" s="96"/>
      <c r="E37" s="96"/>
      <c r="F37" s="97"/>
      <c r="H37" s="215"/>
      <c r="I37" s="249"/>
      <c r="J37" s="250"/>
      <c r="K37" s="249"/>
      <c r="M37" s="179" t="str">
        <v/>
      </c>
      <c r="N37" s="42" t="str">
        <v/>
      </c>
      <c r="O37" s="174" t="str">
        <v/>
      </c>
      <c r="P37" s="174" t="str">
        <v/>
      </c>
      <c r="Q37" s="174" t="str">
        <v/>
      </c>
      <c r="R37" s="174" t="str">
        <v/>
      </c>
      <c r="S37" s="174" t="str">
        <v/>
      </c>
      <c r="T37" s="174" t="str">
        <v/>
      </c>
      <c r="U37" s="164" t="str">
        <v/>
      </c>
      <c r="X37" s="179" t="str">
        <v/>
      </c>
      <c r="Y37" s="174" t="str">
        <v/>
      </c>
      <c r="Z37" s="174" t="str">
        <v/>
      </c>
      <c r="AA37" s="174" t="str">
        <v/>
      </c>
      <c r="AB37" s="174" t="str">
        <v/>
      </c>
      <c r="AC37" s="174" t="str">
        <v/>
      </c>
      <c r="AD37" s="174" t="str">
        <v/>
      </c>
      <c r="AE37" s="174" t="str">
        <v/>
      </c>
      <c r="AF37" s="164" t="str">
        <v/>
      </c>
    </row>
    <row r="38" ht="15" customHeight="1" spans="5:32">
      <c r="E38" s="216" t="s">
        <v>796</v>
      </c>
      <c r="F38" s="217"/>
      <c r="H38" s="218"/>
      <c r="I38" s="218"/>
      <c r="J38" s="218"/>
      <c r="K38" s="218"/>
      <c r="M38" s="251" t="s">
        <v>486</v>
      </c>
      <c r="N38" s="252"/>
      <c r="O38" s="253">
        <f>IFERROR(INDEX('Performance Data'!$B$3:$AN$293,MATCH(TRIM($M$38),'Performance Data'!$B$3:$B$294,0),MATCH(TRIM(O$4),'Performance Data'!$B$4:$AM$4,0)),"")</f>
        <v>-0.0116284987700614</v>
      </c>
      <c r="P38" s="253">
        <f>IFERROR(INDEX('Performance Data'!$B$3:$AN$293,MATCH(TRIM($M$38),'Performance Data'!$B$3:$B$294,0),MATCH(TRIM(P$4),'Performance Data'!$B$4:$AM$4,0)),"")</f>
        <v>0.02937935006152</v>
      </c>
      <c r="Q38" s="253">
        <f>IFERROR(INDEX('Performance Data'!$B$3:$AN$293,MATCH(TRIM($M$38),'Performance Data'!$B$3:$B$294,0),MATCH(TRIM(Q$4),'Performance Data'!$B$4:$AM$4,0)),"")</f>
        <v>0.0542720523586115</v>
      </c>
      <c r="R38" s="253">
        <f>IFERROR(INDEX('Performance Data'!$B$3:$AN$293,MATCH(TRIM($M$38),'Performance Data'!$B$3:$B$294,0),MATCH(TRIM(R$4),'Performance Data'!$B$4:$AM$4,0)),"")</f>
        <v>0.0280292519567873</v>
      </c>
      <c r="S38" s="253">
        <f>IFERROR(INDEX('Performance Data'!$B$3:$AN$293,MATCH(TRIM($M$38),'Performance Data'!$B$3:$B$294,0),MATCH(TRIM(S$4),'Performance Data'!$B$4:$AM$4,0)),"")</f>
        <v>0.11763739546963</v>
      </c>
      <c r="T38" s="253">
        <f>IFERROR(INDEX('Performance Data'!$B$3:$AN$293,MATCH(TRIM($M$38),'Performance Data'!$B$3:$B$294,0),MATCH(TRIM(T$4),'Performance Data'!$B$4:$AM$4,0)),"")</f>
        <v>0.133154908114355</v>
      </c>
      <c r="U38" s="260">
        <f>IFERROR(INDEX('Performance Data'!$B$3:$AN$293,MATCH(TRIM($M$38),'Performance Data'!$B$3:$B$294,0),MATCH(TRIM(U$4),'Performance Data'!$B$4:$AM$4,0)),"")</f>
        <v>0.102254024682437</v>
      </c>
      <c r="X38" s="251" t="s">
        <v>486</v>
      </c>
      <c r="Y38" s="253">
        <f>_xlfn.IFNA(INDEX('Performance Data'!$B$4:$AN$294,MATCH($X$38,'Performance Data'!$B$4:$B$294,0),MATCH(Y$4,'Performance Data'!$B$4:$AM$4,0)),"")</f>
        <v>0.0394817439618318</v>
      </c>
      <c r="Z38" s="253">
        <f>_xlfn.IFNA(INDEX('Performance Data'!$B$4:$AN$294,MATCH($X$38,'Performance Data'!$B$4:$B$294,0),MATCH(Z$4,'Performance Data'!$B$4:$AM$4,0)),"")</f>
        <v>0.115148190648015</v>
      </c>
      <c r="AA38" s="253">
        <f>_xlfn.IFNA(INDEX('Performance Data'!$B$4:$AN$294,MATCH($X$38,'Performance Data'!$B$4:$B$294,0),MATCH(AA$4,'Performance Data'!$B$4:$AM$4,0)),"")</f>
        <v>0.158535642831628</v>
      </c>
      <c r="AB38" s="253">
        <f>_xlfn.IFNA(INDEX('Performance Data'!$B$4:$AN$294,MATCH($X$38,'Performance Data'!$B$4:$B$294,0),MATCH(AB$4,'Performance Data'!$B$4:$AM$4,0)),"")</f>
        <v>0.0384086093157168</v>
      </c>
      <c r="AC38" s="253">
        <f>_xlfn.IFNA(INDEX('Performance Data'!$B$4:$AN$294,MATCH($X$38,'Performance Data'!$B$4:$B$294,0),MATCH(AC$4,'Performance Data'!$B$4:$AM$4,0)),"")</f>
        <v>0.168711766321198</v>
      </c>
      <c r="AD38" s="253">
        <f>_xlfn.IFNA(INDEX('Performance Data'!$B$4:$AN$294,MATCH($X$38,'Performance Data'!$B$4:$B$294,0),MATCH(AD$4,'Performance Data'!$B$4:$AM$4,0)),"")</f>
        <v>0.148189449432945</v>
      </c>
      <c r="AE38" s="253">
        <f>_xlfn.IFNA(INDEX('Performance Data'!$B$4:$AN$294,MATCH($X$38,'Performance Data'!$B$4:$B$294,0),MATCH(AE$4,'Performance Data'!$B$4:$AM$4,0)),"")</f>
        <v>0.0888221485237766</v>
      </c>
      <c r="AF38" s="260">
        <f>_xlfn.IFNA(INDEX('Performance Data'!$B$4:$AN$294,MATCH($X$38,'Performance Data'!$B$4:$B$294,0),MATCH(AF$4,'Performance Data'!$B$4:$AM$4,0)),"")</f>
        <v>0.0188333181532216</v>
      </c>
    </row>
    <row r="39" ht="14.5" customHeight="1" spans="1:11">
      <c r="A39" s="216" t="s">
        <v>797</v>
      </c>
      <c r="B39" s="217"/>
      <c r="E39" s="219"/>
      <c r="F39" s="220"/>
      <c r="H39" s="218"/>
      <c r="I39" s="218"/>
      <c r="J39" s="218"/>
      <c r="K39" s="218"/>
    </row>
    <row r="40" ht="15.15" spans="1:11">
      <c r="A40" s="219"/>
      <c r="B40" s="220"/>
      <c r="E40" s="221"/>
      <c r="F40" s="218"/>
      <c r="H40" s="218"/>
      <c r="I40" s="218"/>
      <c r="J40" s="218"/>
      <c r="K40" s="218"/>
    </row>
    <row r="41" ht="15.15" spans="1:11">
      <c r="A41" s="200" t="s">
        <v>105</v>
      </c>
      <c r="B41" s="116"/>
      <c r="C41" s="116"/>
      <c r="D41" s="116"/>
      <c r="E41" s="221"/>
      <c r="F41" s="218"/>
      <c r="K41" s="218"/>
    </row>
    <row r="42" ht="15.15" spans="8:26">
      <c r="H42" s="32" t="s">
        <v>798</v>
      </c>
      <c r="I42" s="98"/>
      <c r="J42" s="33"/>
      <c r="M42" s="32" t="s">
        <v>106</v>
      </c>
      <c r="N42" s="98"/>
      <c r="O42" s="98"/>
      <c r="P42" s="98"/>
      <c r="Q42" s="98"/>
      <c r="R42" s="98"/>
      <c r="S42" s="98"/>
      <c r="T42" s="98"/>
      <c r="U42" s="98"/>
      <c r="X42" s="32" t="s">
        <v>107</v>
      </c>
      <c r="Y42" s="98"/>
      <c r="Z42" s="98"/>
    </row>
    <row r="43" ht="15.15" spans="6:11">
      <c r="F43" s="222"/>
      <c r="H43" s="223" t="s">
        <v>794</v>
      </c>
      <c r="I43" s="254" cm="1">
        <f t="array" ref="I43">SUMPRODUCT(_xlfn._xlws.FILTER($B$5:$B$37,($B$5:$B$37&lt;&gt;"")*(J5:J37&lt;&gt;""))/SUM(_xlfn._xlws.FILTER($B$5:$B$37,($B$5:$B$37&lt;&gt;"")*(J5:J37&lt;&gt;""))),_xlfn._xlws.FILTER(J5:J37,($B$5:$B$37&lt;&gt;"")*(J5:J37&lt;&gt;"")))</f>
        <v>26.3583333333333</v>
      </c>
      <c r="J43" s="255"/>
      <c r="K43" s="222"/>
    </row>
    <row r="44" ht="15.15" spans="1:11">
      <c r="A44" s="160" t="s">
        <v>83</v>
      </c>
      <c r="B44" s="33" t="s">
        <v>6</v>
      </c>
      <c r="C44" s="153" t="str">
        <f>IF(B44='Drop Downs'!$I$18,'Drop Downs'!$D$2,'Drop Downs'!$E$2)</f>
        <v>Nifty 50</v>
      </c>
      <c r="D44" s="153" t="s">
        <v>250</v>
      </c>
      <c r="F44" s="222"/>
      <c r="H44" s="224" t="s">
        <v>795</v>
      </c>
      <c r="I44" s="254" cm="1">
        <f t="array" ref="I44">SUMPRODUCT(_xlfn._xlws.FILTER($B$5:$B$37,($B$5:$B$37&lt;&gt;"")*(K5:K37&lt;&gt;""))/SUM(_xlfn._xlws.FILTER($B$5:$B$37,($B$5:$B$37&lt;&gt;"")*(K5:K37&lt;&gt;""))),_xlfn._xlws.FILTER(K5:K37,($B$5:$B$37&lt;&gt;"")*(K5:K37&lt;&gt;"")))</f>
        <v>4.02</v>
      </c>
      <c r="J44" s="255"/>
      <c r="K44" s="222"/>
    </row>
    <row r="45" ht="15.15" spans="1:26">
      <c r="A45" s="161" t="s">
        <v>96</v>
      </c>
      <c r="B45" s="162" cm="1">
        <f t="array" ref="B45">_xlfn.LET(_xlpm.FilteredList,_xlfn._xlws.FILTER('Drop Downs'!$J$26:$J$59,'Drop Downs'!$I$26:$I$59=$B$44),_xlpm.DataValues,_xlfn.IFNA(VLOOKUP(_xlpm.FilteredList,$X$5:$AF$38,2,FALSE),0),_xlpm.Weights,_xlfn.IFNA(VLOOKUP(_xlpm.FilteredList,'Selector Sheet '!$B$14:$D$59,2,FALSE),0),_xlpm.RebacedW,(_xlpm.Weights*1)/SUM(_xlpm.Weights),SUMPRODUCT(_xlpm.DataValues,_xlpm.RebacedW))</f>
        <v>0.0398440833333333</v>
      </c>
      <c r="C45" s="162" cm="1">
        <f t="array" ref="C45">INDEX('Drop Downs'!$P$3:$U$10,ROWS($A$1:A1),MATCH($C$44,'Drop Downs'!$P$2:$U$2,0))</f>
        <v>0.047518</v>
      </c>
      <c r="D45" s="162" cm="1">
        <f t="array" ref="D45">INDEX('Drop Downs'!$P$3:$T$10,ROWS($A$1:A1),MATCH($D$44,'Drop Downs'!$P$2:$T$2,0))</f>
        <v>0.022527</v>
      </c>
      <c r="H45" s="225" t="s">
        <v>118</v>
      </c>
      <c r="I45" s="256" cm="1">
        <f t="array" ref="I45">SUMPRODUCT(_xlfn._xlws.FILTER($B$5:$B$37,($B$5:$B$37&lt;&gt;"")*(I5:I37&lt;&gt;""))/SUM(_xlfn._xlws.FILTER($B$5:$B$37,($B$5:$B$37&lt;&gt;"")*(I5:I37&lt;&gt;""))),_xlfn._xlws.FILTER(I5:I37,($B$5:$B$37&lt;&gt;"")*(I5:I37&lt;&gt;"")))</f>
        <v>0.9125</v>
      </c>
      <c r="J45" s="257"/>
      <c r="M45" s="32" t="s">
        <v>799</v>
      </c>
      <c r="N45" s="33"/>
      <c r="P45" s="150" t="s">
        <v>79</v>
      </c>
      <c r="Q45" s="151"/>
      <c r="R45" s="151"/>
      <c r="T45" s="32" t="s">
        <v>80</v>
      </c>
      <c r="U45" s="33"/>
      <c r="X45" s="115" t="s">
        <v>100</v>
      </c>
      <c r="Y45" s="272" t="s">
        <v>101</v>
      </c>
      <c r="Z45" s="116" t="s">
        <v>13</v>
      </c>
    </row>
    <row r="46" ht="15.15" spans="1:27">
      <c r="A46" s="163">
        <v>2024</v>
      </c>
      <c r="B46" s="164" cm="1">
        <f t="array" ref="B46">_xlfn.LET(_xlpm.FilteredList,_xlfn._xlws.FILTER('Drop Downs'!$J$26:$J$59,'Drop Downs'!$I$26:$I$59=$B$44),_xlpm.DataValues,_xlfn.IFNA(VLOOKUP(_xlpm.FilteredList,$X$5:$AF$38,3,FALSE),0),_xlpm.Weights,_xlfn.IFNA(VLOOKUP(_xlpm.FilteredList,'Selector Sheet '!$B$14:$D$59,2,FALSE),0),_xlpm.RebacedW,(_xlpm.Weights*1)/SUM(_xlpm.Weights),SUMPRODUCT(_xlpm.DataValues,_xlpm.RebacedW))</f>
        <v>0.187081926768325</v>
      </c>
      <c r="C46" s="164" cm="1">
        <f t="array" ref="C46">INDEX('Drop Downs'!$P$3:$U$10,ROWS($A$1:A2),MATCH($C$44,'Drop Downs'!$P$2:$U$2,0))</f>
        <v>0.0880476902077809</v>
      </c>
      <c r="D46" s="164" cm="1">
        <f t="array" ref="D46">INDEX('Drop Downs'!$P$3:$T$10,ROWS($A$1:A2),MATCH($D$44,'Drop Downs'!$P$2:$T$2,0))</f>
        <v>0.145465796535709</v>
      </c>
      <c r="M46" s="152" t="s">
        <v>84</v>
      </c>
      <c r="N46" s="153" t="s">
        <v>85</v>
      </c>
      <c r="P46" s="135" t="s">
        <v>86</v>
      </c>
      <c r="Q46" s="154">
        <f>SUM($N$47:$N$49)</f>
        <v>0.131368662200789</v>
      </c>
      <c r="R46" s="155"/>
      <c r="T46" s="133" t="s">
        <v>800</v>
      </c>
      <c r="U46" s="134" t="s">
        <v>801</v>
      </c>
      <c r="X46" s="119" t="s">
        <v>75</v>
      </c>
      <c r="Y46" s="120">
        <f>SUMPRODUCT(_xlfn.ANCHORARRAY($B$5),_xlfn.ANCHORARRAY($C$5))</f>
        <v>0.383774</v>
      </c>
      <c r="Z46" s="273">
        <f>($Y46/SUM($Y$46:$Y$48))*1</f>
        <v>0.825602804021401</v>
      </c>
      <c r="AA46" s="2"/>
    </row>
    <row r="47" spans="1:27">
      <c r="A47" s="163">
        <v>2023</v>
      </c>
      <c r="B47" s="164" cm="1">
        <f t="array" ref="B47">_xlfn.LET(_xlpm.FilteredList,_xlfn._xlws.FILTER('Drop Downs'!$J$26:$J$59,'Drop Downs'!$I$26:$I$59=$B$44),_xlpm.DataValues,_xlfn.IFNA(VLOOKUP(_xlpm.FilteredList,$X$5:$AF$38,4,FALSE),0),_xlpm.Weights,_xlfn.IFNA(VLOOKUP(_xlpm.FilteredList,'Selector Sheet '!$B$14:$D$59,2,FALSE),0),_xlpm.RebacedW,(_xlpm.Weights*1)/SUM(_xlpm.Weights),SUMPRODUCT(_xlpm.DataValues,_xlpm.RebacedW))</f>
        <v>0.268878579565279</v>
      </c>
      <c r="C47" s="164" cm="1">
        <f t="array" ref="C47">INDEX('Drop Downs'!$P$3:$U$10,ROWS($A$1:A3),MATCH($C$44,'Drop Downs'!$P$2:$U$2,0))</f>
        <v>0.200278393101744</v>
      </c>
      <c r="D47" s="164" cm="1">
        <f t="array" ref="D47">INDEX('Drop Downs'!$P$3:$T$10,ROWS($A$1:A3),MATCH($D$44,'Drop Downs'!$P$2:$T$2,0))</f>
        <v>0.248498523517645</v>
      </c>
      <c r="M47" s="143" t="str" cm="1">
        <f t="array" ref="M47:N66">IF($M$45='Drop Downs'!$B$14,_xlfn._xlws.SORT(_xlfn.TAKE(_xlfn._xlws.SORT(_xlfn.HSTACK(_xlfn.UNIQUE(Sheet2!$C$2:$C$1175),_xlfn.BYROW(_xlfn.UNIQUE(Sheet2!$C$2:$C$1175),_xlfn.LAMBDA(_xlpm.x,SUMIF(Sheet2!$C$2:$C$1175,_xlpm.x,Sheet2!E2:E1175)))),2,-1),20),2,-1),_xlfn._xlws.SORT(_xlfn.TAKE(_xlfn._xlws.SORT(_xlfn.HSTACK(_xlfn.UNIQUE(Sheet2!$O$2:$O$372),_xlfn.BYROW(_xlfn.UNIQUE(Sheet2!$O$2:$O$372),_xlfn.LAMBDA(_xlpm.x,SUMIF(Sheet2!$O$2:$O$372,_xlpm.x,Sheet2!$Q$2:$Q$372)))),2,-1),20),2,-1))</f>
        <v>HDFC Bank Ltd</v>
      </c>
      <c r="N47" s="24">
        <v>0.0478201864703617</v>
      </c>
      <c r="P47" s="140" t="s">
        <v>802</v>
      </c>
      <c r="Q47" s="156">
        <f>SUM($N$47:$N$51)</f>
        <v>0.19737963391126</v>
      </c>
      <c r="R47" s="157"/>
      <c r="T47" s="138" t="str" cm="1">
        <f t="array" ref="T47:U59">IF($T$45='Drop Downs'!$B$16,_xlfn.IFNA(_xlfn._xlws.SORT(_xlfn.HSTACK(_xlfn.UNIQUE(Sheet2!$F$2:$F$1175),_xlfn.BYROW(_xlfn.UNIQUE(Sheet2!$F$2:$F$1175),_xlfn.LAMBDA(_xlpm.x,SUMIF(Sheet2!$F$2:$F$1175,_xlpm.x,Sheet2!$G$2:$G$1175)))),2,-1),""),_xlfn.IFNA(_xlfn._xlws.SORT(_xlfn.HSTACK(_xlfn.UNIQUE(Sheet2!$R$2:$R$372),_xlfn.BYROW(_xlfn.UNIQUE(Sheet2!$R$2:$R$372),_xlfn.LAMBDA(_xlpm.x,SUMIF(Sheet2!$R$2:$R$372,_xlpm.x,Sheet2!$S$2:$S$372)))),2,-1),""))</f>
        <v>Financials</v>
      </c>
      <c r="U47" s="261">
        <v>0.254946135172311</v>
      </c>
      <c r="X47" s="123" t="s">
        <v>102</v>
      </c>
      <c r="Y47" s="124">
        <f>SUMPRODUCT(_xlfn.ANCHORARRAY($B$5),_xlfn.ANCHORARRAY($D$5))</f>
        <v>0.062343</v>
      </c>
      <c r="Z47" s="274">
        <f>($Y47/SUM($Y$46:$Y$48))*1</f>
        <v>0.134116838584965</v>
      </c>
      <c r="AA47" s="2"/>
    </row>
    <row r="48" spans="1:27">
      <c r="A48" s="163">
        <v>2022</v>
      </c>
      <c r="B48" s="164" cm="1">
        <f t="array" ref="B48">_xlfn.LET(_xlpm.FilteredList,_xlfn._xlws.FILTER('Drop Downs'!$J$26:$J$59,'Drop Downs'!$I$26:$I$59=$B$44),_xlpm.DataValues,_xlfn.IFNA(VLOOKUP(_xlpm.FilteredList,$X$5:$AF$38,5,FALSE),0),_xlpm.Weights,_xlfn.IFNA(VLOOKUP(_xlpm.FilteredList,'Selector Sheet '!$B$14:$D$59,2,FALSE),0),_xlpm.RebacedW,(_xlpm.Weights*1)/SUM(_xlpm.Weights),SUMPRODUCT(_xlpm.DataValues,_xlpm.RebacedW))</f>
        <v>0.0552893295023589</v>
      </c>
      <c r="C48" s="164" cm="1">
        <f t="array" ref="C48">INDEX('Drop Downs'!$P$3:$U$10,ROWS($A$1:A4),MATCH($C$44,'Drop Downs'!$P$2:$U$2,0))</f>
        <v>0.0432896067488569</v>
      </c>
      <c r="D48" s="164" cm="1">
        <f t="array" ref="D48">INDEX('Drop Downs'!$P$3:$T$10,ROWS($A$1:A4),MATCH($D$44,'Drop Downs'!$P$2:$T$2,0))</f>
        <v>0.0333786905211876</v>
      </c>
      <c r="M48" s="143" t="str">
        <v>Hindalco Industries Ltd</v>
      </c>
      <c r="N48" s="24">
        <v>0.0442772570951206</v>
      </c>
      <c r="P48" s="140" t="s">
        <v>98</v>
      </c>
      <c r="Q48" s="156">
        <f>SUM($N$47:$N$56)</f>
        <v>0.319914761301677</v>
      </c>
      <c r="R48" s="157"/>
      <c r="T48" s="143" t="str">
        <v>Consumer Discretionary</v>
      </c>
      <c r="U48" s="24">
        <v>0.193200435404322</v>
      </c>
      <c r="X48" s="128" t="s">
        <v>103</v>
      </c>
      <c r="Y48" s="129">
        <f>SUMPRODUCT(_xlfn.ANCHORARRAY($B$5),_xlfn.ANCHORARRAY($E$5))</f>
        <v>0.01872396</v>
      </c>
      <c r="Z48" s="275">
        <f>($Y48/SUM($Y$46:$Y$48))*1</f>
        <v>0.0402803573936342</v>
      </c>
      <c r="AA48" s="2"/>
    </row>
    <row r="49" spans="1:21">
      <c r="A49" s="163">
        <v>2021</v>
      </c>
      <c r="B49" s="164" cm="1">
        <f t="array" ref="B49">_xlfn.LET(_xlpm.FilteredList,_xlfn._xlws.FILTER('Drop Downs'!$J$26:$J$59,'Drop Downs'!$I$26:$I$59=$B$44),_xlpm.DataValues,_xlfn.IFNA(VLOOKUP(_xlpm.FilteredList,$X$5:$AF$38,6,FALSE),0),_xlpm.Weights,_xlfn.IFNA(VLOOKUP(_xlpm.FilteredList,'Selector Sheet '!$B$14:$D$59,2,FALSE),0),_xlpm.RebacedW,(_xlpm.Weights*1)/SUM(_xlpm.Weights),SUMPRODUCT(_xlpm.DataValues,_xlpm.RebacedW))</f>
        <v>0.300743207497409</v>
      </c>
      <c r="C49" s="164" cm="1">
        <f t="array" ref="C49">INDEX('Drop Downs'!$P$3:$U$10,ROWS($A$1:A5),MATCH($C$44,'Drop Downs'!$P$2:$U$2,0))</f>
        <v>0.241192983710909</v>
      </c>
      <c r="D49" s="164" cm="1">
        <f t="array" ref="D49">INDEX('Drop Downs'!$P$3:$T$10,ROWS($A$1:A5),MATCH($D$44,'Drop Downs'!$P$2:$T$2,0))</f>
        <v>0.301140430926607</v>
      </c>
      <c r="M49" s="143" t="str">
        <v>ICICI Lombard General Insuranc</v>
      </c>
      <c r="N49" s="24">
        <v>0.0392712186353062</v>
      </c>
      <c r="P49" s="144" t="s">
        <v>99</v>
      </c>
      <c r="Q49" s="158">
        <f>SUM($N$47:$N$66)</f>
        <v>0.481515766284632</v>
      </c>
      <c r="R49" s="159"/>
      <c r="T49" s="143" t="str">
        <v>Industrials</v>
      </c>
      <c r="U49" s="24">
        <v>0.117562952745183</v>
      </c>
    </row>
    <row r="50" spans="1:21">
      <c r="A50" s="163">
        <v>2020</v>
      </c>
      <c r="B50" s="164" cm="1">
        <f t="array" ref="B50">_xlfn.LET(_xlpm.FilteredList,_xlfn._xlws.FILTER('Drop Downs'!$J$26:$J$59,'Drop Downs'!$I$26:$I$59=$B$44),_xlpm.DataValues,_xlfn.IFNA(VLOOKUP(_xlpm.FilteredList,$X$5:$AF$38,7,FALSE),0),_xlpm.Weights,_xlfn.IFNA(VLOOKUP(_xlpm.FilteredList,'Selector Sheet '!$B$14:$D$59,2,FALSE),0),_xlpm.RebacedW,(_xlpm.Weights*1)/SUM(_xlpm.Weights),SUMPRODUCT(_xlpm.DataValues,_xlpm.RebacedW))</f>
        <v>0.150106282631741</v>
      </c>
      <c r="C50" s="164" cm="1">
        <f t="array" ref="C50">INDEX('Drop Downs'!$P$3:$U$10,ROWS($A$1:A6),MATCH($C$44,'Drop Downs'!$P$2:$U$2,0))</f>
        <v>0.149016514017808</v>
      </c>
      <c r="D50" s="164" cm="1">
        <f t="array" ref="D50">INDEX('Drop Downs'!$P$3:$T$10,ROWS($A$1:A6),MATCH($D$44,'Drop Downs'!$P$2:$T$2,0))</f>
        <v>0.168033833223551</v>
      </c>
      <c r="M50" s="143" t="str">
        <v>ICICI Bank Ltd</v>
      </c>
      <c r="N50" s="24">
        <v>0.0348185912715011</v>
      </c>
      <c r="T50" s="143" t="str">
        <v>Materials</v>
      </c>
      <c r="U50" s="24">
        <v>0.0974976682106453</v>
      </c>
    </row>
    <row r="51" spans="1:21">
      <c r="A51" s="163">
        <v>2019</v>
      </c>
      <c r="B51" s="164" cm="1">
        <f t="array" ref="B51">_xlfn.LET(_xlpm.FilteredList,_xlfn._xlws.FILTER('Drop Downs'!$J$26:$J$59,'Drop Downs'!$I$26:$I$59=$B$44),_xlpm.DataValues,_xlfn.IFNA(VLOOKUP(_xlpm.FilteredList,$X$5:$AF$38,8,FALSE),0),_xlpm.Weights,_xlfn.IFNA(VLOOKUP(_xlpm.FilteredList,'Selector Sheet '!$B$14:$D$59,2,FALSE),0),_xlpm.RebacedW,(_xlpm.Weights*1)/SUM(_xlpm.Weights),SUMPRODUCT(_xlpm.DataValues,_xlpm.RebacedW))</f>
        <v>0.108468903909756</v>
      </c>
      <c r="C51" s="164" cm="1">
        <f t="array" ref="C51">INDEX('Drop Downs'!$P$3:$U$10,ROWS($A$1:A7),MATCH($C$44,'Drop Downs'!$P$2:$U$2,0))</f>
        <v>0.120220390239861</v>
      </c>
      <c r="D51" s="164" cm="1">
        <f t="array" ref="D51">INDEX('Drop Downs'!$P$3:$T$10,ROWS($A$1:A7),MATCH($D$44,'Drop Downs'!$P$2:$T$2,0))</f>
        <v>0.077511676096721</v>
      </c>
      <c r="M51" s="143" t="str">
        <v>Reliance Industries Ltd</v>
      </c>
      <c r="N51" s="24">
        <v>0.0311923804389708</v>
      </c>
      <c r="T51" s="143" t="str">
        <v>Consumer Staples</v>
      </c>
      <c r="U51" s="24">
        <v>0.0785502278479587</v>
      </c>
    </row>
    <row r="52" ht="15.15" spans="1:21">
      <c r="A52" s="165">
        <v>2018</v>
      </c>
      <c r="B52" s="166" cm="1">
        <f t="array" ref="B52">_xlfn.LET(_xlpm.FilteredList,_xlfn._xlws.FILTER('Drop Downs'!$J$26:$J$59,'Drop Downs'!$I$26:$I$59=$B$44),_xlpm.DataValues,_xlfn.IFNA(VLOOKUP(_xlpm.FilteredList,$X$5:$AF$38,9,FALSE),0),_xlpm.Weights,_xlfn.IFNA(VLOOKUP(_xlpm.FilteredList,'Selector Sheet '!$B$14:$D$59,2,FALSE),0),_xlpm.RebacedW,(_xlpm.Weights*1)/SUM(_xlpm.Weights),SUMPRODUCT(_xlpm.DataValues,_xlpm.RebacedW))</f>
        <v>0.00118003464084621</v>
      </c>
      <c r="C52" s="166" cm="1">
        <f t="array" ref="C52">INDEX('Drop Downs'!$P$3:$U$10,ROWS($A$1:A8),MATCH($C$44,'Drop Downs'!$P$2:$U$2,0))</f>
        <v>0.0315126249916908</v>
      </c>
      <c r="D52" s="166" cm="1">
        <f t="array" ref="D52">INDEX('Drop Downs'!$P$3:$T$10,ROWS($A$1:A8),MATCH($D$44,'Drop Downs'!$P$2:$T$2,0))</f>
        <v>-0.0308170579621176</v>
      </c>
      <c r="M52" s="143" t="str">
        <v>Samvardhana Motherson Internat</v>
      </c>
      <c r="N52" s="24">
        <v>0.02623711681497</v>
      </c>
      <c r="T52" s="143" t="str">
        <v>Health Care</v>
      </c>
      <c r="U52" s="24">
        <v>0.0764928879886595</v>
      </c>
    </row>
    <row r="53" spans="13:21">
      <c r="M53" s="143" t="str">
        <v>Mahindra &amp; Mahindra Ltd</v>
      </c>
      <c r="N53" s="24">
        <v>0.0260995136114085</v>
      </c>
      <c r="T53" s="143" t="str">
        <v>Information Technology</v>
      </c>
      <c r="U53" s="24">
        <v>0.0569491138287448</v>
      </c>
    </row>
    <row r="54" spans="13:21">
      <c r="M54" s="143" t="str">
        <v>Larsen &amp; Toubro Ltd</v>
      </c>
      <c r="N54" s="24">
        <v>0.0242487811698933</v>
      </c>
      <c r="T54" s="143" t="str">
        <v>Utilities</v>
      </c>
      <c r="U54" s="24">
        <v>0.0389985742990883</v>
      </c>
    </row>
    <row r="55" spans="13:21">
      <c r="M55" s="143" t="str">
        <v>InterGlobe Aviation Ltd</v>
      </c>
      <c r="N55" s="24">
        <v>0.0240187628452967</v>
      </c>
      <c r="T55" s="143" t="str">
        <v>Energy</v>
      </c>
      <c r="U55" s="24">
        <v>0.0334570811771772</v>
      </c>
    </row>
    <row r="56" spans="13:21">
      <c r="M56" s="143" t="str">
        <v>State Bank of India</v>
      </c>
      <c r="N56" s="24">
        <v>0.0219309529488479</v>
      </c>
      <c r="T56" s="143" t="str">
        <v>Communication Services</v>
      </c>
      <c r="U56" s="24">
        <v>0.0120292647473957</v>
      </c>
    </row>
    <row r="57" ht="15.15" spans="13:21">
      <c r="M57" s="143" t="str">
        <v>Axis Bank Ltd</v>
      </c>
      <c r="N57" s="24">
        <v>0.0215352161617102</v>
      </c>
      <c r="T57" s="262" t="str">
        <v>Real Estate</v>
      </c>
      <c r="U57" s="148">
        <v>0.00842750547230037</v>
      </c>
    </row>
    <row r="58" spans="13:21">
      <c r="M58" s="143" t="str">
        <v>Bajaj Finance Ltd</v>
      </c>
      <c r="N58" s="24">
        <v>0.0180614166086307</v>
      </c>
      <c r="T58" s="263" t="str">
        <v>#N/A Invalid Security</v>
      </c>
      <c r="U58" s="264">
        <v>0</v>
      </c>
    </row>
    <row r="59" spans="13:21">
      <c r="M59" s="143" t="str">
        <v>CG Power &amp; Industrial Solution</v>
      </c>
      <c r="N59" s="24">
        <v>0.016394945436201</v>
      </c>
      <c r="T59" s="265" t="str">
        <v>#N/A N/A</v>
      </c>
      <c r="U59" s="265">
        <v>0</v>
      </c>
    </row>
    <row r="60" spans="13:21">
      <c r="M60" s="143" t="str">
        <v>HCL Technologies Ltd</v>
      </c>
      <c r="N60" s="24">
        <v>0.0163133948572898</v>
      </c>
      <c r="T60" s="265"/>
      <c r="U60" s="265"/>
    </row>
    <row r="61" spans="13:22">
      <c r="M61" s="143" t="str">
        <v>Tata Consultancy Services Ltd</v>
      </c>
      <c r="N61" s="24">
        <v>0.0162591087594567</v>
      </c>
      <c r="T61" s="130" t="s">
        <v>803</v>
      </c>
      <c r="U61" s="131"/>
      <c r="V61" s="132"/>
    </row>
    <row r="62" spans="13:22">
      <c r="M62" s="143" t="str">
        <v>Tata Power Co Ltd/The</v>
      </c>
      <c r="N62" s="24">
        <v>0.015611749096873</v>
      </c>
      <c r="T62" s="135" t="s">
        <v>86</v>
      </c>
      <c r="U62" s="136">
        <f>SUM($U$47:$U$49)</f>
        <v>0.565709523321816</v>
      </c>
      <c r="V62" s="137"/>
    </row>
    <row r="63" spans="13:22">
      <c r="M63" s="143" t="str">
        <v>Hindustan Unilever Ltd</v>
      </c>
      <c r="N63" s="24">
        <v>0.0146734979108327</v>
      </c>
      <c r="T63" s="140" t="s">
        <v>802</v>
      </c>
      <c r="U63" s="141">
        <f>SUM($U$47:$U$51)</f>
        <v>0.74175741938042</v>
      </c>
      <c r="V63" s="142"/>
    </row>
    <row r="64" spans="13:22">
      <c r="M64" s="143" t="str">
        <v>Indian Hotels Co Ltd/The</v>
      </c>
      <c r="N64" s="24">
        <v>0.014441400366798</v>
      </c>
      <c r="T64" s="144" t="s">
        <v>804</v>
      </c>
      <c r="U64" s="145">
        <f>SUM($U$47:$U$57)</f>
        <v>0.968111846893786</v>
      </c>
      <c r="V64" s="146"/>
    </row>
    <row r="65" spans="13:14">
      <c r="M65" s="143" t="str">
        <v>Eternal Ltd</v>
      </c>
      <c r="N65" s="24">
        <v>0.0143239017496863</v>
      </c>
    </row>
    <row r="66" ht="15.15" spans="13:14">
      <c r="M66" s="147" t="str">
        <v>Kotak Mahindra Bank Ltd</v>
      </c>
      <c r="N66" s="148">
        <v>0.0139863740354772</v>
      </c>
    </row>
    <row r="70" ht="15.15"/>
    <row r="71" ht="15.15" spans="1:4">
      <c r="A71" s="160" t="s">
        <v>83</v>
      </c>
      <c r="B71" s="33" t="s">
        <v>6</v>
      </c>
      <c r="C71" s="153" t="str">
        <f>IF(B71='Drop Downs'!$I$18,'Drop Downs'!$D$2,'Drop Downs'!$E$2)</f>
        <v>Nifty 50</v>
      </c>
      <c r="D71" s="153" t="s">
        <v>250</v>
      </c>
    </row>
    <row r="72" spans="1:4">
      <c r="A72" s="161" t="s">
        <v>805</v>
      </c>
      <c r="B72" s="162" cm="1">
        <f t="array" ref="B72">_xlfn.LET(_xlpm.FilteredList,_xlfn._xlws.FILTER('Drop Downs'!$J$26:$J$59,'Drop Downs'!$I$26:$I$59=$B$44),_xlpm.DataValues,_xlfn.IFNA(VLOOKUP(_xlpm.FilteredList,$M$5:$U$38,3,FALSE),0),_xlpm.Weights,_xlfn.IFNA(VLOOKUP(_xlpm.FilteredList,'Selector Sheet '!$B$14:$D$59,2,FALSE),0),_xlpm.RebacedW,(_xlpm.Weights*1)/SUM(_xlpm.Weights),SUMPRODUCT(_xlpm.DataValues,_xlpm.RebacedW))</f>
        <v>-0.0196150833333333</v>
      </c>
      <c r="C72" s="162" cm="1">
        <f t="array" ref="C72">INDEX('Drop Downs'!$P$13:$U$19,ROWS($A$1:A1),MATCH($C$71,'Drop Downs'!$P$12:$U$12,0))</f>
        <v>-0.029341</v>
      </c>
      <c r="D72" s="162" cm="1">
        <f t="array" ref="D72">INDEX('Drop Downs'!$P$13:$U$19,ROWS($A$1:A1),MATCH($D$71,'Drop Downs'!$P$12:$U$12,0))</f>
        <v>-0.028654</v>
      </c>
    </row>
    <row r="73" spans="1:4">
      <c r="A73" s="163" t="s">
        <v>806</v>
      </c>
      <c r="B73" s="164" cm="1">
        <f t="array" ref="B73">_xlfn.LET(_xlpm.FilteredList,_xlfn._xlws.FILTER('Drop Downs'!$J$26:$J$59,'Drop Downs'!$I$26:$I$59=$B$44),_xlpm.DataValues,_xlfn.IFNA(VLOOKUP(_xlpm.FilteredList,$M$5:$U$38,4,FALSE),0),_xlpm.Weights,_xlfn.IFNA(VLOOKUP(_xlpm.FilteredList,'Selector Sheet '!$B$14:$D$59,2,FALSE),0),_xlpm.RebacedW,(_xlpm.Weights*1)/SUM(_xlpm.Weights),SUMPRODUCT(_xlpm.DataValues,_xlpm.RebacedW))</f>
        <v>0.04222075</v>
      </c>
      <c r="C73" s="164" cm="1">
        <f t="array" ref="C73">INDEX('Drop Downs'!$P$13:$U$19,ROWS($A$1:A2),MATCH($C$71,'Drop Downs'!$P$12:$U$12,0))</f>
        <v>0.017841</v>
      </c>
      <c r="D73" s="164" cm="1">
        <f t="array" ref="D73">INDEX('Drop Downs'!$P$13:$U$19,ROWS($A$1:A2),MATCH($D$71,'Drop Downs'!$P$12:$U$12,0))</f>
        <v>0.038723</v>
      </c>
    </row>
    <row r="74" spans="1:4">
      <c r="A74" s="163" t="s">
        <v>807</v>
      </c>
      <c r="B74" s="164" cm="1">
        <f t="array" ref="B74">_xlfn.LET(_xlpm.FilteredList,_xlfn._xlws.FILTER('Drop Downs'!$J$26:$J$59,'Drop Downs'!$I$26:$I$59=$B$44),_xlpm.DataValues,_xlfn.IFNA(VLOOKUP(_xlpm.FilteredList,$M$5:$U$38,5,FALSE),0),_xlpm.Weights,_xlfn.IFNA(VLOOKUP(_xlpm.FilteredList,'Selector Sheet '!$B$14:$D$59,2,FALSE),0),_xlpm.RebacedW,(_xlpm.Weights*1)/SUM(_xlpm.Weights),SUMPRODUCT(_xlpm.DataValues,_xlpm.RebacedW))</f>
        <v>0.0731403333333333</v>
      </c>
      <c r="C74" s="164" cm="1">
        <f t="array" ref="C74">INDEX('Drop Downs'!$P$13:$U$19,ROWS($A$1:A3),MATCH($C$71,'Drop Downs'!$P$12:$U$12,0))</f>
        <v>0.053596</v>
      </c>
      <c r="D74" s="164" cm="1">
        <f t="array" ref="D74">INDEX('Drop Downs'!$P$13:$U$19,ROWS($A$1:A3),MATCH($D$71,'Drop Downs'!$P$12:$U$12,0))</f>
        <v>0.05945</v>
      </c>
    </row>
    <row r="75" spans="1:4">
      <c r="A75" s="163" t="s">
        <v>808</v>
      </c>
      <c r="B75" s="164" cm="1">
        <f t="array" ref="B75">_xlfn.LET(_xlpm.FilteredList,_xlfn._xlws.FILTER('Drop Downs'!$J$26:$J$59,'Drop Downs'!$I$26:$I$59=$B$44),_xlpm.DataValues,_xlfn.IFNA(VLOOKUP(_xlpm.FilteredList,$M$5:$U$38,6,FALSE),0),_xlpm.Weights,_xlfn.IFNA(VLOOKUP(_xlpm.FilteredList,'Selector Sheet '!$B$14:$D$59,2,FALSE),0),_xlpm.RebacedW,(_xlpm.Weights*1)/SUM(_xlpm.Weights),SUMPRODUCT(_xlpm.DataValues,_xlpm.RebacedW))</f>
        <v>0.0128765</v>
      </c>
      <c r="C75" s="164" cm="1">
        <f t="array" ref="C75">INDEX('Drop Downs'!$P$13:$U$19,ROWS($A$1:A4),MATCH($C$71,'Drop Downs'!$P$12:$U$12,0))</f>
        <v>-0.007326</v>
      </c>
      <c r="D75" s="164" cm="1">
        <f t="array" ref="D75">INDEX('Drop Downs'!$P$13:$U$19,ROWS($A$1:A4),MATCH($D$71,'Drop Downs'!$P$12:$U$12,0))</f>
        <v>-0.032041</v>
      </c>
    </row>
    <row r="76" spans="1:4">
      <c r="A76" s="163" t="s">
        <v>809</v>
      </c>
      <c r="B76" s="164" cm="1">
        <f t="array" ref="B76">_xlfn.LET(_xlpm.FilteredList,_xlfn._xlws.FILTER('Drop Downs'!$J$26:$J$59,'Drop Downs'!$I$26:$I$59=$B$44),_xlpm.DataValues,_xlfn.IFNA(VLOOKUP(_xlpm.FilteredList,$M$5:$U$38,7,FALSE),0),_xlpm.Weights,_xlfn.IFNA(VLOOKUP(_xlpm.FilteredList,'Selector Sheet '!$B$14:$D$59,2,FALSE),0),_xlpm.RebacedW,(_xlpm.Weights*1)/SUM(_xlpm.Weights),SUMPRODUCT(_xlpm.DataValues,_xlpm.RebacedW))</f>
        <v>0.1825995</v>
      </c>
      <c r="C76" s="164" cm="1">
        <f t="array" ref="C76">INDEX('Drop Downs'!$P$13:$U$19,ROWS($A$1:A5),MATCH($C$71,'Drop Downs'!$P$12:$U$12,0))</f>
        <v>0.129786</v>
      </c>
      <c r="D76" s="164" cm="1">
        <f t="array" ref="D76">INDEX('Drop Downs'!$P$13:$U$19,ROWS($A$1:A5),MATCH($D$71,'Drop Downs'!$P$12:$U$12,0))</f>
        <v>0.154431</v>
      </c>
    </row>
    <row r="77" spans="1:4">
      <c r="A77" s="163" t="s">
        <v>810</v>
      </c>
      <c r="B77" s="164" cm="1">
        <f t="array" ref="B77">_xlfn.LET(_xlpm.FilteredList,_xlfn._xlws.FILTER('Drop Downs'!$J$26:$J$59,'Drop Downs'!$I$26:$I$59=$B$44),_xlpm.DataValues,_xlfn.IFNA(VLOOKUP(_xlpm.FilteredList,$M$5:$U$38,8,FALSE),0),_xlpm.Weights,_xlfn.IFNA(VLOOKUP(_xlpm.FilteredList,'Selector Sheet '!$B$14:$D$59,2,FALSE),0),_xlpm.RebacedW,(_xlpm.Weights*1)/SUM(_xlpm.Weights),SUMPRODUCT(_xlpm.DataValues,_xlpm.RebacedW))</f>
        <v>0.221510666666667</v>
      </c>
      <c r="C77" s="164" cm="1">
        <f t="array" ref="C77">INDEX('Drop Downs'!$P$13:$U$19,ROWS($A$1:A6),MATCH($C$71,'Drop Downs'!$P$12:$U$12,0))</f>
        <v>0.174585</v>
      </c>
      <c r="D77" s="164" cm="1">
        <f t="array" ref="D77">INDEX('Drop Downs'!$P$13:$U$19,ROWS($A$1:A6),MATCH($D$71,'Drop Downs'!$P$12:$U$12,0))</f>
        <v>0.201781</v>
      </c>
    </row>
    <row r="78" ht="15.15" spans="1:4">
      <c r="A78" s="165" t="s">
        <v>811</v>
      </c>
      <c r="B78" s="166" cm="1">
        <f t="array" ref="B78">_xlfn.LET(_xlpm.FilteredList,_xlfn._xlws.FILTER('Drop Downs'!$J$26:$J$59,'Drop Downs'!$I$26:$I$59=$B$44),_xlpm.DataValues,_xlfn.IFNA(VLOOKUP(_xlpm.FilteredList,$M$5:$U$38,9,FALSE),0),_xlpm.Weights,_xlfn.IFNA(VLOOKUP(_xlpm.FilteredList,'Selector Sheet '!$B$14:$D$59,2,FALSE),0),_xlpm.RebacedW,(_xlpm.Weights*1)/SUM(_xlpm.Weights),SUMPRODUCT(_xlpm.DataValues,_xlpm.RebacedW))</f>
        <v>0.135963083333333</v>
      </c>
      <c r="C78" s="166" cm="1">
        <f t="array" ref="C78">INDEX('Drop Downs'!$P$13:$U$19,ROWS($A$1:A7),MATCH($C$71,'Drop Downs'!$P$12:$U$12,0))</f>
        <v>0.112352</v>
      </c>
      <c r="D78" s="166" cm="1">
        <f t="array" ref="D78">INDEX('Drop Downs'!$P$13:$U$19,ROWS($A$1:A7),MATCH($D$71,'Drop Downs'!$P$12:$U$12,0))</f>
        <v>0.123351</v>
      </c>
    </row>
    <row r="79" spans="3:3">
      <c r="C79" s="71"/>
    </row>
    <row r="80" hidden="1" spans="1:3">
      <c r="A80" s="200" t="s">
        <v>812</v>
      </c>
      <c r="B80" s="116"/>
      <c r="C80" s="116"/>
    </row>
    <row r="81" ht="15.15" hidden="1"/>
    <row r="82" ht="15.15" hidden="1" spans="1:3">
      <c r="A82" s="160" t="s">
        <v>83</v>
      </c>
      <c r="B82" s="160" t="s">
        <v>72</v>
      </c>
      <c r="C82" s="153" t="s">
        <v>250</v>
      </c>
    </row>
    <row r="83" hidden="1" spans="1:3">
      <c r="A83" s="161" t="s">
        <v>96</v>
      </c>
      <c r="B83" s="162" cm="1">
        <f t="array" ref="B83">_xlfn.LET(_xlpm.names,$A$5:$A$37,_xlpm.Weights,$B$5:$B$37,_xlpm.returns_raw,VLOOKUP(_xlpm.names,$X$5:$AF$38,2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0.0398440833333333</v>
      </c>
      <c r="C83" s="162" cm="1">
        <f t="array" ref="C83">INDEX('Drop Downs'!$P$3:$T$10,ROWS($A$1:A1),MATCH($D$44,'Drop Downs'!$P$2:$T$2,0))</f>
        <v>0.022527</v>
      </c>
    </row>
    <row r="84" hidden="1" spans="1:3">
      <c r="A84" s="163">
        <v>2024</v>
      </c>
      <c r="B84" s="164" cm="1">
        <f t="array" ref="B84">_xlfn.LET(_xlpm.names,$A$5:$A$37,_xlpm.Weights,$B$5:$B$37,_xlpm.returns_raw,VLOOKUP(_xlpm.names,$X$5:$AF$38,3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0.187081926768325</v>
      </c>
      <c r="C84" s="164" cm="1">
        <f t="array" ref="C84">INDEX('Drop Downs'!$P$3:$T$10,ROWS($A$1:A2),MATCH($D$44,'Drop Downs'!$P$2:$T$2,0))</f>
        <v>0.145465796535709</v>
      </c>
    </row>
    <row r="85" hidden="1" spans="1:3">
      <c r="A85" s="163">
        <v>2023</v>
      </c>
      <c r="B85" s="164" cm="1">
        <f t="array" ref="B85">_xlfn.LET(_xlpm.names,$A$5:$A$37,_xlpm.Weights,$B$5:$B$37,_xlpm.returns_raw,VLOOKUP(_xlpm.names,$X$5:$AF$38,4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0.268878579565279</v>
      </c>
      <c r="C85" s="164" cm="1">
        <f t="array" ref="C85">INDEX('Drop Downs'!$P$3:$T$10,ROWS($A$1:A3),MATCH($D$44,'Drop Downs'!$P$2:$T$2,0))</f>
        <v>0.248498523517645</v>
      </c>
    </row>
    <row r="86" hidden="1" spans="1:3">
      <c r="A86" s="163">
        <v>2022</v>
      </c>
      <c r="B86" s="164" cm="1">
        <f t="array" ref="B86">_xlfn.LET(_xlpm.names,$A$5:$A$37,_xlpm.Weights,$B$5:$B$37,_xlpm.returns_raw,VLOOKUP(_xlpm.names,$X$5:$AF$38,5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0.0552893295023589</v>
      </c>
      <c r="C86" s="164" cm="1">
        <f t="array" ref="C86">INDEX('Drop Downs'!$P$3:$T$10,ROWS($A$1:A4),MATCH($D$44,'Drop Downs'!$P$2:$T$2,0))</f>
        <v>0.0333786905211876</v>
      </c>
    </row>
    <row r="87" hidden="1" spans="1:3">
      <c r="A87" s="163">
        <v>2021</v>
      </c>
      <c r="B87" s="164" cm="1">
        <f t="array" ref="B87">_xlfn.LET(_xlpm.names,$A$5:$A$37,_xlpm.Weights,$B$5:$B$37,_xlpm.returns_raw,VLOOKUP(_xlpm.names,$X$5:$AF$38,6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0.300743207497409</v>
      </c>
      <c r="C87" s="164" cm="1">
        <f t="array" ref="C87">INDEX('Drop Downs'!$P$3:$T$10,ROWS($A$1:A5),MATCH($D$44,'Drop Downs'!$P$2:$T$2,0))</f>
        <v>0.301140430926607</v>
      </c>
    </row>
    <row r="88" hidden="1" spans="1:3">
      <c r="A88" s="163">
        <v>2020</v>
      </c>
      <c r="B88" s="164" cm="1">
        <f t="array" ref="B88">_xlfn.LET(_xlpm.names,$A$5:$A$37,_xlpm.Weights,$B$5:$B$37,_xlpm.returns_raw,VLOOKUP(_xlpm.names,$X$5:$AF$38,7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0.150106282631741</v>
      </c>
      <c r="C88" s="164" cm="1">
        <f t="array" ref="C88">INDEX('Drop Downs'!$P$3:$T$10,ROWS($A$1:A6),MATCH($D$44,'Drop Downs'!$P$2:$T$2,0))</f>
        <v>0.168033833223551</v>
      </c>
    </row>
    <row r="89" hidden="1" spans="1:3">
      <c r="A89" s="163">
        <v>2019</v>
      </c>
      <c r="B89" s="164" cm="1">
        <f t="array" ref="B89">_xlfn.LET(_xlpm.names,$A$5:$A$37,_xlpm.Weights,$B$5:$B$37,_xlpm.returns_raw,VLOOKUP(_xlpm.names,$X$5:$AF$38,8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0.108468903909756</v>
      </c>
      <c r="C89" s="164" cm="1">
        <f t="array" ref="C89">INDEX('Drop Downs'!$P$3:$T$10,ROWS($A$1:A7),MATCH($D$44,'Drop Downs'!$P$2:$T$2,0))</f>
        <v>0.077511676096721</v>
      </c>
    </row>
    <row r="90" ht="15.15" hidden="1" spans="1:10">
      <c r="A90" s="165">
        <v>2018</v>
      </c>
      <c r="B90" s="166" cm="1">
        <f t="array" ref="B90">_xlfn.LET(_xlpm.names,$A$5:$A$37,_xlpm.Weights,$B$5:$B$37,_xlpm.returns_raw,VLOOKUP(_xlpm.names,$X$5:$AF$38,9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0.00118003464084621</v>
      </c>
      <c r="C90" s="166" cm="1">
        <f t="array" ref="C90">INDEX('Drop Downs'!$P$3:$T$10,ROWS($A$1:A8),MATCH($D$44,'Drop Downs'!$P$2:$T$2,0))</f>
        <v>-0.0308170579621176</v>
      </c>
      <c r="H90" s="4"/>
      <c r="I90" s="4"/>
      <c r="J90" s="4"/>
    </row>
    <row r="91" ht="15.15" hidden="1" spans="5:11">
      <c r="E91" s="4"/>
      <c r="F91" s="4"/>
      <c r="K91" s="4"/>
    </row>
    <row r="92" ht="15.15" hidden="1" spans="1:3">
      <c r="A92" s="160" t="s">
        <v>83</v>
      </c>
      <c r="B92" s="160" t="s">
        <v>72</v>
      </c>
      <c r="C92" s="153" t="s">
        <v>250</v>
      </c>
    </row>
    <row r="93" hidden="1" spans="1:15">
      <c r="A93" s="161" t="s">
        <v>88</v>
      </c>
      <c r="B93" s="276" cm="1">
        <f t="array" ref="B93">_xlfn.LET(_xlpm.names,$A$5:$A$37,_xlpm.Weights,$B$5:$B$37,_xlpm.returns_raw,VLOOKUP(_xlpm.names,$M$5:$U$38,3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-0.0196150833333333</v>
      </c>
      <c r="C93" s="162" cm="1">
        <f t="array" ref="C93">INDEX('Drop Downs'!$P$13:$U$19,ROWS($A$1:A1),MATCH($D$71,'Drop Downs'!$P$12:$U$12,0))</f>
        <v>-0.028654</v>
      </c>
      <c r="N93" s="4"/>
      <c r="O93" s="4"/>
    </row>
    <row r="94" hidden="1" spans="1:15">
      <c r="A94" s="163" t="s">
        <v>89</v>
      </c>
      <c r="B94" s="277" cm="1">
        <f t="array" ref="B94">_xlfn.LET(_xlpm.names,$A$5:$A$37,_xlpm.Weights,$B$5:$B$37,_xlpm.returns_raw,VLOOKUP(_xlpm.names,$M$5:$U$38,4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0.04222075</v>
      </c>
      <c r="C94" s="164" cm="1">
        <f t="array" ref="C94">INDEX('Drop Downs'!$P$13:$U$19,ROWS($A$1:A2),MATCH($D$71,'Drop Downs'!$P$12:$U$12,0))</f>
        <v>0.038723</v>
      </c>
      <c r="N94" s="4"/>
      <c r="O94" s="4"/>
    </row>
    <row r="95" hidden="1" spans="1:15">
      <c r="A95" s="163" t="s">
        <v>90</v>
      </c>
      <c r="B95" s="277" cm="1">
        <f t="array" ref="B95">_xlfn.LET(_xlpm.names,$A$5:$A$37,_xlpm.Weights,$B$5:$B$37,_xlpm.returns_raw,VLOOKUP(_xlpm.names,$M$5:$U$38,5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0.0731403333333333</v>
      </c>
      <c r="C95" s="164" cm="1">
        <f t="array" ref="C95">INDEX('Drop Downs'!$P$13:$U$19,ROWS($A$1:A3),MATCH($D$71,'Drop Downs'!$P$12:$U$12,0))</f>
        <v>0.05945</v>
      </c>
      <c r="N95" s="4"/>
      <c r="O95" s="4"/>
    </row>
    <row r="96" hidden="1" spans="1:15">
      <c r="A96" s="163" t="s">
        <v>91</v>
      </c>
      <c r="B96" s="277" cm="1">
        <f t="array" ref="B96">_xlfn.LET(_xlpm.names,$A$5:$A$37,_xlpm.Weights,$B$5:$B$37,_xlpm.returns_raw,VLOOKUP(_xlpm.names,$M$5:$U$38,6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0.0128765</v>
      </c>
      <c r="C96" s="164" cm="1">
        <f t="array" ref="C96">INDEX('Drop Downs'!$P$13:$U$19,ROWS($A$1:A4),MATCH($D$71,'Drop Downs'!$P$12:$U$12,0))</f>
        <v>-0.032041</v>
      </c>
      <c r="N96" s="4"/>
      <c r="O96" s="4"/>
    </row>
    <row r="97" hidden="1" spans="1:15">
      <c r="A97" s="163" t="s">
        <v>93</v>
      </c>
      <c r="B97" s="277" cm="1">
        <f t="array" ref="B97">_xlfn.LET(_xlpm.names,$A$5:$A$37,_xlpm.Weights,$B$5:$B$37,_xlpm.returns_raw,VLOOKUP(_xlpm.names,$M$5:$U$38,7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0.1825995</v>
      </c>
      <c r="C97" s="164" cm="1">
        <f t="array" ref="C97">INDEX('Drop Downs'!$P$13:$U$19,ROWS($A$1:A5),MATCH($D$71,'Drop Downs'!$P$12:$U$12,0))</f>
        <v>0.154431</v>
      </c>
      <c r="N97" s="4"/>
      <c r="O97" s="4"/>
    </row>
    <row r="98" hidden="1" spans="1:15">
      <c r="A98" s="163" t="s">
        <v>94</v>
      </c>
      <c r="B98" s="278" cm="1">
        <f t="array" ref="B98">_xlfn.LET(_xlpm.names,$A$5:$A$37,_xlpm.Weights,$B$5:$B$37,_xlpm.returns_raw,VLOOKUP(_xlpm.names,$M$5:$U$38,8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0.221510666666667</v>
      </c>
      <c r="C98" s="164" cm="1">
        <f t="array" ref="C98">INDEX('Drop Downs'!$P$13:$U$19,ROWS($A$1:A6),MATCH($D$71,'Drop Downs'!$P$12:$U$12,0))</f>
        <v>0.201781</v>
      </c>
      <c r="N98" s="4"/>
      <c r="O98" s="4"/>
    </row>
    <row r="99" ht="15.15" hidden="1" spans="1:15">
      <c r="A99" s="165" t="s">
        <v>95</v>
      </c>
      <c r="B99" s="279" cm="1">
        <f t="array" ref="B99">_xlfn.LET(_xlpm.names,$A$5:$A$37,_xlpm.Weights,$B$5:$B$37,_xlpm.returns_raw,VLOOKUP(_xlpm.names,$M$5:$U$38,9,FALSE),_xlpm.returns,IFERROR(_xlpm.returns_raw,NA()),_xlpm.valid,(_xlpm.Weights&lt;&gt;"")*(ISNUMBER(_xlpm.returns)),_xlpm.w,_xlfn._xlws.FILTER(_xlpm.Weights,_xlpm.valid),_xlpm.r,_xlfn._xlws.FILTER(_xlpm.returns,_xlpm.valid),_xlpm.rebased_w,_xlpm.w/SUM(_xlpm.w),SUMPRODUCT(_xlpm.rebased_w,_xlpm.r))</f>
        <v>0.135963083333333</v>
      </c>
      <c r="C99" s="166" cm="1">
        <f t="array" ref="C99">INDEX('Drop Downs'!$P$13:$U$19,ROWS($A$1:A7),MATCH($D$71,'Drop Downs'!$P$12:$U$12,0))</f>
        <v>0.123351</v>
      </c>
      <c r="N99" s="4"/>
      <c r="O99" s="4"/>
    </row>
    <row r="100" spans="14:15">
      <c r="N100" s="4"/>
      <c r="O100" s="4"/>
    </row>
    <row r="101" spans="14:15">
      <c r="N101" s="4"/>
      <c r="O101" s="4"/>
    </row>
    <row r="102" spans="14:15">
      <c r="N102" s="4"/>
      <c r="O102" s="4"/>
    </row>
    <row r="103" spans="14:15">
      <c r="N103" s="4"/>
      <c r="O103" s="4"/>
    </row>
    <row r="104" spans="14:15">
      <c r="N104" s="4"/>
      <c r="O104" s="4"/>
    </row>
    <row r="105" spans="14:15">
      <c r="N105" s="4"/>
      <c r="O105" s="4"/>
    </row>
    <row r="106" spans="14:15">
      <c r="N106" s="4"/>
      <c r="O106" s="4"/>
    </row>
    <row r="107" spans="14:15">
      <c r="N107" s="4"/>
      <c r="O107" s="4"/>
    </row>
    <row r="108" spans="14:15">
      <c r="N108" s="4"/>
      <c r="O108" s="4"/>
    </row>
    <row r="109" spans="14:15">
      <c r="N109" s="4"/>
      <c r="O109" s="4"/>
    </row>
    <row r="110" spans="14:15">
      <c r="N110" s="4"/>
      <c r="O110" s="4"/>
    </row>
    <row r="111" spans="14:15">
      <c r="N111" s="4"/>
      <c r="O111" s="4"/>
    </row>
  </sheetData>
  <mergeCells count="23">
    <mergeCell ref="O3:U3"/>
    <mergeCell ref="Y3:AF3"/>
    <mergeCell ref="H42:J42"/>
    <mergeCell ref="M42:U42"/>
    <mergeCell ref="X42:Z42"/>
    <mergeCell ref="I43:J43"/>
    <mergeCell ref="I44:J44"/>
    <mergeCell ref="I45:J45"/>
    <mergeCell ref="M45:N45"/>
    <mergeCell ref="P45:R45"/>
    <mergeCell ref="T45:U45"/>
    <mergeCell ref="Q46:R46"/>
    <mergeCell ref="Q47:R47"/>
    <mergeCell ref="Q48:R48"/>
    <mergeCell ref="Q49:R49"/>
    <mergeCell ref="T61:V61"/>
    <mergeCell ref="U62:V62"/>
    <mergeCell ref="U63:V63"/>
    <mergeCell ref="U64:V64"/>
    <mergeCell ref="A80:C80"/>
    <mergeCell ref="A39:B40"/>
    <mergeCell ref="E38:F39"/>
    <mergeCell ref="M1:AF2"/>
  </mergeCells>
  <conditionalFormatting sqref="M6:AF38">
    <cfRule type="notContainsBlanks" priority="12">
      <formula>LEN(TRIM(M6))&gt;0</formula>
    </cfRule>
  </conditionalFormatting>
  <conditionalFormatting sqref="O6:U10">
    <cfRule type="containsBlanks" priority="11" stopIfTrue="1">
      <formula>LEN(TRIM(O6))=0</formula>
    </cfRule>
    <cfRule type="notContainsBlanks" priority="13">
      <formula>LEN(TRIM(O6))&gt;0</formula>
    </cfRule>
    <cfRule type="cellIs" dxfId="1" priority="31" operator="greaterThan">
      <formula>O$11</formula>
    </cfRule>
    <cfRule type="cellIs" dxfId="0" priority="32" operator="lessThan">
      <formula>O$11</formula>
    </cfRule>
  </conditionalFormatting>
  <conditionalFormatting sqref="Z18:AF19 Y6:AF10 Z13:AF13 Y14:AF15 Z22:AF22 Y23:AF30">
    <cfRule type="cellIs" dxfId="0" priority="44" operator="lessThan">
      <formula>0</formula>
    </cfRule>
    <cfRule type="cellIs" dxfId="1" priority="45" operator="greaterThan">
      <formula>0</formula>
    </cfRule>
  </conditionalFormatting>
  <conditionalFormatting sqref="Y6:AF10">
    <cfRule type="containsBlanks" priority="5" stopIfTrue="1">
      <formula>LEN(TRIM(Y6))=0</formula>
    </cfRule>
  </conditionalFormatting>
  <conditionalFormatting sqref="O13:U15 Y13:AF15">
    <cfRule type="cellIs" dxfId="0" priority="29" operator="lessThan">
      <formula>O$16</formula>
    </cfRule>
    <cfRule type="cellIs" dxfId="1" priority="30" operator="greaterThan">
      <formula>O$16</formula>
    </cfRule>
  </conditionalFormatting>
  <conditionalFormatting sqref="O13:U15">
    <cfRule type="containsBlanks" priority="10" stopIfTrue="1">
      <formula>LEN(TRIM(O13))=0</formula>
    </cfRule>
  </conditionalFormatting>
  <conditionalFormatting sqref="Y13:AF15">
    <cfRule type="containsBlanks" priority="4" stopIfTrue="1">
      <formula>LEN(TRIM(Y13))=0</formula>
    </cfRule>
  </conditionalFormatting>
  <conditionalFormatting sqref="O18:U19 Y18:AF19">
    <cfRule type="cellIs" dxfId="0" priority="25" operator="lessThan">
      <formula>O$20</formula>
    </cfRule>
    <cfRule type="cellIs" dxfId="1" priority="26" operator="greaterThan">
      <formula>O$20</formula>
    </cfRule>
  </conditionalFormatting>
  <conditionalFormatting sqref="O18:U19">
    <cfRule type="containsBlanks" priority="9" stopIfTrue="1">
      <formula>LEN(TRIM(O18))=0</formula>
    </cfRule>
  </conditionalFormatting>
  <conditionalFormatting sqref="Y18:AF19">
    <cfRule type="containsBlanks" priority="3" stopIfTrue="1">
      <formula>LEN(TRIM(Y18))=0</formula>
    </cfRule>
  </conditionalFormatting>
  <conditionalFormatting sqref="Y22:AF30 O22:U30">
    <cfRule type="cellIs" dxfId="0" priority="21" operator="lessThan">
      <formula>O$31</formula>
    </cfRule>
    <cfRule type="cellIs" dxfId="1" priority="22" operator="greaterThan">
      <formula>O$31</formula>
    </cfRule>
  </conditionalFormatting>
  <conditionalFormatting sqref="O22:U30">
    <cfRule type="containsBlanks" priority="7" stopIfTrue="1">
      <formula>LEN(TRIM(O22))=0</formula>
    </cfRule>
  </conditionalFormatting>
  <conditionalFormatting sqref="Y22:AF30">
    <cfRule type="containsBlanks" priority="2" stopIfTrue="1">
      <formula>LEN(TRIM(Y22))=0</formula>
    </cfRule>
  </conditionalFormatting>
  <conditionalFormatting sqref="O33:U37 Y33:AF37">
    <cfRule type="cellIs" dxfId="0" priority="17" operator="lessThan">
      <formula>O$38</formula>
    </cfRule>
    <cfRule type="cellIs" dxfId="1" priority="18" operator="greaterThan">
      <formula>O$38</formula>
    </cfRule>
  </conditionalFormatting>
  <conditionalFormatting sqref="O33:U37">
    <cfRule type="containsBlanks" priority="6" stopIfTrue="1">
      <formula>LEN(TRIM(O33))=0</formula>
    </cfRule>
  </conditionalFormatting>
  <conditionalFormatting sqref="Z33:AF33 Y34:AF36">
    <cfRule type="cellIs" dxfId="0" priority="42" operator="lessThan">
      <formula>0</formula>
    </cfRule>
    <cfRule type="cellIs" dxfId="1" priority="43" operator="greaterThan">
      <formula>0</formula>
    </cfRule>
  </conditionalFormatting>
  <conditionalFormatting sqref="Y33:AF37">
    <cfRule type="containsBlanks" priority="1" stopIfTrue="1">
      <formula>LEN(TRIM(Y33))=0</formula>
    </cfRule>
  </conditionalFormatting>
  <dataValidations count="4">
    <dataValidation type="list" allowBlank="1" showInputMessage="1" showErrorMessage="1" sqref="B44 B71">
      <formula1>'Drop Downs'!$I$18:$I$19</formula1>
    </dataValidation>
    <dataValidation type="list" allowBlank="1" showInputMessage="1" showErrorMessage="1" sqref="D44 D71 C82 C92">
      <formula1>'Drop Downs'!$P$2:$T$2</formula1>
    </dataValidation>
    <dataValidation type="list" allowBlank="1" showInputMessage="1" showErrorMessage="1" sqref="M45:N45">
      <formula1>'Drop Downs'!$B$14:$B$15</formula1>
    </dataValidation>
    <dataValidation type="list" allowBlank="1" showInputMessage="1" showErrorMessage="1" sqref="T45:U45">
      <formula1>'Drop Downs'!$B$16:$B$17</formula1>
    </dataValidation>
  </dataValidations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Y19"/>
  <sheetViews>
    <sheetView showGridLines="0" zoomScale="55" zoomScaleNormal="55" workbookViewId="0">
      <selection activeCell="H40" sqref="H40"/>
    </sheetView>
  </sheetViews>
  <sheetFormatPr defaultColWidth="9" defaultRowHeight="14.4"/>
  <cols>
    <col min="1" max="1" width="41.0925925925926" customWidth="1"/>
    <col min="8" max="8" width="31.3611111111111" customWidth="1"/>
    <col min="9" max="9" width="8.72222222222222" customWidth="1"/>
    <col min="17" max="17" width="31.3611111111111" customWidth="1"/>
  </cols>
  <sheetData>
    <row r="1" ht="15" customHeight="1" spans="1:25">
      <c r="A1" s="175" t="s">
        <v>813</v>
      </c>
      <c r="B1" s="33"/>
      <c r="H1" s="175" t="s">
        <v>813</v>
      </c>
      <c r="I1" s="98" t="s">
        <v>122</v>
      </c>
      <c r="J1" s="98" t="s">
        <v>123</v>
      </c>
      <c r="K1" s="98" t="s">
        <v>124</v>
      </c>
      <c r="L1" s="98" t="s">
        <v>91</v>
      </c>
      <c r="M1" s="98" t="s">
        <v>125</v>
      </c>
      <c r="N1" s="33" t="s">
        <v>126</v>
      </c>
      <c r="Q1" s="175" t="s">
        <v>813</v>
      </c>
      <c r="R1" s="193">
        <v>2025</v>
      </c>
      <c r="S1" s="193">
        <v>2024</v>
      </c>
      <c r="T1" s="193">
        <v>2023</v>
      </c>
      <c r="U1" s="193">
        <v>2022</v>
      </c>
      <c r="V1" s="193">
        <v>2021</v>
      </c>
      <c r="W1" s="193">
        <v>2020</v>
      </c>
      <c r="X1" s="193">
        <v>2019</v>
      </c>
      <c r="Y1" s="198">
        <v>2018</v>
      </c>
    </row>
    <row r="2" ht="15.15" spans="1:25">
      <c r="A2" s="176" t="s">
        <v>49</v>
      </c>
      <c r="B2" s="177" t="str" cm="1">
        <f t="array" ref="B2:B17">_xlfn.IFNA(VLOOKUP($A$2:$A$17,'Selector Sheet '!$B$14:$D$59,3,FALSE),"")</f>
        <v/>
      </c>
      <c r="H2" s="110" t="str" cm="1">
        <f t="array" ref="H2:H19">IF($A$2:$A$19&gt;0,$A$2:$A$19,"")</f>
        <v>Debt Alternatives</v>
      </c>
      <c r="I2" s="187" t="str" cm="1">
        <f t="array" ref="I2:I19">IFERROR(INDEX('Performance Data'!$AS$3:$BU$501,MATCH(TRIM(_xlfn.ANCHORARRAY($H2)),'Performance Data'!$AS$3:$AS$501,0),MATCH(TRIM(I$1),'Performance Data'!$AS$4:$BD$4,0)),"")</f>
        <v/>
      </c>
      <c r="J2" s="188" t="str" cm="1">
        <f t="array" ref="J2:J19">IFERROR(INDEX('Performance Data'!$AS$3:$BU$501,MATCH(TRIM(_xlfn.ANCHORARRAY($H2)),'Performance Data'!$AS$3:$AS$501,0),MATCH(TRIM(J$1),'Performance Data'!$AS$4:$BS$4,0)),"")</f>
        <v/>
      </c>
      <c r="K2" s="188" t="str" cm="1">
        <f t="array" ref="K2:K19">IFERROR(INDEX('Performance Data'!$AS$3:$BU$501,MATCH(TRIM(_xlfn.ANCHORARRAY($H2)),'Performance Data'!$AS$3:$AS$501,0),MATCH(TRIM(K$1),'Performance Data'!$AS$4:$BD$4,0)),"")</f>
        <v/>
      </c>
      <c r="L2" s="188" t="str" cm="1">
        <f t="array" ref="L2:L19">IFERROR(INDEX('Performance Data'!$AS$3:$BU$501,MATCH(TRIM(_xlfn.ANCHORARRAY($H2)),'Performance Data'!$AS$3:$AS$501,0),MATCH(TRIM(L$1),'Performance Data'!$AS$4:$BD$4,0)),"")</f>
        <v/>
      </c>
      <c r="M2" s="188" t="str" cm="1">
        <f t="array" ref="M2:M19">IFERROR(INDEX('Performance Data'!$AS$3:$BU$501,MATCH(TRIM(_xlfn.ANCHORARRAY($H2)),'Performance Data'!$AS$3:$AS$501,0),MATCH(TRIM(M$1),'Performance Data'!$AS$4:$BD$4,0)),"")</f>
        <v/>
      </c>
      <c r="N2" s="189" t="str" cm="1">
        <f t="array" ref="N2:N19">IFERROR(INDEX('Performance Data'!$AS$3:$BU$501,MATCH(TRIM(_xlfn.ANCHORARRAY($H2)),'Performance Data'!$AS$3:$AS$501,0),MATCH(TRIM(N$1),'Performance Data'!$AS$4:$BD$4,0)),"")</f>
        <v/>
      </c>
      <c r="Q2" s="110" t="str" cm="1">
        <f t="array" ref="Q2:Q19">IF($A$2:$A$19&gt;0,$A$2:$A$19,"")</f>
        <v>Debt Alternatives</v>
      </c>
      <c r="R2" s="194" t="str" cm="1">
        <f t="array" ref="R2:R19">_xlfn.IFNA(VLOOKUP(_xlfn.ANCHORARRAY($Q$2),'Performance Data'!$AS$5:$BU$15,14,FALSE),"")</f>
        <v/>
      </c>
      <c r="S2" s="194" t="str" cm="1">
        <f t="array" ref="S2:S19">_xlfn.IFNA(VLOOKUP(_xlfn.ANCHORARRAY($Q$2),'Performance Data'!$AS$5:$BU$15,15,FALSE),"")</f>
        <v/>
      </c>
      <c r="T2" s="194" t="str" cm="1">
        <f t="array" ref="T2:T19">_xlfn.IFNA(VLOOKUP(_xlfn.ANCHORARRAY($Q$2),'Performance Data'!$AS$5:$BU$15,16,FALSE),"")</f>
        <v/>
      </c>
      <c r="U2" s="194" t="str" cm="1">
        <f t="array" ref="U2:U19">_xlfn.IFNA(VLOOKUP(_xlfn.ANCHORARRAY($Q$2),'Performance Data'!$AS$5:$BU$15,17,FALSE),"")</f>
        <v/>
      </c>
      <c r="V2" s="194" t="str" cm="1">
        <f t="array" ref="V2:V19">_xlfn.IFNA(VLOOKUP(_xlfn.ANCHORARRAY($Q$2),'Performance Data'!$AS$5:$BU$15,18,FALSE),"")</f>
        <v/>
      </c>
      <c r="W2" s="194" t="str" cm="1">
        <f t="array" ref="W2:W19">_xlfn.IFNA(VLOOKUP(_xlfn.ANCHORARRAY($Q$2),'Performance Data'!$AS$5:$BU$15,19,FALSE),"")</f>
        <v/>
      </c>
      <c r="X2" s="194" t="str" cm="1">
        <f t="array" ref="X2:X19">_xlfn.IFNA(VLOOKUP(_xlfn.ANCHORARRAY($Q$2),'Performance Data'!$AS$5:$BU$15,20,FALSE),"")</f>
        <v/>
      </c>
      <c r="Y2" s="199" t="str" cm="1">
        <f t="array" ref="Y2:Y19">_xlfn.IFNA(VLOOKUP(_xlfn.ANCHORARRAY($Q$2),'Performance Data'!$AS$5:$BU$15,21,FALSE),"")</f>
        <v/>
      </c>
    </row>
    <row r="3" spans="1:25">
      <c r="A3" s="178" t="str" cm="1">
        <f t="array" ref="A3">_xlfn._xlws.FILTER('Selector Sheet '!$B$46:$B$51,'Selector Sheet '!$A$46:$A$51=TRUE,"No funds selected")</f>
        <v>No funds selected</v>
      </c>
      <c r="B3" s="164" t="str">
        <v/>
      </c>
      <c r="H3" s="179" t="str">
        <v>No funds selected</v>
      </c>
      <c r="I3" s="190" t="str">
        <v/>
      </c>
      <c r="J3" s="174" t="str">
        <v/>
      </c>
      <c r="K3" s="174" t="str">
        <v/>
      </c>
      <c r="L3" s="174" t="str">
        <v/>
      </c>
      <c r="M3" s="174" t="str">
        <v/>
      </c>
      <c r="N3" s="164" t="str">
        <v/>
      </c>
      <c r="Q3" s="195" t="str">
        <v>No funds selected</v>
      </c>
      <c r="R3" s="196" t="str">
        <v/>
      </c>
      <c r="S3" s="197" t="str">
        <v/>
      </c>
      <c r="T3" s="197" t="str">
        <v/>
      </c>
      <c r="U3" s="197" t="str">
        <v/>
      </c>
      <c r="V3" s="197" t="str">
        <v/>
      </c>
      <c r="W3" s="197" t="str">
        <v/>
      </c>
      <c r="X3" s="197" t="str">
        <v/>
      </c>
      <c r="Y3" s="162" t="str">
        <v/>
      </c>
    </row>
    <row r="4" spans="1:25">
      <c r="A4" s="178"/>
      <c r="B4" s="164" t="str">
        <v/>
      </c>
      <c r="H4" s="179" t="str">
        <v/>
      </c>
      <c r="I4" s="190" t="str">
        <v/>
      </c>
      <c r="J4" s="174" t="str">
        <v/>
      </c>
      <c r="K4" s="174" t="str">
        <v/>
      </c>
      <c r="L4" s="174" t="str">
        <v/>
      </c>
      <c r="M4" s="174" t="str">
        <v/>
      </c>
      <c r="N4" s="164" t="str">
        <v/>
      </c>
      <c r="Q4" s="179" t="str">
        <v/>
      </c>
      <c r="R4" s="190" t="str">
        <v/>
      </c>
      <c r="S4" s="174" t="str">
        <v/>
      </c>
      <c r="T4" s="174" t="str">
        <v/>
      </c>
      <c r="U4" s="174" t="str">
        <v/>
      </c>
      <c r="V4" s="174" t="str">
        <v/>
      </c>
      <c r="W4" s="174" t="str">
        <v/>
      </c>
      <c r="X4" s="174" t="str">
        <v/>
      </c>
      <c r="Y4" s="164" t="str">
        <v/>
      </c>
    </row>
    <row r="5" spans="1:25">
      <c r="A5" s="178"/>
      <c r="B5" s="164" t="str">
        <v/>
      </c>
      <c r="H5" s="179" t="str">
        <v/>
      </c>
      <c r="I5" s="190" t="str">
        <v/>
      </c>
      <c r="J5" s="174" t="str">
        <v/>
      </c>
      <c r="K5" s="174" t="str">
        <v/>
      </c>
      <c r="L5" s="174" t="str">
        <v/>
      </c>
      <c r="M5" s="174" t="str">
        <v/>
      </c>
      <c r="N5" s="164" t="str">
        <v/>
      </c>
      <c r="Q5" s="179" t="str">
        <v/>
      </c>
      <c r="R5" s="190" t="str">
        <v/>
      </c>
      <c r="S5" s="174" t="str">
        <v/>
      </c>
      <c r="T5" s="174" t="str">
        <v/>
      </c>
      <c r="U5" s="174" t="str">
        <v/>
      </c>
      <c r="V5" s="174" t="str">
        <v/>
      </c>
      <c r="W5" s="174" t="str">
        <v/>
      </c>
      <c r="X5" s="174" t="str">
        <v/>
      </c>
      <c r="Y5" s="164" t="str">
        <v/>
      </c>
    </row>
    <row r="6" spans="1:25">
      <c r="A6" s="178"/>
      <c r="B6" s="164" t="str">
        <v/>
      </c>
      <c r="H6" s="179" t="str">
        <v/>
      </c>
      <c r="I6" s="190" t="str">
        <v/>
      </c>
      <c r="J6" s="174" t="str">
        <v/>
      </c>
      <c r="K6" s="174" t="str">
        <v/>
      </c>
      <c r="L6" s="174" t="str">
        <v/>
      </c>
      <c r="M6" s="174" t="str">
        <v/>
      </c>
      <c r="N6" s="164" t="str">
        <v/>
      </c>
      <c r="Q6" s="179" t="str">
        <v/>
      </c>
      <c r="R6" s="190" t="str">
        <v/>
      </c>
      <c r="S6" s="174" t="str">
        <v/>
      </c>
      <c r="T6" s="174" t="str">
        <v/>
      </c>
      <c r="U6" s="174" t="str">
        <v/>
      </c>
      <c r="V6" s="174" t="str">
        <v/>
      </c>
      <c r="W6" s="174" t="str">
        <v/>
      </c>
      <c r="X6" s="174" t="str">
        <v/>
      </c>
      <c r="Y6" s="164" t="str">
        <v/>
      </c>
    </row>
    <row r="7" spans="1:25">
      <c r="A7" s="180"/>
      <c r="B7" s="164" t="str">
        <v/>
      </c>
      <c r="H7" s="179" t="str">
        <v/>
      </c>
      <c r="I7" s="190" t="str">
        <v/>
      </c>
      <c r="J7" s="174" t="str">
        <v/>
      </c>
      <c r="K7" s="174" t="str">
        <v/>
      </c>
      <c r="L7" s="174" t="str">
        <v/>
      </c>
      <c r="M7" s="174" t="str">
        <v/>
      </c>
      <c r="N7" s="164" t="str">
        <v/>
      </c>
      <c r="Q7" s="179" t="str">
        <v/>
      </c>
      <c r="R7" s="190" t="str">
        <v/>
      </c>
      <c r="S7" s="174" t="str">
        <v/>
      </c>
      <c r="T7" s="174" t="str">
        <v/>
      </c>
      <c r="U7" s="174" t="str">
        <v/>
      </c>
      <c r="V7" s="174" t="str">
        <v/>
      </c>
      <c r="W7" s="174" t="str">
        <v/>
      </c>
      <c r="X7" s="174" t="str">
        <v/>
      </c>
      <c r="Y7" s="164" t="str">
        <v/>
      </c>
    </row>
    <row r="8" spans="1:25">
      <c r="A8" s="180"/>
      <c r="B8" s="164" t="str">
        <v/>
      </c>
      <c r="H8" s="179" t="str">
        <v/>
      </c>
      <c r="I8" s="190" t="str">
        <v/>
      </c>
      <c r="J8" s="174" t="str">
        <v/>
      </c>
      <c r="K8" s="174" t="str">
        <v/>
      </c>
      <c r="L8" s="174" t="str">
        <v/>
      </c>
      <c r="M8" s="174" t="str">
        <v/>
      </c>
      <c r="N8" s="164" t="str">
        <v/>
      </c>
      <c r="Q8" s="179" t="str">
        <v/>
      </c>
      <c r="R8" s="190" t="str">
        <v/>
      </c>
      <c r="S8" s="174" t="str">
        <v/>
      </c>
      <c r="T8" s="174" t="str">
        <v/>
      </c>
      <c r="U8" s="174" t="str">
        <v/>
      </c>
      <c r="V8" s="174" t="str">
        <v/>
      </c>
      <c r="W8" s="174" t="str">
        <v/>
      </c>
      <c r="X8" s="174" t="str">
        <v/>
      </c>
      <c r="Y8" s="164" t="str">
        <v/>
      </c>
    </row>
    <row r="9" ht="15.15" spans="1:25">
      <c r="A9" s="181"/>
      <c r="B9" s="166" t="str">
        <v/>
      </c>
      <c r="H9" s="179" t="str">
        <v/>
      </c>
      <c r="I9" s="190" t="str">
        <v/>
      </c>
      <c r="J9" s="174" t="str">
        <v/>
      </c>
      <c r="K9" s="174" t="str">
        <v/>
      </c>
      <c r="L9" s="174" t="str">
        <v/>
      </c>
      <c r="M9" s="174" t="str">
        <v/>
      </c>
      <c r="N9" s="164" t="str">
        <v/>
      </c>
      <c r="Q9" s="179" t="str">
        <v/>
      </c>
      <c r="R9" s="190" t="str">
        <v/>
      </c>
      <c r="S9" s="174" t="str">
        <v/>
      </c>
      <c r="T9" s="174" t="str">
        <v/>
      </c>
      <c r="U9" s="174" t="str">
        <v/>
      </c>
      <c r="V9" s="174" t="str">
        <v/>
      </c>
      <c r="W9" s="174" t="str">
        <v/>
      </c>
      <c r="X9" s="174" t="str">
        <v/>
      </c>
      <c r="Y9" s="164" t="str">
        <v/>
      </c>
    </row>
    <row r="10" ht="15.15" hidden="1" spans="1:25">
      <c r="A10" s="110" t="s">
        <v>56</v>
      </c>
      <c r="B10" s="177" t="str">
        <v/>
      </c>
      <c r="H10" s="179" t="str">
        <v>Private Credit</v>
      </c>
      <c r="I10" s="190" t="str">
        <v/>
      </c>
      <c r="J10" s="174" t="str">
        <v/>
      </c>
      <c r="K10" s="174" t="str">
        <v/>
      </c>
      <c r="L10" s="174" t="str">
        <v/>
      </c>
      <c r="M10" s="174" t="str">
        <v/>
      </c>
      <c r="N10" s="164" t="str">
        <v/>
      </c>
      <c r="Q10" s="179" t="str">
        <v>Private Credit</v>
      </c>
      <c r="R10" s="190" t="str">
        <v/>
      </c>
      <c r="S10" s="174" t="str">
        <v/>
      </c>
      <c r="T10" s="174" t="str">
        <v/>
      </c>
      <c r="U10" s="174" t="str">
        <v/>
      </c>
      <c r="V10" s="174" t="str">
        <v/>
      </c>
      <c r="W10" s="174" t="str">
        <v/>
      </c>
      <c r="X10" s="174" t="str">
        <v/>
      </c>
      <c r="Y10" s="164" t="str">
        <v/>
      </c>
    </row>
    <row r="11" hidden="1" spans="1:25">
      <c r="A11" s="182" t="str" cm="1">
        <f t="array" ref="A11">_xlfn._xlws.FILTER('Selector Sheet '!$B$53:$B$56,'Selector Sheet '!$A$53:$A$56=TRUE,"No funds selected")</f>
        <v>No funds selected</v>
      </c>
      <c r="B11" s="183" t="str">
        <v/>
      </c>
      <c r="H11" s="179" t="str">
        <v>No funds selected</v>
      </c>
      <c r="I11" s="190" t="str">
        <v/>
      </c>
      <c r="J11" s="174" t="str">
        <v/>
      </c>
      <c r="K11" s="174" t="str">
        <v/>
      </c>
      <c r="L11" s="174" t="str">
        <v/>
      </c>
      <c r="M11" s="174" t="str">
        <v/>
      </c>
      <c r="N11" s="164" t="str">
        <v/>
      </c>
      <c r="Q11" s="179" t="str">
        <v>No funds selected</v>
      </c>
      <c r="R11" s="190" t="str">
        <v/>
      </c>
      <c r="S11" s="174" t="str">
        <v/>
      </c>
      <c r="T11" s="174" t="str">
        <v/>
      </c>
      <c r="U11" s="174" t="str">
        <v/>
      </c>
      <c r="V11" s="174" t="str">
        <v/>
      </c>
      <c r="W11" s="174" t="str">
        <v/>
      </c>
      <c r="X11" s="174" t="str">
        <v/>
      </c>
      <c r="Y11" s="164" t="str">
        <v/>
      </c>
    </row>
    <row r="12" hidden="1" spans="1:25">
      <c r="A12" s="184"/>
      <c r="B12" s="183" t="str">
        <v/>
      </c>
      <c r="H12" s="179" t="str">
        <v/>
      </c>
      <c r="I12" s="190" t="str">
        <v/>
      </c>
      <c r="J12" s="174" t="str">
        <v/>
      </c>
      <c r="K12" s="174" t="str">
        <v/>
      </c>
      <c r="L12" s="174" t="str">
        <v/>
      </c>
      <c r="M12" s="174" t="str">
        <v/>
      </c>
      <c r="N12" s="164" t="str">
        <v/>
      </c>
      <c r="Q12" s="179" t="str">
        <v/>
      </c>
      <c r="R12" s="190" t="str">
        <v/>
      </c>
      <c r="S12" s="174" t="str">
        <v/>
      </c>
      <c r="T12" s="174" t="str">
        <v/>
      </c>
      <c r="U12" s="174" t="str">
        <v/>
      </c>
      <c r="V12" s="174" t="str">
        <v/>
      </c>
      <c r="W12" s="174" t="str">
        <v/>
      </c>
      <c r="X12" s="174" t="str">
        <v/>
      </c>
      <c r="Y12" s="164" t="str">
        <v/>
      </c>
    </row>
    <row r="13" hidden="1" spans="1:25">
      <c r="A13" s="182"/>
      <c r="B13" s="183" t="str">
        <v/>
      </c>
      <c r="H13" s="179" t="str">
        <v/>
      </c>
      <c r="I13" s="190" t="str">
        <v/>
      </c>
      <c r="J13" s="174" t="str">
        <v/>
      </c>
      <c r="K13" s="174" t="str">
        <v/>
      </c>
      <c r="L13" s="174" t="str">
        <v/>
      </c>
      <c r="M13" s="174" t="str">
        <v/>
      </c>
      <c r="N13" s="164" t="str">
        <v/>
      </c>
      <c r="Q13" s="179" t="str">
        <v/>
      </c>
      <c r="R13" s="190" t="str">
        <v/>
      </c>
      <c r="S13" s="174" t="str">
        <v/>
      </c>
      <c r="T13" s="174" t="str">
        <v/>
      </c>
      <c r="U13" s="174" t="str">
        <v/>
      </c>
      <c r="V13" s="174" t="str">
        <v/>
      </c>
      <c r="W13" s="174" t="str">
        <v/>
      </c>
      <c r="X13" s="174" t="str">
        <v/>
      </c>
      <c r="Y13" s="164" t="str">
        <v/>
      </c>
    </row>
    <row r="14" ht="15.15" hidden="1" spans="1:25">
      <c r="A14" s="182"/>
      <c r="B14" s="183" t="str">
        <v/>
      </c>
      <c r="H14" s="179" t="str">
        <v/>
      </c>
      <c r="I14" s="190" t="str">
        <v/>
      </c>
      <c r="J14" s="174" t="str">
        <v/>
      </c>
      <c r="K14" s="174" t="str">
        <v/>
      </c>
      <c r="L14" s="174" t="str">
        <v/>
      </c>
      <c r="M14" s="174" t="str">
        <v/>
      </c>
      <c r="N14" s="164" t="str">
        <v/>
      </c>
      <c r="Q14" s="179" t="str">
        <v/>
      </c>
      <c r="R14" s="190" t="str">
        <v/>
      </c>
      <c r="S14" s="174" t="str">
        <v/>
      </c>
      <c r="T14" s="174" t="str">
        <v/>
      </c>
      <c r="U14" s="174" t="str">
        <v/>
      </c>
      <c r="V14" s="174" t="str">
        <v/>
      </c>
      <c r="W14" s="174" t="str">
        <v/>
      </c>
      <c r="X14" s="174" t="str">
        <v/>
      </c>
      <c r="Y14" s="164" t="str">
        <v/>
      </c>
    </row>
    <row r="15" ht="15.15" hidden="1" spans="1:25">
      <c r="A15" s="110" t="s">
        <v>62</v>
      </c>
      <c r="B15" s="177" t="str">
        <v/>
      </c>
      <c r="H15" s="179" t="str">
        <v>Multi Asset Allocation</v>
      </c>
      <c r="I15" s="190" t="str">
        <v/>
      </c>
      <c r="J15" s="174" t="str">
        <v/>
      </c>
      <c r="K15" s="174" t="str">
        <v/>
      </c>
      <c r="L15" s="174" t="str">
        <v/>
      </c>
      <c r="M15" s="174" t="str">
        <v/>
      </c>
      <c r="N15" s="164" t="str">
        <v/>
      </c>
      <c r="Q15" s="179" t="str">
        <v>Multi Asset Allocation</v>
      </c>
      <c r="R15" s="190" t="str">
        <v/>
      </c>
      <c r="S15" s="174" t="str">
        <v/>
      </c>
      <c r="T15" s="174" t="str">
        <v/>
      </c>
      <c r="U15" s="174" t="str">
        <v/>
      </c>
      <c r="V15" s="174" t="str">
        <v/>
      </c>
      <c r="W15" s="174" t="str">
        <v/>
      </c>
      <c r="X15" s="174" t="str">
        <v/>
      </c>
      <c r="Y15" s="164" t="str">
        <v/>
      </c>
    </row>
    <row r="16" hidden="1" spans="1:25">
      <c r="A16" s="182" t="str" cm="1">
        <f t="array" ref="A16">_xlfn._xlws.FILTER('Selector Sheet '!$B$58,'Selector Sheet '!$A$58=TRUE,"No funds selected")</f>
        <v>No funds selected</v>
      </c>
      <c r="B16" s="183" t="str">
        <v/>
      </c>
      <c r="H16" s="179" t="str">
        <v>No funds selected</v>
      </c>
      <c r="I16" s="190" t="str">
        <v/>
      </c>
      <c r="J16" s="174" t="str">
        <v/>
      </c>
      <c r="K16" s="174" t="str">
        <v/>
      </c>
      <c r="L16" s="174" t="str">
        <v/>
      </c>
      <c r="M16" s="174" t="str">
        <v/>
      </c>
      <c r="N16" s="164" t="str">
        <v/>
      </c>
      <c r="Q16" s="179" t="str">
        <v>No funds selected</v>
      </c>
      <c r="R16" s="190" t="str">
        <v/>
      </c>
      <c r="S16" s="174" t="str">
        <v/>
      </c>
      <c r="T16" s="174" t="str">
        <v/>
      </c>
      <c r="U16" s="174" t="str">
        <v/>
      </c>
      <c r="V16" s="174" t="str">
        <v/>
      </c>
      <c r="W16" s="174" t="str">
        <v/>
      </c>
      <c r="X16" s="174" t="str">
        <v/>
      </c>
      <c r="Y16" s="164" t="str">
        <v/>
      </c>
    </row>
    <row r="17" ht="15.15" hidden="1" spans="1:25">
      <c r="A17" s="181"/>
      <c r="B17" s="97" t="str">
        <v/>
      </c>
      <c r="H17" s="179" t="str">
        <v/>
      </c>
      <c r="I17" s="190" t="str">
        <v/>
      </c>
      <c r="J17" s="174" t="str">
        <v/>
      </c>
      <c r="K17" s="174" t="str">
        <v/>
      </c>
      <c r="L17" s="174" t="str">
        <v/>
      </c>
      <c r="M17" s="174" t="str">
        <v/>
      </c>
      <c r="N17" s="164" t="str">
        <v/>
      </c>
      <c r="Q17" s="179" t="str">
        <v/>
      </c>
      <c r="R17" s="190" t="str">
        <v/>
      </c>
      <c r="S17" s="174" t="str">
        <v/>
      </c>
      <c r="T17" s="174" t="str">
        <v/>
      </c>
      <c r="U17" s="174" t="str">
        <v/>
      </c>
      <c r="V17" s="174" t="str">
        <v/>
      </c>
      <c r="W17" s="174" t="str">
        <v/>
      </c>
      <c r="X17" s="174" t="str">
        <v/>
      </c>
      <c r="Y17" s="164" t="str">
        <v/>
      </c>
    </row>
    <row r="18" ht="15.15" spans="1:25">
      <c r="A18" s="110" t="s">
        <v>62</v>
      </c>
      <c r="B18" s="177" t="str" cm="1">
        <f t="array" ref="B18:B19">_xlfn.IFNA(VLOOKUP($A$18:$A$19,'Selector Sheet '!$B$14:$D$59,3,FALSE),"")</f>
        <v/>
      </c>
      <c r="H18" s="110" t="str">
        <v>Multi Asset Allocation</v>
      </c>
      <c r="I18" s="187" t="str">
        <v/>
      </c>
      <c r="J18" s="188" t="str">
        <v/>
      </c>
      <c r="K18" s="188" t="str">
        <v/>
      </c>
      <c r="L18" s="188" t="str">
        <v/>
      </c>
      <c r="M18" s="188" t="str">
        <v/>
      </c>
      <c r="N18" s="189" t="str">
        <v/>
      </c>
      <c r="Q18" s="110" t="str">
        <v>Multi Asset Allocation</v>
      </c>
      <c r="R18" s="187" t="str">
        <v/>
      </c>
      <c r="S18" s="188" t="str">
        <v/>
      </c>
      <c r="T18" s="188" t="str">
        <v/>
      </c>
      <c r="U18" s="188" t="str">
        <v/>
      </c>
      <c r="V18" s="188" t="str">
        <v/>
      </c>
      <c r="W18" s="188" t="str">
        <v/>
      </c>
      <c r="X18" s="188" t="str">
        <v/>
      </c>
      <c r="Y18" s="189" t="str">
        <v/>
      </c>
    </row>
    <row r="19" ht="15.15" spans="1:25">
      <c r="A19" s="181" t="str" cm="1">
        <f t="array" ref="A19">_xlfn._xlws.FILTER('Selector Sheet '!$B$58,'Selector Sheet '!$A$58=TRUE,"No funds selected")</f>
        <v>No funds selected</v>
      </c>
      <c r="B19" s="185" t="str">
        <v/>
      </c>
      <c r="H19" s="186" t="str">
        <v>No funds selected</v>
      </c>
      <c r="I19" s="191" t="str">
        <v/>
      </c>
      <c r="J19" s="192" t="str">
        <v/>
      </c>
      <c r="K19" s="192" t="str">
        <v/>
      </c>
      <c r="L19" s="192" t="str">
        <v/>
      </c>
      <c r="M19" s="192" t="str">
        <v/>
      </c>
      <c r="N19" s="166" t="str">
        <v/>
      </c>
      <c r="Q19" s="186" t="str">
        <v>No funds selected</v>
      </c>
      <c r="R19" s="191" t="str">
        <v/>
      </c>
      <c r="S19" s="192" t="str">
        <v/>
      </c>
      <c r="T19" s="192" t="str">
        <v/>
      </c>
      <c r="U19" s="192" t="str">
        <v/>
      </c>
      <c r="V19" s="192" t="str">
        <v/>
      </c>
      <c r="W19" s="192" t="str">
        <v/>
      </c>
      <c r="X19" s="192" t="str">
        <v/>
      </c>
      <c r="Y19" s="166" t="str">
        <v/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showFormulas="1" workbookViewId="0">
      <selection activeCell="A1" sqref="A1"/>
    </sheetView>
  </sheetViews>
  <sheetFormatPr defaultColWidth="9" defaultRowHeight="14.4"/>
  <sheetData/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Z147"/>
  <sheetViews>
    <sheetView showGridLines="0" zoomScale="65" zoomScaleNormal="65" workbookViewId="0">
      <selection activeCell="H22" sqref="H22"/>
    </sheetView>
  </sheetViews>
  <sheetFormatPr defaultColWidth="9" defaultRowHeight="14.4"/>
  <cols>
    <col min="1" max="1" width="32.8148148148148" style="42" customWidth="1"/>
    <col min="2" max="2" width="37.8148148148148" style="42" customWidth="1"/>
    <col min="3" max="3" width="20.8148148148148" style="42" customWidth="1"/>
    <col min="4" max="4" width="21.7222222222222" customWidth="1"/>
    <col min="6" max="6" width="41.9074074074074" customWidth="1"/>
    <col min="7" max="7" width="27.0925925925926" customWidth="1"/>
    <col min="8" max="8" width="24" customWidth="1"/>
    <col min="9" max="62" width="48.6296296296296" customWidth="1"/>
    <col min="63" max="63" width="10.3611111111111" customWidth="1"/>
    <col min="64" max="66" width="20.7222222222222" customWidth="1"/>
    <col min="67" max="67" width="13.0925925925926" customWidth="1"/>
    <col min="68" max="68" width="34.9074074074074" customWidth="1"/>
    <col min="69" max="69" width="14.6296296296296" customWidth="1"/>
    <col min="70" max="72" width="48.6296296296296" customWidth="1"/>
    <col min="73" max="73" width="11.9074074074074" customWidth="1"/>
    <col min="74" max="74" width="6.62962962962963" customWidth="1"/>
    <col min="75" max="75" width="9.36111111111111" customWidth="1"/>
    <col min="76" max="76" width="10.3611111111111" customWidth="1"/>
  </cols>
  <sheetData>
    <row r="1" spans="1:26">
      <c r="A1"/>
      <c r="B1"/>
      <c r="C1"/>
      <c r="Z1" t="s">
        <v>814</v>
      </c>
    </row>
    <row r="2" spans="1:3">
      <c r="A2"/>
      <c r="B2"/>
      <c r="C2"/>
    </row>
    <row r="3" spans="1:3">
      <c r="A3"/>
      <c r="B3"/>
      <c r="C3"/>
    </row>
    <row r="4" spans="1:3">
      <c r="A4"/>
      <c r="B4"/>
      <c r="C4"/>
    </row>
    <row r="5" spans="1:3">
      <c r="A5"/>
      <c r="B5"/>
      <c r="C5"/>
    </row>
    <row r="6" spans="1:3">
      <c r="A6"/>
      <c r="B6"/>
      <c r="C6"/>
    </row>
    <row r="7" spans="1:3">
      <c r="A7"/>
      <c r="B7"/>
      <c r="C7"/>
    </row>
    <row r="8" spans="1:3">
      <c r="A8"/>
      <c r="B8"/>
      <c r="C8"/>
    </row>
    <row r="9" spans="1:8">
      <c r="A9" s="115"/>
      <c r="B9" s="116" t="s">
        <v>13</v>
      </c>
      <c r="C9" s="116" t="s">
        <v>101</v>
      </c>
      <c r="E9" s="115"/>
      <c r="F9" s="117" t="s">
        <v>75</v>
      </c>
      <c r="G9" s="117" t="s">
        <v>102</v>
      </c>
      <c r="H9" s="118" t="s">
        <v>103</v>
      </c>
    </row>
    <row r="10" spans="1:8">
      <c r="A10" s="119" t="s">
        <v>75</v>
      </c>
      <c r="B10" s="120">
        <f>C10/SUM($C$10:$C$12)*1</f>
        <v>0.825602804021401</v>
      </c>
      <c r="C10" s="120">
        <f>SUMPRODUCT(_xlfn.ANCHORARRAY('Output Dashboard '!$B$5),_xlfn.ANCHORARRAY('Output Dashboard '!$C$5))</f>
        <v>0.383774</v>
      </c>
      <c r="E10" s="121" t="s">
        <v>13</v>
      </c>
      <c r="F10" s="23" cm="1">
        <f t="array" ref="F10:H10">TRANSPOSE($B$10:$B$12)</f>
        <v>0.825602804021401</v>
      </c>
      <c r="G10" s="23">
        <v>0.134116838584965</v>
      </c>
      <c r="H10" s="122">
        <v>0.0402803573936342</v>
      </c>
    </row>
    <row r="11" spans="1:8">
      <c r="A11" s="123" t="s">
        <v>102</v>
      </c>
      <c r="B11" s="124">
        <f>C11/SUM($C$10:$C$12)*1</f>
        <v>0.134116838584965</v>
      </c>
      <c r="C11" s="124">
        <f>SUMPRODUCT(_xlfn.ANCHORARRAY('Output Dashboard '!$B$5),_xlfn.ANCHORARRAY('Output Dashboard '!$D$5))</f>
        <v>0.062343</v>
      </c>
      <c r="E11" s="125" t="s">
        <v>101</v>
      </c>
      <c r="F11" s="126" cm="1">
        <f t="array" ref="F11:H11">TRANSPOSE($C$10:$C$12)</f>
        <v>0.383774</v>
      </c>
      <c r="G11" s="126">
        <v>0.062343</v>
      </c>
      <c r="H11" s="127">
        <v>0.01872396</v>
      </c>
    </row>
    <row r="12" spans="1:3">
      <c r="A12" s="128" t="s">
        <v>103</v>
      </c>
      <c r="B12" s="129">
        <f>C12/SUM($C$10:$C$12)*1</f>
        <v>0.0402803573936342</v>
      </c>
      <c r="C12" s="129">
        <f>SUMPRODUCT(_xlfn.ANCHORARRAY('Output Dashboard '!$B$5),_xlfn.ANCHORARRAY('Output Dashboard '!$E$5))</f>
        <v>0.01872396</v>
      </c>
    </row>
    <row r="13" spans="1:3">
      <c r="A13"/>
      <c r="B13"/>
      <c r="C13"/>
    </row>
    <row r="14" spans="1:3">
      <c r="A14"/>
      <c r="B14"/>
      <c r="C14"/>
    </row>
    <row r="15" spans="1:3">
      <c r="A15"/>
      <c r="B15"/>
      <c r="C15"/>
    </row>
    <row r="16" spans="1:3">
      <c r="A16"/>
      <c r="B16"/>
      <c r="C16"/>
    </row>
    <row r="17" spans="1:3">
      <c r="A17"/>
      <c r="B17"/>
      <c r="C17"/>
    </row>
    <row r="18" spans="1:3">
      <c r="A18"/>
      <c r="B18"/>
      <c r="C18"/>
    </row>
    <row r="19" spans="1:3">
      <c r="A19"/>
      <c r="B19"/>
      <c r="C19"/>
    </row>
    <row r="20" spans="1:3">
      <c r="A20"/>
      <c r="B20"/>
      <c r="C20"/>
    </row>
    <row r="21" spans="1:3">
      <c r="A21"/>
      <c r="B21"/>
      <c r="C21"/>
    </row>
    <row r="22" spans="1:3">
      <c r="A22"/>
      <c r="B22"/>
      <c r="C22"/>
    </row>
    <row r="23" spans="1:3">
      <c r="A23"/>
      <c r="B23"/>
      <c r="C23"/>
    </row>
    <row r="24" spans="1:3">
      <c r="A24"/>
      <c r="B24"/>
      <c r="C24"/>
    </row>
    <row r="25" spans="1:3">
      <c r="A25"/>
      <c r="B25"/>
      <c r="C25"/>
    </row>
    <row r="26" spans="1:3">
      <c r="A26"/>
      <c r="B26"/>
      <c r="C26"/>
    </row>
    <row r="27" spans="1:3">
      <c r="A27"/>
      <c r="B27"/>
      <c r="C27"/>
    </row>
    <row r="28" spans="1:3">
      <c r="A28"/>
      <c r="B28"/>
      <c r="C28"/>
    </row>
    <row r="29" spans="1:3">
      <c r="A29"/>
      <c r="B29"/>
      <c r="C29"/>
    </row>
    <row r="30" spans="1:3">
      <c r="A30"/>
      <c r="B30"/>
      <c r="C30"/>
    </row>
    <row r="31" ht="15.15" spans="1:3">
      <c r="A31"/>
      <c r="B31"/>
      <c r="C31"/>
    </row>
    <row r="32" spans="1:6">
      <c r="A32" s="32" t="s">
        <v>80</v>
      </c>
      <c r="B32" s="33"/>
      <c r="C32"/>
      <c r="D32" s="130" t="str" cm="1">
        <f t="array" ref="D32:F35">'Output Dashboard '!$T$61:$V$64</f>
        <v>Sector Concentration</v>
      </c>
      <c r="E32" s="131">
        <v>0</v>
      </c>
      <c r="F32" s="132">
        <v>0</v>
      </c>
    </row>
    <row r="33" ht="15.15" spans="1:6">
      <c r="A33" s="133" t="s">
        <v>80</v>
      </c>
      <c r="B33" s="134" t="s">
        <v>801</v>
      </c>
      <c r="C33"/>
      <c r="D33" s="135" t="str">
        <v>Top 3 </v>
      </c>
      <c r="E33" s="136">
        <v>0.565709523321816</v>
      </c>
      <c r="F33" s="137">
        <v>0</v>
      </c>
    </row>
    <row r="34" spans="1:6">
      <c r="A34" s="138" t="str" cm="1">
        <f t="array" ref="A34:B44">_xlfn.IFNA(_xlfn._xlws.SORT(_xlfn.HSTACK(_xlfn.UNIQUE(Sheet2!$F$2:$F$778),_xlfn.BYROW(_xlfn.UNIQUE(Sheet2!$F$2:$F$778),_xlfn.LAMBDA(_xlpm.x,SUMIF(Sheet2!$F$2:$F$778,_xlpm.x,Sheet2!$G$2:$G$778)))),2,-1),"")</f>
        <v>Financials</v>
      </c>
      <c r="B34" s="139">
        <v>0.236431657882783</v>
      </c>
      <c r="C34"/>
      <c r="D34" s="140" t="str">
        <v>Top 5</v>
      </c>
      <c r="E34" s="141">
        <v>0.74175741938042</v>
      </c>
      <c r="F34" s="142">
        <v>0</v>
      </c>
    </row>
    <row r="35" spans="1:6">
      <c r="A35" s="143" t="str">
        <v>Consumer Discretionary</v>
      </c>
      <c r="B35" s="24">
        <v>0.18572413767173</v>
      </c>
      <c r="C35"/>
      <c r="D35" s="144" t="str">
        <v>Top 11</v>
      </c>
      <c r="E35" s="145">
        <v>0.968111846893786</v>
      </c>
      <c r="F35" s="146">
        <v>0</v>
      </c>
    </row>
    <row r="36" spans="1:3">
      <c r="A36" s="143" t="str">
        <v>Industrials</v>
      </c>
      <c r="B36" s="24">
        <v>0.113614228108057</v>
      </c>
      <c r="C36"/>
    </row>
    <row r="37" spans="1:3">
      <c r="A37" s="143" t="str">
        <v>Materials</v>
      </c>
      <c r="B37" s="24">
        <v>0.089044430572797</v>
      </c>
      <c r="C37"/>
    </row>
    <row r="38" spans="1:3">
      <c r="A38" s="143" t="str">
        <v>Consumer Staples</v>
      </c>
      <c r="B38" s="24">
        <v>0.0750584215823537</v>
      </c>
      <c r="C38"/>
    </row>
    <row r="39" spans="1:3">
      <c r="A39" s="143" t="str">
        <v>Health Care</v>
      </c>
      <c r="B39" s="24">
        <v>0.0738183434525035</v>
      </c>
      <c r="C39"/>
    </row>
    <row r="40" spans="1:3">
      <c r="A40" s="143" t="str">
        <v>Information Technology</v>
      </c>
      <c r="B40" s="24">
        <v>0.0532168670853605</v>
      </c>
      <c r="C40"/>
    </row>
    <row r="41" spans="1:3">
      <c r="A41" s="143" t="str">
        <v>Utilities</v>
      </c>
      <c r="B41" s="24">
        <v>0.0376982948151891</v>
      </c>
      <c r="C41"/>
    </row>
    <row r="42" spans="1:3">
      <c r="A42" s="143" t="str">
        <v>Energy</v>
      </c>
      <c r="B42" s="24">
        <v>0.0308168763561049</v>
      </c>
      <c r="C42"/>
    </row>
    <row r="43" spans="1:3">
      <c r="A43" s="143" t="str">
        <v>Communication Services</v>
      </c>
      <c r="B43" s="24">
        <v>0.0110654437527948</v>
      </c>
      <c r="C43"/>
    </row>
    <row r="44" ht="15.15" spans="1:3">
      <c r="A44" s="147" t="str">
        <v>Real Estate</v>
      </c>
      <c r="B44" s="148">
        <v>0.00842750547230037</v>
      </c>
      <c r="C44"/>
    </row>
    <row r="45" spans="1:3">
      <c r="A45"/>
      <c r="B45" s="149"/>
      <c r="C45"/>
    </row>
    <row r="46" spans="1:3">
      <c r="A46"/>
      <c r="B46"/>
      <c r="C46"/>
    </row>
    <row r="47" spans="1:3">
      <c r="A47"/>
      <c r="B47"/>
      <c r="C47"/>
    </row>
    <row r="75" ht="15.15"/>
    <row r="76" ht="15.15" spans="1:6">
      <c r="A76" s="32" t="str" cm="1">
        <f t="array" ref="A76:B97">'Output Dashboard '!$M$45:$N$66</f>
        <v>Equity Stock Exposure </v>
      </c>
      <c r="B76" s="33">
        <v>0</v>
      </c>
      <c r="D76" s="150" t="str" cm="1">
        <f t="array" ref="D76:F80">'Output Dashboard '!$P$45:$R$49</f>
        <v>Position Concentration</v>
      </c>
      <c r="E76" s="151">
        <v>0</v>
      </c>
      <c r="F76" s="151">
        <v>0</v>
      </c>
    </row>
    <row r="77" ht="15.15" spans="1:6">
      <c r="A77" s="152" t="str">
        <v>Name </v>
      </c>
      <c r="B77" s="153" t="str">
        <v>Percentage </v>
      </c>
      <c r="D77" s="135" t="str">
        <v>Top 3 </v>
      </c>
      <c r="E77" s="154">
        <v>0.131368662200789</v>
      </c>
      <c r="F77" s="155">
        <v>0</v>
      </c>
    </row>
    <row r="78" spans="1:6">
      <c r="A78" s="143" t="str">
        <v>HDFC Bank Ltd</v>
      </c>
      <c r="B78" s="24">
        <v>0.0478201864703617</v>
      </c>
      <c r="D78" s="140" t="str">
        <v>Top 5</v>
      </c>
      <c r="E78" s="156">
        <v>0.19737963391126</v>
      </c>
      <c r="F78" s="157">
        <v>0</v>
      </c>
    </row>
    <row r="79" spans="1:6">
      <c r="A79" s="143" t="str">
        <v>Hindalco Industries Ltd</v>
      </c>
      <c r="B79" s="24">
        <v>0.0442772570951206</v>
      </c>
      <c r="D79" s="140" t="str">
        <v>Top 10</v>
      </c>
      <c r="E79" s="156">
        <v>0.319914761301677</v>
      </c>
      <c r="F79" s="157">
        <v>0</v>
      </c>
    </row>
    <row r="80" spans="1:6">
      <c r="A80" s="143" t="str">
        <v>ICICI Lombard General Insuranc</v>
      </c>
      <c r="B80" s="24">
        <v>0.0392712186353062</v>
      </c>
      <c r="D80" s="144" t="str">
        <v>Top 20 </v>
      </c>
      <c r="E80" s="158">
        <v>0.481515766284632</v>
      </c>
      <c r="F80" s="159">
        <v>0</v>
      </c>
    </row>
    <row r="81" spans="1:2">
      <c r="A81" s="143" t="str">
        <v>ICICI Bank Ltd</v>
      </c>
      <c r="B81" s="24">
        <v>0.0348185912715011</v>
      </c>
    </row>
    <row r="82" spans="1:2">
      <c r="A82" s="143" t="str">
        <v>Reliance Industries Ltd</v>
      </c>
      <c r="B82" s="24">
        <v>0.0311923804389708</v>
      </c>
    </row>
    <row r="83" spans="1:2">
      <c r="A83" s="143" t="str">
        <v>Samvardhana Motherson Internat</v>
      </c>
      <c r="B83" s="24">
        <v>0.02623711681497</v>
      </c>
    </row>
    <row r="84" spans="1:2">
      <c r="A84" s="143" t="str">
        <v>Mahindra &amp; Mahindra Ltd</v>
      </c>
      <c r="B84" s="24">
        <v>0.0260995136114085</v>
      </c>
    </row>
    <row r="85" spans="1:2">
      <c r="A85" s="143" t="str">
        <v>Larsen &amp; Toubro Ltd</v>
      </c>
      <c r="B85" s="24">
        <v>0.0242487811698933</v>
      </c>
    </row>
    <row r="86" spans="1:2">
      <c r="A86" s="143" t="str">
        <v>InterGlobe Aviation Ltd</v>
      </c>
      <c r="B86" s="24">
        <v>0.0240187628452967</v>
      </c>
    </row>
    <row r="87" spans="1:2">
      <c r="A87" s="143" t="str">
        <v>State Bank of India</v>
      </c>
      <c r="B87" s="24">
        <v>0.0219309529488479</v>
      </c>
    </row>
    <row r="88" spans="1:2">
      <c r="A88" s="143" t="str">
        <v>Axis Bank Ltd</v>
      </c>
      <c r="B88" s="24">
        <v>0.0215352161617102</v>
      </c>
    </row>
    <row r="89" spans="1:2">
      <c r="A89" s="143" t="str">
        <v>Bajaj Finance Ltd</v>
      </c>
      <c r="B89" s="24">
        <v>0.0180614166086307</v>
      </c>
    </row>
    <row r="90" spans="1:2">
      <c r="A90" s="143" t="str">
        <v>CG Power &amp; Industrial Solution</v>
      </c>
      <c r="B90" s="24">
        <v>0.016394945436201</v>
      </c>
    </row>
    <row r="91" spans="1:2">
      <c r="A91" s="143" t="str">
        <v>HCL Technologies Ltd</v>
      </c>
      <c r="B91" s="24">
        <v>0.0163133948572898</v>
      </c>
    </row>
    <row r="92" spans="1:2">
      <c r="A92" s="143" t="str">
        <v>Tata Consultancy Services Ltd</v>
      </c>
      <c r="B92" s="24">
        <v>0.0162591087594567</v>
      </c>
    </row>
    <row r="93" spans="1:2">
      <c r="A93" s="143" t="str">
        <v>Tata Power Co Ltd/The</v>
      </c>
      <c r="B93" s="24">
        <v>0.015611749096873</v>
      </c>
    </row>
    <row r="94" spans="1:2">
      <c r="A94" s="143" t="str">
        <v>Hindustan Unilever Ltd</v>
      </c>
      <c r="B94" s="24">
        <v>0.0146734979108327</v>
      </c>
    </row>
    <row r="95" spans="1:2">
      <c r="A95" s="143" t="str">
        <v>Indian Hotels Co Ltd/The</v>
      </c>
      <c r="B95" s="24">
        <v>0.014441400366798</v>
      </c>
    </row>
    <row r="96" spans="1:2">
      <c r="A96" s="143" t="str">
        <v>Eternal Ltd</v>
      </c>
      <c r="B96" s="24">
        <v>0.0143239017496863</v>
      </c>
    </row>
    <row r="97" ht="15.15" spans="1:2">
      <c r="A97" s="147" t="str">
        <v>Kotak Mahindra Bank Ltd</v>
      </c>
      <c r="B97" s="148">
        <v>0.0139863740354772</v>
      </c>
    </row>
    <row r="99" ht="15.15"/>
    <row r="100" ht="15.15" spans="1:4">
      <c r="A100" s="160" t="str" cm="1">
        <f t="array" ref="A100:D108">'Output Dashboard '!$A$44:$D$52</f>
        <v>Year</v>
      </c>
      <c r="B100" s="33" t="str">
        <v>Equity </v>
      </c>
      <c r="C100" s="153" t="str">
        <v>Nifty 50</v>
      </c>
      <c r="D100" s="153" t="str">
        <v>S&amp;P BSE 500</v>
      </c>
    </row>
    <row r="101" spans="1:4">
      <c r="A101" s="161" t="str">
        <v>CY 2025</v>
      </c>
      <c r="B101" s="162">
        <v>0.0398440833333333</v>
      </c>
      <c r="C101" s="162">
        <v>0.047518</v>
      </c>
      <c r="D101" s="162">
        <v>0.022527</v>
      </c>
    </row>
    <row r="102" spans="1:4">
      <c r="A102" s="163">
        <v>2024</v>
      </c>
      <c r="B102" s="164">
        <v>0.187081926768325</v>
      </c>
      <c r="C102" s="164">
        <v>0.0880476902077809</v>
      </c>
      <c r="D102" s="164">
        <v>0.145465796535709</v>
      </c>
    </row>
    <row r="103" spans="1:4">
      <c r="A103" s="163">
        <v>2023</v>
      </c>
      <c r="B103" s="164">
        <v>0.268878579565279</v>
      </c>
      <c r="C103" s="164">
        <v>0.200278393101744</v>
      </c>
      <c r="D103" s="164">
        <v>0.248498523517645</v>
      </c>
    </row>
    <row r="104" spans="1:4">
      <c r="A104" s="163">
        <v>2022</v>
      </c>
      <c r="B104" s="164">
        <v>0.0552893295023589</v>
      </c>
      <c r="C104" s="164">
        <v>0.0432896067488569</v>
      </c>
      <c r="D104" s="164">
        <v>0.0333786905211876</v>
      </c>
    </row>
    <row r="105" spans="1:4">
      <c r="A105" s="163">
        <v>2021</v>
      </c>
      <c r="B105" s="164">
        <v>0.300743207497409</v>
      </c>
      <c r="C105" s="164">
        <v>0.241192983710909</v>
      </c>
      <c r="D105" s="164">
        <v>0.301140430926607</v>
      </c>
    </row>
    <row r="106" spans="1:4">
      <c r="A106" s="163">
        <v>2020</v>
      </c>
      <c r="B106" s="164">
        <v>0.150106282631741</v>
      </c>
      <c r="C106" s="164">
        <v>0.149016514017808</v>
      </c>
      <c r="D106" s="164">
        <v>0.168033833223551</v>
      </c>
    </row>
    <row r="107" spans="1:4">
      <c r="A107" s="163">
        <v>2019</v>
      </c>
      <c r="B107" s="164">
        <v>0.108468903909756</v>
      </c>
      <c r="C107" s="164">
        <v>0.120220390239861</v>
      </c>
      <c r="D107" s="164">
        <v>0.077511676096721</v>
      </c>
    </row>
    <row r="108" ht="15.15" spans="1:4">
      <c r="A108" s="165">
        <v>2018</v>
      </c>
      <c r="B108" s="166">
        <v>0.00118003464084621</v>
      </c>
      <c r="C108" s="166">
        <v>0.0315126249916908</v>
      </c>
      <c r="D108" s="166">
        <v>-0.0308170579621176</v>
      </c>
    </row>
    <row r="110" ht="15.15"/>
    <row r="111" ht="15.15" spans="1:4">
      <c r="A111" s="160" t="str" cm="1">
        <f t="array" ref="A111:D118">'Output Dashboard '!$A$71:$D$78</f>
        <v>Year</v>
      </c>
      <c r="B111" s="33" t="str">
        <v>Equity </v>
      </c>
      <c r="C111" s="153" t="str">
        <v>Nifty 50</v>
      </c>
      <c r="D111" s="153" t="str">
        <v>S&amp;P BSE 500</v>
      </c>
    </row>
    <row r="112" spans="1:4">
      <c r="A112" s="161" t="str">
        <v>1 M</v>
      </c>
      <c r="B112" s="162">
        <v>-0.0196150833333333</v>
      </c>
      <c r="C112" s="162">
        <v>-0.029341</v>
      </c>
      <c r="D112" s="162">
        <v>-0.028654</v>
      </c>
    </row>
    <row r="113" spans="1:4">
      <c r="A113" s="163" t="str">
        <v>3 M</v>
      </c>
      <c r="B113" s="164">
        <v>0.04222075</v>
      </c>
      <c r="C113" s="164">
        <v>0.017841</v>
      </c>
      <c r="D113" s="164">
        <v>0.038723</v>
      </c>
    </row>
    <row r="114" spans="1:4">
      <c r="A114" s="163" t="str">
        <v>6 M</v>
      </c>
      <c r="B114" s="164">
        <v>0.0731403333333333</v>
      </c>
      <c r="C114" s="164">
        <v>0.053596</v>
      </c>
      <c r="D114" s="164">
        <v>0.05945</v>
      </c>
    </row>
    <row r="115" spans="1:4">
      <c r="A115" s="163" t="str">
        <v>1 Y</v>
      </c>
      <c r="B115" s="164">
        <v>0.0128765</v>
      </c>
      <c r="C115" s="164">
        <v>-0.007326</v>
      </c>
      <c r="D115" s="164">
        <v>-0.032041</v>
      </c>
    </row>
    <row r="116" spans="1:4">
      <c r="A116" s="163" t="str">
        <v>3 Y</v>
      </c>
      <c r="B116" s="164">
        <v>0.1825995</v>
      </c>
      <c r="C116" s="164">
        <v>0.129786</v>
      </c>
      <c r="D116" s="164">
        <v>0.154431</v>
      </c>
    </row>
    <row r="117" spans="1:4">
      <c r="A117" s="163" t="str">
        <v>5 Y</v>
      </c>
      <c r="B117" s="164">
        <v>0.221510666666667</v>
      </c>
      <c r="C117" s="164">
        <v>0.174585</v>
      </c>
      <c r="D117" s="164">
        <v>0.201781</v>
      </c>
    </row>
    <row r="118" ht="15.15" spans="1:4">
      <c r="A118" s="165" t="str">
        <v>10 Y</v>
      </c>
      <c r="B118" s="166">
        <v>0.135963083333333</v>
      </c>
      <c r="C118" s="166">
        <v>0.112352</v>
      </c>
      <c r="D118" s="166">
        <v>0.123351</v>
      </c>
    </row>
    <row r="119" ht="15.15" spans="1:3">
      <c r="A119"/>
      <c r="B119"/>
      <c r="C119"/>
    </row>
    <row r="120" spans="1:3">
      <c r="A120" s="167" t="s">
        <v>798</v>
      </c>
      <c r="B120" s="168"/>
      <c r="C120"/>
    </row>
    <row r="121" spans="1:3">
      <c r="A121" s="169" t="str" cm="1">
        <f t="array" ref="A121:C123">'Output Dashboard '!$H$43:$J$45</f>
        <v>P/E</v>
      </c>
      <c r="B121" s="170">
        <v>26.3583333333333</v>
      </c>
      <c r="C121" s="149">
        <v>0</v>
      </c>
    </row>
    <row r="122" spans="1:3">
      <c r="A122" s="123" t="str">
        <v>P/B</v>
      </c>
      <c r="B122" s="171">
        <v>4.02</v>
      </c>
      <c r="C122" s="149">
        <v>0</v>
      </c>
    </row>
    <row r="123" spans="1:3">
      <c r="A123" s="123" t="str">
        <v>Beta</v>
      </c>
      <c r="B123" s="172">
        <v>0.9125</v>
      </c>
      <c r="C123" s="149">
        <v>0</v>
      </c>
    </row>
    <row r="124" spans="1:3">
      <c r="A124" s="128"/>
      <c r="B124" s="173"/>
      <c r="C124" s="149"/>
    </row>
    <row r="128" spans="3:9">
      <c r="C128" s="174"/>
      <c r="D128" s="174"/>
      <c r="E128" s="174"/>
      <c r="F128" s="174"/>
      <c r="G128" s="174"/>
      <c r="H128" s="174"/>
      <c r="I128" s="174"/>
    </row>
    <row r="129" spans="3:9">
      <c r="C129" s="174"/>
      <c r="D129" s="174"/>
      <c r="E129" s="174"/>
      <c r="F129" s="174"/>
      <c r="G129" s="174"/>
      <c r="H129" s="174"/>
      <c r="I129" s="174"/>
    </row>
    <row r="130" spans="3:9">
      <c r="C130" s="174"/>
      <c r="D130" s="174"/>
      <c r="E130" s="174"/>
      <c r="F130" s="174"/>
      <c r="G130" s="174"/>
      <c r="H130" s="174"/>
      <c r="I130" s="174"/>
    </row>
    <row r="131" spans="3:9">
      <c r="C131" s="174"/>
      <c r="D131" s="174"/>
      <c r="E131" s="174"/>
      <c r="F131" s="174"/>
      <c r="G131" s="174"/>
      <c r="H131" s="174"/>
      <c r="I131" s="174"/>
    </row>
    <row r="132" spans="3:9">
      <c r="C132" s="174"/>
      <c r="D132" s="174"/>
      <c r="E132" s="174"/>
      <c r="F132" s="174"/>
      <c r="G132" s="174"/>
      <c r="H132" s="174"/>
      <c r="I132" s="174"/>
    </row>
    <row r="133" spans="3:9">
      <c r="C133" s="174"/>
      <c r="D133" s="174"/>
      <c r="E133" s="174"/>
      <c r="F133" s="174"/>
      <c r="G133" s="174"/>
      <c r="H133" s="174"/>
      <c r="I133" s="174"/>
    </row>
    <row r="134" spans="3:9">
      <c r="C134" s="174"/>
      <c r="D134" s="174"/>
      <c r="E134" s="174"/>
      <c r="F134" s="174"/>
      <c r="G134" s="174"/>
      <c r="H134" s="174"/>
      <c r="I134" s="174"/>
    </row>
    <row r="135" spans="3:9">
      <c r="C135" s="174"/>
      <c r="D135" s="174"/>
      <c r="E135" s="174"/>
      <c r="F135" s="174"/>
      <c r="G135" s="174"/>
      <c r="H135" s="174"/>
      <c r="I135" s="174"/>
    </row>
    <row r="136" spans="3:9">
      <c r="C136" s="174"/>
      <c r="D136" s="174"/>
      <c r="E136" s="174"/>
      <c r="F136" s="174"/>
      <c r="G136" s="174"/>
      <c r="H136" s="174"/>
      <c r="I136" s="174"/>
    </row>
    <row r="137" spans="3:9">
      <c r="C137" s="174"/>
      <c r="D137" s="174"/>
      <c r="E137" s="174"/>
      <c r="F137" s="174"/>
      <c r="G137" s="174"/>
      <c r="H137" s="174"/>
      <c r="I137" s="174"/>
    </row>
    <row r="138" spans="3:9">
      <c r="C138" s="174"/>
      <c r="D138" s="174"/>
      <c r="E138" s="174"/>
      <c r="F138" s="174"/>
      <c r="G138" s="174"/>
      <c r="H138" s="174"/>
      <c r="I138" s="174"/>
    </row>
    <row r="139" spans="3:9">
      <c r="C139" s="174"/>
      <c r="D139" s="174"/>
      <c r="E139" s="174"/>
      <c r="F139" s="174"/>
      <c r="G139" s="174"/>
      <c r="H139" s="174"/>
      <c r="I139" s="174"/>
    </row>
    <row r="140" spans="3:9">
      <c r="C140" s="174"/>
      <c r="D140" s="174"/>
      <c r="E140" s="174"/>
      <c r="F140" s="174"/>
      <c r="G140" s="174"/>
      <c r="H140" s="174"/>
      <c r="I140" s="174"/>
    </row>
    <row r="141" spans="3:9">
      <c r="C141" s="174"/>
      <c r="D141" s="174"/>
      <c r="E141" s="174"/>
      <c r="F141" s="174"/>
      <c r="G141" s="174"/>
      <c r="H141" s="174"/>
      <c r="I141" s="174"/>
    </row>
    <row r="142" spans="3:9">
      <c r="C142" s="174"/>
      <c r="D142" s="174"/>
      <c r="E142" s="174"/>
      <c r="F142" s="174"/>
      <c r="G142" s="174"/>
      <c r="H142" s="174"/>
      <c r="I142" s="174"/>
    </row>
    <row r="143" spans="3:9">
      <c r="C143" s="174"/>
      <c r="D143" s="174"/>
      <c r="E143" s="174"/>
      <c r="F143" s="174"/>
      <c r="G143" s="174"/>
      <c r="H143" s="174"/>
      <c r="I143" s="174"/>
    </row>
    <row r="144" spans="3:9">
      <c r="C144" s="174"/>
      <c r="D144" s="174"/>
      <c r="E144" s="174"/>
      <c r="F144" s="174"/>
      <c r="G144" s="174"/>
      <c r="H144" s="174"/>
      <c r="I144" s="174"/>
    </row>
    <row r="145" spans="3:9">
      <c r="C145" s="174"/>
      <c r="D145" s="174"/>
      <c r="E145" s="174"/>
      <c r="F145" s="174"/>
      <c r="G145" s="174"/>
      <c r="H145" s="174"/>
      <c r="I145" s="174"/>
    </row>
    <row r="146" spans="3:9">
      <c r="C146" s="174"/>
      <c r="D146" s="174"/>
      <c r="E146" s="174"/>
      <c r="F146" s="174"/>
      <c r="G146" s="174"/>
      <c r="H146" s="174"/>
      <c r="I146" s="174"/>
    </row>
    <row r="147" spans="3:9">
      <c r="C147" s="174"/>
      <c r="D147" s="174"/>
      <c r="E147" s="174"/>
      <c r="F147" s="174"/>
      <c r="G147" s="174"/>
      <c r="H147" s="174"/>
      <c r="I147" s="174"/>
    </row>
  </sheetData>
  <mergeCells count="11">
    <mergeCell ref="A32:B32"/>
    <mergeCell ref="D32:F32"/>
    <mergeCell ref="E33:F33"/>
    <mergeCell ref="E34:F34"/>
    <mergeCell ref="E35:F35"/>
    <mergeCell ref="A76:B76"/>
    <mergeCell ref="D76:F76"/>
    <mergeCell ref="E77:F77"/>
    <mergeCell ref="E78:F78"/>
    <mergeCell ref="E79:F79"/>
    <mergeCell ref="E80:F80"/>
  </mergeCells>
  <pageMargins left="0.7" right="0.7" top="0.75" bottom="0.75" header="0.3" footer="0.3"/>
  <pageSetup paperSize="9" orientation="portrait"/>
  <headerFooter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4108" name="btnUploadTemplate" r:id="rId3">
              <controlPr print="0" defaultSize="0">
                <anchor moveWithCells="1" sizeWithCells="1">
                  <from>
                    <xdr:col>6</xdr:col>
                    <xdr:colOff>1885950</xdr:colOff>
                    <xdr:row>0</xdr:row>
                    <xdr:rowOff>127000</xdr:rowOff>
                  </from>
                  <to>
                    <xdr:col>8</xdr:col>
                    <xdr:colOff>222250</xdr:colOff>
                    <xdr:row>2</xdr:row>
                    <xdr:rowOff>139700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4109" name="btnExportCharts" r:id="rId4">
              <controlPr print="0" defaultSize="0">
                <anchor moveWithCells="1" sizeWithCells="1">
                  <from>
                    <xdr:col>6</xdr:col>
                    <xdr:colOff>1885950</xdr:colOff>
                    <xdr:row>3</xdr:row>
                    <xdr:rowOff>82550</xdr:rowOff>
                  </from>
                  <to>
                    <xdr:col>8</xdr:col>
                    <xdr:colOff>222250</xdr:colOff>
                    <xdr:row>5</xdr:row>
                    <xdr:rowOff>95250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2:U59"/>
  <sheetViews>
    <sheetView topLeftCell="A39" workbookViewId="0">
      <selection activeCell="I59" sqref="I59"/>
    </sheetView>
  </sheetViews>
  <sheetFormatPr defaultColWidth="9" defaultRowHeight="14.4"/>
  <cols>
    <col min="2" max="2" width="19.7222222222222" customWidth="1"/>
    <col min="3" max="3" width="7.4537037037037" customWidth="1"/>
    <col min="4" max="4" width="6.90740740740741" customWidth="1"/>
    <col min="5" max="5" width="15" customWidth="1"/>
    <col min="6" max="8" width="9.5462962962963" customWidth="1"/>
    <col min="9" max="9" width="15.3611111111111" customWidth="1"/>
    <col min="10" max="10" width="36.6296296296296" customWidth="1"/>
    <col min="11" max="11" width="12.1759259259259" customWidth="1"/>
    <col min="12" max="12" width="35" customWidth="1"/>
    <col min="13" max="13" width="13.4537037037037" customWidth="1"/>
    <col min="16" max="16" width="14.6296296296296" customWidth="1"/>
    <col min="17" max="17" width="10.9074074074074" customWidth="1"/>
    <col min="18" max="18" width="7.81481481481481" customWidth="1"/>
    <col min="19" max="19" width="16.3611111111111" customWidth="1"/>
    <col min="20" max="21" width="14.8148148148148" customWidth="1"/>
  </cols>
  <sheetData>
    <row r="2" spans="3:21">
      <c r="C2" s="42" t="s">
        <v>83</v>
      </c>
      <c r="D2" s="42" t="s">
        <v>515</v>
      </c>
      <c r="E2" s="42" t="s">
        <v>486</v>
      </c>
      <c r="I2" s="42" t="s">
        <v>815</v>
      </c>
      <c r="J2" s="109" t="s">
        <v>16</v>
      </c>
      <c r="K2" s="109" t="s">
        <v>816</v>
      </c>
      <c r="L2" s="109" t="s">
        <v>32</v>
      </c>
      <c r="M2" t="s">
        <v>29</v>
      </c>
      <c r="O2" s="42" t="s">
        <v>83</v>
      </c>
      <c r="P2" t="s">
        <v>156</v>
      </c>
      <c r="Q2" t="s">
        <v>250</v>
      </c>
      <c r="R2" t="s">
        <v>158</v>
      </c>
      <c r="S2" t="s">
        <v>346</v>
      </c>
      <c r="T2" t="s">
        <v>312</v>
      </c>
      <c r="U2" s="42" t="s">
        <v>486</v>
      </c>
    </row>
    <row r="3" spans="3:21">
      <c r="C3" s="42" t="s">
        <v>96</v>
      </c>
      <c r="D3" s="4">
        <v>-0.005306</v>
      </c>
      <c r="E3" s="4">
        <v>-0.0122951980224079</v>
      </c>
      <c r="H3" s="2"/>
      <c r="I3" s="104" t="s">
        <v>3</v>
      </c>
      <c r="J3" s="109">
        <v>0.3</v>
      </c>
      <c r="K3" s="109">
        <v>0.2</v>
      </c>
      <c r="L3" s="109">
        <v>0.5</v>
      </c>
      <c r="M3" s="109">
        <v>0</v>
      </c>
      <c r="O3" s="42" t="s">
        <v>96</v>
      </c>
      <c r="P3" s="6" cm="1">
        <f t="array" ref="P3:P10">TRANSPOSE('Performance Data'!N26:U26)</f>
        <v>0.038989</v>
      </c>
      <c r="Q3" s="111" cm="1">
        <f t="array" ref="Q3:Q10">TRANSPOSE('Performance Data'!N81:U81)</f>
        <v>0.022527</v>
      </c>
      <c r="R3" s="111" cm="1">
        <f t="array" ref="R3:R10">TRANSPOSE('Performance Data'!N27:U27)</f>
        <v>0.047518</v>
      </c>
      <c r="S3" s="111" cm="1">
        <f t="array" ref="S3:S10">TRANSPOSE('Performance Data'!N141:U141)</f>
        <v>-0.03181</v>
      </c>
      <c r="T3" s="111" cm="1">
        <f t="array" ref="T3:T10">TRANSPOSE('Performance Data'!N120:U120)</f>
        <v>-0.014275</v>
      </c>
      <c r="U3" s="111" cm="1">
        <f t="array" ref="U3:U10">TRANSPOSE('Performance Data'!$N$228:$U$228)</f>
        <v>0.0265322</v>
      </c>
    </row>
    <row r="4" spans="3:21">
      <c r="C4" s="42">
        <v>2024</v>
      </c>
      <c r="D4" s="4">
        <v>0.0880476902077809</v>
      </c>
      <c r="E4" s="4">
        <v>0.115148190648015</v>
      </c>
      <c r="H4" s="2"/>
      <c r="I4" s="104" t="s">
        <v>817</v>
      </c>
      <c r="J4" s="109">
        <v>0.3</v>
      </c>
      <c r="K4" s="109">
        <v>0.2</v>
      </c>
      <c r="L4" s="109">
        <v>0.5</v>
      </c>
      <c r="M4" s="109">
        <v>0</v>
      </c>
      <c r="O4" s="42">
        <v>2024</v>
      </c>
      <c r="P4" s="6">
        <v>0.0816546064479834</v>
      </c>
      <c r="Q4" s="111">
        <v>0.145465796535709</v>
      </c>
      <c r="R4" s="111">
        <v>0.0880476902077809</v>
      </c>
      <c r="S4" s="111">
        <v>0.293080337893825</v>
      </c>
      <c r="T4" s="111">
        <v>0.260739505342404</v>
      </c>
      <c r="U4" s="111">
        <v>0.122108351341286</v>
      </c>
    </row>
    <row r="5" spans="3:21">
      <c r="C5" s="42">
        <v>2023</v>
      </c>
      <c r="D5" s="4">
        <v>0.200278393101744</v>
      </c>
      <c r="E5" s="4">
        <v>0.158535642831628</v>
      </c>
      <c r="H5" s="2"/>
      <c r="I5" s="108" t="s">
        <v>818</v>
      </c>
      <c r="J5" s="109">
        <v>0.3</v>
      </c>
      <c r="K5" s="109">
        <v>0.2</v>
      </c>
      <c r="L5" s="109">
        <v>0.5</v>
      </c>
      <c r="M5" s="109">
        <v>0</v>
      </c>
      <c r="O5" s="42">
        <v>2023</v>
      </c>
      <c r="P5" s="6">
        <v>0.187366557342991</v>
      </c>
      <c r="Q5" s="111">
        <v>0.248498523517645</v>
      </c>
      <c r="R5" s="111">
        <v>0.200278393101744</v>
      </c>
      <c r="S5" s="111">
        <v>0.475233166210285</v>
      </c>
      <c r="T5" s="111">
        <v>0.455261608959292</v>
      </c>
      <c r="U5" s="111">
        <v>0.173339140243329</v>
      </c>
    </row>
    <row r="6" spans="3:21">
      <c r="C6" s="42">
        <v>2022</v>
      </c>
      <c r="D6" s="4">
        <v>0.0432896067488569</v>
      </c>
      <c r="E6" s="4">
        <v>0.0384086093157168</v>
      </c>
      <c r="H6" s="2"/>
      <c r="I6" s="108" t="s">
        <v>819</v>
      </c>
      <c r="J6" s="109">
        <v>0.3</v>
      </c>
      <c r="K6" s="109">
        <v>0.2</v>
      </c>
      <c r="L6" s="109">
        <v>0.4</v>
      </c>
      <c r="M6" s="109">
        <v>0.1</v>
      </c>
      <c r="O6" s="42">
        <v>2022</v>
      </c>
      <c r="P6" s="6">
        <v>0.0444077315444721</v>
      </c>
      <c r="Q6" s="111">
        <v>0.0333786905211876</v>
      </c>
      <c r="R6" s="111">
        <v>0.0432896067488569</v>
      </c>
      <c r="S6" s="111">
        <v>-0.018024792109108</v>
      </c>
      <c r="T6" s="111">
        <v>0.0137933078308118</v>
      </c>
      <c r="U6" s="111">
        <v>0.0340661953456594</v>
      </c>
    </row>
    <row r="7" spans="3:21">
      <c r="C7" s="42">
        <v>2021</v>
      </c>
      <c r="D7" s="4">
        <v>0.241192983710909</v>
      </c>
      <c r="E7" s="4">
        <v>0.168711766321198</v>
      </c>
      <c r="H7" s="2"/>
      <c r="I7" s="104" t="s">
        <v>820</v>
      </c>
      <c r="J7" s="109">
        <v>0.3</v>
      </c>
      <c r="K7" s="109">
        <v>0.2</v>
      </c>
      <c r="L7" s="109">
        <v>0.3</v>
      </c>
      <c r="M7" s="109">
        <v>0.2</v>
      </c>
      <c r="O7" s="42">
        <v>2021</v>
      </c>
      <c r="P7" s="6">
        <v>0.219941308441042</v>
      </c>
      <c r="Q7" s="111">
        <v>0.301140430926607</v>
      </c>
      <c r="R7" s="111">
        <v>0.241192983710909</v>
      </c>
      <c r="S7" s="111">
        <v>0.627670513661371</v>
      </c>
      <c r="T7" s="111">
        <v>0.391755283720417</v>
      </c>
      <c r="U7" s="111">
        <v>0.117324536952824</v>
      </c>
    </row>
    <row r="8" ht="15.15" spans="3:21">
      <c r="C8" s="42">
        <v>2020</v>
      </c>
      <c r="D8" s="4">
        <v>0.149016514017808</v>
      </c>
      <c r="E8" s="4">
        <v>0.148189449432945</v>
      </c>
      <c r="H8" s="2"/>
      <c r="I8" s="42"/>
      <c r="J8" s="72"/>
      <c r="K8" s="109"/>
      <c r="L8" s="109"/>
      <c r="O8" s="42">
        <v>2020</v>
      </c>
      <c r="P8" s="6">
        <v>0.157503053056523</v>
      </c>
      <c r="Q8" s="111">
        <v>0.168033833223551</v>
      </c>
      <c r="R8" s="111">
        <v>0.149016514017808</v>
      </c>
      <c r="S8" s="111">
        <v>0.321090677892487</v>
      </c>
      <c r="T8" s="111">
        <v>0.198666072503496</v>
      </c>
      <c r="U8" s="111">
        <v>0.123022315079707</v>
      </c>
    </row>
    <row r="9" ht="15.15" spans="3:21">
      <c r="C9" s="42">
        <v>2019</v>
      </c>
      <c r="D9" s="4">
        <v>0.120220390239861</v>
      </c>
      <c r="E9" s="4">
        <v>0.0888221485237766</v>
      </c>
      <c r="H9" s="2"/>
      <c r="I9" s="42"/>
      <c r="J9" s="110" t="s">
        <v>49</v>
      </c>
      <c r="K9" s="110" t="s">
        <v>56</v>
      </c>
      <c r="L9" s="110" t="s">
        <v>62</v>
      </c>
      <c r="O9" s="42">
        <v>2019</v>
      </c>
      <c r="P9" s="6">
        <v>0.143766290260736</v>
      </c>
      <c r="Q9" s="111">
        <v>0.077511676096721</v>
      </c>
      <c r="R9" s="111">
        <v>0.120220390239861</v>
      </c>
      <c r="S9" s="111">
        <v>-0.0684939983096128</v>
      </c>
      <c r="T9" s="111">
        <v>-0.0304836301571726</v>
      </c>
      <c r="U9" s="111">
        <v>0.0677126130509905</v>
      </c>
    </row>
    <row r="10" spans="3:21">
      <c r="C10" s="42">
        <v>2018</v>
      </c>
      <c r="D10" s="4">
        <v>0.0315126249916908</v>
      </c>
      <c r="E10" s="4">
        <v>0.0188333181532216</v>
      </c>
      <c r="H10" s="2"/>
      <c r="I10" s="104" t="s">
        <v>3</v>
      </c>
      <c r="J10" s="72">
        <v>0.7</v>
      </c>
      <c r="K10" s="109">
        <v>0.15</v>
      </c>
      <c r="L10" s="109">
        <v>0.15</v>
      </c>
      <c r="O10" s="42">
        <v>2018</v>
      </c>
      <c r="P10" s="6">
        <v>0.0590630425673793</v>
      </c>
      <c r="Q10" s="111">
        <v>-0.0308170579621176</v>
      </c>
      <c r="R10" s="111">
        <v>0.0315126249916908</v>
      </c>
      <c r="S10" s="111">
        <v>-0.235250162240415</v>
      </c>
      <c r="T10" s="111">
        <v>-0.133761446269863</v>
      </c>
      <c r="U10" s="111">
        <v>0.0115098912489797</v>
      </c>
    </row>
    <row r="11" spans="9:20">
      <c r="I11" s="104" t="s">
        <v>817</v>
      </c>
      <c r="J11" s="109">
        <v>0.6</v>
      </c>
      <c r="K11" s="109">
        <v>0.3</v>
      </c>
      <c r="L11" s="109">
        <v>0.1</v>
      </c>
      <c r="P11" s="111"/>
      <c r="Q11" s="111"/>
      <c r="R11" s="111"/>
      <c r="S11" s="111"/>
      <c r="T11" s="111"/>
    </row>
    <row r="12" spans="9:21">
      <c r="I12" s="108" t="s">
        <v>818</v>
      </c>
      <c r="J12" s="112">
        <v>0.5</v>
      </c>
      <c r="K12" s="109">
        <v>0.4</v>
      </c>
      <c r="L12" s="109">
        <v>0.1</v>
      </c>
      <c r="O12" t="s">
        <v>83</v>
      </c>
      <c r="P12" t="s">
        <v>156</v>
      </c>
      <c r="Q12" t="s">
        <v>250</v>
      </c>
      <c r="R12" t="s">
        <v>158</v>
      </c>
      <c r="S12" t="s">
        <v>346</v>
      </c>
      <c r="T12" t="s">
        <v>312</v>
      </c>
      <c r="U12" s="42" t="s">
        <v>486</v>
      </c>
    </row>
    <row r="13" spans="9:21">
      <c r="I13" s="108" t="s">
        <v>819</v>
      </c>
      <c r="J13" s="112">
        <v>0.5</v>
      </c>
      <c r="K13" s="109">
        <v>0.5</v>
      </c>
      <c r="L13" s="109">
        <v>0</v>
      </c>
      <c r="O13" t="s">
        <v>88</v>
      </c>
      <c r="P13" s="6" cm="1">
        <f t="array" ref="P13:P19">TRANSPOSE('Performance Data'!$F$26:$L$26)</f>
        <v>-0.028956</v>
      </c>
      <c r="Q13" s="6" cm="1">
        <f t="array" ref="Q13:Q19">TRANSPOSE('Performance Data'!$F$81:$L$81)</f>
        <v>-0.028654</v>
      </c>
      <c r="R13" s="6" cm="1">
        <f t="array" ref="R13:R19">TRANSPOSE('Performance Data'!$F$27:$L$27)</f>
        <v>-0.029341</v>
      </c>
      <c r="S13" s="6" cm="1">
        <f t="array" ref="S13:S19">TRANSPOSE('Performance Data'!$F$141:$L$141)</f>
        <v>-0.023141</v>
      </c>
      <c r="T13" s="6" cm="1">
        <f t="array" ref="T13:T19">TRANSPOSE('Performance Data'!$F$120:$L$120)</f>
        <v>-0.022897</v>
      </c>
      <c r="U13" s="6" cm="1">
        <f t="array" ref="U13:U19">TRANSPOSE('Performance Data'!$F$228:$L$228)</f>
        <v>-0.0104328055555556</v>
      </c>
    </row>
    <row r="14" spans="2:21">
      <c r="B14" t="s">
        <v>799</v>
      </c>
      <c r="I14" s="104" t="s">
        <v>820</v>
      </c>
      <c r="J14" s="112">
        <v>0.4</v>
      </c>
      <c r="K14" s="109">
        <v>0.6</v>
      </c>
      <c r="L14" s="109">
        <v>0</v>
      </c>
      <c r="O14" t="s">
        <v>89</v>
      </c>
      <c r="P14" s="6">
        <v>0.011756</v>
      </c>
      <c r="Q14" s="6">
        <v>0.038723</v>
      </c>
      <c r="R14" s="6">
        <v>0.017841</v>
      </c>
      <c r="S14" s="6">
        <v>0.127108</v>
      </c>
      <c r="T14" s="6">
        <v>0.067576</v>
      </c>
      <c r="U14" s="6">
        <v>0.0298560277777778</v>
      </c>
    </row>
    <row r="15" spans="2:21">
      <c r="B15" t="s">
        <v>821</v>
      </c>
      <c r="O15" t="s">
        <v>90</v>
      </c>
      <c r="P15" s="6">
        <v>0.047548</v>
      </c>
      <c r="Q15" s="6">
        <v>0.05945</v>
      </c>
      <c r="R15" s="6">
        <v>0.053596</v>
      </c>
      <c r="S15" s="6">
        <v>0.069396</v>
      </c>
      <c r="T15" s="6">
        <v>0.062307</v>
      </c>
      <c r="U15" s="6">
        <v>0.0504744571428571</v>
      </c>
    </row>
    <row r="16" spans="2:21">
      <c r="B16" t="s">
        <v>80</v>
      </c>
      <c r="O16" t="s">
        <v>91</v>
      </c>
      <c r="P16" s="6">
        <v>-0.006799</v>
      </c>
      <c r="Q16" s="6">
        <v>-0.032041</v>
      </c>
      <c r="R16" s="6">
        <v>-0.007326</v>
      </c>
      <c r="S16" s="6">
        <v>-0.034464</v>
      </c>
      <c r="T16" s="6">
        <v>-0.058658</v>
      </c>
      <c r="U16" s="6">
        <v>0.017165794117647</v>
      </c>
    </row>
    <row r="17" spans="2:21">
      <c r="B17" t="s">
        <v>822</v>
      </c>
      <c r="O17" t="s">
        <v>93</v>
      </c>
      <c r="P17" s="6">
        <v>0.121048</v>
      </c>
      <c r="Q17" s="6">
        <v>0.154431</v>
      </c>
      <c r="R17" s="6">
        <v>0.129786</v>
      </c>
      <c r="S17" s="6">
        <v>0.253786</v>
      </c>
      <c r="T17" s="6">
        <v>0.238603</v>
      </c>
      <c r="U17" s="6">
        <v>0.12227436</v>
      </c>
    </row>
    <row r="18" spans="9:21">
      <c r="I18" t="s">
        <v>6</v>
      </c>
      <c r="O18" t="s">
        <v>94</v>
      </c>
      <c r="P18" s="6">
        <v>0.166288</v>
      </c>
      <c r="Q18" s="6">
        <v>0.201781</v>
      </c>
      <c r="R18" s="6">
        <v>0.174585</v>
      </c>
      <c r="S18" s="6">
        <v>0.326015</v>
      </c>
      <c r="T18" s="6">
        <v>0.271637</v>
      </c>
      <c r="U18" s="6">
        <v>0.126014</v>
      </c>
    </row>
    <row r="19" spans="9:21">
      <c r="I19" t="s">
        <v>8</v>
      </c>
      <c r="O19" t="s">
        <v>95</v>
      </c>
      <c r="P19" s="6">
        <v>0.111775</v>
      </c>
      <c r="Q19" s="6">
        <v>0.123351</v>
      </c>
      <c r="R19" s="6">
        <v>0.112352</v>
      </c>
      <c r="S19" s="6">
        <v>0.162571</v>
      </c>
      <c r="T19" s="6">
        <v>0.150311</v>
      </c>
      <c r="U19" s="6">
        <v>0.0931376666666667</v>
      </c>
    </row>
    <row r="20" spans="9:9">
      <c r="I20" t="s">
        <v>813</v>
      </c>
    </row>
    <row r="21" spans="9:9">
      <c r="I21" t="s">
        <v>65</v>
      </c>
    </row>
    <row r="23" spans="2:16">
      <c r="B23" s="99" t="s">
        <v>823</v>
      </c>
      <c r="C23" s="100"/>
      <c r="D23" s="100"/>
      <c r="E23" s="100"/>
      <c r="F23" s="101"/>
      <c r="G23" s="102"/>
      <c r="H23" s="102"/>
      <c r="P23" t="str">
        <f>IF(AND('Selector Sheet '!A37=TRUE,'Selector Sheet '!B37&lt;&gt;""),O23&amp;"||"&amp;'Selector Sheet '!B37,"")</f>
        <v/>
      </c>
    </row>
    <row r="24" spans="2:16">
      <c r="B24" s="103" t="s">
        <v>0</v>
      </c>
      <c r="C24" s="103" t="s">
        <v>10</v>
      </c>
      <c r="D24" s="103" t="s">
        <v>6</v>
      </c>
      <c r="E24" s="103" t="s">
        <v>43</v>
      </c>
      <c r="F24" s="103" t="s">
        <v>824</v>
      </c>
      <c r="G24" s="102"/>
      <c r="H24" s="102"/>
      <c r="P24" t="str">
        <f>IF(AND('Selector Sheet '!A38=TRUE,'Selector Sheet '!B38&lt;&gt;""),O24&amp;"||"&amp;'Selector Sheet '!B38,"")</f>
        <v/>
      </c>
    </row>
    <row r="25" spans="2:16">
      <c r="B25" s="104" t="s">
        <v>3</v>
      </c>
      <c r="C25" s="105">
        <v>0.3</v>
      </c>
      <c r="D25" s="105">
        <v>0.4</v>
      </c>
      <c r="E25" s="105">
        <v>0.2</v>
      </c>
      <c r="F25" s="106">
        <v>0.1</v>
      </c>
      <c r="G25" s="107"/>
      <c r="H25" s="107"/>
      <c r="P25" t="str">
        <f>IF(AND('Selector Sheet '!A39=TRUE,'Selector Sheet '!B39&lt;&gt;""),O25&amp;"||"&amp;'Selector Sheet '!B39,"")</f>
        <v/>
      </c>
    </row>
    <row r="26" spans="2:16">
      <c r="B26" s="104" t="s">
        <v>817</v>
      </c>
      <c r="C26" s="105">
        <v>0.3</v>
      </c>
      <c r="D26" s="105">
        <v>0.4</v>
      </c>
      <c r="E26" s="105">
        <v>0.2</v>
      </c>
      <c r="F26" s="106">
        <v>0.1</v>
      </c>
      <c r="G26" s="107"/>
      <c r="H26" s="107"/>
      <c r="I26" t="s">
        <v>6</v>
      </c>
      <c r="J26" s="74" t="s">
        <v>18</v>
      </c>
      <c r="P26" t="str">
        <f>IF(AND('Selector Sheet '!A40=TRUE,'Selector Sheet '!B40&lt;&gt;""),O26&amp;"||"&amp;'Selector Sheet '!B40,"")</f>
        <v/>
      </c>
    </row>
    <row r="27" spans="2:16">
      <c r="B27" s="108" t="s">
        <v>818</v>
      </c>
      <c r="C27" s="105">
        <v>0.3</v>
      </c>
      <c r="D27" s="105">
        <v>0.4</v>
      </c>
      <c r="E27" s="105">
        <v>0.2</v>
      </c>
      <c r="F27" s="106">
        <v>0.1</v>
      </c>
      <c r="G27" s="107"/>
      <c r="H27" s="107"/>
      <c r="I27" t="s">
        <v>6</v>
      </c>
      <c r="J27" s="113" t="s">
        <v>20</v>
      </c>
      <c r="P27" t="str">
        <f>IF(AND('Selector Sheet '!A41=TRUE,'Selector Sheet '!B41&lt;&gt;""),O27&amp;"||"&amp;'Selector Sheet '!B41,"")</f>
        <v/>
      </c>
    </row>
    <row r="28" spans="2:16">
      <c r="B28" s="108" t="s">
        <v>819</v>
      </c>
      <c r="C28" s="105">
        <v>0.2</v>
      </c>
      <c r="D28" s="105">
        <v>0.5</v>
      </c>
      <c r="E28" s="105">
        <v>0.2</v>
      </c>
      <c r="F28" s="106">
        <v>0.1</v>
      </c>
      <c r="G28" s="107"/>
      <c r="H28" s="107"/>
      <c r="I28" t="s">
        <v>6</v>
      </c>
      <c r="J28" s="73" t="s">
        <v>22</v>
      </c>
      <c r="P28" t="str">
        <f>IF(AND('Selector Sheet '!A42=TRUE,'Selector Sheet '!B42&lt;&gt;""),O28&amp;"||"&amp;'Selector Sheet '!B42,"")</f>
        <v/>
      </c>
    </row>
    <row r="29" spans="2:16">
      <c r="B29" s="104" t="s">
        <v>820</v>
      </c>
      <c r="C29" s="105">
        <v>0.1</v>
      </c>
      <c r="D29" s="105">
        <v>0.75</v>
      </c>
      <c r="E29" s="105">
        <v>0.05</v>
      </c>
      <c r="F29" s="106">
        <v>0.1</v>
      </c>
      <c r="G29" s="107"/>
      <c r="H29" s="107"/>
      <c r="I29" t="s">
        <v>6</v>
      </c>
      <c r="J29" s="59" t="s">
        <v>23</v>
      </c>
      <c r="P29" t="str">
        <f>IF(AND('Selector Sheet '!A43=TRUE,'Selector Sheet '!B43&lt;&gt;""),O29&amp;"||"&amp;'Selector Sheet '!B43,"")</f>
        <v/>
      </c>
    </row>
    <row r="30" ht="28.8" spans="2:10">
      <c r="B30" s="104"/>
      <c r="G30" s="107"/>
      <c r="H30" s="107"/>
      <c r="I30" t="s">
        <v>6</v>
      </c>
      <c r="J30" s="59" t="s">
        <v>24</v>
      </c>
    </row>
    <row r="31" spans="7:10">
      <c r="G31" s="107"/>
      <c r="H31" s="107"/>
      <c r="I31" t="s">
        <v>6</v>
      </c>
      <c r="J31" s="74" t="s">
        <v>26</v>
      </c>
    </row>
    <row r="32" spans="9:10">
      <c r="I32" t="s">
        <v>6</v>
      </c>
      <c r="J32" s="74" t="s">
        <v>27</v>
      </c>
    </row>
    <row r="33" ht="28.8" spans="9:10">
      <c r="I33" t="s">
        <v>6</v>
      </c>
      <c r="J33" s="59" t="s">
        <v>28</v>
      </c>
    </row>
    <row r="34" spans="9:10">
      <c r="I34" t="s">
        <v>6</v>
      </c>
      <c r="J34" s="59" t="s">
        <v>31</v>
      </c>
    </row>
    <row r="35" spans="9:10">
      <c r="I35" t="s">
        <v>6</v>
      </c>
      <c r="J35" s="74" t="s">
        <v>33</v>
      </c>
    </row>
    <row r="36" spans="9:10">
      <c r="I36" t="s">
        <v>6</v>
      </c>
      <c r="J36" s="74" t="s">
        <v>34</v>
      </c>
    </row>
    <row r="37" spans="9:10">
      <c r="I37" t="s">
        <v>6</v>
      </c>
      <c r="J37" s="74" t="s">
        <v>35</v>
      </c>
    </row>
    <row r="38" spans="9:10">
      <c r="I38" t="s">
        <v>6</v>
      </c>
      <c r="J38" s="74" t="s">
        <v>36</v>
      </c>
    </row>
    <row r="39" spans="9:10">
      <c r="I39" t="s">
        <v>6</v>
      </c>
      <c r="J39" s="74" t="s">
        <v>37</v>
      </c>
    </row>
    <row r="40" spans="9:10">
      <c r="I40" t="s">
        <v>6</v>
      </c>
      <c r="J40" s="74" t="s">
        <v>38</v>
      </c>
    </row>
    <row r="41" spans="9:10">
      <c r="I41" t="s">
        <v>6</v>
      </c>
      <c r="J41" s="59" t="s">
        <v>40</v>
      </c>
    </row>
    <row r="42" spans="9:10">
      <c r="I42" t="s">
        <v>6</v>
      </c>
      <c r="J42" s="59" t="s">
        <v>31</v>
      </c>
    </row>
    <row r="43" spans="9:10">
      <c r="I43" t="s">
        <v>6</v>
      </c>
      <c r="J43" s="74" t="s">
        <v>39</v>
      </c>
    </row>
    <row r="44" spans="9:10">
      <c r="I44" t="s">
        <v>6</v>
      </c>
      <c r="J44" s="83" t="s">
        <v>41</v>
      </c>
    </row>
    <row r="45" ht="28.8" spans="9:10">
      <c r="I45" t="s">
        <v>8</v>
      </c>
      <c r="J45" s="74" t="s">
        <v>44</v>
      </c>
    </row>
    <row r="46" spans="9:10">
      <c r="I46" t="s">
        <v>8</v>
      </c>
      <c r="J46" s="74" t="s">
        <v>45</v>
      </c>
    </row>
    <row r="47" ht="28.8" spans="9:10">
      <c r="I47" t="s">
        <v>8</v>
      </c>
      <c r="J47" s="74" t="s">
        <v>46</v>
      </c>
    </row>
    <row r="48" ht="28.8" spans="9:10">
      <c r="I48" t="s">
        <v>8</v>
      </c>
      <c r="J48" s="114" t="s">
        <v>47</v>
      </c>
    </row>
    <row r="49" ht="28.8" spans="9:10">
      <c r="I49" t="s">
        <v>10</v>
      </c>
      <c r="J49" s="74" t="s">
        <v>50</v>
      </c>
    </row>
    <row r="50" spans="9:10">
      <c r="I50" t="s">
        <v>10</v>
      </c>
      <c r="J50" s="74" t="s">
        <v>51</v>
      </c>
    </row>
    <row r="51" spans="9:10">
      <c r="I51" t="s">
        <v>10</v>
      </c>
      <c r="J51" s="74" t="s">
        <v>52</v>
      </c>
    </row>
    <row r="52" spans="9:10">
      <c r="I52" t="s">
        <v>10</v>
      </c>
      <c r="J52" s="59" t="s">
        <v>53</v>
      </c>
    </row>
    <row r="53" spans="9:10">
      <c r="I53" t="s">
        <v>10</v>
      </c>
      <c r="J53" s="59" t="s">
        <v>54</v>
      </c>
    </row>
    <row r="54" spans="9:10">
      <c r="I54" t="s">
        <v>10</v>
      </c>
      <c r="J54" s="59" t="s">
        <v>55</v>
      </c>
    </row>
    <row r="55" spans="9:10">
      <c r="I55" t="s">
        <v>10</v>
      </c>
      <c r="J55" s="74" t="s">
        <v>58</v>
      </c>
    </row>
    <row r="56" spans="9:10">
      <c r="I56" t="s">
        <v>10</v>
      </c>
      <c r="J56" s="74" t="s">
        <v>59</v>
      </c>
    </row>
    <row r="57" spans="9:10">
      <c r="I57" t="s">
        <v>10</v>
      </c>
      <c r="J57" s="74" t="s">
        <v>60</v>
      </c>
    </row>
    <row r="58" spans="9:10">
      <c r="I58" t="s">
        <v>10</v>
      </c>
      <c r="J58" s="59" t="s">
        <v>61</v>
      </c>
    </row>
    <row r="59" ht="28.8" spans="9:10">
      <c r="I59" t="s">
        <v>10</v>
      </c>
      <c r="J59" s="74" t="s">
        <v>63</v>
      </c>
    </row>
  </sheetData>
  <mergeCells count="1">
    <mergeCell ref="B23:F23"/>
  </mergeCells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R20"/>
  <sheetViews>
    <sheetView workbookViewId="0">
      <pane xSplit="2" ySplit="1" topLeftCell="C2" activePane="bottomRight" state="frozen"/>
      <selection/>
      <selection pane="topRight"/>
      <selection pane="bottomLeft"/>
      <selection pane="bottomRight" activeCell="J17" sqref="J17:R17"/>
    </sheetView>
  </sheetViews>
  <sheetFormatPr defaultColWidth="9" defaultRowHeight="14.4"/>
  <sheetData>
    <row r="2" ht="15.15" spans="1:1">
      <c r="A2" t="s">
        <v>825</v>
      </c>
    </row>
    <row r="3" ht="15.15" spans="1:4">
      <c r="A3" s="87"/>
      <c r="B3" s="88"/>
      <c r="D3" t="s">
        <v>82</v>
      </c>
    </row>
    <row r="4" spans="1:16">
      <c r="A4" s="89" t="s">
        <v>826</v>
      </c>
      <c r="B4" s="90">
        <v>0.025</v>
      </c>
      <c r="D4" s="87"/>
      <c r="E4" s="91"/>
      <c r="F4" s="91"/>
      <c r="G4" s="91"/>
      <c r="H4" s="91"/>
      <c r="I4" s="91"/>
      <c r="J4" s="91"/>
      <c r="K4" s="91"/>
      <c r="L4" s="91"/>
      <c r="M4" s="91"/>
      <c r="N4" s="91"/>
      <c r="O4" s="91"/>
      <c r="P4" s="88"/>
    </row>
    <row r="5" spans="1:16">
      <c r="A5" s="89"/>
      <c r="B5" s="92"/>
      <c r="D5" s="89" t="s">
        <v>827</v>
      </c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2"/>
    </row>
    <row r="6" spans="1:16">
      <c r="A6" s="89"/>
      <c r="B6" s="92"/>
      <c r="D6" s="89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2"/>
    </row>
    <row r="7" spans="1:16">
      <c r="A7" s="89"/>
      <c r="B7" s="92"/>
      <c r="D7" s="89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2"/>
    </row>
    <row r="8" spans="1:16">
      <c r="A8" s="89"/>
      <c r="B8" s="92"/>
      <c r="D8" s="89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2"/>
    </row>
    <row r="9" spans="1:16">
      <c r="A9" s="89"/>
      <c r="B9" s="92"/>
      <c r="D9" s="89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2"/>
    </row>
    <row r="10" spans="1:16">
      <c r="A10" s="89"/>
      <c r="B10" s="92"/>
      <c r="D10" s="89"/>
      <c r="E10" s="93"/>
      <c r="F10" s="93"/>
      <c r="G10" s="93"/>
      <c r="H10" s="93"/>
      <c r="I10" s="93"/>
      <c r="J10" s="93"/>
      <c r="K10" s="93"/>
      <c r="L10" s="93"/>
      <c r="M10" s="93"/>
      <c r="N10" s="93"/>
      <c r="O10" s="93"/>
      <c r="P10" s="92"/>
    </row>
    <row r="11" spans="1:16">
      <c r="A11" s="89"/>
      <c r="B11" s="92"/>
      <c r="D11" s="89"/>
      <c r="E11" s="93"/>
      <c r="F11" s="93"/>
      <c r="G11" s="93"/>
      <c r="H11" s="93"/>
      <c r="I11" s="93"/>
      <c r="J11" s="93"/>
      <c r="K11" s="93"/>
      <c r="L11" s="93"/>
      <c r="M11" s="93"/>
      <c r="N11" s="93"/>
      <c r="O11" s="93"/>
      <c r="P11" s="92"/>
    </row>
    <row r="12" spans="1:16">
      <c r="A12" s="89"/>
      <c r="B12" s="92"/>
      <c r="D12" s="89"/>
      <c r="E12" s="93"/>
      <c r="F12" s="93"/>
      <c r="G12" s="93"/>
      <c r="H12" s="93"/>
      <c r="I12" s="93"/>
      <c r="J12" s="93"/>
      <c r="K12" s="93"/>
      <c r="L12" s="93"/>
      <c r="M12" s="93"/>
      <c r="N12" s="93"/>
      <c r="O12" s="93"/>
      <c r="P12" s="92"/>
    </row>
    <row r="13" ht="15.15" spans="1:16">
      <c r="A13" s="94" t="s">
        <v>11</v>
      </c>
      <c r="B13" s="95">
        <v>1</v>
      </c>
      <c r="D13" s="89"/>
      <c r="E13" s="93"/>
      <c r="F13" s="93"/>
      <c r="G13" s="93"/>
      <c r="H13" s="93"/>
      <c r="I13" s="93"/>
      <c r="J13" s="93"/>
      <c r="K13" s="93"/>
      <c r="L13" s="93"/>
      <c r="M13" s="93"/>
      <c r="N13" s="93"/>
      <c r="O13" s="93"/>
      <c r="P13" s="92"/>
    </row>
    <row r="14" spans="2:16">
      <c r="B14" t="s">
        <v>828</v>
      </c>
      <c r="D14" s="89"/>
      <c r="E14" s="93"/>
      <c r="F14" s="93"/>
      <c r="G14" s="93"/>
      <c r="H14" s="93"/>
      <c r="I14" s="93"/>
      <c r="J14" s="93"/>
      <c r="K14" s="93"/>
      <c r="L14" s="93"/>
      <c r="M14" s="93"/>
      <c r="N14" s="93"/>
      <c r="O14" s="93"/>
      <c r="P14" s="92"/>
    </row>
    <row r="15" ht="15.15" spans="4:16">
      <c r="D15" s="94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7"/>
    </row>
    <row r="16" ht="15.15"/>
    <row r="17" spans="4:18">
      <c r="D17" s="87" t="s">
        <v>829</v>
      </c>
      <c r="E17" s="91"/>
      <c r="F17" s="91"/>
      <c r="G17" s="91"/>
      <c r="H17" s="88"/>
      <c r="J17" s="32" t="s">
        <v>106</v>
      </c>
      <c r="K17" s="98"/>
      <c r="L17" s="98"/>
      <c r="M17" s="98"/>
      <c r="N17" s="98"/>
      <c r="O17" s="98"/>
      <c r="P17" s="98"/>
      <c r="Q17" s="98"/>
      <c r="R17" s="98"/>
    </row>
    <row r="18" spans="4:8">
      <c r="D18" s="89"/>
      <c r="E18" s="93"/>
      <c r="F18" s="93"/>
      <c r="G18" s="93"/>
      <c r="H18" s="92"/>
    </row>
    <row r="19" spans="4:8">
      <c r="D19" s="89"/>
      <c r="E19" s="93"/>
      <c r="F19" s="93"/>
      <c r="G19" s="93"/>
      <c r="H19" s="92"/>
    </row>
    <row r="20" ht="15.15" spans="4:8">
      <c r="D20" s="94"/>
      <c r="E20" s="96"/>
      <c r="F20" s="96"/>
      <c r="G20" s="96"/>
      <c r="H20" s="97"/>
    </row>
  </sheetData>
  <mergeCells count="1">
    <mergeCell ref="J17:R17"/>
  </mergeCells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AO10159"/>
  <sheetViews>
    <sheetView zoomScale="55" zoomScaleNormal="55" workbookViewId="0">
      <selection activeCell="C2" sqref="C2"/>
    </sheetView>
  </sheetViews>
  <sheetFormatPr defaultColWidth="9" defaultRowHeight="14.4"/>
  <cols>
    <col min="1" max="1" width="14.1759259259259" customWidth="1"/>
    <col min="2" max="2" width="36.6296296296296" customWidth="1"/>
    <col min="3" max="3" width="45.9074074074074" customWidth="1"/>
    <col min="4" max="5" width="12.5462962962963" customWidth="1"/>
    <col min="6" max="7" width="20.6296296296296" customWidth="1"/>
    <col min="8" max="8" width="14.1759259259259" customWidth="1"/>
    <col min="9" max="9" width="46.7222222222222" customWidth="1"/>
    <col min="10" max="10" width="17.7222222222222" customWidth="1"/>
    <col min="13" max="13" width="13.6296296296296" customWidth="1"/>
    <col min="14" max="14" width="36.6296296296296" customWidth="1"/>
    <col min="15" max="15" width="28.5462962962963" customWidth="1"/>
    <col min="16" max="16" width="10.4537037037037" customWidth="1"/>
    <col min="17" max="17" width="19.5462962962963" customWidth="1"/>
    <col min="18" max="18" width="21.1759259259259" customWidth="1"/>
    <col min="19" max="19" width="20.3611111111111" customWidth="1"/>
    <col min="24" max="24" width="14.1759259259259" customWidth="1"/>
    <col min="26" max="26" width="14.1759259259259" customWidth="1"/>
    <col min="27" max="27" width="36.7222222222222" customWidth="1"/>
    <col min="28" max="28" width="14.1759259259259" customWidth="1"/>
    <col min="29" max="29" width="17.8148148148148" customWidth="1"/>
    <col min="30" max="30" width="28.9074074074074" customWidth="1"/>
    <col min="31" max="31" width="21.1759259259259" customWidth="1"/>
    <col min="32" max="32" width="46.7222222222222" customWidth="1"/>
    <col min="33" max="33" width="12.5462962962963" customWidth="1"/>
    <col min="34" max="34" width="13.1759259259259" customWidth="1"/>
    <col min="37" max="37" width="31.9074074074074" customWidth="1"/>
    <col min="38" max="38" width="16.0925925925926" customWidth="1"/>
    <col min="39" max="39" width="16.4537037037037" customWidth="1"/>
    <col min="47" max="47" width="36.6296296296296" customWidth="1"/>
    <col min="48" max="48" width="16.3611111111111" customWidth="1"/>
    <col min="49" max="925" width="6.26851851851852" customWidth="1"/>
    <col min="926" max="926" width="10.4537037037037" customWidth="1"/>
  </cols>
  <sheetData>
    <row r="1" spans="1:39">
      <c r="A1" s="56" t="s">
        <v>830</v>
      </c>
      <c r="B1" s="57" t="s">
        <v>831</v>
      </c>
      <c r="C1" s="56" t="s">
        <v>832</v>
      </c>
      <c r="D1" s="56" t="s">
        <v>833</v>
      </c>
      <c r="E1" s="56" t="s">
        <v>834</v>
      </c>
      <c r="F1" s="56" t="s">
        <v>835</v>
      </c>
      <c r="G1" s="56" t="s">
        <v>836</v>
      </c>
      <c r="H1" s="56"/>
      <c r="I1" s="65"/>
      <c r="J1" s="66"/>
      <c r="M1" s="56" t="s">
        <v>830</v>
      </c>
      <c r="N1" s="57" t="s">
        <v>831</v>
      </c>
      <c r="O1" s="56" t="s">
        <v>832</v>
      </c>
      <c r="P1" s="56" t="s">
        <v>833</v>
      </c>
      <c r="Q1" s="56" t="s">
        <v>834</v>
      </c>
      <c r="R1" s="56" t="s">
        <v>835</v>
      </c>
      <c r="S1" s="56" t="s">
        <v>836</v>
      </c>
      <c r="X1" s="56" t="s">
        <v>837</v>
      </c>
      <c r="Z1" s="56" t="s">
        <v>830</v>
      </c>
      <c r="AB1" s="65" t="s">
        <v>838</v>
      </c>
      <c r="AC1" s="65" t="s">
        <v>839</v>
      </c>
      <c r="AD1" s="65" t="s">
        <v>840</v>
      </c>
      <c r="AE1" s="65" t="s">
        <v>794</v>
      </c>
      <c r="AF1" s="65" t="s">
        <v>841</v>
      </c>
      <c r="AG1" s="65" t="s">
        <v>842</v>
      </c>
      <c r="AH1" s="65" t="s">
        <v>843</v>
      </c>
      <c r="AI1" s="65" t="s">
        <v>844</v>
      </c>
      <c r="AJ1" s="66"/>
      <c r="AK1" s="33" t="str" cm="1">
        <f t="array" ref="AK1:AK27">'Output Dashboard '!$A$4:$A$30</f>
        <v>Selected Funds </v>
      </c>
      <c r="AL1" s="33" t="s">
        <v>74</v>
      </c>
      <c r="AM1" s="33" t="s">
        <v>845</v>
      </c>
    </row>
    <row r="2" ht="28.8" spans="1:39">
      <c r="A2" s="58" t="s">
        <v>846</v>
      </c>
      <c r="B2" s="59" t="s">
        <v>28</v>
      </c>
      <c r="C2" s="60" t="str" cm="1">
        <f t="array" ref="C2:C1175">VLOOKUP($A$2:$A$1175,$AB$1:$AD$477,2,FALSE)</f>
        <v>3M India Ltd</v>
      </c>
      <c r="D2" s="61">
        <v>0.0089298112998654</v>
      </c>
      <c r="E2" s="62">
        <f>_xlfn.IFNA(D2*VLOOKUP($B2,$AK$1:$AM$34,3,FALSE),0)</f>
        <v>0.00074415094165545</v>
      </c>
      <c r="F2" s="60" t="str" cm="1">
        <f t="array" ref="F2:F1175">VLOOKUP($A$2:$A$1175,$AB$1:$AD$477,3,FALSE)</f>
        <v>Industrials</v>
      </c>
      <c r="G2" s="62">
        <f>_xlfn.IFNA(D2*VLOOKUP($B2,$AK$1:$AM$34,3,FALSE),0)</f>
        <v>0.00074415094165545</v>
      </c>
      <c r="H2" s="60"/>
      <c r="J2" s="6"/>
      <c r="M2" s="58" t="s">
        <v>847</v>
      </c>
      <c r="N2" s="67" t="s">
        <v>47</v>
      </c>
      <c r="O2" s="60" t="str" cm="1">
        <f t="array" ref="O2:O377">VLOOKUP($M$2:$M$377,$AB$1:$AD$477,2,FALSE)</f>
        <v>360 ONE WAM Ltd</v>
      </c>
      <c r="P2" s="68">
        <v>0.00329182026520636</v>
      </c>
      <c r="Q2" s="62">
        <f>P2*VLOOKUP(N2,'Selector Sheet '!$B$13:$D$43,2,FALSE)</f>
        <v>0</v>
      </c>
      <c r="R2" s="60" t="str" cm="1">
        <f t="array" ref="R2:R377">VLOOKUP($M$2:$M$377,$AB$1:$AD$477,3,FALSE)</f>
        <v>Financials</v>
      </c>
      <c r="S2" s="62">
        <f>P2*VLOOKUP(N2,'Selector Sheet '!$B$13:$D$43,2,FALSE)</f>
        <v>0</v>
      </c>
      <c r="T2" s="60"/>
      <c r="X2" s="60" t="str" cm="1">
        <f t="array" ref="X2:X477">_xlfn.UNIQUE(Z2:Z1546)</f>
        <v>INE470A01017</v>
      </c>
      <c r="Z2" s="58" t="s">
        <v>846</v>
      </c>
      <c r="AB2" t="s">
        <v>846</v>
      </c>
      <c r="AC2" t="s">
        <v>848</v>
      </c>
      <c r="AD2" t="s">
        <v>849</v>
      </c>
      <c r="AE2">
        <v>71.8638109368528</v>
      </c>
      <c r="AF2">
        <v>23.8427086811207</v>
      </c>
      <c r="AG2">
        <v>4760.674</v>
      </c>
      <c r="AH2">
        <v>422.604919</v>
      </c>
      <c r="AI2">
        <v>342120175900</v>
      </c>
      <c r="AK2" t="str">
        <v>Large Cap</v>
      </c>
      <c r="AL2" s="71" t="str" cm="1">
        <f t="array" ref="AL2:AL34">_xlfn.IFNA(VLOOKUP($AK$2:$AK$34,'Selector Sheet '!$B$14:$D$59,2,FALSE),"")</f>
        <v/>
      </c>
      <c r="AM2" s="72" t="e" cm="1">
        <f t="array" ref="AM2:AM34">_xlfn.IFNA((_xlfn.ANCHORARRAY($AL$2)*1),0)/SUM(_xlfn.ANCHORARRAY($AL$2))</f>
        <v>#VALUE!</v>
      </c>
    </row>
    <row r="3" ht="28.8" spans="1:39">
      <c r="A3" s="63" t="s">
        <v>850</v>
      </c>
      <c r="B3" s="59" t="s">
        <v>28</v>
      </c>
      <c r="C3" s="60" t="str">
        <v>ABB India Ltd</v>
      </c>
      <c r="D3" s="64">
        <v>0.010443693136356</v>
      </c>
      <c r="E3" s="62">
        <f t="shared" ref="E3:E65" si="0">_xlfn.IFNA(D3*VLOOKUP($B3,$AK$1:$AM$34,3,FALSE),0)</f>
        <v>0.000870307761363</v>
      </c>
      <c r="F3" s="60" t="str">
        <v>Industrials</v>
      </c>
      <c r="G3" s="62">
        <f t="shared" ref="G3:G65" si="1">_xlfn.IFNA(D3*VLOOKUP($B3,$AK$1:$AM$34,3,FALSE),0)</f>
        <v>0.000870307761363</v>
      </c>
      <c r="H3" s="60"/>
      <c r="J3" s="6"/>
      <c r="M3" s="63" t="s">
        <v>851</v>
      </c>
      <c r="N3" s="69" t="s">
        <v>47</v>
      </c>
      <c r="O3" s="60" t="str">
        <v>Aarti Industries Ltd</v>
      </c>
      <c r="P3" s="70">
        <v>0.00393755895079178</v>
      </c>
      <c r="Q3" s="62">
        <f>P3*VLOOKUP(N3,'Selector Sheet '!$B$13:$D$43,2,FALSE)</f>
        <v>0</v>
      </c>
      <c r="R3" s="60" t="str">
        <v>Materials</v>
      </c>
      <c r="S3" s="62">
        <f>P3*VLOOKUP(N3,'Selector Sheet '!$B$13:$D$43,2,FALSE)</f>
        <v>0</v>
      </c>
      <c r="T3" s="60"/>
      <c r="X3" s="60" t="str">
        <v>INE117A01022</v>
      </c>
      <c r="Z3" s="63" t="s">
        <v>850</v>
      </c>
      <c r="AB3" t="s">
        <v>850</v>
      </c>
      <c r="AC3" t="s">
        <v>852</v>
      </c>
      <c r="AD3" t="s">
        <v>849</v>
      </c>
      <c r="AE3">
        <v>57.1614288944156</v>
      </c>
      <c r="AF3">
        <v>28.7502304147465</v>
      </c>
      <c r="AG3">
        <v>18716.4</v>
      </c>
      <c r="AH3">
        <v>88.32</v>
      </c>
      <c r="AI3">
        <v>1071514698187.5</v>
      </c>
      <c r="AK3" t="str">
        <v>Nippon India Large Cap Fund(G)</v>
      </c>
      <c r="AL3" s="71">
        <v>0.5</v>
      </c>
      <c r="AM3" s="72">
        <v>0.416666666666667</v>
      </c>
    </row>
    <row r="4" ht="28.8" spans="1:41">
      <c r="A4" s="58" t="s">
        <v>853</v>
      </c>
      <c r="B4" s="59" t="s">
        <v>28</v>
      </c>
      <c r="C4" s="60" t="str">
        <v>Abbott India Ltd</v>
      </c>
      <c r="D4" s="61">
        <v>0.0195305339731047</v>
      </c>
      <c r="E4" s="62">
        <f t="shared" si="0"/>
        <v>0.00162754449775872</v>
      </c>
      <c r="F4" s="60" t="str">
        <v>Health Care</v>
      </c>
      <c r="G4" s="62">
        <f t="shared" si="1"/>
        <v>0.00162754449775872</v>
      </c>
      <c r="H4" s="60"/>
      <c r="J4" s="6"/>
      <c r="M4" s="58" t="s">
        <v>853</v>
      </c>
      <c r="N4" s="67" t="s">
        <v>47</v>
      </c>
      <c r="O4" s="60" t="str">
        <v>Abbott India Ltd</v>
      </c>
      <c r="P4" s="68">
        <v>0.00481740243751207</v>
      </c>
      <c r="Q4" s="62">
        <f>P4*VLOOKUP(N4,'Selector Sheet '!$B$13:$D$43,2,FALSE)</f>
        <v>0</v>
      </c>
      <c r="R4" s="60" t="str">
        <v>Health Care</v>
      </c>
      <c r="S4" s="62">
        <f>P4*VLOOKUP(N4,'Selector Sheet '!$B$13:$D$43,2,FALSE)</f>
        <v>0</v>
      </c>
      <c r="T4" s="60"/>
      <c r="X4" s="60" t="str">
        <v>INE358A01014</v>
      </c>
      <c r="Z4" s="58" t="s">
        <v>853</v>
      </c>
      <c r="AB4" t="s">
        <v>853</v>
      </c>
      <c r="AC4" t="s">
        <v>854</v>
      </c>
      <c r="AD4" t="s">
        <v>855</v>
      </c>
      <c r="AE4">
        <v>49.8031910098855</v>
      </c>
      <c r="AF4">
        <v>35.6639653859537</v>
      </c>
      <c r="AG4">
        <v>14144.4</v>
      </c>
      <c r="AH4">
        <v>665.62</v>
      </c>
      <c r="AI4">
        <v>704414361300</v>
      </c>
      <c r="AK4" t="str">
        <v>Canara Rob Bluechip Equity Fund-Reg(G)</v>
      </c>
      <c r="AL4" s="71">
        <v>0.5</v>
      </c>
      <c r="AM4" s="72">
        <v>0.416666666666667</v>
      </c>
      <c r="AO4" s="54"/>
    </row>
    <row r="5" ht="28.8" spans="1:39">
      <c r="A5" s="63" t="s">
        <v>856</v>
      </c>
      <c r="B5" s="59" t="s">
        <v>28</v>
      </c>
      <c r="C5" s="60" t="str">
        <v>Aditya Birla Real Estate Ltd</v>
      </c>
      <c r="D5" s="64">
        <v>0.0108818901606451</v>
      </c>
      <c r="E5" s="62">
        <f t="shared" si="0"/>
        <v>0.000906824180053758</v>
      </c>
      <c r="F5" s="60" t="str">
        <v>Materials</v>
      </c>
      <c r="G5" s="62">
        <f t="shared" si="1"/>
        <v>0.000906824180053758</v>
      </c>
      <c r="H5" s="60"/>
      <c r="J5" s="6"/>
      <c r="M5" s="63" t="s">
        <v>857</v>
      </c>
      <c r="N5" s="69" t="s">
        <v>47</v>
      </c>
      <c r="O5" s="60" t="str">
        <v>Aditya Birla Capital Ltd</v>
      </c>
      <c r="P5" s="70">
        <v>0.00330891727983542</v>
      </c>
      <c r="Q5" s="62">
        <f>P5*VLOOKUP(N5,'Selector Sheet '!$B$13:$D$43,2,FALSE)</f>
        <v>0</v>
      </c>
      <c r="R5" s="60" t="str">
        <v>Financials</v>
      </c>
      <c r="S5" s="62">
        <f>P5*VLOOKUP(N5,'Selector Sheet '!$B$13:$D$43,2,FALSE)</f>
        <v>0</v>
      </c>
      <c r="T5" s="60"/>
      <c r="X5" s="60" t="str">
        <v>INE055A01016</v>
      </c>
      <c r="Z5" s="63" t="s">
        <v>856</v>
      </c>
      <c r="AB5" t="s">
        <v>856</v>
      </c>
      <c r="AC5" t="s">
        <v>858</v>
      </c>
      <c r="AD5" t="s">
        <v>859</v>
      </c>
      <c r="AE5" t="s">
        <v>860</v>
      </c>
      <c r="AF5">
        <v>-4.12512996538093</v>
      </c>
      <c r="AG5">
        <v>-1612.8</v>
      </c>
      <c r="AH5">
        <v>-14.596217</v>
      </c>
      <c r="AI5">
        <v>200259184672</v>
      </c>
      <c r="AK5">
        <v>0</v>
      </c>
      <c r="AL5" s="71" t="str">
        <v/>
      </c>
      <c r="AM5" s="72" t="e">
        <v>#VALUE!</v>
      </c>
    </row>
    <row r="6" ht="28.8" spans="1:39">
      <c r="A6" s="58" t="s">
        <v>861</v>
      </c>
      <c r="B6" s="59" t="s">
        <v>28</v>
      </c>
      <c r="C6" s="60" t="str">
        <v>Ajanta Pharma Ltd</v>
      </c>
      <c r="D6" s="61">
        <v>0.00902966411314743</v>
      </c>
      <c r="E6" s="62">
        <f t="shared" si="0"/>
        <v>0.000752472009428953</v>
      </c>
      <c r="F6" s="60" t="str">
        <v>Health Care</v>
      </c>
      <c r="G6" s="62">
        <f t="shared" si="1"/>
        <v>0.000752472009428953</v>
      </c>
      <c r="H6" s="60"/>
      <c r="J6" s="6"/>
      <c r="M6" s="58" t="s">
        <v>862</v>
      </c>
      <c r="N6" s="67" t="s">
        <v>47</v>
      </c>
      <c r="O6" s="60" t="str">
        <v>Anthem Biosciences Ltd</v>
      </c>
      <c r="P6" s="68">
        <v>0.000801738194923775</v>
      </c>
      <c r="Q6" s="62">
        <f>P6*VLOOKUP(N6,'Selector Sheet '!$B$13:$D$43,2,FALSE)</f>
        <v>0</v>
      </c>
      <c r="R6" s="60" t="str">
        <v>Health Care</v>
      </c>
      <c r="S6" s="62">
        <f>P6*VLOOKUP(N6,'Selector Sheet '!$B$13:$D$43,2,FALSE)</f>
        <v>0</v>
      </c>
      <c r="T6" s="60"/>
      <c r="X6" s="60" t="str">
        <v>INE031B01049</v>
      </c>
      <c r="Z6" s="58" t="s">
        <v>861</v>
      </c>
      <c r="AB6" t="s">
        <v>861</v>
      </c>
      <c r="AC6" t="s">
        <v>863</v>
      </c>
      <c r="AD6" t="s">
        <v>855</v>
      </c>
      <c r="AE6">
        <v>36.3526386304547</v>
      </c>
      <c r="AF6">
        <v>25.0185860974632</v>
      </c>
      <c r="AG6">
        <v>9203.9</v>
      </c>
      <c r="AH6">
        <v>73.56</v>
      </c>
      <c r="AI6">
        <v>334090352138.4</v>
      </c>
      <c r="AK6">
        <v>0</v>
      </c>
      <c r="AL6" s="71" t="str">
        <v/>
      </c>
      <c r="AM6" s="72" t="e">
        <v>#VALUE!</v>
      </c>
    </row>
    <row r="7" ht="28.8" spans="1:39">
      <c r="A7" s="63" t="s">
        <v>864</v>
      </c>
      <c r="B7" s="59" t="s">
        <v>28</v>
      </c>
      <c r="C7" s="60" t="str">
        <v>Angel One Ltd</v>
      </c>
      <c r="D7" s="64">
        <v>0</v>
      </c>
      <c r="E7" s="62">
        <f t="shared" si="0"/>
        <v>0</v>
      </c>
      <c r="F7" s="60" t="str">
        <v>Financials</v>
      </c>
      <c r="G7" s="62">
        <f t="shared" si="1"/>
        <v>0</v>
      </c>
      <c r="H7" s="60"/>
      <c r="J7" s="6"/>
      <c r="M7" s="63" t="s">
        <v>865</v>
      </c>
      <c r="N7" s="69" t="s">
        <v>47</v>
      </c>
      <c r="O7" s="60" t="str">
        <v>Apollo Hospitals Enterprise Lt</v>
      </c>
      <c r="P7" s="70">
        <v>0.0109121480886964</v>
      </c>
      <c r="Q7" s="62">
        <f>P7*VLOOKUP(N7,'Selector Sheet '!$B$13:$D$43,2,FALSE)</f>
        <v>0</v>
      </c>
      <c r="R7" s="60" t="str">
        <v>Health Care</v>
      </c>
      <c r="S7" s="62">
        <f>P7*VLOOKUP(N7,'Selector Sheet '!$B$13:$D$43,2,FALSE)</f>
        <v>0</v>
      </c>
      <c r="T7" s="60"/>
      <c r="X7" s="60" t="str">
        <v>INE732I01013</v>
      </c>
      <c r="Z7" s="63" t="s">
        <v>864</v>
      </c>
      <c r="AB7" t="s">
        <v>864</v>
      </c>
      <c r="AC7" t="s">
        <v>866</v>
      </c>
      <c r="AD7" t="s">
        <v>867</v>
      </c>
      <c r="AE7">
        <v>20.8323721645521</v>
      </c>
      <c r="AF7">
        <v>27.0688421398566</v>
      </c>
      <c r="AG7">
        <v>11720.81</v>
      </c>
      <c r="AH7">
        <v>130.05</v>
      </c>
      <c r="AI7">
        <v>245561456654</v>
      </c>
      <c r="AK7">
        <v>0</v>
      </c>
      <c r="AL7" s="71" t="str">
        <v/>
      </c>
      <c r="AM7" s="72" t="e">
        <v>#VALUE!</v>
      </c>
    </row>
    <row r="8" ht="28.8" spans="1:39">
      <c r="A8" s="58" t="s">
        <v>868</v>
      </c>
      <c r="B8" s="59" t="s">
        <v>28</v>
      </c>
      <c r="C8" s="60" t="str">
        <v>APL Apollo Tubes Ltd</v>
      </c>
      <c r="D8" s="61">
        <v>0.00293384418251259</v>
      </c>
      <c r="E8" s="62">
        <f t="shared" si="0"/>
        <v>0.000244487015209382</v>
      </c>
      <c r="F8" s="60" t="str">
        <v>Materials</v>
      </c>
      <c r="G8" s="62">
        <f t="shared" si="1"/>
        <v>0.000244487015209382</v>
      </c>
      <c r="H8" s="60"/>
      <c r="J8" s="6"/>
      <c r="M8" s="58" t="s">
        <v>869</v>
      </c>
      <c r="N8" s="67" t="s">
        <v>47</v>
      </c>
      <c r="O8" s="60" t="str">
        <v>Aptus Value Housing Finance In</v>
      </c>
      <c r="P8" s="68">
        <v>0</v>
      </c>
      <c r="Q8" s="62">
        <f>P8*VLOOKUP(N8,'Selector Sheet '!$B$13:$D$43,2,FALSE)</f>
        <v>0</v>
      </c>
      <c r="R8" s="60" t="str">
        <v>Financials</v>
      </c>
      <c r="S8" s="62">
        <f>P8*VLOOKUP(N8,'Selector Sheet '!$B$13:$D$43,2,FALSE)</f>
        <v>0</v>
      </c>
      <c r="T8" s="60"/>
      <c r="X8" s="60" t="str">
        <v>INE702C01027</v>
      </c>
      <c r="Z8" s="58" t="s">
        <v>868</v>
      </c>
      <c r="AB8" t="s">
        <v>868</v>
      </c>
      <c r="AC8" t="s">
        <v>870</v>
      </c>
      <c r="AD8" t="s">
        <v>859</v>
      </c>
      <c r="AE8">
        <v>58.7646618616546</v>
      </c>
      <c r="AF8">
        <v>19.3786524072932</v>
      </c>
      <c r="AG8">
        <v>7570.6</v>
      </c>
      <c r="AH8">
        <v>27.28</v>
      </c>
      <c r="AI8">
        <v>444899628548.4</v>
      </c>
      <c r="AK8">
        <v>0</v>
      </c>
      <c r="AL8" s="71" t="str">
        <v/>
      </c>
      <c r="AM8" s="72" t="e">
        <v>#VALUE!</v>
      </c>
    </row>
    <row r="9" ht="28.8" spans="1:39">
      <c r="A9" s="63" t="s">
        <v>871</v>
      </c>
      <c r="B9" s="59" t="s">
        <v>28</v>
      </c>
      <c r="C9" s="60" t="str">
        <v>Arvind Fashions Ltd</v>
      </c>
      <c r="D9" s="64">
        <v>0.00161824726270398</v>
      </c>
      <c r="E9" s="62">
        <f t="shared" si="0"/>
        <v>0.000134853938558665</v>
      </c>
      <c r="F9" s="60" t="str">
        <v>Consumer Discretionary</v>
      </c>
      <c r="G9" s="62">
        <f t="shared" si="1"/>
        <v>0.000134853938558665</v>
      </c>
      <c r="H9" s="60"/>
      <c r="J9" s="6"/>
      <c r="M9" s="63" t="s">
        <v>872</v>
      </c>
      <c r="N9" s="69" t="s">
        <v>47</v>
      </c>
      <c r="O9" s="60" t="str">
        <v>AU Small Finance Bank Ltd</v>
      </c>
      <c r="P9" s="70">
        <v>0.00586062521491952</v>
      </c>
      <c r="Q9" s="62">
        <f>P9*VLOOKUP(N9,'Selector Sheet '!$B$13:$D$43,2,FALSE)</f>
        <v>0</v>
      </c>
      <c r="R9" s="60" t="str">
        <v>Financials</v>
      </c>
      <c r="S9" s="62">
        <f>P9*VLOOKUP(N9,'Selector Sheet '!$B$13:$D$43,2,FALSE)</f>
        <v>0</v>
      </c>
      <c r="T9" s="60"/>
      <c r="X9" s="60" t="str">
        <v>INE955V01021</v>
      </c>
      <c r="Z9" s="63" t="s">
        <v>871</v>
      </c>
      <c r="AB9" t="s">
        <v>871</v>
      </c>
      <c r="AC9" t="s">
        <v>873</v>
      </c>
      <c r="AD9" t="s">
        <v>874</v>
      </c>
      <c r="AE9" t="s">
        <v>860</v>
      </c>
      <c r="AF9">
        <v>-3.62883274417086</v>
      </c>
      <c r="AG9">
        <v>-355.7</v>
      </c>
      <c r="AH9">
        <v>-2.67</v>
      </c>
      <c r="AI9">
        <v>69394381655.65</v>
      </c>
      <c r="AK9" t="str">
        <v>Large -Mid Cap </v>
      </c>
      <c r="AL9" s="71" t="str">
        <v/>
      </c>
      <c r="AM9" s="72" t="e">
        <v>#VALUE!</v>
      </c>
    </row>
    <row r="10" ht="28.8" spans="1:39">
      <c r="A10" s="58" t="s">
        <v>875</v>
      </c>
      <c r="B10" s="59" t="s">
        <v>28</v>
      </c>
      <c r="C10" s="60" t="str">
        <v>Bajaj Auto Ltd</v>
      </c>
      <c r="D10" s="61">
        <v>0.00843449625899496</v>
      </c>
      <c r="E10" s="62">
        <f t="shared" si="0"/>
        <v>0.00070287468824958</v>
      </c>
      <c r="F10" s="60" t="str">
        <v>Consumer Discretionary</v>
      </c>
      <c r="G10" s="62">
        <f t="shared" si="1"/>
        <v>0.00070287468824958</v>
      </c>
      <c r="H10" s="60"/>
      <c r="J10" s="6"/>
      <c r="M10" s="58" t="s">
        <v>876</v>
      </c>
      <c r="N10" s="67" t="s">
        <v>47</v>
      </c>
      <c r="O10" s="60" t="str">
        <v>Avenue Supermarts Ltd</v>
      </c>
      <c r="P10" s="68">
        <v>0.0060445568839605</v>
      </c>
      <c r="Q10" s="62">
        <f>P10*VLOOKUP(N10,'Selector Sheet '!$B$13:$D$43,2,FALSE)</f>
        <v>0</v>
      </c>
      <c r="R10" s="60" t="str">
        <v>Consumer Staples</v>
      </c>
      <c r="S10" s="62">
        <f>P10*VLOOKUP(N10,'Selector Sheet '!$B$13:$D$43,2,FALSE)</f>
        <v>0</v>
      </c>
      <c r="T10" s="60"/>
      <c r="X10" s="60" t="str">
        <v>INE917I01010</v>
      </c>
      <c r="Z10" s="58" t="s">
        <v>875</v>
      </c>
      <c r="AB10" t="s">
        <v>875</v>
      </c>
      <c r="AC10" t="s">
        <v>877</v>
      </c>
      <c r="AD10" t="s">
        <v>874</v>
      </c>
      <c r="AE10">
        <v>32.7125037393612</v>
      </c>
      <c r="AF10">
        <v>22.8358493963086</v>
      </c>
      <c r="AG10">
        <v>73247.3</v>
      </c>
      <c r="AH10">
        <v>262.437876</v>
      </c>
      <c r="AI10">
        <v>2397426564680</v>
      </c>
      <c r="AK10" t="str">
        <v>SBI Large &amp; Midcap Fund-Reg(G)</v>
      </c>
      <c r="AL10" s="71">
        <v>0.1</v>
      </c>
      <c r="AM10" s="72">
        <v>0.0833333333333333</v>
      </c>
    </row>
    <row r="11" ht="28.8" spans="1:39">
      <c r="A11" s="63" t="s">
        <v>878</v>
      </c>
      <c r="B11" s="59" t="s">
        <v>28</v>
      </c>
      <c r="C11" s="60" t="str">
        <v>Bajaj Finance Ltd</v>
      </c>
      <c r="D11" s="64">
        <v>0.0117791408565004</v>
      </c>
      <c r="E11" s="62">
        <f t="shared" si="0"/>
        <v>0.000981595071375033</v>
      </c>
      <c r="F11" s="60" t="str">
        <v>Financials</v>
      </c>
      <c r="G11" s="62">
        <f t="shared" si="1"/>
        <v>0.000981595071375033</v>
      </c>
      <c r="H11" s="60"/>
      <c r="J11" s="6"/>
      <c r="M11" s="63" t="s">
        <v>879</v>
      </c>
      <c r="N11" s="69" t="s">
        <v>47</v>
      </c>
      <c r="O11" s="60" t="str">
        <v>Axis Bank Ltd</v>
      </c>
      <c r="P11" s="70">
        <v>0.0145607854726565</v>
      </c>
      <c r="Q11" s="62">
        <f>P11*VLOOKUP(N11,'Selector Sheet '!$B$13:$D$43,2,FALSE)</f>
        <v>0</v>
      </c>
      <c r="R11" s="60" t="str">
        <v>Financials</v>
      </c>
      <c r="S11" s="62">
        <f>P11*VLOOKUP(N11,'Selector Sheet '!$B$13:$D$43,2,FALSE)</f>
        <v>0</v>
      </c>
      <c r="T11" s="60"/>
      <c r="X11" s="60" t="str">
        <v>INE296A01032</v>
      </c>
      <c r="Z11" s="63" t="s">
        <v>878</v>
      </c>
      <c r="AB11" t="s">
        <v>878</v>
      </c>
      <c r="AC11" t="s">
        <v>880</v>
      </c>
      <c r="AD11" t="s">
        <v>867</v>
      </c>
      <c r="AE11">
        <v>33.8848809322886</v>
      </c>
      <c r="AF11">
        <v>19.1914075823606</v>
      </c>
      <c r="AG11">
        <v>166378.2</v>
      </c>
      <c r="AH11">
        <v>26.894</v>
      </c>
      <c r="AI11">
        <v>5663079305676</v>
      </c>
      <c r="AK11" t="str">
        <v>Canara Rob Emerg Equities Fund-Reg(G)</v>
      </c>
      <c r="AL11" s="71">
        <v>0.1</v>
      </c>
      <c r="AM11" s="72">
        <v>0.0833333333333333</v>
      </c>
    </row>
    <row r="12" ht="28.8" spans="1:39">
      <c r="A12" s="58" t="s">
        <v>881</v>
      </c>
      <c r="B12" s="59" t="s">
        <v>28</v>
      </c>
      <c r="C12" s="60" t="str">
        <v>Bata India Ltd</v>
      </c>
      <c r="D12" s="61">
        <v>0.00952762879751691</v>
      </c>
      <c r="E12" s="62">
        <f t="shared" si="0"/>
        <v>0.000793969066459742</v>
      </c>
      <c r="F12" s="60" t="str">
        <v>Consumer Discretionary</v>
      </c>
      <c r="G12" s="62">
        <f t="shared" si="1"/>
        <v>0.000793969066459742</v>
      </c>
      <c r="H12" s="60"/>
      <c r="J12" s="6"/>
      <c r="M12" s="58" t="s">
        <v>878</v>
      </c>
      <c r="N12" s="67" t="s">
        <v>47</v>
      </c>
      <c r="O12" s="60" t="str">
        <v>Bajaj Finance Ltd</v>
      </c>
      <c r="P12" s="68">
        <v>0.0197403522433742</v>
      </c>
      <c r="Q12" s="62">
        <f>P12*VLOOKUP(N12,'Selector Sheet '!$B$13:$D$43,2,FALSE)</f>
        <v>0</v>
      </c>
      <c r="R12" s="60" t="str">
        <v>Financials</v>
      </c>
      <c r="S12" s="62">
        <f>P12*VLOOKUP(N12,'Selector Sheet '!$B$13:$D$43,2,FALSE)</f>
        <v>0</v>
      </c>
      <c r="T12" s="60"/>
      <c r="X12" s="60" t="str">
        <v>INE176A01028</v>
      </c>
      <c r="Z12" s="58" t="s">
        <v>881</v>
      </c>
      <c r="AB12" t="s">
        <v>881</v>
      </c>
      <c r="AC12" t="s">
        <v>882</v>
      </c>
      <c r="AD12" t="s">
        <v>874</v>
      </c>
      <c r="AE12">
        <v>42.6622600533181</v>
      </c>
      <c r="AF12">
        <v>21.320554343698</v>
      </c>
      <c r="AG12">
        <v>3306.56</v>
      </c>
      <c r="AH12">
        <v>25.73</v>
      </c>
      <c r="AI12">
        <v>141084680658</v>
      </c>
      <c r="AK12">
        <v>0</v>
      </c>
      <c r="AL12" s="71" t="str">
        <v/>
      </c>
      <c r="AM12" s="72" t="e">
        <v>#VALUE!</v>
      </c>
    </row>
    <row r="13" ht="28.8" spans="1:39">
      <c r="A13" s="63" t="s">
        <v>883</v>
      </c>
      <c r="B13" s="59" t="s">
        <v>28</v>
      </c>
      <c r="C13" s="60" t="str">
        <v>Berger Paints India Ltd</v>
      </c>
      <c r="D13" s="64">
        <v>0.00125550050041668</v>
      </c>
      <c r="E13" s="62">
        <f t="shared" si="0"/>
        <v>0.00010462504170139</v>
      </c>
      <c r="F13" s="60" t="str">
        <v>Materials</v>
      </c>
      <c r="G13" s="62">
        <f t="shared" si="1"/>
        <v>0.00010462504170139</v>
      </c>
      <c r="H13" s="60"/>
      <c r="J13" s="6"/>
      <c r="M13" s="63" t="s">
        <v>884</v>
      </c>
      <c r="N13" s="69" t="s">
        <v>47</v>
      </c>
      <c r="O13" s="60" t="str">
        <v>Bajaj Finserv Ltd</v>
      </c>
      <c r="P13" s="70">
        <v>0.00596733497700764</v>
      </c>
      <c r="Q13" s="62">
        <f>P13*VLOOKUP(N13,'Selector Sheet '!$B$13:$D$43,2,FALSE)</f>
        <v>0</v>
      </c>
      <c r="R13" s="60" t="str">
        <v>Financials</v>
      </c>
      <c r="S13" s="62">
        <f>P13*VLOOKUP(N13,'Selector Sheet '!$B$13:$D$43,2,FALSE)</f>
        <v>0</v>
      </c>
      <c r="T13" s="60"/>
      <c r="X13" s="60" t="str">
        <v>INE463A01038</v>
      </c>
      <c r="Z13" s="63" t="s">
        <v>883</v>
      </c>
      <c r="AB13" t="s">
        <v>883</v>
      </c>
      <c r="AC13" t="s">
        <v>885</v>
      </c>
      <c r="AD13" t="s">
        <v>859</v>
      </c>
      <c r="AE13">
        <v>52.9792514243145</v>
      </c>
      <c r="AF13">
        <v>20.469831536616</v>
      </c>
      <c r="AG13">
        <v>11804</v>
      </c>
      <c r="AH13">
        <v>10.13</v>
      </c>
      <c r="AI13">
        <v>625094485760.85</v>
      </c>
      <c r="AK13">
        <v>0</v>
      </c>
      <c r="AL13" s="71" t="str">
        <v/>
      </c>
      <c r="AM13" s="72" t="e">
        <v>#VALUE!</v>
      </c>
    </row>
    <row r="14" ht="28.8" spans="1:39">
      <c r="A14" s="58" t="s">
        <v>886</v>
      </c>
      <c r="B14" s="59" t="s">
        <v>28</v>
      </c>
      <c r="C14" s="60" t="str">
        <v>Bharat Electronics Ltd</v>
      </c>
      <c r="D14" s="61">
        <v>0.0339375536794975</v>
      </c>
      <c r="E14" s="62">
        <f t="shared" si="0"/>
        <v>0.00282812947329146</v>
      </c>
      <c r="F14" s="60" t="str">
        <v>Industrials</v>
      </c>
      <c r="G14" s="62">
        <f t="shared" si="1"/>
        <v>0.00282812947329146</v>
      </c>
      <c r="H14" s="60"/>
      <c r="J14" s="6"/>
      <c r="M14" s="58" t="s">
        <v>886</v>
      </c>
      <c r="N14" s="67" t="s">
        <v>47</v>
      </c>
      <c r="O14" s="60" t="str">
        <v>Bharat Electronics Ltd</v>
      </c>
      <c r="P14" s="68">
        <v>0.0061181201704989</v>
      </c>
      <c r="Q14" s="62">
        <f>P14*VLOOKUP(N14,'Selector Sheet '!$B$13:$D$43,2,FALSE)</f>
        <v>0</v>
      </c>
      <c r="R14" s="60" t="str">
        <v>Industrials</v>
      </c>
      <c r="S14" s="62">
        <f>P14*VLOOKUP(N14,'Selector Sheet '!$B$13:$D$43,2,FALSE)</f>
        <v>0</v>
      </c>
      <c r="T14" s="60"/>
      <c r="X14" s="60" t="str">
        <v>INE263A01024</v>
      </c>
      <c r="Z14" s="58" t="s">
        <v>886</v>
      </c>
      <c r="AB14" t="s">
        <v>886</v>
      </c>
      <c r="AC14" t="s">
        <v>887</v>
      </c>
      <c r="AD14" t="s">
        <v>849</v>
      </c>
      <c r="AE14">
        <v>53.1662071144188</v>
      </c>
      <c r="AF14">
        <v>29.3189378838116</v>
      </c>
      <c r="AG14">
        <v>53214.4</v>
      </c>
      <c r="AH14">
        <v>7.28</v>
      </c>
      <c r="AI14">
        <v>2829249895764.45</v>
      </c>
      <c r="AK14" t="str">
        <v>Mid/Small cap</v>
      </c>
      <c r="AL14" s="71" t="str">
        <v/>
      </c>
      <c r="AM14" s="72" t="e">
        <v>#VALUE!</v>
      </c>
    </row>
    <row r="15" ht="28.8" spans="1:39">
      <c r="A15" s="63" t="s">
        <v>888</v>
      </c>
      <c r="B15" s="59" t="s">
        <v>28</v>
      </c>
      <c r="C15" s="60" t="str">
        <v>Bharat Forge Ltd</v>
      </c>
      <c r="D15" s="64">
        <v>0.00632867545444742</v>
      </c>
      <c r="E15" s="62">
        <f t="shared" si="0"/>
        <v>0.000527389621203952</v>
      </c>
      <c r="F15" s="60" t="str">
        <v>Consumer Discretionary</v>
      </c>
      <c r="G15" s="62">
        <f t="shared" si="1"/>
        <v>0.000527389621203952</v>
      </c>
      <c r="H15" s="60"/>
      <c r="J15" s="6"/>
      <c r="M15" s="63" t="s">
        <v>889</v>
      </c>
      <c r="N15" s="69" t="s">
        <v>47</v>
      </c>
      <c r="O15" s="60" t="str">
        <v>Bharat Petroleum Corp Ltd</v>
      </c>
      <c r="P15" s="70">
        <v>0.00512622752480359</v>
      </c>
      <c r="Q15" s="62">
        <f>P15*VLOOKUP(N15,'Selector Sheet '!$B$13:$D$43,2,FALSE)</f>
        <v>0</v>
      </c>
      <c r="R15" s="60" t="str">
        <v>Energy</v>
      </c>
      <c r="S15" s="62">
        <f>P15*VLOOKUP(N15,'Selector Sheet '!$B$13:$D$43,2,FALSE)</f>
        <v>0</v>
      </c>
      <c r="T15" s="60"/>
      <c r="X15" s="60" t="str">
        <v>INE465A01025</v>
      </c>
      <c r="Z15" s="63" t="s">
        <v>888</v>
      </c>
      <c r="AB15" t="s">
        <v>888</v>
      </c>
      <c r="AC15" t="s">
        <v>890</v>
      </c>
      <c r="AD15" t="s">
        <v>874</v>
      </c>
      <c r="AE15">
        <v>59.2768079800499</v>
      </c>
      <c r="AF15">
        <v>11.4610401985738</v>
      </c>
      <c r="AG15">
        <v>9411.53</v>
      </c>
      <c r="AH15">
        <v>20.05</v>
      </c>
      <c r="AI15">
        <v>568208339132</v>
      </c>
      <c r="AK15" t="str">
        <v>No funds selected</v>
      </c>
      <c r="AL15" s="71" t="str">
        <v/>
      </c>
      <c r="AM15" s="72" t="e">
        <v>#VALUE!</v>
      </c>
    </row>
    <row r="16" ht="28.8" spans="1:39">
      <c r="A16" s="58" t="s">
        <v>891</v>
      </c>
      <c r="B16" s="59" t="s">
        <v>28</v>
      </c>
      <c r="C16" s="60" t="str">
        <v>Bharti Airtel Ltd</v>
      </c>
      <c r="D16" s="61">
        <v>0.0154154223599642</v>
      </c>
      <c r="E16" s="62">
        <f t="shared" si="0"/>
        <v>0.00128461852999702</v>
      </c>
      <c r="F16" s="60" t="str">
        <v>Communication Services</v>
      </c>
      <c r="G16" s="62">
        <f t="shared" si="1"/>
        <v>0.00128461852999702</v>
      </c>
      <c r="H16" s="60"/>
      <c r="J16" s="6"/>
      <c r="M16" s="58" t="s">
        <v>891</v>
      </c>
      <c r="N16" s="67" t="s">
        <v>47</v>
      </c>
      <c r="O16" s="60" t="str">
        <v>Bharti Airtel Ltd</v>
      </c>
      <c r="P16" s="68">
        <v>0.0264760131425463</v>
      </c>
      <c r="Q16" s="62">
        <f>P16*VLOOKUP(N16,'Selector Sheet '!$B$13:$D$43,2,FALSE)</f>
        <v>0</v>
      </c>
      <c r="R16" s="60" t="str">
        <v>Communication Services</v>
      </c>
      <c r="S16" s="62">
        <f>P16*VLOOKUP(N16,'Selector Sheet '!$B$13:$D$43,2,FALSE)</f>
        <v>0</v>
      </c>
      <c r="T16" s="60"/>
      <c r="X16" s="60" t="str">
        <v>INE397D01024</v>
      </c>
      <c r="Z16" s="58" t="s">
        <v>891</v>
      </c>
      <c r="AB16" t="s">
        <v>891</v>
      </c>
      <c r="AC16" t="s">
        <v>892</v>
      </c>
      <c r="AD16" t="s">
        <v>893</v>
      </c>
      <c r="AE16">
        <v>30.8241840270666</v>
      </c>
      <c r="AF16">
        <v>33.9797616020359</v>
      </c>
      <c r="AG16">
        <v>335561</v>
      </c>
      <c r="AH16">
        <v>58</v>
      </c>
      <c r="AI16">
        <v>11286222346497.9</v>
      </c>
      <c r="AK16">
        <v>0</v>
      </c>
      <c r="AL16" s="71" t="str">
        <v/>
      </c>
      <c r="AM16" s="72" t="e">
        <v>#VALUE!</v>
      </c>
    </row>
    <row r="17" ht="28.8" spans="1:39">
      <c r="A17" s="63" t="s">
        <v>894</v>
      </c>
      <c r="B17" s="59" t="s">
        <v>28</v>
      </c>
      <c r="C17" s="60" t="str">
        <v>Bharti Hexacom Ltd</v>
      </c>
      <c r="D17" s="64">
        <v>0.0048441784383276</v>
      </c>
      <c r="E17" s="62">
        <f t="shared" si="0"/>
        <v>0.0004036815365273</v>
      </c>
      <c r="F17" s="60" t="str">
        <v>Communication Services</v>
      </c>
      <c r="G17" s="62">
        <f t="shared" si="1"/>
        <v>0.0004036815365273</v>
      </c>
      <c r="H17" s="60"/>
      <c r="J17" s="6"/>
      <c r="M17" s="63" t="s">
        <v>895</v>
      </c>
      <c r="N17" s="69" t="s">
        <v>47</v>
      </c>
      <c r="O17" s="60" t="str">
        <v>Biocon Ltd</v>
      </c>
      <c r="P17" s="70">
        <v>0</v>
      </c>
      <c r="Q17" s="62">
        <f>P17*VLOOKUP(N17,'Selector Sheet '!$B$13:$D$43,2,FALSE)</f>
        <v>0</v>
      </c>
      <c r="R17" s="60" t="str">
        <v>Health Care</v>
      </c>
      <c r="S17" s="62">
        <f>P17*VLOOKUP(N17,'Selector Sheet '!$B$13:$D$43,2,FALSE)</f>
        <v>0</v>
      </c>
      <c r="T17" s="60"/>
      <c r="X17" s="60" t="str">
        <v>INE343G01021</v>
      </c>
      <c r="Z17" s="63" t="s">
        <v>894</v>
      </c>
      <c r="AB17" t="s">
        <v>894</v>
      </c>
      <c r="AC17" t="s">
        <v>896</v>
      </c>
      <c r="AD17" t="s">
        <v>893</v>
      </c>
      <c r="AE17">
        <v>61.2008751393059</v>
      </c>
      <c r="AF17">
        <v>23.9520958083832</v>
      </c>
      <c r="AG17">
        <v>14936</v>
      </c>
      <c r="AH17">
        <v>29.87</v>
      </c>
      <c r="AI17">
        <v>840900000000</v>
      </c>
      <c r="AK17" t="str">
        <v>Multicap</v>
      </c>
      <c r="AL17" s="71" t="str">
        <v/>
      </c>
      <c r="AM17" s="72" t="e">
        <v>#VALUE!</v>
      </c>
    </row>
    <row r="18" ht="28.8" spans="1:39">
      <c r="A18" s="58" t="s">
        <v>895</v>
      </c>
      <c r="B18" s="59" t="s">
        <v>28</v>
      </c>
      <c r="C18" s="60" t="str">
        <v>Biocon Ltd</v>
      </c>
      <c r="D18" s="61">
        <v>0.000898041283723548</v>
      </c>
      <c r="E18" s="62">
        <f t="shared" si="0"/>
        <v>7.4836773643629e-5</v>
      </c>
      <c r="F18" s="60" t="str">
        <v>Health Care</v>
      </c>
      <c r="G18" s="62">
        <f t="shared" si="1"/>
        <v>7.4836773643629e-5</v>
      </c>
      <c r="H18" s="60"/>
      <c r="J18" s="6"/>
      <c r="M18" s="58" t="s">
        <v>897</v>
      </c>
      <c r="N18" s="67" t="s">
        <v>47</v>
      </c>
      <c r="O18" s="60" t="str">
        <v>Brigade Enterprises Ltd</v>
      </c>
      <c r="P18" s="68">
        <v>0.00550442568379987</v>
      </c>
      <c r="Q18" s="62">
        <f>P18*VLOOKUP(N18,'Selector Sheet '!$B$13:$D$43,2,FALSE)</f>
        <v>0</v>
      </c>
      <c r="R18" s="60" t="str">
        <v>Real Estate</v>
      </c>
      <c r="S18" s="62">
        <f>P18*VLOOKUP(N18,'Selector Sheet '!$B$13:$D$43,2,FALSE)</f>
        <v>0</v>
      </c>
      <c r="T18" s="60"/>
      <c r="X18" s="60" t="str">
        <v>INE376G01013</v>
      </c>
      <c r="Z18" s="58" t="s">
        <v>895</v>
      </c>
      <c r="AB18" t="s">
        <v>895</v>
      </c>
      <c r="AC18" t="s">
        <v>898</v>
      </c>
      <c r="AD18" t="s">
        <v>855</v>
      </c>
      <c r="AE18">
        <v>112.909592498672</v>
      </c>
      <c r="AF18" t="s">
        <v>860</v>
      </c>
      <c r="AG18">
        <v>10133</v>
      </c>
      <c r="AH18">
        <v>8.46</v>
      </c>
      <c r="AI18">
        <v>485585192232</v>
      </c>
      <c r="AK18" t="str">
        <v>No funds selected</v>
      </c>
      <c r="AL18" s="71" t="str">
        <v/>
      </c>
      <c r="AM18" s="72" t="e">
        <v>#VALUE!</v>
      </c>
    </row>
    <row r="19" ht="28.8" spans="1:39">
      <c r="A19" s="63" t="s">
        <v>899</v>
      </c>
      <c r="B19" s="59" t="s">
        <v>28</v>
      </c>
      <c r="C19" s="60" t="str">
        <v>Blue Dart Express Ltd</v>
      </c>
      <c r="D19" s="64">
        <v>0.00410843075427355</v>
      </c>
      <c r="E19" s="62">
        <f t="shared" si="0"/>
        <v>0.000342369229522796</v>
      </c>
      <c r="F19" s="60" t="str">
        <v>Industrials</v>
      </c>
      <c r="G19" s="62">
        <f t="shared" si="1"/>
        <v>0.000342369229522796</v>
      </c>
      <c r="H19" s="60"/>
      <c r="J19" s="6"/>
      <c r="M19" s="63" t="s">
        <v>900</v>
      </c>
      <c r="N19" s="69" t="s">
        <v>47</v>
      </c>
      <c r="O19" s="60" t="str">
        <v>Britannia Industries Ltd</v>
      </c>
      <c r="P19" s="70">
        <v>0.00396395105019175</v>
      </c>
      <c r="Q19" s="62">
        <f>P19*VLOOKUP(N19,'Selector Sheet '!$B$13:$D$43,2,FALSE)</f>
        <v>0</v>
      </c>
      <c r="R19" s="60" t="str">
        <v>Consumer Staples</v>
      </c>
      <c r="S19" s="62">
        <f>P19*VLOOKUP(N19,'Selector Sheet '!$B$13:$D$43,2,FALSE)</f>
        <v>0</v>
      </c>
      <c r="T19" s="60"/>
      <c r="X19" s="60" t="str">
        <v>INE233B01017</v>
      </c>
      <c r="Z19" s="63" t="s">
        <v>899</v>
      </c>
      <c r="AB19" t="s">
        <v>899</v>
      </c>
      <c r="AC19" t="s">
        <v>901</v>
      </c>
      <c r="AD19" t="s">
        <v>849</v>
      </c>
      <c r="AE19">
        <v>56.3618956438487</v>
      </c>
      <c r="AF19" t="s">
        <v>860</v>
      </c>
      <c r="AG19">
        <v>2524.2</v>
      </c>
      <c r="AH19">
        <v>106.38</v>
      </c>
      <c r="AI19">
        <v>139686347458</v>
      </c>
      <c r="AK19">
        <v>0</v>
      </c>
      <c r="AL19" s="71" t="str">
        <v/>
      </c>
      <c r="AM19" s="72" t="e">
        <v>#VALUE!</v>
      </c>
    </row>
    <row r="20" ht="28.8" spans="1:39">
      <c r="A20" s="58" t="s">
        <v>902</v>
      </c>
      <c r="B20" s="59" t="s">
        <v>28</v>
      </c>
      <c r="C20" s="60" t="str">
        <v>BSE Ltd</v>
      </c>
      <c r="D20" s="61">
        <v>0.00213758130232451</v>
      </c>
      <c r="E20" s="62">
        <f t="shared" si="0"/>
        <v>0.000178131775193709</v>
      </c>
      <c r="F20" s="60" t="str">
        <v>Financials</v>
      </c>
      <c r="G20" s="62">
        <f t="shared" si="1"/>
        <v>0.000178131775193709</v>
      </c>
      <c r="H20" s="60"/>
      <c r="J20" s="6"/>
      <c r="M20" s="58" t="s">
        <v>903</v>
      </c>
      <c r="N20" s="67" t="s">
        <v>47</v>
      </c>
      <c r="O20" s="60" t="str">
        <v>Carraro India Ltd</v>
      </c>
      <c r="P20" s="68">
        <v>0.0010440436217312</v>
      </c>
      <c r="Q20" s="62">
        <f>P20*VLOOKUP(N20,'Selector Sheet '!$B$13:$D$43,2,FALSE)</f>
        <v>0</v>
      </c>
      <c r="R20" s="60" t="str">
        <v>Industrials</v>
      </c>
      <c r="S20" s="62">
        <f>P20*VLOOKUP(N20,'Selector Sheet '!$B$13:$D$43,2,FALSE)</f>
        <v>0</v>
      </c>
      <c r="T20" s="60"/>
      <c r="X20" s="60" t="str">
        <v>INE118H01025</v>
      </c>
      <c r="Z20" s="58" t="s">
        <v>902</v>
      </c>
      <c r="AB20" t="s">
        <v>902</v>
      </c>
      <c r="AC20" t="s">
        <v>904</v>
      </c>
      <c r="AD20" t="s">
        <v>867</v>
      </c>
      <c r="AE20">
        <v>77.7061090882117</v>
      </c>
      <c r="AF20">
        <v>34.3227172593392</v>
      </c>
      <c r="AG20">
        <v>13258.9</v>
      </c>
      <c r="AH20">
        <v>32.6533676666667</v>
      </c>
      <c r="AI20">
        <v>1026410016302.1</v>
      </c>
      <c r="AK20">
        <v>0</v>
      </c>
      <c r="AL20" s="71" t="str">
        <v/>
      </c>
      <c r="AM20" s="72" t="e">
        <v>#VALUE!</v>
      </c>
    </row>
    <row r="21" ht="28.8" spans="1:39">
      <c r="A21" s="63" t="s">
        <v>905</v>
      </c>
      <c r="B21" s="59" t="s">
        <v>28</v>
      </c>
      <c r="C21" s="60" t="str">
        <v>Carborundum Universal Ltd</v>
      </c>
      <c r="D21" s="64">
        <v>0.00231790578471225</v>
      </c>
      <c r="E21" s="62">
        <f t="shared" si="0"/>
        <v>0.000193158815392687</v>
      </c>
      <c r="F21" s="60" t="str">
        <v>Materials</v>
      </c>
      <c r="G21" s="62">
        <f t="shared" si="1"/>
        <v>0.000193158815392687</v>
      </c>
      <c r="H21" s="60"/>
      <c r="J21" s="6"/>
      <c r="M21" s="63" t="s">
        <v>906</v>
      </c>
      <c r="N21" s="69" t="s">
        <v>47</v>
      </c>
      <c r="O21" s="60" t="str">
        <v>CG Power &amp; Industrial Solution</v>
      </c>
      <c r="P21" s="70">
        <v>0.00587827727666274</v>
      </c>
      <c r="Q21" s="62">
        <f>P21*VLOOKUP(N21,'Selector Sheet '!$B$13:$D$43,2,FALSE)</f>
        <v>0</v>
      </c>
      <c r="R21" s="60" t="str">
        <v>Industrials</v>
      </c>
      <c r="S21" s="62">
        <f>P21*VLOOKUP(N21,'Selector Sheet '!$B$13:$D$43,2,FALSE)</f>
        <v>0</v>
      </c>
      <c r="T21" s="60"/>
      <c r="X21" s="60" t="str">
        <v>INE120A01034</v>
      </c>
      <c r="Z21" s="63" t="s">
        <v>905</v>
      </c>
      <c r="AB21" t="s">
        <v>905</v>
      </c>
      <c r="AC21" t="s">
        <v>907</v>
      </c>
      <c r="AD21" t="s">
        <v>859</v>
      </c>
      <c r="AE21">
        <v>55.4589209109736</v>
      </c>
      <c r="AF21">
        <v>8.7984528567794</v>
      </c>
      <c r="AG21">
        <v>2927.39</v>
      </c>
      <c r="AH21">
        <v>15.58</v>
      </c>
      <c r="AI21">
        <v>164535613537.9</v>
      </c>
      <c r="AK21">
        <v>0</v>
      </c>
      <c r="AL21" s="71" t="str">
        <v/>
      </c>
      <c r="AM21" s="72" t="e">
        <v>#VALUE!</v>
      </c>
    </row>
    <row r="22" ht="28.8" spans="1:39">
      <c r="A22" s="58" t="s">
        <v>908</v>
      </c>
      <c r="B22" s="59" t="s">
        <v>28</v>
      </c>
      <c r="C22" s="60" t="str">
        <v>Cello World Ltd</v>
      </c>
      <c r="D22" s="61">
        <v>0.00362291978572987</v>
      </c>
      <c r="E22" s="62">
        <f t="shared" si="0"/>
        <v>0.000301909982144156</v>
      </c>
      <c r="F22" s="60" t="str">
        <v>Consumer Discretionary</v>
      </c>
      <c r="G22" s="62">
        <f t="shared" si="1"/>
        <v>0.000301909982144156</v>
      </c>
      <c r="H22" s="60"/>
      <c r="J22" s="6"/>
      <c r="M22" s="58" t="s">
        <v>909</v>
      </c>
      <c r="N22" s="67" t="s">
        <v>47</v>
      </c>
      <c r="O22" s="60" t="str">
        <v>Cholamandalam Financial Holdin</v>
      </c>
      <c r="P22" s="68">
        <v>0.00879772346878899</v>
      </c>
      <c r="Q22" s="62">
        <f>P22*VLOOKUP(N22,'Selector Sheet '!$B$13:$D$43,2,FALSE)</f>
        <v>0</v>
      </c>
      <c r="R22" s="60" t="str">
        <v>Financials</v>
      </c>
      <c r="S22" s="62">
        <f>P22*VLOOKUP(N22,'Selector Sheet '!$B$13:$D$43,2,FALSE)</f>
        <v>0</v>
      </c>
      <c r="T22" s="60"/>
      <c r="X22" s="60" t="str">
        <v>INE0LMW01024</v>
      </c>
      <c r="Z22" s="58" t="s">
        <v>908</v>
      </c>
      <c r="AB22" t="s">
        <v>908</v>
      </c>
      <c r="AC22" t="s">
        <v>910</v>
      </c>
      <c r="AD22" t="s">
        <v>874</v>
      </c>
      <c r="AE22">
        <v>34.4838709677419</v>
      </c>
      <c r="AF22">
        <v>20.4313517328859</v>
      </c>
      <c r="AG22">
        <v>3388.152</v>
      </c>
      <c r="AH22">
        <v>15.5</v>
      </c>
      <c r="AI22">
        <v>118063050673</v>
      </c>
      <c r="AK22">
        <v>0</v>
      </c>
      <c r="AL22" s="71" t="str">
        <v/>
      </c>
      <c r="AM22" s="72" t="e">
        <v>#VALUE!</v>
      </c>
    </row>
    <row r="23" ht="28.8" spans="1:39">
      <c r="A23" s="63" t="s">
        <v>911</v>
      </c>
      <c r="B23" s="59" t="s">
        <v>28</v>
      </c>
      <c r="C23" s="60" t="str">
        <v>Central Depository Services In</v>
      </c>
      <c r="D23" s="64">
        <v>0.00467208076633138</v>
      </c>
      <c r="E23" s="62">
        <f t="shared" si="0"/>
        <v>0.000389340063860948</v>
      </c>
      <c r="F23" s="60" t="str">
        <v>Financials</v>
      </c>
      <c r="G23" s="62">
        <f t="shared" si="1"/>
        <v>0.000389340063860948</v>
      </c>
      <c r="H23" s="60"/>
      <c r="J23" s="6"/>
      <c r="M23" s="63" t="s">
        <v>912</v>
      </c>
      <c r="N23" s="69" t="s">
        <v>47</v>
      </c>
      <c r="O23" s="60" t="str">
        <v>Cholamandalam Investment and F</v>
      </c>
      <c r="P23" s="70">
        <v>0.00480208001013532</v>
      </c>
      <c r="Q23" s="62">
        <f>P23*VLOOKUP(N23,'Selector Sheet '!$B$13:$D$43,2,FALSE)</f>
        <v>0</v>
      </c>
      <c r="R23" s="60" t="str">
        <v>Financials</v>
      </c>
      <c r="S23" s="62">
        <f>P23*VLOOKUP(N23,'Selector Sheet '!$B$13:$D$43,2,FALSE)</f>
        <v>0</v>
      </c>
      <c r="T23" s="60"/>
      <c r="X23" s="60" t="str">
        <v>INE736A01011</v>
      </c>
      <c r="Z23" s="63" t="s">
        <v>911</v>
      </c>
      <c r="AB23" t="s">
        <v>911</v>
      </c>
      <c r="AC23" t="s">
        <v>913</v>
      </c>
      <c r="AD23" t="s">
        <v>867</v>
      </c>
      <c r="AE23">
        <v>62.8849186972966</v>
      </c>
      <c r="AF23">
        <v>32.673210537955</v>
      </c>
      <c r="AG23">
        <v>5266.412</v>
      </c>
      <c r="AH23">
        <v>25.2</v>
      </c>
      <c r="AI23">
        <v>331202300000</v>
      </c>
      <c r="AK23">
        <v>0</v>
      </c>
      <c r="AL23" s="71" t="str">
        <v/>
      </c>
      <c r="AM23" s="72" t="e">
        <v>#VALUE!</v>
      </c>
    </row>
    <row r="24" ht="28.8" spans="1:39">
      <c r="A24" s="58" t="s">
        <v>906</v>
      </c>
      <c r="B24" s="59" t="s">
        <v>28</v>
      </c>
      <c r="C24" s="60" t="str">
        <v>CG Power &amp; Industrial Solution</v>
      </c>
      <c r="D24" s="61">
        <v>0.00508000845114948</v>
      </c>
      <c r="E24" s="62">
        <f t="shared" si="0"/>
        <v>0.00042333403759579</v>
      </c>
      <c r="F24" s="60" t="str">
        <v>Industrials</v>
      </c>
      <c r="G24" s="62">
        <f t="shared" si="1"/>
        <v>0.00042333403759579</v>
      </c>
      <c r="H24" s="60"/>
      <c r="J24" s="6"/>
      <c r="M24" s="58" t="s">
        <v>914</v>
      </c>
      <c r="N24" s="67" t="s">
        <v>47</v>
      </c>
      <c r="O24" s="60" t="str">
        <v>Cipla Ltd/India</v>
      </c>
      <c r="P24" s="68">
        <v>0.0105082535935841</v>
      </c>
      <c r="Q24" s="62">
        <f>P24*VLOOKUP(N24,'Selector Sheet '!$B$13:$D$43,2,FALSE)</f>
        <v>0</v>
      </c>
      <c r="R24" s="60" t="str">
        <v>Health Care</v>
      </c>
      <c r="S24" s="62">
        <f>P24*VLOOKUP(N24,'Selector Sheet '!$B$13:$D$43,2,FALSE)</f>
        <v>0</v>
      </c>
      <c r="T24" s="60"/>
      <c r="X24" s="60" t="str">
        <v>INE067A01029</v>
      </c>
      <c r="Z24" s="58" t="s">
        <v>906</v>
      </c>
      <c r="AB24" t="s">
        <v>906</v>
      </c>
      <c r="AC24" t="s">
        <v>915</v>
      </c>
      <c r="AD24" t="s">
        <v>849</v>
      </c>
      <c r="AE24">
        <v>105.877742946708</v>
      </c>
      <c r="AF24">
        <v>28.4082379809339</v>
      </c>
      <c r="AG24">
        <v>9746</v>
      </c>
      <c r="AH24">
        <v>6.38</v>
      </c>
      <c r="AI24">
        <v>1063609490289.5</v>
      </c>
      <c r="AK24">
        <v>0</v>
      </c>
      <c r="AL24" s="71" t="str">
        <v/>
      </c>
      <c r="AM24" s="72" t="e">
        <v>#VALUE!</v>
      </c>
    </row>
    <row r="25" ht="28.8" spans="1:39">
      <c r="A25" s="63" t="s">
        <v>912</v>
      </c>
      <c r="B25" s="59" t="s">
        <v>28</v>
      </c>
      <c r="C25" s="60" t="str">
        <v>Cholamandalam Investment and F</v>
      </c>
      <c r="D25" s="64">
        <v>0.0194052766754024</v>
      </c>
      <c r="E25" s="62">
        <f t="shared" si="0"/>
        <v>0.00161710638961687</v>
      </c>
      <c r="F25" s="60" t="str">
        <v>Financials</v>
      </c>
      <c r="G25" s="62">
        <f t="shared" si="1"/>
        <v>0.00161710638961687</v>
      </c>
      <c r="H25" s="60"/>
      <c r="J25" s="6"/>
      <c r="M25" s="63" t="s">
        <v>916</v>
      </c>
      <c r="N25" s="69" t="s">
        <v>47</v>
      </c>
      <c r="O25" s="60" t="str">
        <v>Coal India Ltd</v>
      </c>
      <c r="P25" s="70">
        <v>0.00419499918341625</v>
      </c>
      <c r="Q25" s="62">
        <f>P25*VLOOKUP(N25,'Selector Sheet '!$B$13:$D$43,2,FALSE)</f>
        <v>0</v>
      </c>
      <c r="R25" s="60" t="str">
        <v>Energy</v>
      </c>
      <c r="S25" s="62">
        <f>P25*VLOOKUP(N25,'Selector Sheet '!$B$13:$D$43,2,FALSE)</f>
        <v>0</v>
      </c>
      <c r="T25" s="60"/>
      <c r="X25" s="60" t="str">
        <v>INE121A01024</v>
      </c>
      <c r="Z25" s="63" t="s">
        <v>912</v>
      </c>
      <c r="AB25" t="s">
        <v>912</v>
      </c>
      <c r="AC25" t="s">
        <v>917</v>
      </c>
      <c r="AD25" t="s">
        <v>867</v>
      </c>
      <c r="AE25">
        <v>30.0295736511423</v>
      </c>
      <c r="AF25">
        <v>19.7064717177435</v>
      </c>
      <c r="AG25">
        <v>42627</v>
      </c>
      <c r="AH25">
        <v>50.72</v>
      </c>
      <c r="AI25">
        <v>1281244372391.7</v>
      </c>
      <c r="AK25">
        <v>0</v>
      </c>
      <c r="AL25" s="71" t="str">
        <v/>
      </c>
      <c r="AM25" s="72" t="e">
        <v>#VALUE!</v>
      </c>
    </row>
    <row r="26" ht="28.8" spans="1:39">
      <c r="A26" s="58" t="s">
        <v>918</v>
      </c>
      <c r="B26" s="59" t="s">
        <v>28</v>
      </c>
      <c r="C26" s="60" t="str">
        <v>Coforge Ltd</v>
      </c>
      <c r="D26" s="61">
        <v>0.0091233018099206</v>
      </c>
      <c r="E26" s="62">
        <f t="shared" si="0"/>
        <v>0.000760275150826717</v>
      </c>
      <c r="F26" s="60" t="str">
        <v>Information Technology</v>
      </c>
      <c r="G26" s="62">
        <f t="shared" si="1"/>
        <v>0.000760275150826717</v>
      </c>
      <c r="H26" s="60"/>
      <c r="J26" s="6"/>
      <c r="M26" s="58" t="s">
        <v>918</v>
      </c>
      <c r="N26" s="67" t="s">
        <v>47</v>
      </c>
      <c r="O26" s="60" t="str">
        <v>Coforge Ltd</v>
      </c>
      <c r="P26" s="68">
        <v>0.00593647123043446</v>
      </c>
      <c r="Q26" s="62">
        <f>P26*VLOOKUP(N26,'Selector Sheet '!$B$13:$D$43,2,FALSE)</f>
        <v>0</v>
      </c>
      <c r="R26" s="60" t="str">
        <v>Information Technology</v>
      </c>
      <c r="S26" s="62">
        <f>P26*VLOOKUP(N26,'Selector Sheet '!$B$13:$D$43,2,FALSE)</f>
        <v>0</v>
      </c>
      <c r="T26" s="60"/>
      <c r="X26" s="60" t="str">
        <v>INE591G01025</v>
      </c>
      <c r="Z26" s="58" t="s">
        <v>918</v>
      </c>
      <c r="AB26" t="s">
        <v>918</v>
      </c>
      <c r="AC26" t="s">
        <v>919</v>
      </c>
      <c r="AD26" t="s">
        <v>920</v>
      </c>
      <c r="AE26">
        <v>29.0438651869754</v>
      </c>
      <c r="AF26">
        <v>15.9812004748003</v>
      </c>
      <c r="AG26">
        <v>8121</v>
      </c>
      <c r="AH26">
        <v>24.602</v>
      </c>
      <c r="AI26">
        <v>556046341326</v>
      </c>
      <c r="AK26">
        <v>0</v>
      </c>
      <c r="AL26" s="71" t="str">
        <v/>
      </c>
      <c r="AM26" s="72" t="e">
        <v>#VALUE!</v>
      </c>
    </row>
    <row r="27" ht="28.8" spans="1:39">
      <c r="A27" s="63" t="s">
        <v>921</v>
      </c>
      <c r="B27" s="59" t="s">
        <v>28</v>
      </c>
      <c r="C27" s="60" t="str">
        <v>Computer Age Management Servic</v>
      </c>
      <c r="D27" s="64">
        <v>0.00220517265125963</v>
      </c>
      <c r="E27" s="62">
        <f t="shared" si="0"/>
        <v>0.000183764387604969</v>
      </c>
      <c r="F27" s="60" t="str">
        <v>Industrials</v>
      </c>
      <c r="G27" s="62">
        <f t="shared" si="1"/>
        <v>0.000183764387604969</v>
      </c>
      <c r="H27" s="60"/>
      <c r="J27" s="6"/>
      <c r="M27" s="63" t="s">
        <v>922</v>
      </c>
      <c r="N27" s="69" t="s">
        <v>47</v>
      </c>
      <c r="O27" s="60" t="str">
        <v>Coromandel International Ltd</v>
      </c>
      <c r="P27" s="70">
        <v>0.00439093863227901</v>
      </c>
      <c r="Q27" s="62">
        <f>P27*VLOOKUP(N27,'Selector Sheet '!$B$13:$D$43,2,FALSE)</f>
        <v>0</v>
      </c>
      <c r="R27" s="60" t="str">
        <v>Materials</v>
      </c>
      <c r="S27" s="62">
        <f>P27*VLOOKUP(N27,'Selector Sheet '!$B$13:$D$43,2,FALSE)</f>
        <v>0</v>
      </c>
      <c r="T27" s="60"/>
      <c r="X27" s="60" t="str">
        <v>INE596I01012</v>
      </c>
      <c r="Z27" s="63" t="s">
        <v>921</v>
      </c>
      <c r="AB27" t="s">
        <v>921</v>
      </c>
      <c r="AC27" t="s">
        <v>923</v>
      </c>
      <c r="AD27" t="s">
        <v>849</v>
      </c>
      <c r="AE27">
        <v>40.5796033033422</v>
      </c>
      <c r="AF27">
        <v>46.2541808964664</v>
      </c>
      <c r="AG27">
        <v>4701.938</v>
      </c>
      <c r="AH27">
        <v>95.41</v>
      </c>
      <c r="AI27">
        <v>191551455393.9</v>
      </c>
      <c r="AK27">
        <v>0</v>
      </c>
      <c r="AL27" s="71" t="str">
        <v/>
      </c>
      <c r="AM27" s="72" t="e">
        <v>#VALUE!</v>
      </c>
    </row>
    <row r="28" ht="28.8" spans="1:39">
      <c r="A28" s="58" t="s">
        <v>924</v>
      </c>
      <c r="B28" s="59" t="s">
        <v>28</v>
      </c>
      <c r="C28" s="60" t="str">
        <v>Container Corp Of India Ltd</v>
      </c>
      <c r="D28" s="61">
        <v>0.00150996412136133</v>
      </c>
      <c r="E28" s="62">
        <f t="shared" si="0"/>
        <v>0.000125830343446777</v>
      </c>
      <c r="F28" s="60" t="str">
        <v>Industrials</v>
      </c>
      <c r="G28" s="62">
        <f t="shared" si="1"/>
        <v>0.000125830343446777</v>
      </c>
      <c r="H28" s="60"/>
      <c r="J28" s="6"/>
      <c r="M28" s="58" t="s">
        <v>925</v>
      </c>
      <c r="N28" s="67" t="s">
        <v>47</v>
      </c>
      <c r="O28" s="60" t="str">
        <v>Craftsman Automation Ltd</v>
      </c>
      <c r="P28" s="68">
        <v>0.00596498188994621</v>
      </c>
      <c r="Q28" s="62">
        <f>P28*VLOOKUP(N28,'Selector Sheet '!$B$13:$D$43,2,FALSE)</f>
        <v>0</v>
      </c>
      <c r="R28" s="60" t="str">
        <v>Industrials</v>
      </c>
      <c r="S28" s="62">
        <f>P28*VLOOKUP(N28,'Selector Sheet '!$B$13:$D$43,2,FALSE)</f>
        <v>0</v>
      </c>
      <c r="T28" s="60"/>
      <c r="X28" s="60" t="str">
        <v>INE111A01025</v>
      </c>
      <c r="Z28" s="58" t="s">
        <v>924</v>
      </c>
      <c r="AB28" t="s">
        <v>924</v>
      </c>
      <c r="AC28" t="s">
        <v>926</v>
      </c>
      <c r="AD28" t="s">
        <v>849</v>
      </c>
      <c r="AE28">
        <v>31.6762149967778</v>
      </c>
      <c r="AF28">
        <v>10.649330259385</v>
      </c>
      <c r="AG28">
        <v>12887.5</v>
      </c>
      <c r="AH28">
        <v>16.9212136</v>
      </c>
      <c r="AI28">
        <v>408227213160</v>
      </c>
      <c r="AL28" s="71" t="str">
        <v/>
      </c>
      <c r="AM28" s="72" t="e">
        <v>#VALUE!</v>
      </c>
    </row>
    <row r="29" ht="28.8" spans="1:39">
      <c r="A29" s="63" t="s">
        <v>927</v>
      </c>
      <c r="B29" s="59" t="s">
        <v>28</v>
      </c>
      <c r="C29" s="60" t="str">
        <v>CreditAccess Grameen Ltd</v>
      </c>
      <c r="D29" s="64">
        <v>0.00975688753790903</v>
      </c>
      <c r="E29" s="62">
        <f t="shared" si="0"/>
        <v>0.000813073961492419</v>
      </c>
      <c r="F29" s="60" t="str">
        <v>Financials</v>
      </c>
      <c r="G29" s="62">
        <f t="shared" si="1"/>
        <v>0.000813073961492419</v>
      </c>
      <c r="H29" s="60"/>
      <c r="J29" s="6"/>
      <c r="M29" s="63" t="s">
        <v>928</v>
      </c>
      <c r="N29" s="69" t="s">
        <v>47</v>
      </c>
      <c r="O29" s="60" t="str">
        <v>Dixon Technologies India Ltd</v>
      </c>
      <c r="P29" s="70">
        <v>0.00415386315644865</v>
      </c>
      <c r="Q29" s="62">
        <f>P29*VLOOKUP(N29,'Selector Sheet '!$B$13:$D$43,2,FALSE)</f>
        <v>0</v>
      </c>
      <c r="R29" s="60" t="str">
        <v>Consumer Discretionary</v>
      </c>
      <c r="S29" s="62">
        <f>P29*VLOOKUP(N29,'Selector Sheet '!$B$13:$D$43,2,FALSE)</f>
        <v>0</v>
      </c>
      <c r="T29" s="60"/>
      <c r="X29" s="60" t="str">
        <v>INE741K01010</v>
      </c>
      <c r="Z29" s="63" t="s">
        <v>927</v>
      </c>
      <c r="AB29" t="s">
        <v>927</v>
      </c>
      <c r="AC29" t="s">
        <v>929</v>
      </c>
      <c r="AD29" t="s">
        <v>867</v>
      </c>
      <c r="AE29">
        <v>39.6758703481393</v>
      </c>
      <c r="AF29">
        <v>7.85748875310052</v>
      </c>
      <c r="AG29">
        <v>5314</v>
      </c>
      <c r="AH29">
        <v>33.32</v>
      </c>
      <c r="AI29">
        <v>211185613320</v>
      </c>
      <c r="AL29" s="71" t="str">
        <v/>
      </c>
      <c r="AM29" s="72" t="e">
        <v>#VALUE!</v>
      </c>
    </row>
    <row r="30" ht="28.8" spans="1:39">
      <c r="A30" s="58" t="s">
        <v>930</v>
      </c>
      <c r="B30" s="59" t="s">
        <v>28</v>
      </c>
      <c r="C30" s="60" t="str">
        <v>Crompton Greaves Consumer Elec</v>
      </c>
      <c r="D30" s="61">
        <v>0.00913071063583456</v>
      </c>
      <c r="E30" s="62">
        <f t="shared" si="0"/>
        <v>0.000760892552986213</v>
      </c>
      <c r="F30" s="60" t="str">
        <v>Consumer Discretionary</v>
      </c>
      <c r="G30" s="62">
        <f t="shared" si="1"/>
        <v>0.000760892552986213</v>
      </c>
      <c r="H30" s="60"/>
      <c r="J30" s="6"/>
      <c r="M30" s="58" t="s">
        <v>931</v>
      </c>
      <c r="N30" s="67" t="s">
        <v>47</v>
      </c>
      <c r="O30" s="60" t="str">
        <v>Dr Reddy's Laboratories Ltd</v>
      </c>
      <c r="P30" s="68">
        <v>0.00621154007210719</v>
      </c>
      <c r="Q30" s="62">
        <f>P30*VLOOKUP(N30,'Selector Sheet '!$B$13:$D$43,2,FALSE)</f>
        <v>0</v>
      </c>
      <c r="R30" s="60" t="str">
        <v>Health Care</v>
      </c>
      <c r="S30" s="62">
        <f>P30*VLOOKUP(N30,'Selector Sheet '!$B$13:$D$43,2,FALSE)</f>
        <v>0</v>
      </c>
      <c r="T30" s="60"/>
      <c r="X30" s="60" t="str">
        <v>INE299U01018</v>
      </c>
      <c r="Z30" s="58" t="s">
        <v>930</v>
      </c>
      <c r="AB30" t="s">
        <v>930</v>
      </c>
      <c r="AC30" t="s">
        <v>932</v>
      </c>
      <c r="AD30" t="s">
        <v>874</v>
      </c>
      <c r="AE30">
        <v>37.939813401964</v>
      </c>
      <c r="AF30">
        <v>17.4013067803905</v>
      </c>
      <c r="AG30">
        <v>5559.5</v>
      </c>
      <c r="AH30">
        <v>8.64</v>
      </c>
      <c r="AI30">
        <v>211054984881.4</v>
      </c>
      <c r="AL30" s="71" t="str">
        <v/>
      </c>
      <c r="AM30" s="72" t="e">
        <v>#VALUE!</v>
      </c>
    </row>
    <row r="31" ht="28.8" spans="1:39">
      <c r="A31" s="63" t="s">
        <v>933</v>
      </c>
      <c r="B31" s="59" t="s">
        <v>28</v>
      </c>
      <c r="C31" s="60" t="str">
        <v>Cummins India Ltd</v>
      </c>
      <c r="D31" s="64">
        <v>0.000647644102358726</v>
      </c>
      <c r="E31" s="62">
        <f t="shared" si="0"/>
        <v>5.39703418632272e-5</v>
      </c>
      <c r="F31" s="60" t="str">
        <v>Industrials</v>
      </c>
      <c r="G31" s="62">
        <f t="shared" si="1"/>
        <v>5.39703418632272e-5</v>
      </c>
      <c r="H31" s="60"/>
      <c r="J31" s="6"/>
      <c r="M31" s="63" t="s">
        <v>934</v>
      </c>
      <c r="N31" s="69" t="s">
        <v>47</v>
      </c>
      <c r="O31" s="60" t="str">
        <v>Ellenbarrie Industrial Gases L</v>
      </c>
      <c r="P31" s="70">
        <v>0</v>
      </c>
      <c r="Q31" s="62">
        <f>P31*VLOOKUP(N31,'Selector Sheet '!$B$13:$D$43,2,FALSE)</f>
        <v>0</v>
      </c>
      <c r="R31" s="60" t="str">
        <v>Materials</v>
      </c>
      <c r="S31" s="62">
        <f>P31*VLOOKUP(N31,'Selector Sheet '!$B$13:$D$43,2,FALSE)</f>
        <v>0</v>
      </c>
      <c r="T31" s="60"/>
      <c r="X31" s="60" t="str">
        <v>INE298A01020</v>
      </c>
      <c r="Z31" s="63" t="s">
        <v>933</v>
      </c>
      <c r="AB31" t="s">
        <v>933</v>
      </c>
      <c r="AC31" t="s">
        <v>935</v>
      </c>
      <c r="AD31" t="s">
        <v>849</v>
      </c>
      <c r="AE31">
        <v>53.1157317924896</v>
      </c>
      <c r="AF31">
        <v>28.2203966213528</v>
      </c>
      <c r="AG31">
        <v>19999.4</v>
      </c>
      <c r="AH31">
        <v>72.15</v>
      </c>
      <c r="AI31">
        <v>1062313560000</v>
      </c>
      <c r="AL31" s="71" t="str">
        <v/>
      </c>
      <c r="AM31" s="72" t="e">
        <v>#VALUE!</v>
      </c>
    </row>
    <row r="32" ht="28.8" spans="1:39">
      <c r="A32" s="58" t="s">
        <v>936</v>
      </c>
      <c r="B32" s="59" t="s">
        <v>28</v>
      </c>
      <c r="C32" s="60" t="str">
        <v>Deepak Nitrite Ltd</v>
      </c>
      <c r="D32" s="61">
        <v>0.00130464218989145</v>
      </c>
      <c r="E32" s="62">
        <f t="shared" si="0"/>
        <v>0.000108720182490954</v>
      </c>
      <c r="F32" s="60" t="str">
        <v>Materials</v>
      </c>
      <c r="G32" s="62">
        <f t="shared" si="1"/>
        <v>0.000108720182490954</v>
      </c>
      <c r="H32" s="60"/>
      <c r="J32" s="6"/>
      <c r="M32" s="58" t="s">
        <v>937</v>
      </c>
      <c r="N32" s="67" t="s">
        <v>47</v>
      </c>
      <c r="O32" s="60" t="str">
        <v>Eternal Ltd</v>
      </c>
      <c r="P32" s="68">
        <v>0.00603917058168367</v>
      </c>
      <c r="Q32" s="62">
        <f>P32*VLOOKUP(N32,'Selector Sheet '!$B$13:$D$43,2,FALSE)</f>
        <v>0</v>
      </c>
      <c r="R32" s="60" t="str">
        <v>Consumer Discretionary</v>
      </c>
      <c r="S32" s="62">
        <f>P32*VLOOKUP(N32,'Selector Sheet '!$B$13:$D$43,2,FALSE)</f>
        <v>0</v>
      </c>
      <c r="T32" s="60"/>
      <c r="X32" s="60" t="str">
        <v>INE288B01029</v>
      </c>
      <c r="Z32" s="58" t="s">
        <v>936</v>
      </c>
      <c r="AB32" t="s">
        <v>936</v>
      </c>
      <c r="AC32" t="s">
        <v>938</v>
      </c>
      <c r="AD32" t="s">
        <v>859</v>
      </c>
      <c r="AE32">
        <v>35.5545784199555</v>
      </c>
      <c r="AF32">
        <v>13.6911172877748</v>
      </c>
      <c r="AG32">
        <v>6972.4</v>
      </c>
      <c r="AH32">
        <v>51.12</v>
      </c>
      <c r="AI32">
        <v>247901171669.55</v>
      </c>
      <c r="AL32" s="71" t="str">
        <v/>
      </c>
      <c r="AM32" s="72" t="e">
        <v>#VALUE!</v>
      </c>
    </row>
    <row r="33" ht="28.8" spans="1:39">
      <c r="A33" s="63" t="s">
        <v>939</v>
      </c>
      <c r="B33" s="59" t="s">
        <v>28</v>
      </c>
      <c r="C33" s="60" t="str">
        <v>Devyani International Ltd</v>
      </c>
      <c r="D33" s="64">
        <v>0.000681745053329868</v>
      </c>
      <c r="E33" s="62">
        <f t="shared" si="0"/>
        <v>5.6812087777489e-5</v>
      </c>
      <c r="F33" s="60" t="str">
        <v>Consumer Discretionary</v>
      </c>
      <c r="G33" s="62">
        <f t="shared" si="1"/>
        <v>5.6812087777489e-5</v>
      </c>
      <c r="H33" s="60"/>
      <c r="J33" s="6"/>
      <c r="M33" s="63" t="s">
        <v>940</v>
      </c>
      <c r="N33" s="69" t="s">
        <v>47</v>
      </c>
      <c r="O33" s="60" t="str">
        <v>Fortis Healthcare Ltd</v>
      </c>
      <c r="P33" s="70">
        <v>0.00802558257491031</v>
      </c>
      <c r="Q33" s="62">
        <f>P33*VLOOKUP(N33,'Selector Sheet '!$B$13:$D$43,2,FALSE)</f>
        <v>0</v>
      </c>
      <c r="R33" s="60" t="str">
        <v>Health Care</v>
      </c>
      <c r="S33" s="62">
        <f>P33*VLOOKUP(N33,'Selector Sheet '!$B$13:$D$43,2,FALSE)</f>
        <v>0</v>
      </c>
      <c r="T33" s="60"/>
      <c r="X33" s="60" t="str">
        <v>INE872J01023</v>
      </c>
      <c r="Z33" s="63" t="s">
        <v>939</v>
      </c>
      <c r="AB33" t="s">
        <v>939</v>
      </c>
      <c r="AC33" t="s">
        <v>941</v>
      </c>
      <c r="AD33" t="s">
        <v>874</v>
      </c>
      <c r="AE33">
        <v>1937.62493133545</v>
      </c>
      <c r="AF33">
        <v>0.851002874657759</v>
      </c>
      <c r="AG33">
        <v>91.49</v>
      </c>
      <c r="AH33">
        <v>0.08</v>
      </c>
      <c r="AI33">
        <v>190962599477.91</v>
      </c>
      <c r="AL33" s="71" t="str">
        <v/>
      </c>
      <c r="AM33" s="72" t="e">
        <v>#VALUE!</v>
      </c>
    </row>
    <row r="34" ht="28.8" spans="1:39">
      <c r="A34" s="58" t="s">
        <v>928</v>
      </c>
      <c r="B34" s="59" t="s">
        <v>28</v>
      </c>
      <c r="C34" s="60" t="str">
        <v>Dixon Technologies India Ltd</v>
      </c>
      <c r="D34" s="61">
        <v>0.0358004135252035</v>
      </c>
      <c r="E34" s="62">
        <f t="shared" si="0"/>
        <v>0.00298336779376696</v>
      </c>
      <c r="F34" s="60" t="str">
        <v>Consumer Discretionary</v>
      </c>
      <c r="G34" s="62">
        <f t="shared" si="1"/>
        <v>0.00298336779376696</v>
      </c>
      <c r="H34" s="60"/>
      <c r="J34" s="6"/>
      <c r="M34" s="58" t="s">
        <v>942</v>
      </c>
      <c r="N34" s="67" t="s">
        <v>47</v>
      </c>
      <c r="O34" s="60" t="str">
        <v>GAIL India Ltd</v>
      </c>
      <c r="P34" s="68">
        <v>0.00803254020774976</v>
      </c>
      <c r="Q34" s="62">
        <f>P34*VLOOKUP(N34,'Selector Sheet '!$B$13:$D$43,2,FALSE)</f>
        <v>0</v>
      </c>
      <c r="R34" s="60" t="str">
        <v>Utilities</v>
      </c>
      <c r="S34" s="62">
        <f>P34*VLOOKUP(N34,'Selector Sheet '!$B$13:$D$43,2,FALSE)</f>
        <v>0</v>
      </c>
      <c r="T34" s="60"/>
      <c r="X34" s="60" t="str">
        <v>INE935N01020</v>
      </c>
      <c r="Z34" s="58" t="s">
        <v>928</v>
      </c>
      <c r="AB34" t="s">
        <v>928</v>
      </c>
      <c r="AC34" t="s">
        <v>943</v>
      </c>
      <c r="AD34" t="s">
        <v>874</v>
      </c>
      <c r="AE34">
        <v>92.3487961012881</v>
      </c>
      <c r="AF34">
        <v>46.5686868364842</v>
      </c>
      <c r="AG34">
        <v>10955.4</v>
      </c>
      <c r="AH34">
        <v>181.832365</v>
      </c>
      <c r="AI34">
        <v>1015948123096</v>
      </c>
      <c r="AL34" s="71" t="str">
        <v/>
      </c>
      <c r="AM34" s="72" t="e">
        <v>#VALUE!</v>
      </c>
    </row>
    <row r="35" ht="28.8" spans="1:35">
      <c r="A35" s="63" t="s">
        <v>944</v>
      </c>
      <c r="B35" s="59" t="s">
        <v>28</v>
      </c>
      <c r="C35" s="60" t="str">
        <v>Doms Industries Ltd</v>
      </c>
      <c r="D35" s="64">
        <v>0.000929555212016861</v>
      </c>
      <c r="E35" s="62">
        <f t="shared" si="0"/>
        <v>7.74629343347384e-5</v>
      </c>
      <c r="F35" s="60" t="str">
        <v>Industrials</v>
      </c>
      <c r="G35" s="62">
        <f t="shared" si="1"/>
        <v>7.74629343347384e-5</v>
      </c>
      <c r="H35" s="60"/>
      <c r="J35" s="6"/>
      <c r="M35" s="63" t="s">
        <v>945</v>
      </c>
      <c r="N35" s="69" t="s">
        <v>47</v>
      </c>
      <c r="O35" s="60" t="str">
        <v>GE Vernova T&amp;D India Ltd</v>
      </c>
      <c r="P35" s="70">
        <v>0.00443803946133256</v>
      </c>
      <c r="Q35" s="62">
        <f>P35*VLOOKUP(N35,'Selector Sheet '!$B$13:$D$43,2,FALSE)</f>
        <v>0</v>
      </c>
      <c r="R35" s="60" t="str">
        <v>Industrials</v>
      </c>
      <c r="S35" s="62">
        <f>P35*VLOOKUP(N35,'Selector Sheet '!$B$13:$D$43,2,FALSE)</f>
        <v>0</v>
      </c>
      <c r="T35" s="60"/>
      <c r="X35" s="60" t="str">
        <v>INE321T01012</v>
      </c>
      <c r="Z35" s="63" t="s">
        <v>944</v>
      </c>
      <c r="AB35" t="s">
        <v>944</v>
      </c>
      <c r="AC35" t="s">
        <v>946</v>
      </c>
      <c r="AD35" t="s">
        <v>849</v>
      </c>
      <c r="AE35">
        <v>75.332936342419</v>
      </c>
      <c r="AF35">
        <v>22.2689323956178</v>
      </c>
      <c r="AG35">
        <v>2023.367</v>
      </c>
      <c r="AH35">
        <v>33.34</v>
      </c>
      <c r="AI35">
        <v>152422940997.6</v>
      </c>
    </row>
    <row r="36" ht="28.8" spans="1:35">
      <c r="A36" s="58" t="s">
        <v>947</v>
      </c>
      <c r="B36" s="59" t="s">
        <v>28</v>
      </c>
      <c r="C36" s="60" t="str">
        <v>Dr Lal PathLabs Ltd</v>
      </c>
      <c r="D36" s="61">
        <v>0.00240850245785354</v>
      </c>
      <c r="E36" s="62">
        <f t="shared" si="0"/>
        <v>0.000200708538154462</v>
      </c>
      <c r="F36" s="60" t="str">
        <v>Health Care</v>
      </c>
      <c r="G36" s="62">
        <f t="shared" si="1"/>
        <v>0.000200708538154462</v>
      </c>
      <c r="H36" s="60"/>
      <c r="J36" s="6"/>
      <c r="M36" s="58" t="s">
        <v>948</v>
      </c>
      <c r="N36" s="67" t="s">
        <v>47</v>
      </c>
      <c r="O36" s="60" t="str">
        <v>GlaxoSmithKline Pharmaceutical</v>
      </c>
      <c r="P36" s="68">
        <v>0.00265815971752761</v>
      </c>
      <c r="Q36" s="62">
        <f>P36*VLOOKUP(N36,'Selector Sheet '!$B$13:$D$43,2,FALSE)</f>
        <v>0</v>
      </c>
      <c r="R36" s="60" t="str">
        <v>Health Care</v>
      </c>
      <c r="S36" s="62">
        <f>P36*VLOOKUP(N36,'Selector Sheet '!$B$13:$D$43,2,FALSE)</f>
        <v>0</v>
      </c>
      <c r="T36" s="60"/>
      <c r="X36" s="60" t="str">
        <v>INE600L01024</v>
      </c>
      <c r="Z36" s="58" t="s">
        <v>947</v>
      </c>
      <c r="AB36" t="s">
        <v>947</v>
      </c>
      <c r="AC36" t="s">
        <v>949</v>
      </c>
      <c r="AD36" t="s">
        <v>855</v>
      </c>
      <c r="AE36">
        <v>55.3370131373849</v>
      </c>
      <c r="AF36" t="s">
        <v>860</v>
      </c>
      <c r="AG36">
        <v>4871.38</v>
      </c>
      <c r="AH36">
        <v>58.48</v>
      </c>
      <c r="AI36">
        <v>284384346246</v>
      </c>
    </row>
    <row r="37" ht="28.8" spans="1:35">
      <c r="A37" s="63" t="s">
        <v>950</v>
      </c>
      <c r="B37" s="59" t="s">
        <v>28</v>
      </c>
      <c r="C37" s="60" t="str">
        <v>EIH Ltd</v>
      </c>
      <c r="D37" s="64">
        <v>0.0180932295733983</v>
      </c>
      <c r="E37" s="62">
        <f t="shared" si="0"/>
        <v>0.00150776913111652</v>
      </c>
      <c r="F37" s="60" t="str">
        <v>Consumer Discretionary</v>
      </c>
      <c r="G37" s="62">
        <f t="shared" si="1"/>
        <v>0.00150776913111652</v>
      </c>
      <c r="H37" s="60"/>
      <c r="J37" s="6"/>
      <c r="M37" s="63" t="s">
        <v>951</v>
      </c>
      <c r="N37" s="69" t="s">
        <v>47</v>
      </c>
      <c r="O37" s="60" t="str">
        <v>Glenmark Pharmaceuticals Ltd</v>
      </c>
      <c r="P37" s="70">
        <v>0.00266935447059063</v>
      </c>
      <c r="Q37" s="62">
        <f>P37*VLOOKUP(N37,'Selector Sheet '!$B$13:$D$43,2,FALSE)</f>
        <v>0</v>
      </c>
      <c r="R37" s="60" t="str">
        <v>Health Care</v>
      </c>
      <c r="S37" s="62">
        <f>P37*VLOOKUP(N37,'Selector Sheet '!$B$13:$D$43,2,FALSE)</f>
        <v>0</v>
      </c>
      <c r="T37" s="60"/>
      <c r="X37" s="60" t="str">
        <v>INE230A01023</v>
      </c>
      <c r="Z37" s="63" t="s">
        <v>950</v>
      </c>
      <c r="AB37" t="s">
        <v>950</v>
      </c>
      <c r="AC37" t="s">
        <v>952</v>
      </c>
      <c r="AD37" t="s">
        <v>874</v>
      </c>
      <c r="AE37">
        <v>33.248730964467</v>
      </c>
      <c r="AF37">
        <v>17.2921314248291</v>
      </c>
      <c r="AG37">
        <v>7394.45</v>
      </c>
      <c r="AH37">
        <v>11.82</v>
      </c>
      <c r="AI37">
        <v>245768123526</v>
      </c>
    </row>
    <row r="38" ht="28.8" spans="1:35">
      <c r="A38" s="58" t="s">
        <v>937</v>
      </c>
      <c r="B38" s="59" t="s">
        <v>28</v>
      </c>
      <c r="C38" s="60" t="str">
        <v>Eternal Ltd</v>
      </c>
      <c r="D38" s="61">
        <v>0.03062346412896</v>
      </c>
      <c r="E38" s="62">
        <f t="shared" si="0"/>
        <v>0.00255195534408</v>
      </c>
      <c r="F38" s="60" t="str">
        <v>Consumer Discretionary</v>
      </c>
      <c r="G38" s="62">
        <f t="shared" si="1"/>
        <v>0.00255195534408</v>
      </c>
      <c r="H38" s="60"/>
      <c r="J38" s="6"/>
      <c r="M38" s="58" t="s">
        <v>953</v>
      </c>
      <c r="N38" s="67" t="s">
        <v>47</v>
      </c>
      <c r="O38" s="60" t="str">
        <v>Granules India Ltd</v>
      </c>
      <c r="P38" s="68">
        <v>0.00820352598917037</v>
      </c>
      <c r="Q38" s="62">
        <f>P38*VLOOKUP(N38,'Selector Sheet '!$B$13:$D$43,2,FALSE)</f>
        <v>0</v>
      </c>
      <c r="R38" s="60" t="str">
        <v>Health Care</v>
      </c>
      <c r="S38" s="62">
        <f>P38*VLOOKUP(N38,'Selector Sheet '!$B$13:$D$43,2,FALSE)</f>
        <v>0</v>
      </c>
      <c r="T38" s="60"/>
      <c r="X38" s="60" t="str">
        <v>INE758T01015</v>
      </c>
      <c r="Z38" s="58" t="s">
        <v>937</v>
      </c>
      <c r="AB38" t="s">
        <v>937</v>
      </c>
      <c r="AC38" t="s">
        <v>954</v>
      </c>
      <c r="AD38" t="s">
        <v>874</v>
      </c>
      <c r="AE38">
        <v>937.794135598575</v>
      </c>
      <c r="AF38">
        <v>1.16134545172066</v>
      </c>
      <c r="AG38">
        <v>5270</v>
      </c>
      <c r="AH38">
        <v>0.6</v>
      </c>
      <c r="AI38">
        <v>3077014303795.95</v>
      </c>
    </row>
    <row r="39" ht="28.8" spans="1:35">
      <c r="A39" s="63" t="s">
        <v>945</v>
      </c>
      <c r="B39" s="59" t="s">
        <v>28</v>
      </c>
      <c r="C39" s="60" t="str">
        <v>GE Vernova T&amp;D India Ltd</v>
      </c>
      <c r="D39" s="64">
        <v>0.00615926265016223</v>
      </c>
      <c r="E39" s="62">
        <f t="shared" si="0"/>
        <v>0.000513271887513519</v>
      </c>
      <c r="F39" s="60" t="str">
        <v>Industrials</v>
      </c>
      <c r="G39" s="62">
        <f t="shared" si="1"/>
        <v>0.000513271887513519</v>
      </c>
      <c r="H39" s="60"/>
      <c r="J39" s="6"/>
      <c r="M39" s="63" t="s">
        <v>955</v>
      </c>
      <c r="N39" s="69" t="s">
        <v>47</v>
      </c>
      <c r="O39" s="60" t="str">
        <v>HCL Technologies Ltd</v>
      </c>
      <c r="P39" s="70">
        <v>0.0112779241369266</v>
      </c>
      <c r="Q39" s="62">
        <f>P39*VLOOKUP(N39,'Selector Sheet '!$B$13:$D$43,2,FALSE)</f>
        <v>0</v>
      </c>
      <c r="R39" s="60" t="str">
        <v>Information Technology</v>
      </c>
      <c r="S39" s="62">
        <f>P39*VLOOKUP(N39,'Selector Sheet '!$B$13:$D$43,2,FALSE)</f>
        <v>0</v>
      </c>
      <c r="T39" s="60"/>
      <c r="X39" s="60" t="str">
        <v>INE200A01026</v>
      </c>
      <c r="Z39" s="63" t="s">
        <v>945</v>
      </c>
      <c r="AB39" t="s">
        <v>945</v>
      </c>
      <c r="AC39" t="s">
        <v>956</v>
      </c>
      <c r="AD39" t="s">
        <v>849</v>
      </c>
      <c r="AE39">
        <v>120.574499059606</v>
      </c>
      <c r="AF39">
        <v>40.339516917823</v>
      </c>
      <c r="AG39">
        <v>6083.3</v>
      </c>
      <c r="AH39">
        <v>23.76</v>
      </c>
      <c r="AI39">
        <v>733534915794.75</v>
      </c>
    </row>
    <row r="40" ht="28.8" spans="1:35">
      <c r="A40" s="58" t="s">
        <v>957</v>
      </c>
      <c r="B40" s="59" t="s">
        <v>28</v>
      </c>
      <c r="C40" s="60" t="str">
        <v>Global Health Ltd/India</v>
      </c>
      <c r="D40" s="61">
        <v>0.0112106729550078</v>
      </c>
      <c r="E40" s="62">
        <f t="shared" si="0"/>
        <v>0.00093422274625065</v>
      </c>
      <c r="F40" s="60" t="str">
        <v>Health Care</v>
      </c>
      <c r="G40" s="62">
        <f t="shared" si="1"/>
        <v>0.00093422274625065</v>
      </c>
      <c r="H40" s="60"/>
      <c r="J40" s="6"/>
      <c r="M40" s="58" t="s">
        <v>958</v>
      </c>
      <c r="N40" s="67" t="s">
        <v>47</v>
      </c>
      <c r="O40" s="60" t="str">
        <v>HDB Financial Services Ltd</v>
      </c>
      <c r="P40" s="68">
        <v>0.00119656431464983</v>
      </c>
      <c r="Q40" s="62">
        <f>P40*VLOOKUP(N40,'Selector Sheet '!$B$13:$D$43,2,FALSE)</f>
        <v>0</v>
      </c>
      <c r="R40" s="60" t="str">
        <v>Financials</v>
      </c>
      <c r="S40" s="62">
        <f>P40*VLOOKUP(N40,'Selector Sheet '!$B$13:$D$43,2,FALSE)</f>
        <v>0</v>
      </c>
      <c r="T40" s="60"/>
      <c r="X40" s="60" t="str">
        <v>INE474Q01031</v>
      </c>
      <c r="Z40" s="58" t="s">
        <v>957</v>
      </c>
      <c r="AB40" t="s">
        <v>957</v>
      </c>
      <c r="AC40" t="s">
        <v>959</v>
      </c>
      <c r="AD40" t="s">
        <v>855</v>
      </c>
      <c r="AE40">
        <v>68.8128772635815</v>
      </c>
      <c r="AF40" t="s">
        <v>860</v>
      </c>
      <c r="AG40">
        <v>4814.37</v>
      </c>
      <c r="AH40">
        <v>17.92</v>
      </c>
      <c r="AI40">
        <v>367554762576</v>
      </c>
    </row>
    <row r="41" ht="28.8" spans="1:35">
      <c r="A41" s="63" t="s">
        <v>958</v>
      </c>
      <c r="B41" s="59" t="s">
        <v>28</v>
      </c>
      <c r="C41" s="60" t="str">
        <v>HDB Financial Services Ltd</v>
      </c>
      <c r="D41" s="64">
        <v>0.00132112320728379</v>
      </c>
      <c r="E41" s="62">
        <f t="shared" si="0"/>
        <v>0.000110093600606982</v>
      </c>
      <c r="F41" s="60" t="str">
        <v>Financials</v>
      </c>
      <c r="G41" s="62">
        <f t="shared" si="1"/>
        <v>0.000110093600606982</v>
      </c>
      <c r="H41" s="60"/>
      <c r="J41" s="6"/>
      <c r="M41" s="63" t="s">
        <v>960</v>
      </c>
      <c r="N41" s="69" t="s">
        <v>47</v>
      </c>
      <c r="O41" s="60" t="str">
        <v>HDFC Bank Ltd</v>
      </c>
      <c r="P41" s="70">
        <v>0.0542650566829357</v>
      </c>
      <c r="Q41" s="62">
        <f>P41*VLOOKUP(N41,'Selector Sheet '!$B$13:$D$43,2,FALSE)</f>
        <v>0</v>
      </c>
      <c r="R41" s="60" t="str">
        <v>Financials</v>
      </c>
      <c r="S41" s="62">
        <f>P41*VLOOKUP(N41,'Selector Sheet '!$B$13:$D$43,2,FALSE)</f>
        <v>0</v>
      </c>
      <c r="T41" s="60"/>
      <c r="X41" s="60" t="str">
        <v>INE756I01012</v>
      </c>
      <c r="Z41" s="63" t="s">
        <v>958</v>
      </c>
      <c r="AB41" t="s">
        <v>958</v>
      </c>
      <c r="AC41" t="s">
        <v>961</v>
      </c>
      <c r="AD41" t="s">
        <v>867</v>
      </c>
      <c r="AE41">
        <v>28.1551099345632</v>
      </c>
      <c r="AF41">
        <v>14.7208317575736</v>
      </c>
      <c r="AG41">
        <v>21759.2</v>
      </c>
      <c r="AH41">
        <v>27.4</v>
      </c>
      <c r="AI41">
        <v>639969251544.15</v>
      </c>
    </row>
    <row r="42" ht="28.8" spans="1:35">
      <c r="A42" s="58" t="s">
        <v>962</v>
      </c>
      <c r="B42" s="59" t="s">
        <v>28</v>
      </c>
      <c r="C42" s="60" t="str">
        <v>HDFC Asset Management Co Ltd</v>
      </c>
      <c r="D42" s="61">
        <v>0.00821165615278081</v>
      </c>
      <c r="E42" s="62">
        <f t="shared" si="0"/>
        <v>0.000684304679398401</v>
      </c>
      <c r="F42" s="60" t="str">
        <v>Financials</v>
      </c>
      <c r="G42" s="62">
        <f t="shared" si="1"/>
        <v>0.000684304679398401</v>
      </c>
      <c r="H42" s="60"/>
      <c r="J42" s="6"/>
      <c r="M42" s="58" t="s">
        <v>963</v>
      </c>
      <c r="N42" s="67" t="s">
        <v>47</v>
      </c>
      <c r="O42" s="60" t="str">
        <v>HDFC Life Insurance Co Ltd</v>
      </c>
      <c r="P42" s="68">
        <v>0.00956556470192418</v>
      </c>
      <c r="Q42" s="62">
        <f>P42*VLOOKUP(N42,'Selector Sheet '!$B$13:$D$43,2,FALSE)</f>
        <v>0</v>
      </c>
      <c r="R42" s="60" t="str">
        <v>Financials</v>
      </c>
      <c r="S42" s="62">
        <f>P42*VLOOKUP(N42,'Selector Sheet '!$B$13:$D$43,2,FALSE)</f>
        <v>0</v>
      </c>
      <c r="T42" s="60"/>
      <c r="X42" s="60" t="str">
        <v>INE127D01025</v>
      </c>
      <c r="Z42" s="58" t="s">
        <v>962</v>
      </c>
      <c r="AB42" t="s">
        <v>962</v>
      </c>
      <c r="AC42" t="s">
        <v>964</v>
      </c>
      <c r="AD42" t="s">
        <v>867</v>
      </c>
      <c r="AE42">
        <v>49.1576936436263</v>
      </c>
      <c r="AF42">
        <v>32.360276224926</v>
      </c>
      <c r="AG42">
        <v>24601.9</v>
      </c>
      <c r="AH42">
        <v>115.16</v>
      </c>
      <c r="AI42">
        <v>1211106737277</v>
      </c>
    </row>
    <row r="43" ht="28.8" spans="1:35">
      <c r="A43" s="63" t="s">
        <v>960</v>
      </c>
      <c r="B43" s="59" t="s">
        <v>28</v>
      </c>
      <c r="C43" s="60" t="str">
        <v>HDFC Bank Ltd</v>
      </c>
      <c r="D43" s="64">
        <v>8.78491846090029e-5</v>
      </c>
      <c r="E43" s="62">
        <f t="shared" si="0"/>
        <v>7.32076538408357e-6</v>
      </c>
      <c r="F43" s="60" t="str">
        <v>Financials</v>
      </c>
      <c r="G43" s="62">
        <f t="shared" si="1"/>
        <v>7.32076538408357e-6</v>
      </c>
      <c r="H43" s="60"/>
      <c r="J43" s="6"/>
      <c r="M43" s="63" t="s">
        <v>965</v>
      </c>
      <c r="N43" s="69" t="s">
        <v>47</v>
      </c>
      <c r="O43" s="60" t="str">
        <v>Hero MotoCorp Ltd</v>
      </c>
      <c r="P43" s="70">
        <v>0.00169888977052781</v>
      </c>
      <c r="Q43" s="62">
        <f>P43*VLOOKUP(N43,'Selector Sheet '!$B$13:$D$43,2,FALSE)</f>
        <v>0</v>
      </c>
      <c r="R43" s="60" t="str">
        <v>Consumer Discretionary</v>
      </c>
      <c r="S43" s="62">
        <f>P43*VLOOKUP(N43,'Selector Sheet '!$B$13:$D$43,2,FALSE)</f>
        <v>0</v>
      </c>
      <c r="T43" s="60"/>
      <c r="X43" s="60" t="str">
        <v>INE040A01034</v>
      </c>
      <c r="Z43" s="63" t="s">
        <v>960</v>
      </c>
      <c r="AB43" t="s">
        <v>960</v>
      </c>
      <c r="AC43" t="s">
        <v>966</v>
      </c>
      <c r="AD43" t="s">
        <v>867</v>
      </c>
      <c r="AE43">
        <v>21.849827293505</v>
      </c>
      <c r="AF43">
        <v>13.8590837529472</v>
      </c>
      <c r="AG43">
        <v>707922.5</v>
      </c>
      <c r="AH43">
        <v>92.81</v>
      </c>
      <c r="AI43">
        <v>15488407973015.7</v>
      </c>
    </row>
    <row r="44" ht="28.8" spans="1:35">
      <c r="A44" s="58" t="s">
        <v>965</v>
      </c>
      <c r="B44" s="59" t="s">
        <v>28</v>
      </c>
      <c r="C44" s="60" t="str">
        <v>Hero MotoCorp Ltd</v>
      </c>
      <c r="D44" s="61">
        <v>0.00162131176914383</v>
      </c>
      <c r="E44" s="62">
        <f t="shared" si="0"/>
        <v>0.000135109314095319</v>
      </c>
      <c r="F44" s="60" t="str">
        <v>Consumer Discretionary</v>
      </c>
      <c r="G44" s="62">
        <f t="shared" si="1"/>
        <v>0.000135109314095319</v>
      </c>
      <c r="H44" s="60"/>
      <c r="J44" s="6"/>
      <c r="M44" s="58" t="s">
        <v>967</v>
      </c>
      <c r="N44" s="67" t="s">
        <v>47</v>
      </c>
      <c r="O44" s="60" t="str">
        <v>Hindalco Industries Ltd</v>
      </c>
      <c r="P44" s="68">
        <v>0.00787428923969482</v>
      </c>
      <c r="Q44" s="62">
        <f>P44*VLOOKUP(N44,'Selector Sheet '!$B$13:$D$43,2,FALSE)</f>
        <v>0</v>
      </c>
      <c r="R44" s="60" t="str">
        <v>Materials</v>
      </c>
      <c r="S44" s="62">
        <f>P44*VLOOKUP(N44,'Selector Sheet '!$B$13:$D$43,2,FALSE)</f>
        <v>0</v>
      </c>
      <c r="T44" s="60"/>
      <c r="X44" s="60" t="str">
        <v>INE158A01026</v>
      </c>
      <c r="Z44" s="58" t="s">
        <v>965</v>
      </c>
      <c r="AB44" t="s">
        <v>965</v>
      </c>
      <c r="AC44" t="s">
        <v>968</v>
      </c>
      <c r="AD44" t="s">
        <v>874</v>
      </c>
      <c r="AE44">
        <v>23.1852845375582</v>
      </c>
      <c r="AF44">
        <v>23.686049807741</v>
      </c>
      <c r="AG44">
        <v>43784.8</v>
      </c>
      <c r="AH44">
        <v>218.96</v>
      </c>
      <c r="AI44">
        <v>1015674501469</v>
      </c>
    </row>
    <row r="45" ht="28.8" spans="1:35">
      <c r="A45" s="63" t="s">
        <v>969</v>
      </c>
      <c r="B45" s="59" t="s">
        <v>28</v>
      </c>
      <c r="C45" s="60" t="str">
        <v>Hindustan Zinc Ltd</v>
      </c>
      <c r="D45" s="64">
        <v>0.000767840854943913</v>
      </c>
      <c r="E45" s="62">
        <f t="shared" si="0"/>
        <v>6.39867379119927e-5</v>
      </c>
      <c r="F45" s="60" t="str">
        <v>Materials</v>
      </c>
      <c r="G45" s="62">
        <f t="shared" si="1"/>
        <v>6.39867379119927e-5</v>
      </c>
      <c r="H45" s="60"/>
      <c r="J45" s="6"/>
      <c r="M45" s="63" t="s">
        <v>970</v>
      </c>
      <c r="N45" s="69" t="s">
        <v>47</v>
      </c>
      <c r="O45" s="60" t="str">
        <v>Hindustan Unilever Ltd</v>
      </c>
      <c r="P45" s="70">
        <v>0.00716634618949876</v>
      </c>
      <c r="Q45" s="62">
        <f>P45*VLOOKUP(N45,'Selector Sheet '!$B$13:$D$43,2,FALSE)</f>
        <v>0</v>
      </c>
      <c r="R45" s="60" t="str">
        <v>Consumer Staples</v>
      </c>
      <c r="S45" s="62">
        <f>P45*VLOOKUP(N45,'Selector Sheet '!$B$13:$D$43,2,FALSE)</f>
        <v>0</v>
      </c>
      <c r="T45" s="60"/>
      <c r="X45" s="60" t="str">
        <v>INE267A01025</v>
      </c>
      <c r="Z45" s="63" t="s">
        <v>969</v>
      </c>
      <c r="AB45" t="s">
        <v>969</v>
      </c>
      <c r="AC45" t="s">
        <v>971</v>
      </c>
      <c r="AD45" t="s">
        <v>859</v>
      </c>
      <c r="AE45">
        <v>17.6164953487436</v>
      </c>
      <c r="AF45" t="s">
        <v>860</v>
      </c>
      <c r="AG45">
        <v>103530</v>
      </c>
      <c r="AH45">
        <v>24.5</v>
      </c>
      <c r="AI45">
        <v>1805056276800</v>
      </c>
    </row>
    <row r="46" ht="28.8" spans="1:35">
      <c r="A46" s="58" t="s">
        <v>972</v>
      </c>
      <c r="B46" s="59" t="s">
        <v>28</v>
      </c>
      <c r="C46" s="60" t="str">
        <v>ICICI Bank Ltd</v>
      </c>
      <c r="D46" s="61">
        <v>0.0672852074814301</v>
      </c>
      <c r="E46" s="62">
        <f t="shared" si="0"/>
        <v>0.00560710062345251</v>
      </c>
      <c r="F46" s="60" t="str">
        <v>Financials</v>
      </c>
      <c r="G46" s="62">
        <f t="shared" si="1"/>
        <v>0.00560710062345251</v>
      </c>
      <c r="H46" s="60"/>
      <c r="J46" s="6"/>
      <c r="M46" s="58" t="s">
        <v>969</v>
      </c>
      <c r="N46" s="67" t="s">
        <v>47</v>
      </c>
      <c r="O46" s="60" t="str">
        <v>Hindustan Zinc Ltd</v>
      </c>
      <c r="P46" s="68">
        <v>0.00227859348465841</v>
      </c>
      <c r="Q46" s="62">
        <f>P46*VLOOKUP(N46,'Selector Sheet '!$B$13:$D$43,2,FALSE)</f>
        <v>0</v>
      </c>
      <c r="R46" s="60" t="str">
        <v>Materials</v>
      </c>
      <c r="S46" s="62">
        <f>P46*VLOOKUP(N46,'Selector Sheet '!$B$13:$D$43,2,FALSE)</f>
        <v>0</v>
      </c>
      <c r="T46" s="60"/>
      <c r="X46" s="60" t="str">
        <v>INE090A01021</v>
      </c>
      <c r="Z46" s="58" t="s">
        <v>972</v>
      </c>
      <c r="AB46" t="s">
        <v>972</v>
      </c>
      <c r="AC46" t="s">
        <v>973</v>
      </c>
      <c r="AD46" t="s">
        <v>867</v>
      </c>
      <c r="AE46">
        <v>19.3808511477417</v>
      </c>
      <c r="AF46">
        <v>17.5622554301506</v>
      </c>
      <c r="AG46">
        <v>510291.955</v>
      </c>
      <c r="AH46">
        <v>72.41</v>
      </c>
      <c r="AI46">
        <v>10346886559298.7</v>
      </c>
    </row>
    <row r="47" ht="28.8" spans="1:35">
      <c r="A47" s="63" t="s">
        <v>974</v>
      </c>
      <c r="B47" s="59" t="s">
        <v>28</v>
      </c>
      <c r="C47" s="60" t="str">
        <v>Indian Bank</v>
      </c>
      <c r="D47" s="64">
        <v>0.00509191814859069</v>
      </c>
      <c r="E47" s="62">
        <f t="shared" si="0"/>
        <v>0.000424326512382557</v>
      </c>
      <c r="F47" s="60" t="str">
        <v>Financials</v>
      </c>
      <c r="G47" s="62">
        <f t="shared" si="1"/>
        <v>0.000424326512382557</v>
      </c>
      <c r="H47" s="60"/>
      <c r="J47" s="6"/>
      <c r="M47" s="63" t="s">
        <v>975</v>
      </c>
      <c r="N47" s="69" t="s">
        <v>47</v>
      </c>
      <c r="O47" s="60" t="str">
        <v>Housing &amp; Urban Development Co</v>
      </c>
      <c r="P47" s="70">
        <v>0.00304666142717826</v>
      </c>
      <c r="Q47" s="62">
        <f>P47*VLOOKUP(N47,'Selector Sheet '!$B$13:$D$43,2,FALSE)</f>
        <v>0</v>
      </c>
      <c r="R47" s="60" t="str">
        <v>Financials</v>
      </c>
      <c r="S47" s="62">
        <f>P47*VLOOKUP(N47,'Selector Sheet '!$B$13:$D$43,2,FALSE)</f>
        <v>0</v>
      </c>
      <c r="T47" s="60"/>
      <c r="X47" s="60" t="str">
        <v>INE562A01011</v>
      </c>
      <c r="Z47" s="63" t="s">
        <v>974</v>
      </c>
      <c r="AB47" t="s">
        <v>974</v>
      </c>
      <c r="AC47" t="s">
        <v>976</v>
      </c>
      <c r="AD47" t="s">
        <v>867</v>
      </c>
      <c r="AE47">
        <v>8.0821672048798</v>
      </c>
      <c r="AF47">
        <v>17.0937691705846</v>
      </c>
      <c r="AG47">
        <v>112614.7</v>
      </c>
      <c r="AH47">
        <v>83.61</v>
      </c>
      <c r="AI47">
        <v>910210910160.75</v>
      </c>
    </row>
    <row r="48" ht="28.8" spans="1:35">
      <c r="A48" s="58" t="s">
        <v>977</v>
      </c>
      <c r="B48" s="59" t="s">
        <v>28</v>
      </c>
      <c r="C48" s="60" t="str">
        <v>ITC Hotels Ltd</v>
      </c>
      <c r="D48" s="61">
        <v>0.00708638739155439</v>
      </c>
      <c r="E48" s="62">
        <f t="shared" si="0"/>
        <v>0.000590532282629532</v>
      </c>
      <c r="F48" s="60" t="str">
        <v>Consumer Discretionary</v>
      </c>
      <c r="G48" s="62">
        <f t="shared" si="1"/>
        <v>0.000590532282629532</v>
      </c>
      <c r="H48" s="60"/>
      <c r="J48" s="6"/>
      <c r="M48" s="58" t="s">
        <v>972</v>
      </c>
      <c r="N48" s="67" t="s">
        <v>47</v>
      </c>
      <c r="O48" s="60" t="str">
        <v>ICICI Bank Ltd</v>
      </c>
      <c r="P48" s="68">
        <v>0.0487713801509946</v>
      </c>
      <c r="Q48" s="62">
        <f>P48*VLOOKUP(N48,'Selector Sheet '!$B$13:$D$43,2,FALSE)</f>
        <v>0</v>
      </c>
      <c r="R48" s="60" t="str">
        <v>Financials</v>
      </c>
      <c r="S48" s="62">
        <f>P48*VLOOKUP(N48,'Selector Sheet '!$B$13:$D$43,2,FALSE)</f>
        <v>0</v>
      </c>
      <c r="T48" s="60"/>
      <c r="X48" s="60" t="str">
        <v>INE379A01028</v>
      </c>
      <c r="Z48" s="58" t="s">
        <v>977</v>
      </c>
      <c r="AB48" t="s">
        <v>977</v>
      </c>
      <c r="AC48" t="s">
        <v>978</v>
      </c>
      <c r="AD48" t="s">
        <v>874</v>
      </c>
      <c r="AE48">
        <v>75.4950801661757</v>
      </c>
      <c r="AF48">
        <v>11.7771676803503</v>
      </c>
      <c r="AG48">
        <v>6345.7</v>
      </c>
      <c r="AH48">
        <v>3.05</v>
      </c>
      <c r="AI48">
        <v>479490094900.92</v>
      </c>
    </row>
    <row r="49" ht="28.8" spans="1:35">
      <c r="A49" s="63" t="s">
        <v>979</v>
      </c>
      <c r="B49" s="59" t="s">
        <v>28</v>
      </c>
      <c r="C49" s="60" t="str">
        <v>JK Cement Ltd</v>
      </c>
      <c r="D49" s="64">
        <v>0.0119346244418592</v>
      </c>
      <c r="E49" s="62">
        <f t="shared" si="0"/>
        <v>0.0009945520368216</v>
      </c>
      <c r="F49" s="60" t="str">
        <v>Materials</v>
      </c>
      <c r="G49" s="62">
        <f t="shared" si="1"/>
        <v>0.0009945520368216</v>
      </c>
      <c r="H49" s="60"/>
      <c r="J49" s="6"/>
      <c r="M49" s="63" t="s">
        <v>974</v>
      </c>
      <c r="N49" s="69" t="s">
        <v>47</v>
      </c>
      <c r="O49" s="60" t="str">
        <v>Indian Bank</v>
      </c>
      <c r="P49" s="70">
        <v>0.00457881035407401</v>
      </c>
      <c r="Q49" s="62">
        <f>P49*VLOOKUP(N49,'Selector Sheet '!$B$13:$D$43,2,FALSE)</f>
        <v>0</v>
      </c>
      <c r="R49" s="60" t="str">
        <v>Financials</v>
      </c>
      <c r="S49" s="62">
        <f>P49*VLOOKUP(N49,'Selector Sheet '!$B$13:$D$43,2,FALSE)</f>
        <v>0</v>
      </c>
      <c r="T49" s="60"/>
      <c r="X49" s="60" t="str">
        <v>INE823G01014</v>
      </c>
      <c r="Z49" s="63" t="s">
        <v>979</v>
      </c>
      <c r="AB49" t="s">
        <v>979</v>
      </c>
      <c r="AC49" t="s">
        <v>980</v>
      </c>
      <c r="AD49" t="s">
        <v>859</v>
      </c>
      <c r="AE49">
        <v>64.8600143575018</v>
      </c>
      <c r="AF49">
        <v>15.0333620807045</v>
      </c>
      <c r="AG49">
        <v>8611.2</v>
      </c>
      <c r="AH49">
        <v>111.44</v>
      </c>
      <c r="AI49">
        <v>558495590432</v>
      </c>
    </row>
    <row r="50" ht="28.8" spans="1:35">
      <c r="A50" s="58" t="s">
        <v>981</v>
      </c>
      <c r="B50" s="59" t="s">
        <v>28</v>
      </c>
      <c r="C50" s="60" t="str">
        <v>KPR Mill Ltd</v>
      </c>
      <c r="D50" s="61">
        <v>0.00522299135506647</v>
      </c>
      <c r="E50" s="62">
        <f t="shared" si="0"/>
        <v>0.000435249279588872</v>
      </c>
      <c r="F50" s="60" t="str">
        <v>Consumer Discretionary</v>
      </c>
      <c r="G50" s="62">
        <f t="shared" si="1"/>
        <v>0.000435249279588872</v>
      </c>
      <c r="H50" s="60"/>
      <c r="J50" s="6"/>
      <c r="M50" s="58" t="s">
        <v>982</v>
      </c>
      <c r="N50" s="67" t="s">
        <v>47</v>
      </c>
      <c r="O50" s="60" t="str">
        <v>Indian Energy Exchange Ltd</v>
      </c>
      <c r="P50" s="68">
        <v>0</v>
      </c>
      <c r="Q50" s="62">
        <f>P50*VLOOKUP(N50,'Selector Sheet '!$B$13:$D$43,2,FALSE)</f>
        <v>0</v>
      </c>
      <c r="R50" s="60" t="str">
        <v>Financials</v>
      </c>
      <c r="S50" s="62">
        <f>P50*VLOOKUP(N50,'Selector Sheet '!$B$13:$D$43,2,FALSE)</f>
        <v>0</v>
      </c>
      <c r="T50" s="60"/>
      <c r="X50" s="60" t="str">
        <v>INE930H01031</v>
      </c>
      <c r="Z50" s="58" t="s">
        <v>981</v>
      </c>
      <c r="AB50" t="s">
        <v>981</v>
      </c>
      <c r="AC50" t="s">
        <v>983</v>
      </c>
      <c r="AD50" t="s">
        <v>874</v>
      </c>
      <c r="AE50">
        <v>40.9685524354691</v>
      </c>
      <c r="AF50">
        <v>17.4164523734994</v>
      </c>
      <c r="AG50">
        <v>8151.1</v>
      </c>
      <c r="AH50">
        <v>23.85</v>
      </c>
      <c r="AI50">
        <v>333986459400</v>
      </c>
    </row>
    <row r="51" ht="28.8" spans="1:35">
      <c r="A51" s="63" t="s">
        <v>984</v>
      </c>
      <c r="B51" s="59" t="s">
        <v>28</v>
      </c>
      <c r="C51" s="60" t="str">
        <v>Kajaria Ceramics Ltd</v>
      </c>
      <c r="D51" s="64">
        <v>0.00276558986342051</v>
      </c>
      <c r="E51" s="62">
        <f t="shared" si="0"/>
        <v>0.000230465821951709</v>
      </c>
      <c r="F51" s="60" t="str">
        <v>Industrials</v>
      </c>
      <c r="G51" s="62">
        <f t="shared" si="1"/>
        <v>0.000230465821951709</v>
      </c>
      <c r="H51" s="60"/>
      <c r="J51" s="6"/>
      <c r="M51" s="63" t="s">
        <v>985</v>
      </c>
      <c r="N51" s="69" t="s">
        <v>47</v>
      </c>
      <c r="O51" s="60" t="str">
        <v>Indiqube Spaces Ltd</v>
      </c>
      <c r="P51" s="70">
        <v>0.000872041556862126</v>
      </c>
      <c r="Q51" s="62">
        <f>P51*VLOOKUP(N51,'Selector Sheet '!$B$13:$D$43,2,FALSE)</f>
        <v>0</v>
      </c>
      <c r="R51" s="60" t="str">
        <v>Real Estate</v>
      </c>
      <c r="S51" s="62">
        <f>P51*VLOOKUP(N51,'Selector Sheet '!$B$13:$D$43,2,FALSE)</f>
        <v>0</v>
      </c>
      <c r="T51" s="60"/>
      <c r="X51" s="60" t="str">
        <v>INE217B01036</v>
      </c>
      <c r="Z51" s="63" t="s">
        <v>984</v>
      </c>
      <c r="AB51" t="s">
        <v>984</v>
      </c>
      <c r="AC51" t="s">
        <v>986</v>
      </c>
      <c r="AD51" t="s">
        <v>849</v>
      </c>
      <c r="AE51">
        <v>59.8558150890262</v>
      </c>
      <c r="AF51">
        <v>10.9814265221876</v>
      </c>
      <c r="AG51">
        <v>2943.5</v>
      </c>
      <c r="AH51">
        <v>18.48</v>
      </c>
      <c r="AI51">
        <v>204967510001</v>
      </c>
    </row>
    <row r="52" ht="28.8" spans="1:35">
      <c r="A52" s="58" t="s">
        <v>987</v>
      </c>
      <c r="B52" s="59" t="s">
        <v>28</v>
      </c>
      <c r="C52" s="60" t="str">
        <v>Kaynes Technology India Ltd</v>
      </c>
      <c r="D52" s="61">
        <v>0.0113494211258878</v>
      </c>
      <c r="E52" s="62">
        <f t="shared" si="0"/>
        <v>0.000945785093823983</v>
      </c>
      <c r="F52" s="60" t="str">
        <v>Information Technology</v>
      </c>
      <c r="G52" s="62">
        <f t="shared" si="1"/>
        <v>0.000945785093823983</v>
      </c>
      <c r="H52" s="60"/>
      <c r="J52" s="6"/>
      <c r="M52" s="58" t="s">
        <v>988</v>
      </c>
      <c r="N52" s="67" t="s">
        <v>47</v>
      </c>
      <c r="O52" s="60" t="str">
        <v>Indus Towers Ltd</v>
      </c>
      <c r="P52" s="68">
        <v>0.00469083606035407</v>
      </c>
      <c r="Q52" s="62">
        <f>P52*VLOOKUP(N52,'Selector Sheet '!$B$13:$D$43,2,FALSE)</f>
        <v>0</v>
      </c>
      <c r="R52" s="60" t="str">
        <v>Communication Services</v>
      </c>
      <c r="S52" s="62">
        <f>P52*VLOOKUP(N52,'Selector Sheet '!$B$13:$D$43,2,FALSE)</f>
        <v>0</v>
      </c>
      <c r="T52" s="60"/>
      <c r="X52" s="60" t="str">
        <v>INE918Z01012</v>
      </c>
      <c r="Z52" s="58" t="s">
        <v>987</v>
      </c>
      <c r="AB52" t="s">
        <v>987</v>
      </c>
      <c r="AC52" t="s">
        <v>989</v>
      </c>
      <c r="AD52" t="s">
        <v>920</v>
      </c>
      <c r="AE52">
        <v>136.277843266852</v>
      </c>
      <c r="AF52">
        <v>11.0165118340035</v>
      </c>
      <c r="AG52">
        <v>2934.33</v>
      </c>
      <c r="AH52">
        <v>45.788808</v>
      </c>
      <c r="AI52">
        <v>417812260320</v>
      </c>
    </row>
    <row r="53" ht="28.8" spans="1:35">
      <c r="A53" s="63" t="s">
        <v>990</v>
      </c>
      <c r="B53" s="59" t="s">
        <v>28</v>
      </c>
      <c r="C53" s="60" t="str">
        <v>KNR Constructions Ltd</v>
      </c>
      <c r="D53" s="64">
        <v>0.00230871617919404</v>
      </c>
      <c r="E53" s="62">
        <f t="shared" si="0"/>
        <v>0.000192393014932837</v>
      </c>
      <c r="F53" s="60" t="str">
        <v>Industrials</v>
      </c>
      <c r="G53" s="62">
        <f t="shared" si="1"/>
        <v>0.000192393014932837</v>
      </c>
      <c r="H53" s="60"/>
      <c r="J53" s="6"/>
      <c r="M53" s="63" t="s">
        <v>991</v>
      </c>
      <c r="N53" s="69" t="s">
        <v>47</v>
      </c>
      <c r="O53" s="60" t="str">
        <v>Infosys Ltd</v>
      </c>
      <c r="P53" s="70">
        <v>0.0250071630393595</v>
      </c>
      <c r="Q53" s="62">
        <f>P53*VLOOKUP(N53,'Selector Sheet '!$B$13:$D$43,2,FALSE)</f>
        <v>0</v>
      </c>
      <c r="R53" s="60" t="str">
        <v>Information Technology</v>
      </c>
      <c r="S53" s="62">
        <f>P53*VLOOKUP(N53,'Selector Sheet '!$B$13:$D$43,2,FALSE)</f>
        <v>0</v>
      </c>
      <c r="T53" s="60"/>
      <c r="X53" s="60" t="str">
        <v>INE634I01029</v>
      </c>
      <c r="Z53" s="63" t="s">
        <v>990</v>
      </c>
      <c r="AB53" t="s">
        <v>990</v>
      </c>
      <c r="AC53" t="s">
        <v>992</v>
      </c>
      <c r="AD53" t="s">
        <v>849</v>
      </c>
      <c r="AE53">
        <v>5.64261666179573</v>
      </c>
      <c r="AF53">
        <v>24.7519145646276</v>
      </c>
      <c r="AG53">
        <v>10018.741</v>
      </c>
      <c r="AH53">
        <v>35.62</v>
      </c>
      <c r="AI53">
        <v>56525342254</v>
      </c>
    </row>
    <row r="54" ht="28.8" spans="1:35">
      <c r="A54" s="58" t="s">
        <v>993</v>
      </c>
      <c r="B54" s="59" t="s">
        <v>28</v>
      </c>
      <c r="C54" s="60" t="str">
        <v>KPIT Technologies Ltd</v>
      </c>
      <c r="D54" s="61">
        <v>0.0348890653169646</v>
      </c>
      <c r="E54" s="62">
        <f t="shared" si="0"/>
        <v>0.00290742210974705</v>
      </c>
      <c r="F54" s="60" t="str">
        <v>Information Technology</v>
      </c>
      <c r="G54" s="62">
        <f t="shared" si="1"/>
        <v>0.00290742210974705</v>
      </c>
      <c r="H54" s="60"/>
      <c r="J54" s="6"/>
      <c r="M54" s="58" t="s">
        <v>994</v>
      </c>
      <c r="N54" s="67" t="s">
        <v>47</v>
      </c>
      <c r="O54" s="60" t="str">
        <v>InterGlobe Aviation Ltd</v>
      </c>
      <c r="P54" s="68">
        <v>0.00665962726209745</v>
      </c>
      <c r="Q54" s="62">
        <f>P54*VLOOKUP(N54,'Selector Sheet '!$B$13:$D$43,2,FALSE)</f>
        <v>0</v>
      </c>
      <c r="R54" s="60" t="str">
        <v>Industrials</v>
      </c>
      <c r="S54" s="62">
        <f>P54*VLOOKUP(N54,'Selector Sheet '!$B$13:$D$43,2,FALSE)</f>
        <v>0</v>
      </c>
      <c r="T54" s="60"/>
      <c r="X54" s="60" t="str">
        <v>INE04I401011</v>
      </c>
      <c r="Z54" s="58" t="s">
        <v>993</v>
      </c>
      <c r="AB54" t="s">
        <v>993</v>
      </c>
      <c r="AC54" t="s">
        <v>995</v>
      </c>
      <c r="AD54" t="s">
        <v>920</v>
      </c>
      <c r="AE54">
        <v>39.6055609440672</v>
      </c>
      <c r="AF54">
        <v>33.1987878251077</v>
      </c>
      <c r="AG54">
        <v>8396</v>
      </c>
      <c r="AH54">
        <v>30.93</v>
      </c>
      <c r="AI54">
        <v>335826164800</v>
      </c>
    </row>
    <row r="55" ht="28.8" spans="1:35">
      <c r="A55" s="63" t="s">
        <v>996</v>
      </c>
      <c r="B55" s="59" t="s">
        <v>28</v>
      </c>
      <c r="C55" s="60" t="str">
        <v>Linde India Ltd</v>
      </c>
      <c r="D55" s="64">
        <v>0.00121698086774619</v>
      </c>
      <c r="E55" s="62">
        <f t="shared" si="0"/>
        <v>0.000101415072312183</v>
      </c>
      <c r="F55" s="60" t="str">
        <v>Materials</v>
      </c>
      <c r="G55" s="62">
        <f t="shared" si="1"/>
        <v>0.000101415072312183</v>
      </c>
      <c r="H55" s="60"/>
      <c r="J55" s="6"/>
      <c r="M55" s="63" t="s">
        <v>997</v>
      </c>
      <c r="N55" s="69" t="s">
        <v>47</v>
      </c>
      <c r="O55" s="60" t="str">
        <v>ITC Ltd</v>
      </c>
      <c r="P55" s="70">
        <v>0.0168355170802108</v>
      </c>
      <c r="Q55" s="62">
        <f>P55*VLOOKUP(N55,'Selector Sheet '!$B$13:$D$43,2,FALSE)</f>
        <v>0</v>
      </c>
      <c r="R55" s="60" t="str">
        <v>Consumer Staples</v>
      </c>
      <c r="S55" s="62">
        <f>P55*VLOOKUP(N55,'Selector Sheet '!$B$13:$D$43,2,FALSE)</f>
        <v>0</v>
      </c>
      <c r="T55" s="60"/>
      <c r="X55" s="60" t="str">
        <v>INE473A01011</v>
      </c>
      <c r="Z55" s="63" t="s">
        <v>996</v>
      </c>
      <c r="AB55" t="s">
        <v>996</v>
      </c>
      <c r="AC55" t="s">
        <v>998</v>
      </c>
      <c r="AD55" t="s">
        <v>859</v>
      </c>
      <c r="AE55">
        <v>117.316707294206</v>
      </c>
      <c r="AF55">
        <v>12.4813813118313</v>
      </c>
      <c r="AG55">
        <v>4548.45</v>
      </c>
      <c r="AH55">
        <v>53.33</v>
      </c>
      <c r="AI55">
        <v>533580741199.5</v>
      </c>
    </row>
    <row r="56" ht="28.8" spans="1:35">
      <c r="A56" s="58" t="s">
        <v>999</v>
      </c>
      <c r="B56" s="59" t="s">
        <v>28</v>
      </c>
      <c r="C56" s="60" t="str">
        <v>LTIMindtree Ltd</v>
      </c>
      <c r="D56" s="61">
        <v>0.00190104680526358</v>
      </c>
      <c r="E56" s="62">
        <f t="shared" si="0"/>
        <v>0.000158420567105298</v>
      </c>
      <c r="F56" s="60" t="str">
        <v>Information Technology</v>
      </c>
      <c r="G56" s="62">
        <f t="shared" si="1"/>
        <v>0.000158420567105298</v>
      </c>
      <c r="H56" s="60"/>
      <c r="J56" s="6"/>
      <c r="M56" s="58" t="s">
        <v>1000</v>
      </c>
      <c r="N56" s="67" t="s">
        <v>47</v>
      </c>
      <c r="O56" s="60" t="str">
        <v>JSW Energy Ltd</v>
      </c>
      <c r="P56" s="68">
        <v>0.00785155576070931</v>
      </c>
      <c r="Q56" s="62">
        <f>P56*VLOOKUP(N56,'Selector Sheet '!$B$13:$D$43,2,FALSE)</f>
        <v>0</v>
      </c>
      <c r="R56" s="60" t="str">
        <v>Utilities</v>
      </c>
      <c r="S56" s="62">
        <f>P56*VLOOKUP(N56,'Selector Sheet '!$B$13:$D$43,2,FALSE)</f>
        <v>0</v>
      </c>
      <c r="T56" s="60"/>
      <c r="X56" s="60" t="str">
        <v>INE214T01019</v>
      </c>
      <c r="Z56" s="58" t="s">
        <v>999</v>
      </c>
      <c r="AB56" t="s">
        <v>999</v>
      </c>
      <c r="AC56" t="s">
        <v>1001</v>
      </c>
      <c r="AD56" t="s">
        <v>920</v>
      </c>
      <c r="AE56">
        <v>32.0320654181671</v>
      </c>
      <c r="AF56">
        <v>22.1334196344398</v>
      </c>
      <c r="AG56">
        <v>45987</v>
      </c>
      <c r="AH56">
        <v>155.361486</v>
      </c>
      <c r="AI56">
        <v>1513355798813</v>
      </c>
    </row>
    <row r="57" ht="28.8" spans="1:35">
      <c r="A57" s="63" t="s">
        <v>1002</v>
      </c>
      <c r="B57" s="59" t="s">
        <v>28</v>
      </c>
      <c r="C57" s="60" t="str">
        <v>Mahindra &amp; Mahindra Ltd</v>
      </c>
      <c r="D57" s="64">
        <v>0.023650475217084</v>
      </c>
      <c r="E57" s="62">
        <f t="shared" si="0"/>
        <v>0.001970872934757</v>
      </c>
      <c r="F57" s="60" t="str">
        <v>Consumer Discretionary</v>
      </c>
      <c r="G57" s="62">
        <f t="shared" si="1"/>
        <v>0.001970872934757</v>
      </c>
      <c r="H57" s="60"/>
      <c r="J57" s="6"/>
      <c r="M57" s="63" t="s">
        <v>1003</v>
      </c>
      <c r="N57" s="69" t="s">
        <v>47</v>
      </c>
      <c r="O57" s="60" t="str">
        <v>Jyoti CNC Automation Ltd</v>
      </c>
      <c r="P57" s="70">
        <v>0.00637480991688451</v>
      </c>
      <c r="Q57" s="62">
        <f>P57*VLOOKUP(N57,'Selector Sheet '!$B$13:$D$43,2,FALSE)</f>
        <v>0</v>
      </c>
      <c r="R57" s="60" t="str">
        <v>Industrials</v>
      </c>
      <c r="S57" s="62">
        <f>P57*VLOOKUP(N57,'Selector Sheet '!$B$13:$D$43,2,FALSE)</f>
        <v>0</v>
      </c>
      <c r="T57" s="60"/>
      <c r="X57" s="60" t="str">
        <v>INE101A01026</v>
      </c>
      <c r="Z57" s="63" t="s">
        <v>1002</v>
      </c>
      <c r="AB57" t="s">
        <v>1002</v>
      </c>
      <c r="AC57" t="s">
        <v>1004</v>
      </c>
      <c r="AD57" t="s">
        <v>874</v>
      </c>
      <c r="AE57">
        <v>29.4081610833567</v>
      </c>
      <c r="AF57">
        <v>18.0536944193235</v>
      </c>
      <c r="AG57">
        <v>129291</v>
      </c>
      <c r="AH57">
        <v>115.91</v>
      </c>
      <c r="AI57">
        <v>4238816726229.7</v>
      </c>
    </row>
    <row r="58" ht="28.8" spans="1:35">
      <c r="A58" s="58" t="s">
        <v>1005</v>
      </c>
      <c r="B58" s="59" t="s">
        <v>28</v>
      </c>
      <c r="C58" s="60" t="str">
        <v>Mankind Pharma Ltd</v>
      </c>
      <c r="D58" s="61">
        <v>0.00234879741859441</v>
      </c>
      <c r="E58" s="62">
        <f t="shared" si="0"/>
        <v>0.000195733118216201</v>
      </c>
      <c r="F58" s="60" t="str">
        <v>Health Care</v>
      </c>
      <c r="G58" s="62">
        <f t="shared" si="1"/>
        <v>0.000195733118216201</v>
      </c>
      <c r="H58" s="60"/>
      <c r="J58" s="6"/>
      <c r="M58" s="58" t="s">
        <v>987</v>
      </c>
      <c r="N58" s="67" t="s">
        <v>47</v>
      </c>
      <c r="O58" s="60" t="str">
        <v>Kaynes Technology India Ltd</v>
      </c>
      <c r="P58" s="68">
        <v>0.00639143787761428</v>
      </c>
      <c r="Q58" s="62">
        <f>P58*VLOOKUP(N58,'Selector Sheet '!$B$13:$D$43,2,FALSE)</f>
        <v>0</v>
      </c>
      <c r="R58" s="60" t="str">
        <v>Information Technology</v>
      </c>
      <c r="S58" s="62">
        <f>P58*VLOOKUP(N58,'Selector Sheet '!$B$13:$D$43,2,FALSE)</f>
        <v>0</v>
      </c>
      <c r="T58" s="60"/>
      <c r="X58" s="60" t="str">
        <v>INE634S01028</v>
      </c>
      <c r="Z58" s="58" t="s">
        <v>1005</v>
      </c>
      <c r="AB58" t="s">
        <v>1005</v>
      </c>
      <c r="AC58" t="s">
        <v>1006</v>
      </c>
      <c r="AD58" t="s">
        <v>855</v>
      </c>
      <c r="AE58">
        <v>51.2911442158056</v>
      </c>
      <c r="AF58">
        <v>16.8045551303455</v>
      </c>
      <c r="AG58">
        <v>19909.6</v>
      </c>
      <c r="AH58">
        <v>48.25651</v>
      </c>
      <c r="AI58">
        <v>1019233643186</v>
      </c>
    </row>
    <row r="59" ht="28.8" spans="1:35">
      <c r="A59" s="63" t="s">
        <v>1007</v>
      </c>
      <c r="B59" s="59" t="s">
        <v>28</v>
      </c>
      <c r="C59" s="60" t="str">
        <v>Max Healthcare Institute Ltd</v>
      </c>
      <c r="D59" s="64">
        <v>0.0201847062960786</v>
      </c>
      <c r="E59" s="62">
        <f t="shared" si="0"/>
        <v>0.00168205885800655</v>
      </c>
      <c r="F59" s="60" t="str">
        <v>Health Care</v>
      </c>
      <c r="G59" s="62">
        <f t="shared" si="1"/>
        <v>0.00168205885800655</v>
      </c>
      <c r="H59" s="60"/>
      <c r="J59" s="6"/>
      <c r="M59" s="63" t="s">
        <v>1008</v>
      </c>
      <c r="N59" s="69" t="s">
        <v>47</v>
      </c>
      <c r="O59" s="60" t="str">
        <v>Kotak Mahindra Bank Ltd</v>
      </c>
      <c r="P59" s="70">
        <v>0.00280875728945916</v>
      </c>
      <c r="Q59" s="62">
        <f>P59*VLOOKUP(N59,'Selector Sheet '!$B$13:$D$43,2,FALSE)</f>
        <v>0</v>
      </c>
      <c r="R59" s="60" t="str">
        <v>Financials</v>
      </c>
      <c r="S59" s="62">
        <f>P59*VLOOKUP(N59,'Selector Sheet '!$B$13:$D$43,2,FALSE)</f>
        <v>0</v>
      </c>
      <c r="T59" s="60"/>
      <c r="X59" s="60" t="str">
        <v>INE027H01010</v>
      </c>
      <c r="Z59" s="63" t="s">
        <v>1007</v>
      </c>
      <c r="AB59" t="s">
        <v>1007</v>
      </c>
      <c r="AC59" t="s">
        <v>1009</v>
      </c>
      <c r="AD59" t="s">
        <v>855</v>
      </c>
      <c r="AE59">
        <v>110.880754396737</v>
      </c>
      <c r="AF59">
        <v>12.0960075912038</v>
      </c>
      <c r="AG59">
        <v>10758.8</v>
      </c>
      <c r="AH59">
        <v>11.07</v>
      </c>
      <c r="AI59">
        <v>1193261642440.35</v>
      </c>
    </row>
    <row r="60" ht="28.8" spans="1:35">
      <c r="A60" s="58" t="s">
        <v>1010</v>
      </c>
      <c r="B60" s="59" t="s">
        <v>28</v>
      </c>
      <c r="C60" s="60" t="str">
        <v>Mphasis Ltd</v>
      </c>
      <c r="D60" s="61">
        <v>0.00118558435349272</v>
      </c>
      <c r="E60" s="62">
        <f t="shared" si="0"/>
        <v>9.87986961243933e-5</v>
      </c>
      <c r="F60" s="60" t="str">
        <v>Information Technology</v>
      </c>
      <c r="G60" s="62">
        <f t="shared" si="1"/>
        <v>9.87986961243933e-5</v>
      </c>
      <c r="H60" s="60"/>
      <c r="J60" s="6"/>
      <c r="M60" s="58" t="s">
        <v>1011</v>
      </c>
      <c r="N60" s="67" t="s">
        <v>47</v>
      </c>
      <c r="O60" s="60" t="str">
        <v>Larsen &amp; Toubro Ltd</v>
      </c>
      <c r="P60" s="68">
        <v>0.0202646528744338</v>
      </c>
      <c r="Q60" s="62">
        <f>P60*VLOOKUP(N60,'Selector Sheet '!$B$13:$D$43,2,FALSE)</f>
        <v>0</v>
      </c>
      <c r="R60" s="60" t="str">
        <v>Industrials</v>
      </c>
      <c r="S60" s="62">
        <f>P60*VLOOKUP(N60,'Selector Sheet '!$B$13:$D$43,2,FALSE)</f>
        <v>0</v>
      </c>
      <c r="T60" s="60"/>
      <c r="X60" s="60" t="str">
        <v>INE356A01018</v>
      </c>
      <c r="Z60" s="58" t="s">
        <v>1010</v>
      </c>
      <c r="AB60" t="s">
        <v>1010</v>
      </c>
      <c r="AC60" t="s">
        <v>1012</v>
      </c>
      <c r="AD60" t="s">
        <v>920</v>
      </c>
      <c r="AE60">
        <v>30.3104484255035</v>
      </c>
      <c r="AF60">
        <v>18.4784168655305</v>
      </c>
      <c r="AG60">
        <v>17021.39</v>
      </c>
      <c r="AH60">
        <v>89.87</v>
      </c>
      <c r="AI60">
        <v>518246243700</v>
      </c>
    </row>
    <row r="61" ht="28.8" spans="1:35">
      <c r="A61" s="63" t="s">
        <v>1013</v>
      </c>
      <c r="B61" s="59" t="s">
        <v>28</v>
      </c>
      <c r="C61" s="60" t="str">
        <v>Mrs Bectors Food Specialities</v>
      </c>
      <c r="D61" s="64">
        <v>0.00237544649183698</v>
      </c>
      <c r="E61" s="62">
        <f t="shared" si="0"/>
        <v>0.000197953874319748</v>
      </c>
      <c r="F61" s="60" t="str">
        <v>Consumer Staples</v>
      </c>
      <c r="G61" s="62">
        <f t="shared" si="1"/>
        <v>0.000197953874319748</v>
      </c>
      <c r="H61" s="60"/>
      <c r="J61" s="6"/>
      <c r="M61" s="63" t="s">
        <v>1014</v>
      </c>
      <c r="N61" s="69" t="s">
        <v>47</v>
      </c>
      <c r="O61" s="60" t="str">
        <v>Lupin Ltd</v>
      </c>
      <c r="P61" s="70">
        <v>0.00672917232023195</v>
      </c>
      <c r="Q61" s="62">
        <f>P61*VLOOKUP(N61,'Selector Sheet '!$B$13:$D$43,2,FALSE)</f>
        <v>0</v>
      </c>
      <c r="R61" s="60" t="str">
        <v>Health Care</v>
      </c>
      <c r="S61" s="62">
        <f>P61*VLOOKUP(N61,'Selector Sheet '!$B$13:$D$43,2,FALSE)</f>
        <v>0</v>
      </c>
      <c r="T61" s="60"/>
      <c r="X61" s="60" t="str">
        <v>INE495P01012</v>
      </c>
      <c r="Z61" s="63" t="s">
        <v>1013</v>
      </c>
      <c r="AB61" t="s">
        <v>1013</v>
      </c>
      <c r="AC61" t="s">
        <v>1015</v>
      </c>
      <c r="AD61" t="s">
        <v>1016</v>
      </c>
      <c r="AE61">
        <v>60.6047523377159</v>
      </c>
      <c r="AF61">
        <v>15.6653248849022</v>
      </c>
      <c r="AG61">
        <v>1432.33</v>
      </c>
      <c r="AH61">
        <v>23.348004</v>
      </c>
      <c r="AI61">
        <v>86878338385</v>
      </c>
    </row>
    <row r="62" ht="28.8" spans="1:35">
      <c r="A62" s="58" t="s">
        <v>1017</v>
      </c>
      <c r="B62" s="59" t="s">
        <v>28</v>
      </c>
      <c r="C62" s="60" t="str">
        <v>Multi Commodity Exchange of In</v>
      </c>
      <c r="D62" s="61">
        <v>0.0065212501349919</v>
      </c>
      <c r="E62" s="62">
        <f t="shared" si="0"/>
        <v>0.000543437511249325</v>
      </c>
      <c r="F62" s="60" t="str">
        <v>Financials</v>
      </c>
      <c r="G62" s="62">
        <f t="shared" si="1"/>
        <v>0.000543437511249325</v>
      </c>
      <c r="H62" s="60"/>
      <c r="J62" s="6"/>
      <c r="M62" s="58" t="s">
        <v>1018</v>
      </c>
      <c r="N62" s="67" t="s">
        <v>47</v>
      </c>
      <c r="O62" s="60" t="str">
        <v>Mahindra &amp; Mahindra Financial</v>
      </c>
      <c r="P62" s="68">
        <v>0</v>
      </c>
      <c r="Q62" s="62">
        <f>P62*VLOOKUP(N62,'Selector Sheet '!$B$13:$D$43,2,FALSE)</f>
        <v>0</v>
      </c>
      <c r="R62" s="60" t="str">
        <v>Financials</v>
      </c>
      <c r="S62" s="62">
        <f>P62*VLOOKUP(N62,'Selector Sheet '!$B$13:$D$43,2,FALSE)</f>
        <v>0</v>
      </c>
      <c r="T62" s="60"/>
      <c r="X62" s="60" t="str">
        <v>INE745G01035</v>
      </c>
      <c r="Z62" s="58" t="s">
        <v>1017</v>
      </c>
      <c r="AB62" t="s">
        <v>1017</v>
      </c>
      <c r="AC62" t="s">
        <v>1019</v>
      </c>
      <c r="AD62" t="s">
        <v>867</v>
      </c>
      <c r="AE62">
        <v>76.0152977599709</v>
      </c>
      <c r="AF62">
        <v>34.3283765063564</v>
      </c>
      <c r="AG62">
        <v>5600.4</v>
      </c>
      <c r="AH62">
        <v>109.82</v>
      </c>
      <c r="AI62">
        <v>425734384412</v>
      </c>
    </row>
    <row r="63" ht="28.8" spans="1:35">
      <c r="A63" s="63" t="s">
        <v>1020</v>
      </c>
      <c r="B63" s="59" t="s">
        <v>28</v>
      </c>
      <c r="C63" s="60" t="str">
        <v>National Aluminium Co Ltd</v>
      </c>
      <c r="D63" s="64">
        <v>0.00358171919914968</v>
      </c>
      <c r="E63" s="62">
        <f t="shared" si="0"/>
        <v>0.00029847659992914</v>
      </c>
      <c r="F63" s="60" t="str">
        <v>Materials</v>
      </c>
      <c r="G63" s="62">
        <f t="shared" si="1"/>
        <v>0.00029847659992914</v>
      </c>
      <c r="H63" s="60"/>
      <c r="J63" s="6"/>
      <c r="M63" s="63" t="s">
        <v>1002</v>
      </c>
      <c r="N63" s="69" t="s">
        <v>47</v>
      </c>
      <c r="O63" s="60" t="str">
        <v>Mahindra &amp; Mahindra Ltd</v>
      </c>
      <c r="P63" s="70">
        <v>0.00803011676260343</v>
      </c>
      <c r="Q63" s="62">
        <f>P63*VLOOKUP(N63,'Selector Sheet '!$B$13:$D$43,2,FALSE)</f>
        <v>0</v>
      </c>
      <c r="R63" s="60" t="str">
        <v>Consumer Discretionary</v>
      </c>
      <c r="S63" s="62">
        <f>P63*VLOOKUP(N63,'Selector Sheet '!$B$13:$D$43,2,FALSE)</f>
        <v>0</v>
      </c>
      <c r="T63" s="60"/>
      <c r="X63" s="60" t="str">
        <v>INE139A01034</v>
      </c>
      <c r="Z63" s="63" t="s">
        <v>1020</v>
      </c>
      <c r="AB63" t="s">
        <v>1020</v>
      </c>
      <c r="AC63" t="s">
        <v>1021</v>
      </c>
      <c r="AD63" t="s">
        <v>859</v>
      </c>
      <c r="AE63">
        <v>6.56520199742444</v>
      </c>
      <c r="AF63">
        <v>32.7267000543277</v>
      </c>
      <c r="AG63">
        <v>52679.4</v>
      </c>
      <c r="AH63">
        <v>28.68</v>
      </c>
      <c r="AI63">
        <v>345819399174.23</v>
      </c>
    </row>
    <row r="64" ht="28.8" spans="1:35">
      <c r="A64" s="58" t="s">
        <v>1022</v>
      </c>
      <c r="B64" s="59" t="s">
        <v>28</v>
      </c>
      <c r="C64" s="60" t="str">
        <v>Navin Fluorine International L</v>
      </c>
      <c r="D64" s="61">
        <v>0.000892045340089003</v>
      </c>
      <c r="E64" s="62">
        <f t="shared" si="0"/>
        <v>7.43371116740836e-5</v>
      </c>
      <c r="F64" s="60" t="str">
        <v>Materials</v>
      </c>
      <c r="G64" s="62">
        <f t="shared" si="1"/>
        <v>7.43371116740836e-5</v>
      </c>
      <c r="H64" s="60"/>
      <c r="J64" s="6"/>
      <c r="M64" s="58" t="s">
        <v>1023</v>
      </c>
      <c r="N64" s="67" t="s">
        <v>47</v>
      </c>
      <c r="O64" s="60" t="str">
        <v>Marico Ltd</v>
      </c>
      <c r="P64" s="68">
        <v>0.00723152904636988</v>
      </c>
      <c r="Q64" s="62">
        <f>P64*VLOOKUP(N64,'Selector Sheet '!$B$13:$D$43,2,FALSE)</f>
        <v>0</v>
      </c>
      <c r="R64" s="60" t="str">
        <v>Consumer Staples</v>
      </c>
      <c r="S64" s="62">
        <f>P64*VLOOKUP(N64,'Selector Sheet '!$B$13:$D$43,2,FALSE)</f>
        <v>0</v>
      </c>
      <c r="T64" s="60"/>
      <c r="X64" s="60" t="str">
        <v>INE048G01026</v>
      </c>
      <c r="Z64" s="58" t="s">
        <v>1022</v>
      </c>
      <c r="AB64" t="s">
        <v>1022</v>
      </c>
      <c r="AC64" t="s">
        <v>1024</v>
      </c>
      <c r="AD64" t="s">
        <v>859</v>
      </c>
      <c r="AE64">
        <v>88.0240549828179</v>
      </c>
      <c r="AF64">
        <v>11.5226896124898</v>
      </c>
      <c r="AG64">
        <v>2885.8</v>
      </c>
      <c r="AH64">
        <v>58.2</v>
      </c>
      <c r="AI64">
        <v>262260811737</v>
      </c>
    </row>
    <row r="65" ht="28.8" spans="1:35">
      <c r="A65" s="63" t="s">
        <v>1025</v>
      </c>
      <c r="B65" s="59" t="s">
        <v>28</v>
      </c>
      <c r="C65" s="60" t="str">
        <v>Nestle India Ltd</v>
      </c>
      <c r="D65" s="64">
        <v>0.000967386015653616</v>
      </c>
      <c r="E65" s="62">
        <f t="shared" si="0"/>
        <v>8.0615501304468e-5</v>
      </c>
      <c r="F65" s="60" t="str">
        <v>Consumer Staples</v>
      </c>
      <c r="G65" s="62">
        <f t="shared" si="1"/>
        <v>8.0615501304468e-5</v>
      </c>
      <c r="H65" s="60"/>
      <c r="J65" s="6"/>
      <c r="M65" s="63" t="s">
        <v>1026</v>
      </c>
      <c r="N65" s="69" t="s">
        <v>47</v>
      </c>
      <c r="O65" s="60" t="str">
        <v>Maruti Suzuki India Ltd</v>
      </c>
      <c r="P65" s="70">
        <v>0.0136823413300691</v>
      </c>
      <c r="Q65" s="62">
        <f>P65*VLOOKUP(N65,'Selector Sheet '!$B$13:$D$43,2,FALSE)</f>
        <v>0</v>
      </c>
      <c r="R65" s="60" t="str">
        <v>Consumer Discretionary</v>
      </c>
      <c r="S65" s="62">
        <f>P65*VLOOKUP(N65,'Selector Sheet '!$B$13:$D$43,2,FALSE)</f>
        <v>0</v>
      </c>
      <c r="T65" s="60"/>
      <c r="X65" s="60" t="str">
        <v>INE239A01024</v>
      </c>
      <c r="Z65" s="63" t="s">
        <v>1025</v>
      </c>
      <c r="AB65" t="s">
        <v>1025</v>
      </c>
      <c r="AC65" t="s">
        <v>1027</v>
      </c>
      <c r="AD65" t="s">
        <v>1016</v>
      </c>
      <c r="AE65">
        <v>68.9690441135031</v>
      </c>
      <c r="AF65" t="s">
        <v>860</v>
      </c>
      <c r="AG65">
        <v>32075.9</v>
      </c>
      <c r="AH65">
        <v>16.635</v>
      </c>
      <c r="AI65">
        <v>2212355019336</v>
      </c>
    </row>
    <row r="66" ht="28.8" spans="1:35">
      <c r="A66" s="58" t="s">
        <v>1028</v>
      </c>
      <c r="B66" s="59" t="s">
        <v>28</v>
      </c>
      <c r="C66" s="60" t="str">
        <v>NTPC Ltd</v>
      </c>
      <c r="D66" s="61">
        <v>0.00224345745585043</v>
      </c>
      <c r="E66" s="62">
        <f t="shared" ref="E66:E129" si="2">_xlfn.IFNA(D66*VLOOKUP($B66,$AK$1:$AM$34,3,FALSE),0)</f>
        <v>0.000186954787987536</v>
      </c>
      <c r="F66" s="60" t="str">
        <v>Utilities</v>
      </c>
      <c r="G66" s="62">
        <f t="shared" ref="G66:G129" si="3">_xlfn.IFNA(D66*VLOOKUP($B66,$AK$1:$AM$34,3,FALSE),0)</f>
        <v>0.000186954787987536</v>
      </c>
      <c r="H66" s="60"/>
      <c r="J66" s="6"/>
      <c r="M66" s="58" t="s">
        <v>1007</v>
      </c>
      <c r="N66" s="67" t="s">
        <v>47</v>
      </c>
      <c r="O66" s="60" t="str">
        <v>Max Healthcare Institute Ltd</v>
      </c>
      <c r="P66" s="68">
        <v>0.00421197893457049</v>
      </c>
      <c r="Q66" s="62">
        <f>P66*VLOOKUP(N66,'Selector Sheet '!$B$13:$D$43,2,FALSE)</f>
        <v>0</v>
      </c>
      <c r="R66" s="60" t="str">
        <v>Health Care</v>
      </c>
      <c r="S66" s="62">
        <f>P66*VLOOKUP(N66,'Selector Sheet '!$B$13:$D$43,2,FALSE)</f>
        <v>0</v>
      </c>
      <c r="T66" s="60"/>
      <c r="X66" s="60" t="str">
        <v>INE733E01010</v>
      </c>
      <c r="Z66" s="58" t="s">
        <v>1028</v>
      </c>
      <c r="AB66" t="s">
        <v>1028</v>
      </c>
      <c r="AC66" t="s">
        <v>1029</v>
      </c>
      <c r="AD66" t="s">
        <v>1030</v>
      </c>
      <c r="AE66">
        <v>14.090158553445</v>
      </c>
      <c r="AF66">
        <v>13.5868848472635</v>
      </c>
      <c r="AG66">
        <v>234224.6</v>
      </c>
      <c r="AH66">
        <v>24.155158</v>
      </c>
      <c r="AI66">
        <v>3300260318706.9</v>
      </c>
    </row>
    <row r="67" ht="28.8" spans="1:35">
      <c r="A67" s="63" t="s">
        <v>1031</v>
      </c>
      <c r="B67" s="59" t="s">
        <v>28</v>
      </c>
      <c r="C67" s="60" t="str">
        <v>Oberoi Realty Ltd</v>
      </c>
      <c r="D67" s="64">
        <v>0.0104724517485144</v>
      </c>
      <c r="E67" s="62">
        <f t="shared" si="2"/>
        <v>0.0008727043123762</v>
      </c>
      <c r="F67" s="60" t="str">
        <v>Real Estate</v>
      </c>
      <c r="G67" s="62">
        <f t="shared" si="3"/>
        <v>0.0008727043123762</v>
      </c>
      <c r="H67" s="60"/>
      <c r="J67" s="6"/>
      <c r="M67" s="63" t="s">
        <v>1032</v>
      </c>
      <c r="N67" s="69" t="s">
        <v>47</v>
      </c>
      <c r="O67" s="60" t="str">
        <v>Minda Corp Ltd</v>
      </c>
      <c r="P67" s="70">
        <v>0.0063977544701247</v>
      </c>
      <c r="Q67" s="62">
        <f>P67*VLOOKUP(N67,'Selector Sheet '!$B$13:$D$43,2,FALSE)</f>
        <v>0</v>
      </c>
      <c r="R67" s="60" t="str">
        <v>Consumer Discretionary</v>
      </c>
      <c r="S67" s="62">
        <f>P67*VLOOKUP(N67,'Selector Sheet '!$B$13:$D$43,2,FALSE)</f>
        <v>0</v>
      </c>
      <c r="T67" s="60"/>
      <c r="X67" s="60" t="str">
        <v>INE093I01010</v>
      </c>
      <c r="Z67" s="63" t="s">
        <v>1031</v>
      </c>
      <c r="AB67" t="s">
        <v>1031</v>
      </c>
      <c r="AC67" t="s">
        <v>1033</v>
      </c>
      <c r="AD67" t="s">
        <v>1034</v>
      </c>
      <c r="AE67">
        <v>26.9596463187694</v>
      </c>
      <c r="AF67">
        <v>15.0630664135816</v>
      </c>
      <c r="AG67">
        <v>22255.137</v>
      </c>
      <c r="AH67">
        <v>61.21</v>
      </c>
      <c r="AI67">
        <v>600016411497.4</v>
      </c>
    </row>
    <row r="68" ht="28.8" spans="1:35">
      <c r="A68" s="58" t="s">
        <v>1035</v>
      </c>
      <c r="B68" s="59" t="s">
        <v>28</v>
      </c>
      <c r="C68" s="60" t="str">
        <v>Oil India Ltd</v>
      </c>
      <c r="D68" s="61">
        <v>0.00263802342293464</v>
      </c>
      <c r="E68" s="62">
        <f t="shared" si="2"/>
        <v>0.000219835285244553</v>
      </c>
      <c r="F68" s="60" t="str">
        <v>Energy</v>
      </c>
      <c r="G68" s="62">
        <f t="shared" si="3"/>
        <v>0.000219835285244553</v>
      </c>
      <c r="H68" s="60"/>
      <c r="J68" s="6"/>
      <c r="M68" s="58" t="s">
        <v>1017</v>
      </c>
      <c r="N68" s="67" t="s">
        <v>47</v>
      </c>
      <c r="O68" s="60" t="str">
        <v>Multi Commodity Exchange of In</v>
      </c>
      <c r="P68" s="68">
        <v>0.0108400857746358</v>
      </c>
      <c r="Q68" s="62">
        <f>P68*VLOOKUP(N68,'Selector Sheet '!$B$13:$D$43,2,FALSE)</f>
        <v>0</v>
      </c>
      <c r="R68" s="60" t="str">
        <v>Financials</v>
      </c>
      <c r="S68" s="62">
        <f>P68*VLOOKUP(N68,'Selector Sheet '!$B$13:$D$43,2,FALSE)</f>
        <v>0</v>
      </c>
      <c r="T68" s="60"/>
      <c r="X68" s="60" t="str">
        <v>INE274J01014</v>
      </c>
      <c r="Z68" s="58" t="s">
        <v>1035</v>
      </c>
      <c r="AB68" t="s">
        <v>1035</v>
      </c>
      <c r="AC68" t="s">
        <v>1036</v>
      </c>
      <c r="AD68" t="s">
        <v>1037</v>
      </c>
      <c r="AE68">
        <v>9.98261733300223</v>
      </c>
      <c r="AF68">
        <v>13.3547032613773</v>
      </c>
      <c r="AG68">
        <v>65509.3</v>
      </c>
      <c r="AH68">
        <v>40.27</v>
      </c>
      <c r="AI68">
        <v>653896331982</v>
      </c>
    </row>
    <row r="69" ht="28.8" spans="1:35">
      <c r="A69" s="63" t="s">
        <v>1038</v>
      </c>
      <c r="B69" s="59" t="s">
        <v>28</v>
      </c>
      <c r="C69" s="60" t="str">
        <v>PB Fintech Ltd</v>
      </c>
      <c r="D69" s="64">
        <v>0.00568021336761114</v>
      </c>
      <c r="E69" s="62">
        <f t="shared" si="2"/>
        <v>0.000473351113967595</v>
      </c>
      <c r="F69" s="60" t="str">
        <v>Financials</v>
      </c>
      <c r="G69" s="62">
        <f t="shared" si="3"/>
        <v>0.000473351113967595</v>
      </c>
      <c r="H69" s="60"/>
      <c r="J69" s="6"/>
      <c r="M69" s="63" t="s">
        <v>1039</v>
      </c>
      <c r="N69" s="69" t="s">
        <v>47</v>
      </c>
      <c r="O69" s="60" t="str">
        <v>Muthoot Finance Ltd</v>
      </c>
      <c r="P69" s="70">
        <v>0.00612661004607602</v>
      </c>
      <c r="Q69" s="62">
        <f>P69*VLOOKUP(N69,'Selector Sheet '!$B$13:$D$43,2,FALSE)</f>
        <v>0</v>
      </c>
      <c r="R69" s="60" t="str">
        <v>Financials</v>
      </c>
      <c r="S69" s="62">
        <f>P69*VLOOKUP(N69,'Selector Sheet '!$B$13:$D$43,2,FALSE)</f>
        <v>0</v>
      </c>
      <c r="T69" s="60"/>
      <c r="X69" s="60" t="str">
        <v>INE417T01026</v>
      </c>
      <c r="Z69" s="63" t="s">
        <v>1038</v>
      </c>
      <c r="AB69" t="s">
        <v>1038</v>
      </c>
      <c r="AC69" t="s">
        <v>1040</v>
      </c>
      <c r="AD69" t="s">
        <v>867</v>
      </c>
      <c r="AE69">
        <v>245.045045045045</v>
      </c>
      <c r="AF69">
        <v>5.73845574890009</v>
      </c>
      <c r="AG69">
        <v>3530.1</v>
      </c>
      <c r="AH69">
        <v>7.77</v>
      </c>
      <c r="AI69">
        <v>874425864928</v>
      </c>
    </row>
    <row r="70" ht="28.8" spans="1:35">
      <c r="A70" s="58" t="s">
        <v>1041</v>
      </c>
      <c r="B70" s="59" t="s">
        <v>28</v>
      </c>
      <c r="C70" s="60" t="str">
        <v>Persistent Systems Ltd</v>
      </c>
      <c r="D70" s="61">
        <v>0.0059404733283226</v>
      </c>
      <c r="E70" s="62">
        <f t="shared" si="2"/>
        <v>0.000495039444026883</v>
      </c>
      <c r="F70" s="60" t="str">
        <v>Information Technology</v>
      </c>
      <c r="G70" s="62">
        <f t="shared" si="3"/>
        <v>0.000495039444026883</v>
      </c>
      <c r="H70" s="60"/>
      <c r="J70" s="6"/>
      <c r="M70" s="58" t="s">
        <v>1028</v>
      </c>
      <c r="N70" s="67" t="s">
        <v>47</v>
      </c>
      <c r="O70" s="60" t="str">
        <v>NTPC Ltd</v>
      </c>
      <c r="P70" s="68">
        <v>0.0176560096135411</v>
      </c>
      <c r="Q70" s="62">
        <f>P70*VLOOKUP(N70,'Selector Sheet '!$B$13:$D$43,2,FALSE)</f>
        <v>0</v>
      </c>
      <c r="R70" s="60" t="str">
        <v>Utilities</v>
      </c>
      <c r="S70" s="62">
        <f>P70*VLOOKUP(N70,'Selector Sheet '!$B$13:$D$43,2,FALSE)</f>
        <v>0</v>
      </c>
      <c r="T70" s="60"/>
      <c r="X70" s="60" t="str">
        <v>INE262H01021</v>
      </c>
      <c r="Z70" s="58" t="s">
        <v>1041</v>
      </c>
      <c r="AB70" t="s">
        <v>1041</v>
      </c>
      <c r="AC70" t="s">
        <v>1042</v>
      </c>
      <c r="AD70" t="s">
        <v>920</v>
      </c>
      <c r="AE70">
        <v>53.5366348690887</v>
      </c>
      <c r="AF70">
        <v>24.7186647702511</v>
      </c>
      <c r="AG70">
        <v>14001.61</v>
      </c>
      <c r="AH70">
        <v>91.22</v>
      </c>
      <c r="AI70">
        <v>825088200000</v>
      </c>
    </row>
    <row r="71" ht="28.8" spans="1:35">
      <c r="A71" s="63" t="s">
        <v>1043</v>
      </c>
      <c r="B71" s="59" t="s">
        <v>28</v>
      </c>
      <c r="C71" s="60" t="str">
        <v>PI Industries Ltd</v>
      </c>
      <c r="D71" s="64">
        <v>0.0155039877702162</v>
      </c>
      <c r="E71" s="62">
        <f t="shared" si="2"/>
        <v>0.00129199898085135</v>
      </c>
      <c r="F71" s="60" t="str">
        <v>Materials</v>
      </c>
      <c r="G71" s="62">
        <f t="shared" si="3"/>
        <v>0.00129199898085135</v>
      </c>
      <c r="H71" s="60"/>
      <c r="J71" s="6"/>
      <c r="M71" s="63" t="s">
        <v>1044</v>
      </c>
      <c r="N71" s="69" t="s">
        <v>47</v>
      </c>
      <c r="O71" s="60" t="str">
        <v>Page Industries Ltd</v>
      </c>
      <c r="P71" s="70">
        <v>0</v>
      </c>
      <c r="Q71" s="62">
        <f>P71*VLOOKUP(N71,'Selector Sheet '!$B$13:$D$43,2,FALSE)</f>
        <v>0</v>
      </c>
      <c r="R71" s="60" t="str">
        <v>Consumer Discretionary</v>
      </c>
      <c r="S71" s="62">
        <f>P71*VLOOKUP(N71,'Selector Sheet '!$B$13:$D$43,2,FALSE)</f>
        <v>0</v>
      </c>
      <c r="T71" s="60"/>
      <c r="X71" s="60" t="str">
        <v>INE603J01030</v>
      </c>
      <c r="Z71" s="63" t="s">
        <v>1043</v>
      </c>
      <c r="AB71" t="s">
        <v>1043</v>
      </c>
      <c r="AC71" t="s">
        <v>1045</v>
      </c>
      <c r="AD71" t="s">
        <v>859</v>
      </c>
      <c r="AE71">
        <v>34.0091082961114</v>
      </c>
      <c r="AF71">
        <v>17.579415501906</v>
      </c>
      <c r="AG71">
        <v>16602</v>
      </c>
      <c r="AH71">
        <v>109.223684</v>
      </c>
      <c r="AI71">
        <v>563572121122.8</v>
      </c>
    </row>
    <row r="72" ht="28.8" spans="1:35">
      <c r="A72" s="58" t="s">
        <v>1046</v>
      </c>
      <c r="B72" s="59" t="s">
        <v>28</v>
      </c>
      <c r="C72" s="60" t="str">
        <v>Pidilite Industries Ltd</v>
      </c>
      <c r="D72" s="61">
        <v>0.00672624722095155</v>
      </c>
      <c r="E72" s="62">
        <f t="shared" si="2"/>
        <v>0.000560520601745962</v>
      </c>
      <c r="F72" s="60" t="str">
        <v>Materials</v>
      </c>
      <c r="G72" s="62">
        <f t="shared" si="3"/>
        <v>0.000560520601745962</v>
      </c>
      <c r="H72" s="60"/>
      <c r="J72" s="6"/>
      <c r="M72" s="58" t="s">
        <v>1038</v>
      </c>
      <c r="N72" s="67" t="s">
        <v>47</v>
      </c>
      <c r="O72" s="60" t="str">
        <v>PB Fintech Ltd</v>
      </c>
      <c r="P72" s="68">
        <v>0.00318116263279922</v>
      </c>
      <c r="Q72" s="62">
        <f>P72*VLOOKUP(N72,'Selector Sheet '!$B$13:$D$43,2,FALSE)</f>
        <v>0</v>
      </c>
      <c r="R72" s="60" t="str">
        <v>Financials</v>
      </c>
      <c r="S72" s="62">
        <f>P72*VLOOKUP(N72,'Selector Sheet '!$B$13:$D$43,2,FALSE)</f>
        <v>0</v>
      </c>
      <c r="T72" s="60"/>
      <c r="X72" s="60" t="str">
        <v>INE318A01026</v>
      </c>
      <c r="Z72" s="58" t="s">
        <v>1046</v>
      </c>
      <c r="AB72" t="s">
        <v>1046</v>
      </c>
      <c r="AC72" t="s">
        <v>1047</v>
      </c>
      <c r="AD72" t="s">
        <v>859</v>
      </c>
      <c r="AE72">
        <v>75.7128882326372</v>
      </c>
      <c r="AF72">
        <v>22.8640396616601</v>
      </c>
      <c r="AG72">
        <v>20762.4</v>
      </c>
      <c r="AH72">
        <v>40.82</v>
      </c>
      <c r="AI72">
        <v>1572092674101</v>
      </c>
    </row>
    <row r="73" ht="28.8" spans="1:35">
      <c r="A73" s="63" t="s">
        <v>1048</v>
      </c>
      <c r="B73" s="59" t="s">
        <v>28</v>
      </c>
      <c r="C73" s="60" t="str">
        <v>Praj Industries Ltd</v>
      </c>
      <c r="D73" s="64">
        <v>0.0140972814692924</v>
      </c>
      <c r="E73" s="62">
        <f t="shared" si="2"/>
        <v>0.00117477345577437</v>
      </c>
      <c r="F73" s="60" t="str">
        <v>Industrials</v>
      </c>
      <c r="G73" s="62">
        <f t="shared" si="3"/>
        <v>0.00117477345577437</v>
      </c>
      <c r="H73" s="60"/>
      <c r="J73" s="6"/>
      <c r="M73" s="63" t="s">
        <v>1041</v>
      </c>
      <c r="N73" s="69" t="s">
        <v>47</v>
      </c>
      <c r="O73" s="60" t="str">
        <v>Persistent Systems Ltd</v>
      </c>
      <c r="P73" s="70">
        <v>0.006040929533806</v>
      </c>
      <c r="Q73" s="62">
        <f>P73*VLOOKUP(N73,'Selector Sheet '!$B$13:$D$43,2,FALSE)</f>
        <v>0</v>
      </c>
      <c r="R73" s="60" t="str">
        <v>Information Technology</v>
      </c>
      <c r="S73" s="62">
        <f>P73*VLOOKUP(N73,'Selector Sheet '!$B$13:$D$43,2,FALSE)</f>
        <v>0</v>
      </c>
      <c r="T73" s="60"/>
      <c r="X73" s="60" t="str">
        <v>INE074A01025</v>
      </c>
      <c r="Z73" s="63" t="s">
        <v>1048</v>
      </c>
      <c r="AB73" t="s">
        <v>1048</v>
      </c>
      <c r="AC73" t="s">
        <v>1049</v>
      </c>
      <c r="AD73" t="s">
        <v>849</v>
      </c>
      <c r="AE73">
        <v>34.3450871362694</v>
      </c>
      <c r="AF73">
        <v>16.4827234919173</v>
      </c>
      <c r="AG73">
        <v>2189.101</v>
      </c>
      <c r="AH73">
        <v>11.91</v>
      </c>
      <c r="AI73">
        <v>75188743646.4</v>
      </c>
    </row>
    <row r="74" ht="28.8" spans="1:35">
      <c r="A74" s="58" t="s">
        <v>1050</v>
      </c>
      <c r="B74" s="59" t="s">
        <v>28</v>
      </c>
      <c r="C74" s="60" t="str">
        <v>Premier Energies Ltd</v>
      </c>
      <c r="D74" s="61">
        <v>0.00161512013544289</v>
      </c>
      <c r="E74" s="62">
        <f t="shared" si="2"/>
        <v>0.000134593344620241</v>
      </c>
      <c r="F74" s="60" t="str">
        <v>Information Technology</v>
      </c>
      <c r="G74" s="62">
        <f t="shared" si="3"/>
        <v>0.000134593344620241</v>
      </c>
      <c r="H74" s="60"/>
      <c r="J74" s="6"/>
      <c r="M74" s="58" t="s">
        <v>1051</v>
      </c>
      <c r="N74" s="67" t="s">
        <v>47</v>
      </c>
      <c r="O74" s="60" t="str">
        <v>PG Electroplast Ltd</v>
      </c>
      <c r="P74" s="68">
        <v>0.00235184406859729</v>
      </c>
      <c r="Q74" s="62">
        <f>P74*VLOOKUP(N74,'Selector Sheet '!$B$13:$D$43,2,FALSE)</f>
        <v>0</v>
      </c>
      <c r="R74" s="60" t="str">
        <v>Information Technology</v>
      </c>
      <c r="S74" s="62">
        <f>P74*VLOOKUP(N74,'Selector Sheet '!$B$13:$D$43,2,FALSE)</f>
        <v>0</v>
      </c>
      <c r="T74" s="60"/>
      <c r="X74" s="60" t="str">
        <v>INE0BS701011</v>
      </c>
      <c r="Z74" s="58" t="s">
        <v>1050</v>
      </c>
      <c r="AB74" t="s">
        <v>1050</v>
      </c>
      <c r="AC74" t="s">
        <v>1052</v>
      </c>
      <c r="AD74" t="s">
        <v>920</v>
      </c>
      <c r="AE74">
        <v>47.751756440281</v>
      </c>
      <c r="AF74">
        <v>43.7326215944941</v>
      </c>
      <c r="AG74">
        <v>9371.32</v>
      </c>
      <c r="AH74">
        <v>21.35</v>
      </c>
      <c r="AI74">
        <v>459564468176</v>
      </c>
    </row>
    <row r="75" ht="28.8" spans="1:35">
      <c r="A75" s="63" t="s">
        <v>1053</v>
      </c>
      <c r="B75" s="59" t="s">
        <v>28</v>
      </c>
      <c r="C75" s="60" t="str">
        <v>Radico Khaitan Ltd</v>
      </c>
      <c r="D75" s="64">
        <v>0.00376890848906678</v>
      </c>
      <c r="E75" s="62">
        <f t="shared" si="2"/>
        <v>0.000314075707422232</v>
      </c>
      <c r="F75" s="60" t="str">
        <v>Consumer Staples</v>
      </c>
      <c r="G75" s="62">
        <f t="shared" si="3"/>
        <v>0.000314075707422232</v>
      </c>
      <c r="H75" s="60"/>
      <c r="J75" s="6"/>
      <c r="M75" s="63" t="s">
        <v>1046</v>
      </c>
      <c r="N75" s="69" t="s">
        <v>47</v>
      </c>
      <c r="O75" s="60" t="str">
        <v>Pidilite Industries Ltd</v>
      </c>
      <c r="P75" s="70">
        <v>0.00532062691336369</v>
      </c>
      <c r="Q75" s="62">
        <f>P75*VLOOKUP(N75,'Selector Sheet '!$B$13:$D$43,2,FALSE)</f>
        <v>0</v>
      </c>
      <c r="R75" s="60" t="str">
        <v>Materials</v>
      </c>
      <c r="S75" s="62">
        <f>P75*VLOOKUP(N75,'Selector Sheet '!$B$13:$D$43,2,FALSE)</f>
        <v>0</v>
      </c>
      <c r="T75" s="60"/>
      <c r="X75" s="60" t="str">
        <v>INE944F01028</v>
      </c>
      <c r="Z75" s="63" t="s">
        <v>1053</v>
      </c>
      <c r="AB75" t="s">
        <v>1053</v>
      </c>
      <c r="AC75" t="s">
        <v>1054</v>
      </c>
      <c r="AD75" t="s">
        <v>1016</v>
      </c>
      <c r="AE75">
        <v>110.73142603824</v>
      </c>
      <c r="AF75">
        <v>13.309816498638</v>
      </c>
      <c r="AG75">
        <v>3456.113</v>
      </c>
      <c r="AH75">
        <v>25.84</v>
      </c>
      <c r="AI75">
        <v>383035129253.4</v>
      </c>
    </row>
    <row r="76" ht="28.8" spans="1:35">
      <c r="A76" s="58" t="s">
        <v>1055</v>
      </c>
      <c r="B76" s="59" t="s">
        <v>28</v>
      </c>
      <c r="C76" s="60" t="str">
        <v>Samvardhana Motherson Internat</v>
      </c>
      <c r="D76" s="61">
        <v>0.00255204503536043</v>
      </c>
      <c r="E76" s="62">
        <f t="shared" si="2"/>
        <v>0.000212670419613369</v>
      </c>
      <c r="F76" s="60" t="str">
        <v>Consumer Discretionary</v>
      </c>
      <c r="G76" s="62">
        <f t="shared" si="3"/>
        <v>0.000212670419613369</v>
      </c>
      <c r="H76" s="60"/>
      <c r="J76" s="6"/>
      <c r="M76" s="58" t="s">
        <v>1056</v>
      </c>
      <c r="N76" s="67" t="s">
        <v>47</v>
      </c>
      <c r="O76" s="60" t="str">
        <v>Power Finance Corp Ltd</v>
      </c>
      <c r="P76" s="68">
        <v>0.00709806757689234</v>
      </c>
      <c r="Q76" s="62">
        <f>P76*VLOOKUP(N76,'Selector Sheet '!$B$13:$D$43,2,FALSE)</f>
        <v>0</v>
      </c>
      <c r="R76" s="60" t="str">
        <v>Financials</v>
      </c>
      <c r="S76" s="62">
        <f>P76*VLOOKUP(N76,'Selector Sheet '!$B$13:$D$43,2,FALSE)</f>
        <v>0</v>
      </c>
      <c r="T76" s="60"/>
      <c r="X76" s="60" t="str">
        <v>INE775A01035</v>
      </c>
      <c r="Z76" s="58" t="s">
        <v>1055</v>
      </c>
      <c r="AB76" t="s">
        <v>1055</v>
      </c>
      <c r="AC76" t="s">
        <v>1057</v>
      </c>
      <c r="AD76" t="s">
        <v>874</v>
      </c>
      <c r="AE76">
        <v>25.8527128332779</v>
      </c>
      <c r="AF76">
        <v>12.4616614674811</v>
      </c>
      <c r="AG76">
        <v>38030</v>
      </c>
      <c r="AH76">
        <v>3.64526533333333</v>
      </c>
      <c r="AI76">
        <v>994616245505.92</v>
      </c>
    </row>
    <row r="77" ht="28.8" spans="1:35">
      <c r="A77" s="63" t="s">
        <v>1058</v>
      </c>
      <c r="B77" s="59" t="s">
        <v>28</v>
      </c>
      <c r="C77" s="60" t="str">
        <v>Schaeffler India Ltd</v>
      </c>
      <c r="D77" s="64">
        <v>0.00437088244372871</v>
      </c>
      <c r="E77" s="62">
        <f t="shared" si="2"/>
        <v>0.000364240203644059</v>
      </c>
      <c r="F77" s="60" t="str">
        <v>Industrials</v>
      </c>
      <c r="G77" s="62">
        <f t="shared" si="3"/>
        <v>0.000364240203644059</v>
      </c>
      <c r="H77" s="60"/>
      <c r="J77" s="6"/>
      <c r="M77" s="63" t="s">
        <v>1059</v>
      </c>
      <c r="N77" s="69" t="s">
        <v>47</v>
      </c>
      <c r="O77" s="60" t="str">
        <v>Power Grid Corp of India Ltd</v>
      </c>
      <c r="P77" s="70">
        <v>0.00368327701442252</v>
      </c>
      <c r="Q77" s="62">
        <f>P77*VLOOKUP(N77,'Selector Sheet '!$B$13:$D$43,2,FALSE)</f>
        <v>0</v>
      </c>
      <c r="R77" s="60" t="str">
        <v>Utilities</v>
      </c>
      <c r="S77" s="62">
        <f>P77*VLOOKUP(N77,'Selector Sheet '!$B$13:$D$43,2,FALSE)</f>
        <v>0</v>
      </c>
      <c r="T77" s="60"/>
      <c r="X77" s="60" t="str">
        <v>INE513A01022</v>
      </c>
      <c r="Z77" s="63" t="s">
        <v>1058</v>
      </c>
      <c r="AB77" t="s">
        <v>1058</v>
      </c>
      <c r="AC77" t="s">
        <v>1060</v>
      </c>
      <c r="AD77" t="s">
        <v>849</v>
      </c>
      <c r="AE77">
        <v>65.0130451891888</v>
      </c>
      <c r="AF77">
        <v>18.5183504967563</v>
      </c>
      <c r="AG77">
        <v>9388.6</v>
      </c>
      <c r="AH77">
        <v>60.066408</v>
      </c>
      <c r="AI77">
        <v>610381461717</v>
      </c>
    </row>
    <row r="78" ht="28.8" spans="1:35">
      <c r="A78" s="58" t="s">
        <v>1061</v>
      </c>
      <c r="B78" s="59" t="s">
        <v>28</v>
      </c>
      <c r="C78" s="60" t="str">
        <v>Shree Cement Ltd</v>
      </c>
      <c r="D78" s="61">
        <v>0.000575187898372873</v>
      </c>
      <c r="E78" s="62">
        <f t="shared" si="2"/>
        <v>4.79323248644061e-5</v>
      </c>
      <c r="F78" s="60" t="str">
        <v>Materials</v>
      </c>
      <c r="G78" s="62">
        <f t="shared" si="3"/>
        <v>4.79323248644061e-5</v>
      </c>
      <c r="H78" s="60"/>
      <c r="J78" s="6"/>
      <c r="M78" s="58" t="s">
        <v>1050</v>
      </c>
      <c r="N78" s="67" t="s">
        <v>47</v>
      </c>
      <c r="O78" s="60" t="str">
        <v>Premier Energies Ltd</v>
      </c>
      <c r="P78" s="68">
        <v>0.0116589991598385</v>
      </c>
      <c r="Q78" s="62">
        <f>P78*VLOOKUP(N78,'Selector Sheet '!$B$13:$D$43,2,FALSE)</f>
        <v>0</v>
      </c>
      <c r="R78" s="60" t="str">
        <v>Information Technology</v>
      </c>
      <c r="S78" s="62">
        <f>P78*VLOOKUP(N78,'Selector Sheet '!$B$13:$D$43,2,FALSE)</f>
        <v>0</v>
      </c>
      <c r="T78" s="60"/>
      <c r="X78" s="60" t="str">
        <v>INE070A01015</v>
      </c>
      <c r="Z78" s="58" t="s">
        <v>1061</v>
      </c>
      <c r="AB78" t="s">
        <v>1061</v>
      </c>
      <c r="AC78" t="s">
        <v>1062</v>
      </c>
      <c r="AD78" t="s">
        <v>859</v>
      </c>
      <c r="AE78">
        <v>101.918503759882</v>
      </c>
      <c r="AF78">
        <v>5.31606151133493</v>
      </c>
      <c r="AG78">
        <v>11227.7</v>
      </c>
      <c r="AH78">
        <v>311.18</v>
      </c>
      <c r="AI78">
        <v>1144300922820</v>
      </c>
    </row>
    <row r="79" ht="28.8" spans="1:35">
      <c r="A79" s="63" t="s">
        <v>1063</v>
      </c>
      <c r="B79" s="59" t="s">
        <v>28</v>
      </c>
      <c r="C79" s="60" t="str">
        <v>Siemens Energy India Ltd</v>
      </c>
      <c r="D79" s="64">
        <v>0.001794184373803</v>
      </c>
      <c r="E79" s="62">
        <f t="shared" si="2"/>
        <v>0.000149515364483583</v>
      </c>
      <c r="F79" s="60" t="str">
        <v>Industrials</v>
      </c>
      <c r="G79" s="62">
        <f t="shared" si="3"/>
        <v>0.000149515364483583</v>
      </c>
      <c r="H79" s="60"/>
      <c r="J79" s="6"/>
      <c r="M79" s="63" t="s">
        <v>1064</v>
      </c>
      <c r="N79" s="69" t="s">
        <v>47</v>
      </c>
      <c r="O79" s="60" t="str">
        <v>Punjab National Bank</v>
      </c>
      <c r="P79" s="70">
        <v>0.00340245444491853</v>
      </c>
      <c r="Q79" s="62">
        <f>P79*VLOOKUP(N79,'Selector Sheet '!$B$13:$D$43,2,FALSE)</f>
        <v>0</v>
      </c>
      <c r="R79" s="60" t="str">
        <v>Financials</v>
      </c>
      <c r="S79" s="62">
        <f>P79*VLOOKUP(N79,'Selector Sheet '!$B$13:$D$43,2,FALSE)</f>
        <v>0</v>
      </c>
      <c r="T79" s="60"/>
      <c r="X79" s="60" t="str">
        <v>INE1NPP01017</v>
      </c>
      <c r="Z79" s="63" t="s">
        <v>1063</v>
      </c>
      <c r="AB79" t="s">
        <v>1063</v>
      </c>
      <c r="AC79" t="s">
        <v>1065</v>
      </c>
      <c r="AD79" t="s">
        <v>849</v>
      </c>
      <c r="AE79" t="s">
        <v>860</v>
      </c>
      <c r="AF79" t="s">
        <v>860</v>
      </c>
      <c r="AG79" t="s">
        <v>860</v>
      </c>
      <c r="AH79" t="s">
        <v>860</v>
      </c>
      <c r="AI79">
        <v>1146494353797</v>
      </c>
    </row>
    <row r="80" ht="28.8" spans="1:35">
      <c r="A80" s="58" t="s">
        <v>1066</v>
      </c>
      <c r="B80" s="59" t="s">
        <v>28</v>
      </c>
      <c r="C80" s="60" t="str">
        <v>Siemens Ltd</v>
      </c>
      <c r="D80" s="61">
        <v>0.00168086808395249</v>
      </c>
      <c r="E80" s="62">
        <f t="shared" si="2"/>
        <v>0.000140072340329374</v>
      </c>
      <c r="F80" s="60" t="str">
        <v>Industrials</v>
      </c>
      <c r="G80" s="62">
        <f t="shared" si="3"/>
        <v>0.000140072340329374</v>
      </c>
      <c r="H80" s="60"/>
      <c r="J80" s="6"/>
      <c r="M80" s="58" t="s">
        <v>1067</v>
      </c>
      <c r="N80" s="67" t="s">
        <v>47</v>
      </c>
      <c r="O80" s="60" t="str">
        <v>REC Ltd</v>
      </c>
      <c r="P80" s="68">
        <v>0.00464272676541705</v>
      </c>
      <c r="Q80" s="62">
        <f>P80*VLOOKUP(N80,'Selector Sheet '!$B$13:$D$43,2,FALSE)</f>
        <v>0</v>
      </c>
      <c r="R80" s="60" t="str">
        <v>Financials</v>
      </c>
      <c r="S80" s="62">
        <f>P80*VLOOKUP(N80,'Selector Sheet '!$B$13:$D$43,2,FALSE)</f>
        <v>0</v>
      </c>
      <c r="T80" s="60"/>
      <c r="X80" s="60" t="str">
        <v>INE003A01024</v>
      </c>
      <c r="Z80" s="58" t="s">
        <v>1066</v>
      </c>
      <c r="AB80" t="s">
        <v>1066</v>
      </c>
      <c r="AC80" t="s">
        <v>1068</v>
      </c>
      <c r="AD80" t="s">
        <v>849</v>
      </c>
      <c r="AE80">
        <v>41.454730660442</v>
      </c>
      <c r="AF80">
        <v>19.1015265189602</v>
      </c>
      <c r="AG80">
        <v>27166</v>
      </c>
      <c r="AH80">
        <v>76.283213</v>
      </c>
      <c r="AI80">
        <v>1126159872961.5</v>
      </c>
    </row>
    <row r="81" ht="28.8" spans="1:35">
      <c r="A81" s="63" t="s">
        <v>1069</v>
      </c>
      <c r="B81" s="59" t="s">
        <v>28</v>
      </c>
      <c r="C81" s="60" t="str">
        <v>Solar Industries India Ltd</v>
      </c>
      <c r="D81" s="64">
        <v>0.00287687880418309</v>
      </c>
      <c r="E81" s="62">
        <f t="shared" si="2"/>
        <v>0.000239739900348591</v>
      </c>
      <c r="F81" s="60" t="str">
        <v>Materials</v>
      </c>
      <c r="G81" s="62">
        <f t="shared" si="3"/>
        <v>0.000239739900348591</v>
      </c>
      <c r="H81" s="60"/>
      <c r="J81" s="6"/>
      <c r="M81" s="63" t="s">
        <v>1070</v>
      </c>
      <c r="N81" s="69" t="s">
        <v>47</v>
      </c>
      <c r="O81" s="60" t="str">
        <v>Reliance Industries Ltd</v>
      </c>
      <c r="P81" s="70">
        <v>0.0465585167527564</v>
      </c>
      <c r="Q81" s="62">
        <f>P81*VLOOKUP(N81,'Selector Sheet '!$B$13:$D$43,2,FALSE)</f>
        <v>0</v>
      </c>
      <c r="R81" s="60" t="str">
        <v>Energy</v>
      </c>
      <c r="S81" s="62">
        <f>P81*VLOOKUP(N81,'Selector Sheet '!$B$13:$D$43,2,FALSE)</f>
        <v>0</v>
      </c>
      <c r="T81" s="60"/>
      <c r="X81" s="60" t="str">
        <v>INE343H01029</v>
      </c>
      <c r="Z81" s="63" t="s">
        <v>1069</v>
      </c>
      <c r="AB81" t="s">
        <v>1069</v>
      </c>
      <c r="AC81" t="s">
        <v>1071</v>
      </c>
      <c r="AD81" t="s">
        <v>859</v>
      </c>
      <c r="AE81">
        <v>113.368873924429</v>
      </c>
      <c r="AF81">
        <v>31.4469431638832</v>
      </c>
      <c r="AG81">
        <v>12094.4</v>
      </c>
      <c r="AH81">
        <v>133.65</v>
      </c>
      <c r="AI81">
        <v>1371082690846.25</v>
      </c>
    </row>
    <row r="82" ht="28.8" spans="1:35">
      <c r="A82" s="58" t="s">
        <v>1072</v>
      </c>
      <c r="B82" s="59" t="s">
        <v>28</v>
      </c>
      <c r="C82" s="60" t="str">
        <v>Sona Blw Precision Forgings Lt</v>
      </c>
      <c r="D82" s="61">
        <v>0.0105126386605507</v>
      </c>
      <c r="E82" s="62">
        <f t="shared" si="2"/>
        <v>0.000876053221712558</v>
      </c>
      <c r="F82" s="60" t="str">
        <v>Consumer Discretionary</v>
      </c>
      <c r="G82" s="62">
        <f t="shared" si="3"/>
        <v>0.000876053221712558</v>
      </c>
      <c r="H82" s="60"/>
      <c r="J82" s="6"/>
      <c r="M82" s="58" t="s">
        <v>1073</v>
      </c>
      <c r="N82" s="67" t="s">
        <v>47</v>
      </c>
      <c r="O82" s="60" t="str">
        <v>Sagility India Ltd</v>
      </c>
      <c r="P82" s="68">
        <v>0.00187569963786459</v>
      </c>
      <c r="Q82" s="62">
        <f>P82*VLOOKUP(N82,'Selector Sheet '!$B$13:$D$43,2,FALSE)</f>
        <v>0</v>
      </c>
      <c r="R82" s="60" t="str">
        <v>Industrials</v>
      </c>
      <c r="S82" s="62">
        <f>P82*VLOOKUP(N82,'Selector Sheet '!$B$13:$D$43,2,FALSE)</f>
        <v>0</v>
      </c>
      <c r="T82" s="60"/>
      <c r="X82" s="60" t="str">
        <v>INE073K01018</v>
      </c>
      <c r="Z82" s="58" t="s">
        <v>1072</v>
      </c>
      <c r="AB82" t="s">
        <v>1072</v>
      </c>
      <c r="AC82" t="s">
        <v>1074</v>
      </c>
      <c r="AD82" t="s">
        <v>874</v>
      </c>
      <c r="AE82">
        <v>45.2973796475318</v>
      </c>
      <c r="AF82">
        <v>14.7625725313557</v>
      </c>
      <c r="AG82">
        <v>6012.13</v>
      </c>
      <c r="AH82">
        <v>9.92</v>
      </c>
      <c r="AI82">
        <v>279370320116.25</v>
      </c>
    </row>
    <row r="83" ht="28.8" spans="1:35">
      <c r="A83" s="63" t="s">
        <v>1075</v>
      </c>
      <c r="B83" s="59" t="s">
        <v>28</v>
      </c>
      <c r="C83" s="60" t="str">
        <v>SRF Ltd</v>
      </c>
      <c r="D83" s="64">
        <v>0</v>
      </c>
      <c r="E83" s="62">
        <f t="shared" si="2"/>
        <v>0</v>
      </c>
      <c r="F83" s="60" t="str">
        <v>Materials</v>
      </c>
      <c r="G83" s="62">
        <f t="shared" si="3"/>
        <v>0</v>
      </c>
      <c r="H83" s="60"/>
      <c r="J83" s="6"/>
      <c r="M83" s="63" t="s">
        <v>1058</v>
      </c>
      <c r="N83" s="69" t="s">
        <v>47</v>
      </c>
      <c r="O83" s="60" t="str">
        <v>Schaeffler India Ltd</v>
      </c>
      <c r="P83" s="70">
        <v>0.00379190989749773</v>
      </c>
      <c r="Q83" s="62">
        <f>P83*VLOOKUP(N83,'Selector Sheet '!$B$13:$D$43,2,FALSE)</f>
        <v>0</v>
      </c>
      <c r="R83" s="60" t="str">
        <v>Industrials</v>
      </c>
      <c r="S83" s="62">
        <f>P83*VLOOKUP(N83,'Selector Sheet '!$B$13:$D$43,2,FALSE)</f>
        <v>0</v>
      </c>
      <c r="T83" s="60"/>
      <c r="X83" s="60" t="str">
        <v>INE647A01010</v>
      </c>
      <c r="Z83" s="63" t="s">
        <v>1075</v>
      </c>
      <c r="AB83" t="s">
        <v>1075</v>
      </c>
      <c r="AC83" t="s">
        <v>1076</v>
      </c>
      <c r="AD83" t="s">
        <v>859</v>
      </c>
      <c r="AE83">
        <v>68.0971552410397</v>
      </c>
      <c r="AF83">
        <v>10.3776692351283</v>
      </c>
      <c r="AG83">
        <v>12507.8</v>
      </c>
      <c r="AH83">
        <v>42.2</v>
      </c>
      <c r="AI83">
        <v>851836019602.5</v>
      </c>
    </row>
    <row r="84" ht="28.8" spans="1:35">
      <c r="A84" s="58" t="s">
        <v>1077</v>
      </c>
      <c r="B84" s="59" t="s">
        <v>28</v>
      </c>
      <c r="C84" s="60" t="str">
        <v>State Bank of India</v>
      </c>
      <c r="D84" s="61">
        <v>0.00751242032131596</v>
      </c>
      <c r="E84" s="62">
        <f t="shared" si="2"/>
        <v>0.00062603502677633</v>
      </c>
      <c r="F84" s="60" t="str">
        <v>Financials</v>
      </c>
      <c r="G84" s="62">
        <f t="shared" si="3"/>
        <v>0.00062603502677633</v>
      </c>
      <c r="H84" s="60"/>
      <c r="J84" s="6"/>
      <c r="M84" s="58" t="s">
        <v>1078</v>
      </c>
      <c r="N84" s="67" t="s">
        <v>47</v>
      </c>
      <c r="O84" s="60" t="str">
        <v>SJVN Ltd</v>
      </c>
      <c r="P84" s="68">
        <v>0.000609668440730142</v>
      </c>
      <c r="Q84" s="62">
        <f>P84*VLOOKUP(N84,'Selector Sheet '!$B$13:$D$43,2,FALSE)</f>
        <v>0</v>
      </c>
      <c r="R84" s="60" t="str">
        <v>Utilities</v>
      </c>
      <c r="S84" s="62">
        <f>P84*VLOOKUP(N84,'Selector Sheet '!$B$13:$D$43,2,FALSE)</f>
        <v>0</v>
      </c>
      <c r="T84" s="60"/>
      <c r="X84" s="60" t="str">
        <v>INE062A01020</v>
      </c>
      <c r="Z84" s="58" t="s">
        <v>1077</v>
      </c>
      <c r="AB84" t="s">
        <v>1077</v>
      </c>
      <c r="AC84" t="s">
        <v>1079</v>
      </c>
      <c r="AD84" t="s">
        <v>867</v>
      </c>
      <c r="AE84">
        <v>9.33939993026591</v>
      </c>
      <c r="AF84">
        <v>16.5576239249968</v>
      </c>
      <c r="AG84">
        <v>775613.371</v>
      </c>
      <c r="AH84">
        <v>86.91</v>
      </c>
      <c r="AI84">
        <v>7673412399241.8</v>
      </c>
    </row>
    <row r="85" ht="28.8" spans="1:35">
      <c r="A85" s="63" t="s">
        <v>1080</v>
      </c>
      <c r="B85" s="59" t="s">
        <v>28</v>
      </c>
      <c r="C85" s="60" t="str">
        <v>Sun Pharmaceutical Industries</v>
      </c>
      <c r="D85" s="64">
        <v>0.00767630683812597</v>
      </c>
      <c r="E85" s="62">
        <f t="shared" si="2"/>
        <v>0.000639692236510497</v>
      </c>
      <c r="F85" s="60" t="str">
        <v>Health Care</v>
      </c>
      <c r="G85" s="62">
        <f t="shared" si="3"/>
        <v>0.000639692236510497</v>
      </c>
      <c r="H85" s="60"/>
      <c r="J85" s="6"/>
      <c r="M85" s="63" t="s">
        <v>1077</v>
      </c>
      <c r="N85" s="69" t="s">
        <v>47</v>
      </c>
      <c r="O85" s="60" t="str">
        <v>State Bank of India</v>
      </c>
      <c r="P85" s="70">
        <v>0.022778093828901</v>
      </c>
      <c r="Q85" s="62">
        <f>P85*VLOOKUP(N85,'Selector Sheet '!$B$13:$D$43,2,FALSE)</f>
        <v>0</v>
      </c>
      <c r="R85" s="60" t="str">
        <v>Financials</v>
      </c>
      <c r="S85" s="62">
        <f>P85*VLOOKUP(N85,'Selector Sheet '!$B$13:$D$43,2,FALSE)</f>
        <v>0</v>
      </c>
      <c r="T85" s="60"/>
      <c r="X85" s="60" t="str">
        <v>INE044A01036</v>
      </c>
      <c r="Z85" s="63" t="s">
        <v>1080</v>
      </c>
      <c r="AB85" t="s">
        <v>1080</v>
      </c>
      <c r="AC85" t="s">
        <v>1081</v>
      </c>
      <c r="AD85" t="s">
        <v>855</v>
      </c>
      <c r="AE85">
        <v>35.8771929824561</v>
      </c>
      <c r="AF85">
        <v>16.0857467691192</v>
      </c>
      <c r="AG85">
        <v>109290.4</v>
      </c>
      <c r="AH85">
        <v>45.6</v>
      </c>
      <c r="AI85">
        <v>3925216255840</v>
      </c>
    </row>
    <row r="86" ht="28.8" spans="1:35">
      <c r="A86" s="58" t="s">
        <v>1082</v>
      </c>
      <c r="B86" s="59" t="s">
        <v>28</v>
      </c>
      <c r="C86" s="60" t="str">
        <v>Suzlon Energy Ltd</v>
      </c>
      <c r="D86" s="61">
        <v>0.00896264026540489</v>
      </c>
      <c r="E86" s="62">
        <f t="shared" si="2"/>
        <v>0.000746886688783741</v>
      </c>
      <c r="F86" s="60" t="str">
        <v>Industrials</v>
      </c>
      <c r="G86" s="62">
        <f t="shared" si="3"/>
        <v>0.000746886688783741</v>
      </c>
      <c r="H86" s="60"/>
      <c r="J86" s="6"/>
      <c r="M86" s="58" t="s">
        <v>1080</v>
      </c>
      <c r="N86" s="67" t="s">
        <v>47</v>
      </c>
      <c r="O86" s="60" t="str">
        <v>Sun Pharmaceutical Industries</v>
      </c>
      <c r="P86" s="68">
        <v>0.0173374360227094</v>
      </c>
      <c r="Q86" s="62">
        <f>P86*VLOOKUP(N86,'Selector Sheet '!$B$13:$D$43,2,FALSE)</f>
        <v>0</v>
      </c>
      <c r="R86" s="60" t="str">
        <v>Health Care</v>
      </c>
      <c r="S86" s="62">
        <f>P86*VLOOKUP(N86,'Selector Sheet '!$B$13:$D$43,2,FALSE)</f>
        <v>0</v>
      </c>
      <c r="T86" s="60"/>
      <c r="X86" s="60" t="str">
        <v>INE040H01021</v>
      </c>
      <c r="Z86" s="58" t="s">
        <v>1082</v>
      </c>
      <c r="AB86" t="s">
        <v>1082</v>
      </c>
      <c r="AC86" t="s">
        <v>1083</v>
      </c>
      <c r="AD86" t="s">
        <v>849</v>
      </c>
      <c r="AE86">
        <v>39.6118415029425</v>
      </c>
      <c r="AF86">
        <v>41.3250309444516</v>
      </c>
      <c r="AG86">
        <v>20716.3</v>
      </c>
      <c r="AH86">
        <v>1.52</v>
      </c>
      <c r="AI86">
        <v>824990229782.01</v>
      </c>
    </row>
    <row r="87" ht="28.8" spans="1:35">
      <c r="A87" s="63" t="s">
        <v>1084</v>
      </c>
      <c r="B87" s="59" t="s">
        <v>28</v>
      </c>
      <c r="C87" s="60" t="str">
        <v>Swiggy Ltd</v>
      </c>
      <c r="D87" s="64">
        <v>0.0034179344411742</v>
      </c>
      <c r="E87" s="62">
        <f t="shared" si="2"/>
        <v>0.00028482787009785</v>
      </c>
      <c r="F87" s="60" t="str">
        <v>Consumer Discretionary</v>
      </c>
      <c r="G87" s="62">
        <f t="shared" si="3"/>
        <v>0.00028482787009785</v>
      </c>
      <c r="H87" s="60"/>
      <c r="J87" s="6"/>
      <c r="M87" s="63" t="s">
        <v>1082</v>
      </c>
      <c r="N87" s="69" t="s">
        <v>47</v>
      </c>
      <c r="O87" s="60" t="str">
        <v>Suzlon Energy Ltd</v>
      </c>
      <c r="P87" s="70">
        <v>0.00567849158582581</v>
      </c>
      <c r="Q87" s="62">
        <f>P87*VLOOKUP(N87,'Selector Sheet '!$B$13:$D$43,2,FALSE)</f>
        <v>0</v>
      </c>
      <c r="R87" s="60" t="str">
        <v>Industrials</v>
      </c>
      <c r="S87" s="62">
        <f>P87*VLOOKUP(N87,'Selector Sheet '!$B$13:$D$43,2,FALSE)</f>
        <v>0</v>
      </c>
      <c r="T87" s="60"/>
      <c r="X87" s="60" t="str">
        <v>INE00H001014</v>
      </c>
      <c r="Z87" s="63" t="s">
        <v>1084</v>
      </c>
      <c r="AB87" t="s">
        <v>1084</v>
      </c>
      <c r="AC87" t="s">
        <v>1085</v>
      </c>
      <c r="AD87" t="s">
        <v>874</v>
      </c>
      <c r="AE87" t="s">
        <v>860</v>
      </c>
      <c r="AF87">
        <v>-34.6100493988434</v>
      </c>
      <c r="AG87">
        <v>-31167.99</v>
      </c>
      <c r="AH87">
        <v>-13.72</v>
      </c>
      <c r="AI87">
        <v>1002695415273.2</v>
      </c>
    </row>
    <row r="88" ht="28.8" spans="1:35">
      <c r="A88" s="58" t="s">
        <v>1086</v>
      </c>
      <c r="B88" s="59" t="s">
        <v>28</v>
      </c>
      <c r="C88" s="60" t="str">
        <v>Syngene International Ltd</v>
      </c>
      <c r="D88" s="61">
        <v>0.00187656597795674</v>
      </c>
      <c r="E88" s="62">
        <f t="shared" si="2"/>
        <v>0.000156380498163062</v>
      </c>
      <c r="F88" s="60" t="str">
        <v>Health Care</v>
      </c>
      <c r="G88" s="62">
        <f t="shared" si="3"/>
        <v>0.000156380498163062</v>
      </c>
      <c r="H88" s="60"/>
      <c r="J88" s="6"/>
      <c r="M88" s="58" t="s">
        <v>1087</v>
      </c>
      <c r="N88" s="67" t="s">
        <v>47</v>
      </c>
      <c r="O88" s="60" t="str">
        <v>Tata Consultancy Services Ltd</v>
      </c>
      <c r="P88" s="68">
        <v>0.0101743419402457</v>
      </c>
      <c r="Q88" s="62">
        <f>P88*VLOOKUP(N88,'Selector Sheet '!$B$13:$D$43,2,FALSE)</f>
        <v>0</v>
      </c>
      <c r="R88" s="60" t="str">
        <v>Information Technology</v>
      </c>
      <c r="S88" s="62">
        <f>P88*VLOOKUP(N88,'Selector Sheet '!$B$13:$D$43,2,FALSE)</f>
        <v>0</v>
      </c>
      <c r="T88" s="60"/>
      <c r="X88" s="60" t="str">
        <v>INE398R01022</v>
      </c>
      <c r="Z88" s="58" t="s">
        <v>1086</v>
      </c>
      <c r="AB88" t="s">
        <v>1086</v>
      </c>
      <c r="AC88" t="s">
        <v>1088</v>
      </c>
      <c r="AD88" t="s">
        <v>855</v>
      </c>
      <c r="AE88">
        <v>54.5587034650177</v>
      </c>
      <c r="AF88">
        <v>11.0455668588474</v>
      </c>
      <c r="AG88">
        <v>4962</v>
      </c>
      <c r="AH88">
        <v>12.35</v>
      </c>
      <c r="AI88">
        <v>271500581196</v>
      </c>
    </row>
    <row r="89" ht="28.8" spans="1:35">
      <c r="A89" s="63" t="s">
        <v>1089</v>
      </c>
      <c r="B89" s="59" t="s">
        <v>28</v>
      </c>
      <c r="C89" s="60" t="str">
        <v>Tata Chemicals Ltd</v>
      </c>
      <c r="D89" s="64">
        <v>0.000214910744723557</v>
      </c>
      <c r="E89" s="62">
        <f t="shared" si="2"/>
        <v>1.79092287269631e-5</v>
      </c>
      <c r="F89" s="60" t="str">
        <v>Materials</v>
      </c>
      <c r="G89" s="62">
        <f t="shared" si="3"/>
        <v>1.79092287269631e-5</v>
      </c>
      <c r="H89" s="60"/>
      <c r="J89" s="6"/>
      <c r="M89" s="63" t="s">
        <v>1090</v>
      </c>
      <c r="N89" s="69" t="s">
        <v>47</v>
      </c>
      <c r="O89" s="60" t="str">
        <v>Tata Motors Ltd</v>
      </c>
      <c r="P89" s="70">
        <v>0.00719487248414049</v>
      </c>
      <c r="Q89" s="62">
        <f>P89*VLOOKUP(N89,'Selector Sheet '!$B$13:$D$43,2,FALSE)</f>
        <v>0</v>
      </c>
      <c r="R89" s="60" t="str">
        <v>Consumer Discretionary</v>
      </c>
      <c r="S89" s="62">
        <f>P89*VLOOKUP(N89,'Selector Sheet '!$B$13:$D$43,2,FALSE)</f>
        <v>0</v>
      </c>
      <c r="T89" s="60"/>
      <c r="X89" s="60" t="str">
        <v>INE092A01019</v>
      </c>
      <c r="Z89" s="63" t="s">
        <v>1089</v>
      </c>
      <c r="AB89" t="s">
        <v>1089</v>
      </c>
      <c r="AC89" t="s">
        <v>1091</v>
      </c>
      <c r="AD89" t="s">
        <v>859</v>
      </c>
      <c r="AE89">
        <v>118.997481010601</v>
      </c>
      <c r="AF89">
        <v>1.07220257784875</v>
      </c>
      <c r="AG89">
        <v>2350</v>
      </c>
      <c r="AH89">
        <v>9.23</v>
      </c>
      <c r="AI89">
        <v>240400761734.7</v>
      </c>
    </row>
    <row r="90" ht="28.8" spans="1:35">
      <c r="A90" s="58" t="s">
        <v>1087</v>
      </c>
      <c r="B90" s="59" t="s">
        <v>28</v>
      </c>
      <c r="C90" s="60" t="str">
        <v>Tata Consultancy Services Ltd</v>
      </c>
      <c r="D90" s="61">
        <v>0.00129132743777348</v>
      </c>
      <c r="E90" s="62">
        <f t="shared" si="2"/>
        <v>0.000107610619814457</v>
      </c>
      <c r="F90" s="60" t="str">
        <v>Information Technology</v>
      </c>
      <c r="G90" s="62">
        <f t="shared" si="3"/>
        <v>0.000107610619814457</v>
      </c>
      <c r="H90" s="60"/>
      <c r="J90" s="6"/>
      <c r="M90" s="58" t="s">
        <v>1092</v>
      </c>
      <c r="N90" s="67" t="s">
        <v>47</v>
      </c>
      <c r="O90" s="60" t="str">
        <v>Tata Steel Ltd</v>
      </c>
      <c r="P90" s="68">
        <v>0.0105096216674571</v>
      </c>
      <c r="Q90" s="62">
        <f>P90*VLOOKUP(N90,'Selector Sheet '!$B$13:$D$43,2,FALSE)</f>
        <v>0</v>
      </c>
      <c r="R90" s="60" t="str">
        <v>Materials</v>
      </c>
      <c r="S90" s="62">
        <f>P90*VLOOKUP(N90,'Selector Sheet '!$B$13:$D$43,2,FALSE)</f>
        <v>0</v>
      </c>
      <c r="T90" s="60"/>
      <c r="X90" s="60" t="str">
        <v>INE467B01029</v>
      </c>
      <c r="Z90" s="58" t="s">
        <v>1087</v>
      </c>
      <c r="AB90" t="s">
        <v>1087</v>
      </c>
      <c r="AC90" t="s">
        <v>1093</v>
      </c>
      <c r="AD90" t="s">
        <v>920</v>
      </c>
      <c r="AE90">
        <v>22.2020209643454</v>
      </c>
      <c r="AF90">
        <v>50.698645923365</v>
      </c>
      <c r="AG90">
        <v>485530</v>
      </c>
      <c r="AH90">
        <v>134.19</v>
      </c>
      <c r="AI90">
        <v>10939649419424.8</v>
      </c>
    </row>
    <row r="91" ht="28.8" spans="1:35">
      <c r="A91" s="63" t="s">
        <v>1094</v>
      </c>
      <c r="B91" s="59" t="s">
        <v>28</v>
      </c>
      <c r="C91" s="60" t="str">
        <v>Tata Consumer Products Ltd</v>
      </c>
      <c r="D91" s="64">
        <v>0.0197501608484285</v>
      </c>
      <c r="E91" s="62">
        <f t="shared" si="2"/>
        <v>0.00164584673736904</v>
      </c>
      <c r="F91" s="60" t="str">
        <v>Consumer Staples</v>
      </c>
      <c r="G91" s="62">
        <f t="shared" si="3"/>
        <v>0.00164584673736904</v>
      </c>
      <c r="H91" s="60"/>
      <c r="J91" s="6"/>
      <c r="M91" s="63" t="s">
        <v>1095</v>
      </c>
      <c r="N91" s="69" t="s">
        <v>47</v>
      </c>
      <c r="O91" s="60" t="str">
        <v>Tech Mahindra Ltd</v>
      </c>
      <c r="P91" s="70">
        <v>0.00476287492171979</v>
      </c>
      <c r="Q91" s="62">
        <f>P91*VLOOKUP(N91,'Selector Sheet '!$B$13:$D$43,2,FALSE)</f>
        <v>0</v>
      </c>
      <c r="R91" s="60" t="str">
        <v>Information Technology</v>
      </c>
      <c r="S91" s="62">
        <f>P91*VLOOKUP(N91,'Selector Sheet '!$B$13:$D$43,2,FALSE)</f>
        <v>0</v>
      </c>
      <c r="T91" s="60"/>
      <c r="X91" s="60" t="str">
        <v>INE192A01025</v>
      </c>
      <c r="Z91" s="63" t="s">
        <v>1094</v>
      </c>
      <c r="AB91" t="s">
        <v>1094</v>
      </c>
      <c r="AC91" t="s">
        <v>1096</v>
      </c>
      <c r="AD91" t="s">
        <v>1016</v>
      </c>
      <c r="AE91">
        <v>80.8554910490758</v>
      </c>
      <c r="AF91" t="s">
        <v>860</v>
      </c>
      <c r="AG91">
        <v>12784.7</v>
      </c>
      <c r="AH91">
        <v>12.920364</v>
      </c>
      <c r="AI91">
        <v>1069982843875</v>
      </c>
    </row>
    <row r="92" ht="28.8" spans="1:35">
      <c r="A92" s="58" t="s">
        <v>1090</v>
      </c>
      <c r="B92" s="59" t="s">
        <v>28</v>
      </c>
      <c r="C92" s="60" t="str">
        <v>Tata Motors Ltd</v>
      </c>
      <c r="D92" s="61">
        <v>0.00353335635613919</v>
      </c>
      <c r="E92" s="62">
        <f t="shared" si="2"/>
        <v>0.000294446363011599</v>
      </c>
      <c r="F92" s="60" t="str">
        <v>Consumer Discretionary</v>
      </c>
      <c r="G92" s="62">
        <f t="shared" si="3"/>
        <v>0.000294446363011599</v>
      </c>
      <c r="H92" s="60"/>
      <c r="J92" s="6"/>
      <c r="M92" s="58" t="s">
        <v>1097</v>
      </c>
      <c r="N92" s="67" t="s">
        <v>47</v>
      </c>
      <c r="O92" s="60" t="str">
        <v>Federal Bank Ltd</v>
      </c>
      <c r="P92" s="68">
        <v>0.00587414178478401</v>
      </c>
      <c r="Q92" s="62">
        <f>P92*VLOOKUP(N92,'Selector Sheet '!$B$13:$D$43,2,FALSE)</f>
        <v>0</v>
      </c>
      <c r="R92" s="60" t="str">
        <v>Financials</v>
      </c>
      <c r="S92" s="62">
        <f>P92*VLOOKUP(N92,'Selector Sheet '!$B$13:$D$43,2,FALSE)</f>
        <v>0</v>
      </c>
      <c r="T92" s="60"/>
      <c r="X92" s="60" t="str">
        <v>INE155A01022</v>
      </c>
      <c r="Z92" s="58" t="s">
        <v>1090</v>
      </c>
      <c r="AB92" t="s">
        <v>1090</v>
      </c>
      <c r="AC92" t="s">
        <v>1098</v>
      </c>
      <c r="AD92" t="s">
        <v>874</v>
      </c>
      <c r="AE92">
        <v>11.6732492142132</v>
      </c>
      <c r="AF92" t="s">
        <v>860</v>
      </c>
      <c r="AG92">
        <v>278300</v>
      </c>
      <c r="AH92">
        <v>75.594961</v>
      </c>
      <c r="AI92">
        <v>2501169915402.9</v>
      </c>
    </row>
    <row r="93" ht="28.8" spans="1:35">
      <c r="A93" s="63" t="s">
        <v>1099</v>
      </c>
      <c r="B93" s="59" t="s">
        <v>28</v>
      </c>
      <c r="C93" s="60" t="str">
        <v>Tata Power Co Ltd/The</v>
      </c>
      <c r="D93" s="64">
        <v>0.0154060174953729</v>
      </c>
      <c r="E93" s="62">
        <f t="shared" si="2"/>
        <v>0.00128383479128107</v>
      </c>
      <c r="F93" s="60" t="str">
        <v>Utilities</v>
      </c>
      <c r="G93" s="62">
        <f t="shared" si="3"/>
        <v>0.00128383479128107</v>
      </c>
      <c r="H93" s="60"/>
      <c r="J93" s="6"/>
      <c r="M93" s="63" t="s">
        <v>1100</v>
      </c>
      <c r="N93" s="69" t="s">
        <v>47</v>
      </c>
      <c r="O93" s="60" t="str">
        <v>Indian Hotels Co Ltd/The</v>
      </c>
      <c r="P93" s="70">
        <v>0.00354446833049309</v>
      </c>
      <c r="Q93" s="62">
        <f>P93*VLOOKUP(N93,'Selector Sheet '!$B$13:$D$43,2,FALSE)</f>
        <v>0</v>
      </c>
      <c r="R93" s="60" t="str">
        <v>Consumer Discretionary</v>
      </c>
      <c r="S93" s="62">
        <f>P93*VLOOKUP(N93,'Selector Sheet '!$B$13:$D$43,2,FALSE)</f>
        <v>0</v>
      </c>
      <c r="T93" s="60"/>
      <c r="X93" s="60" t="str">
        <v>INE245A01021</v>
      </c>
      <c r="Z93" s="63" t="s">
        <v>1099</v>
      </c>
      <c r="AB93" t="s">
        <v>1099</v>
      </c>
      <c r="AC93" t="s">
        <v>1101</v>
      </c>
      <c r="AD93" t="s">
        <v>1030</v>
      </c>
      <c r="AE93">
        <v>31.1876011355488</v>
      </c>
      <c r="AF93">
        <v>11.6458511618577</v>
      </c>
      <c r="AG93">
        <v>39710</v>
      </c>
      <c r="AH93">
        <v>12.42</v>
      </c>
      <c r="AI93">
        <v>1237714773530.45</v>
      </c>
    </row>
    <row r="94" ht="28.8" spans="1:35">
      <c r="A94" s="58" t="s">
        <v>1102</v>
      </c>
      <c r="B94" s="59" t="s">
        <v>28</v>
      </c>
      <c r="C94" s="60" t="str">
        <v>TCI Express Ltd</v>
      </c>
      <c r="D94" s="61">
        <v>0.00160768391291963</v>
      </c>
      <c r="E94" s="62">
        <f t="shared" si="2"/>
        <v>0.000133973659409969</v>
      </c>
      <c r="F94" s="60" t="str">
        <v>Industrials</v>
      </c>
      <c r="G94" s="62">
        <f t="shared" si="3"/>
        <v>0.000133973659409969</v>
      </c>
      <c r="H94" s="60"/>
      <c r="J94" s="6"/>
      <c r="M94" s="58" t="s">
        <v>1103</v>
      </c>
      <c r="N94" s="67" t="s">
        <v>47</v>
      </c>
      <c r="O94" s="60" t="str">
        <v>Trent Ltd</v>
      </c>
      <c r="P94" s="68">
        <v>0.00341272672531295</v>
      </c>
      <c r="Q94" s="62">
        <f>P94*VLOOKUP(N94,'Selector Sheet '!$B$13:$D$43,2,FALSE)</f>
        <v>0</v>
      </c>
      <c r="R94" s="60" t="str">
        <v>Consumer Discretionary</v>
      </c>
      <c r="S94" s="62">
        <f>P94*VLOOKUP(N94,'Selector Sheet '!$B$13:$D$43,2,FALSE)</f>
        <v>0</v>
      </c>
      <c r="T94" s="60"/>
      <c r="X94" s="60" t="str">
        <v>INE586V01016</v>
      </c>
      <c r="Z94" s="58" t="s">
        <v>1102</v>
      </c>
      <c r="AB94" t="s">
        <v>1102</v>
      </c>
      <c r="AC94" t="s">
        <v>1104</v>
      </c>
      <c r="AD94" t="s">
        <v>849</v>
      </c>
      <c r="AE94">
        <v>32.0235354041085</v>
      </c>
      <c r="AF94">
        <v>11.6836241299936</v>
      </c>
      <c r="AG94">
        <v>858.1</v>
      </c>
      <c r="AH94">
        <v>22.36</v>
      </c>
      <c r="AI94">
        <v>26642267190</v>
      </c>
    </row>
    <row r="95" ht="28.8" spans="1:35">
      <c r="A95" s="63" t="s">
        <v>1095</v>
      </c>
      <c r="B95" s="59" t="s">
        <v>28</v>
      </c>
      <c r="C95" s="60" t="str">
        <v>Tech Mahindra Ltd</v>
      </c>
      <c r="D95" s="64">
        <v>0.00235721600525101</v>
      </c>
      <c r="E95" s="62">
        <f t="shared" si="2"/>
        <v>0.000196434667104251</v>
      </c>
      <c r="F95" s="60" t="str">
        <v>Information Technology</v>
      </c>
      <c r="G95" s="62">
        <f t="shared" si="3"/>
        <v>0.000196434667104251</v>
      </c>
      <c r="H95" s="60"/>
      <c r="J95" s="6"/>
      <c r="M95" s="63" t="s">
        <v>1105</v>
      </c>
      <c r="N95" s="69" t="s">
        <v>47</v>
      </c>
      <c r="O95" s="60" t="str">
        <v>TVS Motor Co Ltd</v>
      </c>
      <c r="P95" s="70">
        <v>0.0153810356614722</v>
      </c>
      <c r="Q95" s="62">
        <f>P95*VLOOKUP(N95,'Selector Sheet '!$B$13:$D$43,2,FALSE)</f>
        <v>0</v>
      </c>
      <c r="R95" s="60" t="str">
        <v>Consumer Discretionary</v>
      </c>
      <c r="S95" s="62">
        <f>P95*VLOOKUP(N95,'Selector Sheet '!$B$13:$D$43,2,FALSE)</f>
        <v>0</v>
      </c>
      <c r="T95" s="60"/>
      <c r="X95" s="60" t="str">
        <v>INE669C01036</v>
      </c>
      <c r="Z95" s="63" t="s">
        <v>1095</v>
      </c>
      <c r="AB95" t="s">
        <v>1095</v>
      </c>
      <c r="AC95" t="s">
        <v>1106</v>
      </c>
      <c r="AD95" t="s">
        <v>920</v>
      </c>
      <c r="AE95">
        <v>30.6947907369522</v>
      </c>
      <c r="AF95">
        <v>15.7372910686292</v>
      </c>
      <c r="AG95">
        <v>42515</v>
      </c>
      <c r="AH95">
        <v>48</v>
      </c>
      <c r="AI95">
        <v>1460582645789</v>
      </c>
    </row>
    <row r="96" ht="28.8" spans="1:35">
      <c r="A96" s="58" t="s">
        <v>1097</v>
      </c>
      <c r="B96" s="59" t="s">
        <v>28</v>
      </c>
      <c r="C96" s="60" t="str">
        <v>Federal Bank Ltd</v>
      </c>
      <c r="D96" s="61">
        <v>0.0271258212099391</v>
      </c>
      <c r="E96" s="62">
        <f t="shared" si="2"/>
        <v>0.00226048510082826</v>
      </c>
      <c r="F96" s="60" t="str">
        <v>Financials</v>
      </c>
      <c r="G96" s="62">
        <f t="shared" si="3"/>
        <v>0.00226048510082826</v>
      </c>
      <c r="H96" s="60"/>
      <c r="J96" s="6"/>
      <c r="M96" s="58" t="s">
        <v>1107</v>
      </c>
      <c r="N96" s="67" t="s">
        <v>47</v>
      </c>
      <c r="O96" s="60" t="str">
        <v>UltraTech Cement Ltd</v>
      </c>
      <c r="P96" s="68">
        <v>0.00944684716001427</v>
      </c>
      <c r="Q96" s="62">
        <f>P96*VLOOKUP(N96,'Selector Sheet '!$B$13:$D$43,2,FALSE)</f>
        <v>0</v>
      </c>
      <c r="R96" s="60" t="str">
        <v>Materials</v>
      </c>
      <c r="S96" s="62">
        <f>P96*VLOOKUP(N96,'Selector Sheet '!$B$13:$D$43,2,FALSE)</f>
        <v>0</v>
      </c>
      <c r="T96" s="60"/>
      <c r="X96" s="60" t="str">
        <v>INE171A01029</v>
      </c>
      <c r="Z96" s="58" t="s">
        <v>1097</v>
      </c>
      <c r="AB96" t="s">
        <v>1097</v>
      </c>
      <c r="AC96" t="s">
        <v>1108</v>
      </c>
      <c r="AD96" t="s">
        <v>867</v>
      </c>
      <c r="AE96">
        <v>11.598939749602</v>
      </c>
      <c r="AF96">
        <v>12.8669837177243</v>
      </c>
      <c r="AG96">
        <v>41588.458</v>
      </c>
      <c r="AH96">
        <v>16.98</v>
      </c>
      <c r="AI96">
        <v>483890240379</v>
      </c>
    </row>
    <row r="97" ht="28.8" spans="1:35">
      <c r="A97" s="63" t="s">
        <v>1100</v>
      </c>
      <c r="B97" s="59" t="s">
        <v>28</v>
      </c>
      <c r="C97" s="60" t="str">
        <v>Indian Hotels Co Ltd/The</v>
      </c>
      <c r="D97" s="64">
        <v>0.0556601882074262</v>
      </c>
      <c r="E97" s="62">
        <f t="shared" si="2"/>
        <v>0.00463834901728552</v>
      </c>
      <c r="F97" s="60" t="str">
        <v>Consumer Discretionary</v>
      </c>
      <c r="G97" s="62">
        <f t="shared" si="3"/>
        <v>0.00463834901728552</v>
      </c>
      <c r="H97" s="60"/>
      <c r="J97" s="6"/>
      <c r="M97" s="63" t="s">
        <v>1109</v>
      </c>
      <c r="N97" s="69" t="s">
        <v>47</v>
      </c>
      <c r="O97" s="60" t="str">
        <v>Union Bank of India Ltd</v>
      </c>
      <c r="P97" s="70">
        <v>0.00224335971925686</v>
      </c>
      <c r="Q97" s="62">
        <f>P97*VLOOKUP(N97,'Selector Sheet '!$B$13:$D$43,2,FALSE)</f>
        <v>0</v>
      </c>
      <c r="R97" s="60" t="str">
        <v>Financials</v>
      </c>
      <c r="S97" s="62">
        <f>P97*VLOOKUP(N97,'Selector Sheet '!$B$13:$D$43,2,FALSE)</f>
        <v>0</v>
      </c>
      <c r="T97" s="60"/>
      <c r="X97" s="60" t="str">
        <v>INE053A01029</v>
      </c>
      <c r="Z97" s="63" t="s">
        <v>1100</v>
      </c>
      <c r="AB97" t="s">
        <v>1100</v>
      </c>
      <c r="AC97" t="s">
        <v>1110</v>
      </c>
      <c r="AD97" t="s">
        <v>874</v>
      </c>
      <c r="AE97">
        <v>58.2425382244053</v>
      </c>
      <c r="AF97">
        <v>18.5046970126146</v>
      </c>
      <c r="AG97">
        <v>19075.9</v>
      </c>
      <c r="AH97">
        <v>13.4</v>
      </c>
      <c r="AI97">
        <v>1110917681562.15</v>
      </c>
    </row>
    <row r="98" ht="28.8" spans="1:35">
      <c r="A98" s="58" t="s">
        <v>1111</v>
      </c>
      <c r="B98" s="59" t="s">
        <v>28</v>
      </c>
      <c r="C98" s="60" t="str">
        <v>Thermax Ltd</v>
      </c>
      <c r="D98" s="61">
        <v>0.0011845902479554</v>
      </c>
      <c r="E98" s="62">
        <f t="shared" si="2"/>
        <v>9.87158539962833e-5</v>
      </c>
      <c r="F98" s="60" t="str">
        <v>Industrials</v>
      </c>
      <c r="G98" s="62">
        <f t="shared" si="3"/>
        <v>9.87158539962833e-5</v>
      </c>
      <c r="H98" s="60"/>
      <c r="J98" s="6"/>
      <c r="M98" s="58" t="s">
        <v>1112</v>
      </c>
      <c r="N98" s="67" t="s">
        <v>47</v>
      </c>
      <c r="O98" s="60" t="str">
        <v>United Spirits Ltd</v>
      </c>
      <c r="P98" s="68">
        <v>0.0064399458683657</v>
      </c>
      <c r="Q98" s="62">
        <f>P98*VLOOKUP(N98,'Selector Sheet '!$B$13:$D$43,2,FALSE)</f>
        <v>0</v>
      </c>
      <c r="R98" s="60" t="str">
        <v>Consumer Staples</v>
      </c>
      <c r="S98" s="62">
        <f>P98*VLOOKUP(N98,'Selector Sheet '!$B$13:$D$43,2,FALSE)</f>
        <v>0</v>
      </c>
      <c r="T98" s="60"/>
      <c r="X98" s="60" t="str">
        <v>INE152A01029</v>
      </c>
      <c r="Z98" s="58" t="s">
        <v>1111</v>
      </c>
      <c r="AB98" t="s">
        <v>1111</v>
      </c>
      <c r="AC98" t="s">
        <v>1113</v>
      </c>
      <c r="AD98" t="s">
        <v>849</v>
      </c>
      <c r="AE98">
        <v>58.6916402921401</v>
      </c>
      <c r="AF98">
        <v>13.5329204655374</v>
      </c>
      <c r="AG98">
        <v>6344.7</v>
      </c>
      <c r="AH98">
        <v>56.33</v>
      </c>
      <c r="AI98">
        <v>393942643430</v>
      </c>
    </row>
    <row r="99" ht="28.8" spans="1:35">
      <c r="A99" s="63" t="s">
        <v>1114</v>
      </c>
      <c r="B99" s="59" t="s">
        <v>28</v>
      </c>
      <c r="C99" s="60" t="str">
        <v>Tips Music Ltd</v>
      </c>
      <c r="D99" s="64">
        <v>0.000411054812079201</v>
      </c>
      <c r="E99" s="62">
        <f t="shared" si="2"/>
        <v>3.42545676732667e-5</v>
      </c>
      <c r="F99" s="60" t="str">
        <v>Communication Services</v>
      </c>
      <c r="G99" s="62">
        <f t="shared" si="3"/>
        <v>3.42545676732667e-5</v>
      </c>
      <c r="H99" s="60"/>
      <c r="J99" s="6"/>
      <c r="M99" s="63" t="s">
        <v>1115</v>
      </c>
      <c r="N99" s="69" t="s">
        <v>47</v>
      </c>
      <c r="O99" s="60" t="str">
        <v>UNO Minda Ltd</v>
      </c>
      <c r="P99" s="70">
        <v>0.00312815954217963</v>
      </c>
      <c r="Q99" s="62">
        <f>P99*VLOOKUP(N99,'Selector Sheet '!$B$13:$D$43,2,FALSE)</f>
        <v>0</v>
      </c>
      <c r="R99" s="60" t="str">
        <v>Consumer Discretionary</v>
      </c>
      <c r="S99" s="62">
        <f>P99*VLOOKUP(N99,'Selector Sheet '!$B$13:$D$43,2,FALSE)</f>
        <v>0</v>
      </c>
      <c r="T99" s="60"/>
      <c r="X99" s="60" t="str">
        <v>INE716B01029</v>
      </c>
      <c r="Z99" s="63" t="s">
        <v>1114</v>
      </c>
      <c r="AB99" t="s">
        <v>1114</v>
      </c>
      <c r="AC99" t="s">
        <v>1116</v>
      </c>
      <c r="AD99" t="s">
        <v>893</v>
      </c>
      <c r="AE99">
        <v>45.5568375126008</v>
      </c>
      <c r="AF99">
        <v>85.6268177734709</v>
      </c>
      <c r="AG99">
        <v>1665.615</v>
      </c>
      <c r="AH99">
        <v>13.02</v>
      </c>
      <c r="AI99">
        <v>75823307608.5</v>
      </c>
    </row>
    <row r="100" ht="28.8" spans="1:35">
      <c r="A100" s="58" t="s">
        <v>1117</v>
      </c>
      <c r="B100" s="59" t="s">
        <v>28</v>
      </c>
      <c r="C100" s="60" t="str">
        <v>Titan Co Ltd</v>
      </c>
      <c r="D100" s="61">
        <v>0.000407704598142406</v>
      </c>
      <c r="E100" s="62">
        <f t="shared" si="2"/>
        <v>3.39753831785338e-5</v>
      </c>
      <c r="F100" s="60" t="str">
        <v>Consumer Discretionary</v>
      </c>
      <c r="G100" s="62">
        <f t="shared" si="3"/>
        <v>3.39753831785338e-5</v>
      </c>
      <c r="H100" s="60"/>
      <c r="J100" s="6"/>
      <c r="M100" s="58" t="s">
        <v>1118</v>
      </c>
      <c r="N100" s="67" t="s">
        <v>47</v>
      </c>
      <c r="O100" s="60" t="str">
        <v>Varun Beverages Ltd</v>
      </c>
      <c r="P100" s="68">
        <v>0.00876690662760574</v>
      </c>
      <c r="Q100" s="62">
        <f>P100*VLOOKUP(N100,'Selector Sheet '!$B$13:$D$43,2,FALSE)</f>
        <v>0</v>
      </c>
      <c r="R100" s="60" t="str">
        <v>Consumer Staples</v>
      </c>
      <c r="S100" s="62">
        <f>P100*VLOOKUP(N100,'Selector Sheet '!$B$13:$D$43,2,FALSE)</f>
        <v>0</v>
      </c>
      <c r="T100" s="60"/>
      <c r="X100" s="60" t="str">
        <v>INE280A01028</v>
      </c>
      <c r="Z100" s="58" t="s">
        <v>1117</v>
      </c>
      <c r="AB100" t="s">
        <v>1117</v>
      </c>
      <c r="AC100" t="s">
        <v>1119</v>
      </c>
      <c r="AD100" t="s">
        <v>874</v>
      </c>
      <c r="AE100">
        <v>83.8415507757465</v>
      </c>
      <c r="AF100" t="s">
        <v>860</v>
      </c>
      <c r="AG100">
        <v>33370</v>
      </c>
      <c r="AH100">
        <v>37.62</v>
      </c>
      <c r="AI100">
        <v>3113288505888</v>
      </c>
    </row>
    <row r="101" ht="28.8" spans="1:35">
      <c r="A101" s="63" t="s">
        <v>1120</v>
      </c>
      <c r="B101" s="59" t="s">
        <v>28</v>
      </c>
      <c r="C101" s="60" t="str">
        <v>Torrent Power Ltd</v>
      </c>
      <c r="D101" s="64">
        <v>0.0130702960870155</v>
      </c>
      <c r="E101" s="62">
        <f t="shared" si="2"/>
        <v>0.00108919134058462</v>
      </c>
      <c r="F101" s="60" t="str">
        <v>Utilities</v>
      </c>
      <c r="G101" s="62">
        <f t="shared" si="3"/>
        <v>0.00108919134058462</v>
      </c>
      <c r="H101" s="60"/>
      <c r="J101" s="6"/>
      <c r="M101" s="63" t="s">
        <v>1121</v>
      </c>
      <c r="N101" s="69" t="s">
        <v>47</v>
      </c>
      <c r="O101" s="60" t="str">
        <v>Vishal Mega Mart Ltd</v>
      </c>
      <c r="P101" s="70">
        <v>0.0049088835830033</v>
      </c>
      <c r="Q101" s="62">
        <f>P101*VLOOKUP(N101,'Selector Sheet '!$B$13:$D$43,2,FALSE)</f>
        <v>0</v>
      </c>
      <c r="R101" s="60" t="str">
        <v>Consumer Discretionary</v>
      </c>
      <c r="S101" s="62">
        <f>P101*VLOOKUP(N101,'Selector Sheet '!$B$13:$D$43,2,FALSE)</f>
        <v>0</v>
      </c>
      <c r="T101" s="60"/>
      <c r="X101" s="60" t="str">
        <v>INE813H01021</v>
      </c>
      <c r="Z101" s="63" t="s">
        <v>1120</v>
      </c>
      <c r="AB101" t="s">
        <v>1120</v>
      </c>
      <c r="AC101" t="s">
        <v>1122</v>
      </c>
      <c r="AD101" t="s">
        <v>1030</v>
      </c>
      <c r="AE101">
        <v>21.6397190919484</v>
      </c>
      <c r="AF101">
        <v>20.1401623208799</v>
      </c>
      <c r="AG101">
        <v>29885</v>
      </c>
      <c r="AH101">
        <v>61.23</v>
      </c>
      <c r="AI101">
        <v>667672194475</v>
      </c>
    </row>
    <row r="102" ht="28.8" spans="1:35">
      <c r="A102" s="58" t="s">
        <v>1103</v>
      </c>
      <c r="B102" s="59" t="s">
        <v>28</v>
      </c>
      <c r="C102" s="60" t="str">
        <v>Trent Ltd</v>
      </c>
      <c r="D102" s="61">
        <v>0.0277617043393071</v>
      </c>
      <c r="E102" s="62">
        <f t="shared" si="2"/>
        <v>0.00231347536160892</v>
      </c>
      <c r="F102" s="60" t="str">
        <v>Consumer Discretionary</v>
      </c>
      <c r="G102" s="62">
        <f t="shared" si="3"/>
        <v>0.00231347536160892</v>
      </c>
      <c r="H102" s="60"/>
      <c r="J102" s="6"/>
      <c r="M102" s="58" t="s">
        <v>1123</v>
      </c>
      <c r="N102" s="67" t="s">
        <v>47</v>
      </c>
      <c r="O102" s="60" t="str">
        <v>Zydus Lifesciences Ltd</v>
      </c>
      <c r="P102" s="68">
        <v>0.00397699074859196</v>
      </c>
      <c r="Q102" s="62">
        <f>P102*VLOOKUP(N102,'Selector Sheet '!$B$13:$D$43,2,FALSE)</f>
        <v>0</v>
      </c>
      <c r="R102" s="60" t="str">
        <v>Health Care</v>
      </c>
      <c r="S102" s="62">
        <f>P102*VLOOKUP(N102,'Selector Sheet '!$B$13:$D$43,2,FALSE)</f>
        <v>0</v>
      </c>
      <c r="T102" s="60"/>
      <c r="X102" s="60" t="str">
        <v>INE849A01020</v>
      </c>
      <c r="Z102" s="58" t="s">
        <v>1103</v>
      </c>
      <c r="AB102" t="s">
        <v>1103</v>
      </c>
      <c r="AC102" t="s">
        <v>1124</v>
      </c>
      <c r="AD102" t="s">
        <v>874</v>
      </c>
      <c r="AE102">
        <v>125.078545780969</v>
      </c>
      <c r="AF102" t="s">
        <v>860</v>
      </c>
      <c r="AG102">
        <v>15467.2</v>
      </c>
      <c r="AH102">
        <v>43.51</v>
      </c>
      <c r="AI102">
        <v>1981309363883.5</v>
      </c>
    </row>
    <row r="103" ht="28.8" spans="1:35">
      <c r="A103" s="63" t="s">
        <v>1105</v>
      </c>
      <c r="B103" s="59" t="s">
        <v>28</v>
      </c>
      <c r="C103" s="60" t="str">
        <v>TVS Motor Co Ltd</v>
      </c>
      <c r="D103" s="64">
        <v>0.0334215228881978</v>
      </c>
      <c r="E103" s="62">
        <f t="shared" si="2"/>
        <v>0.00278512690734982</v>
      </c>
      <c r="F103" s="60" t="str">
        <v>Consumer Discretionary</v>
      </c>
      <c r="G103" s="62">
        <f t="shared" si="3"/>
        <v>0.00278512690734982</v>
      </c>
      <c r="H103" s="60"/>
      <c r="J103" s="6"/>
      <c r="M103" s="63" t="s">
        <v>847</v>
      </c>
      <c r="N103" s="69" t="s">
        <v>44</v>
      </c>
      <c r="O103" s="60" t="str">
        <v>360 ONE WAM Ltd</v>
      </c>
      <c r="P103" s="70">
        <v>0.00321662325132215</v>
      </c>
      <c r="Q103" s="62">
        <f>P103*VLOOKUP(N103,'Selector Sheet '!$B$13:$D$43,2,FALSE)</f>
        <v>0</v>
      </c>
      <c r="R103" s="60" t="str">
        <v>Financials</v>
      </c>
      <c r="S103" s="62">
        <f>P103*VLOOKUP(N103,'Selector Sheet '!$B$13:$D$43,2,FALSE)</f>
        <v>0</v>
      </c>
      <c r="T103" s="60"/>
      <c r="X103" s="60" t="str">
        <v>INE494B01023</v>
      </c>
      <c r="Z103" s="63" t="s">
        <v>1105</v>
      </c>
      <c r="AB103" t="s">
        <v>1105</v>
      </c>
      <c r="AC103" t="s">
        <v>1125</v>
      </c>
      <c r="AD103" t="s">
        <v>874</v>
      </c>
      <c r="AE103">
        <v>69.377423524343</v>
      </c>
      <c r="AF103">
        <v>29.2480681158823</v>
      </c>
      <c r="AG103">
        <v>22355.6</v>
      </c>
      <c r="AH103">
        <v>47.05</v>
      </c>
      <c r="AI103">
        <v>1530018050637</v>
      </c>
    </row>
    <row r="104" ht="28.8" spans="1:35">
      <c r="A104" s="58" t="s">
        <v>1126</v>
      </c>
      <c r="B104" s="59" t="s">
        <v>28</v>
      </c>
      <c r="C104" s="60" t="str">
        <v>United Breweries Ltd</v>
      </c>
      <c r="D104" s="61">
        <v>0.0113944650653722</v>
      </c>
      <c r="E104" s="62">
        <f t="shared" si="2"/>
        <v>0.000949538755447683</v>
      </c>
      <c r="F104" s="60" t="str">
        <v>Consumer Staples</v>
      </c>
      <c r="G104" s="62">
        <f t="shared" si="3"/>
        <v>0.000949538755447683</v>
      </c>
      <c r="H104" s="60"/>
      <c r="J104" s="6"/>
      <c r="M104" s="58" t="s">
        <v>850</v>
      </c>
      <c r="N104" s="67" t="s">
        <v>44</v>
      </c>
      <c r="O104" s="60" t="str">
        <v>ABB India Ltd</v>
      </c>
      <c r="P104" s="68">
        <v>0.000918653025126506</v>
      </c>
      <c r="Q104" s="62">
        <f>P104*VLOOKUP(N104,'Selector Sheet '!$B$13:$D$43,2,FALSE)</f>
        <v>0</v>
      </c>
      <c r="R104" s="60" t="str">
        <v>Industrials</v>
      </c>
      <c r="S104" s="62">
        <f>P104*VLOOKUP(N104,'Selector Sheet '!$B$13:$D$43,2,FALSE)</f>
        <v>0</v>
      </c>
      <c r="T104" s="60"/>
      <c r="X104" s="60" t="str">
        <v>INE686F01025</v>
      </c>
      <c r="Z104" s="58" t="s">
        <v>1126</v>
      </c>
      <c r="AB104" t="s">
        <v>1126</v>
      </c>
      <c r="AC104" t="s">
        <v>1127</v>
      </c>
      <c r="AD104" t="s">
        <v>1016</v>
      </c>
      <c r="AE104">
        <v>114.649913155483</v>
      </c>
      <c r="AF104">
        <v>10.3412914146842</v>
      </c>
      <c r="AG104">
        <v>4416.9</v>
      </c>
      <c r="AH104">
        <v>16.71</v>
      </c>
      <c r="AI104">
        <v>506547384454.2</v>
      </c>
    </row>
    <row r="105" ht="28.8" spans="1:35">
      <c r="A105" s="63" t="s">
        <v>1115</v>
      </c>
      <c r="B105" s="59" t="s">
        <v>28</v>
      </c>
      <c r="C105" s="60" t="str">
        <v>UNO Minda Ltd</v>
      </c>
      <c r="D105" s="64">
        <v>0.0357781400818457</v>
      </c>
      <c r="E105" s="62">
        <f t="shared" si="2"/>
        <v>0.00298151167348714</v>
      </c>
      <c r="F105" s="60" t="str">
        <v>Consumer Discretionary</v>
      </c>
      <c r="G105" s="62">
        <f t="shared" si="3"/>
        <v>0.00298151167348714</v>
      </c>
      <c r="H105" s="60"/>
      <c r="J105" s="6"/>
      <c r="M105" s="63" t="s">
        <v>1128</v>
      </c>
      <c r="N105" s="69" t="s">
        <v>44</v>
      </c>
      <c r="O105" s="60" t="str">
        <v>ACC Ltd</v>
      </c>
      <c r="P105" s="70">
        <v>0</v>
      </c>
      <c r="Q105" s="62">
        <f>P105*VLOOKUP(N105,'Selector Sheet '!$B$13:$D$43,2,FALSE)</f>
        <v>0</v>
      </c>
      <c r="R105" s="60" t="str">
        <v>Materials</v>
      </c>
      <c r="S105" s="62">
        <f>P105*VLOOKUP(N105,'Selector Sheet '!$B$13:$D$43,2,FALSE)</f>
        <v>0</v>
      </c>
      <c r="T105" s="60"/>
      <c r="X105" s="60" t="str">
        <v>INE405E01023</v>
      </c>
      <c r="Z105" s="63" t="s">
        <v>1115</v>
      </c>
      <c r="AB105" t="s">
        <v>1115</v>
      </c>
      <c r="AC105" t="s">
        <v>1129</v>
      </c>
      <c r="AD105" t="s">
        <v>874</v>
      </c>
      <c r="AE105">
        <v>73.5200944684455</v>
      </c>
      <c r="AF105">
        <v>17.6748388233519</v>
      </c>
      <c r="AG105">
        <v>9429.5</v>
      </c>
      <c r="AH105">
        <v>16.42</v>
      </c>
      <c r="AI105">
        <v>693562951156.8</v>
      </c>
    </row>
    <row r="106" ht="28.8" spans="1:35">
      <c r="A106" s="58" t="s">
        <v>1118</v>
      </c>
      <c r="B106" s="59" t="s">
        <v>28</v>
      </c>
      <c r="C106" s="60" t="str">
        <v>Varun Beverages Ltd</v>
      </c>
      <c r="D106" s="61">
        <v>0.00776920874024946</v>
      </c>
      <c r="E106" s="62">
        <f t="shared" si="2"/>
        <v>0.000647434061687455</v>
      </c>
      <c r="F106" s="60" t="str">
        <v>Consumer Staples</v>
      </c>
      <c r="G106" s="62">
        <f t="shared" si="3"/>
        <v>0.000647434061687455</v>
      </c>
      <c r="H106" s="60"/>
      <c r="J106" s="6"/>
      <c r="M106" s="58" t="s">
        <v>1130</v>
      </c>
      <c r="N106" s="67" t="s">
        <v>44</v>
      </c>
      <c r="O106" s="60" t="str">
        <v>Adani Ports &amp; Special Economic</v>
      </c>
      <c r="P106" s="68">
        <v>0.00136963338021794</v>
      </c>
      <c r="Q106" s="62">
        <f>P106*VLOOKUP(N106,'Selector Sheet '!$B$13:$D$43,2,FALSE)</f>
        <v>0</v>
      </c>
      <c r="R106" s="60" t="str">
        <v>Industrials</v>
      </c>
      <c r="S106" s="62">
        <f>P106*VLOOKUP(N106,'Selector Sheet '!$B$13:$D$43,2,FALSE)</f>
        <v>0</v>
      </c>
      <c r="T106" s="60"/>
      <c r="X106" s="60" t="str">
        <v>INE200M01039</v>
      </c>
      <c r="Z106" s="58" t="s">
        <v>1118</v>
      </c>
      <c r="AB106" t="s">
        <v>1118</v>
      </c>
      <c r="AC106" t="s">
        <v>1131</v>
      </c>
      <c r="AD106" t="s">
        <v>1016</v>
      </c>
      <c r="AE106">
        <v>62.5408820386203</v>
      </c>
      <c r="AF106">
        <v>22.0385370508105</v>
      </c>
      <c r="AG106">
        <v>25946.33</v>
      </c>
      <c r="AH106">
        <v>7.95</v>
      </c>
      <c r="AI106">
        <v>1681489079696.8</v>
      </c>
    </row>
    <row r="107" ht="28.8" spans="1:35">
      <c r="A107" s="63" t="s">
        <v>1132</v>
      </c>
      <c r="B107" s="59" t="s">
        <v>28</v>
      </c>
      <c r="C107" s="60" t="str">
        <v>Vinati Organics Ltd</v>
      </c>
      <c r="D107" s="64">
        <v>0.00939201166769928</v>
      </c>
      <c r="E107" s="62">
        <f t="shared" si="2"/>
        <v>0.00078266763897494</v>
      </c>
      <c r="F107" s="60" t="str">
        <v>Materials</v>
      </c>
      <c r="G107" s="62">
        <f t="shared" si="3"/>
        <v>0.00078266763897494</v>
      </c>
      <c r="H107" s="60"/>
      <c r="J107" s="6"/>
      <c r="M107" s="63" t="s">
        <v>1133</v>
      </c>
      <c r="N107" s="69" t="s">
        <v>44</v>
      </c>
      <c r="O107" s="60" t="str">
        <v>Ambuja Cements Ltd</v>
      </c>
      <c r="P107" s="70">
        <v>0.00182847808767447</v>
      </c>
      <c r="Q107" s="62">
        <f>P107*VLOOKUP(N107,'Selector Sheet '!$B$13:$D$43,2,FALSE)</f>
        <v>0</v>
      </c>
      <c r="R107" s="60" t="str">
        <v>Materials</v>
      </c>
      <c r="S107" s="62">
        <f>P107*VLOOKUP(N107,'Selector Sheet '!$B$13:$D$43,2,FALSE)</f>
        <v>0</v>
      </c>
      <c r="T107" s="60"/>
      <c r="X107" s="60" t="str">
        <v>INE410B01037</v>
      </c>
      <c r="Z107" s="63" t="s">
        <v>1132</v>
      </c>
      <c r="AB107" t="s">
        <v>1132</v>
      </c>
      <c r="AC107" t="s">
        <v>1134</v>
      </c>
      <c r="AD107" t="s">
        <v>859</v>
      </c>
      <c r="AE107">
        <v>43.6377602667722</v>
      </c>
      <c r="AF107">
        <v>15.4238870471357</v>
      </c>
      <c r="AG107">
        <v>4052.5</v>
      </c>
      <c r="AH107">
        <v>39.09</v>
      </c>
      <c r="AI107">
        <v>176832835065.6</v>
      </c>
    </row>
    <row r="108" ht="28.8" spans="1:35">
      <c r="A108" s="58" t="s">
        <v>1121</v>
      </c>
      <c r="B108" s="59" t="s">
        <v>28</v>
      </c>
      <c r="C108" s="60" t="str">
        <v>Vishal Mega Mart Ltd</v>
      </c>
      <c r="D108" s="61">
        <v>0.00835850197860856</v>
      </c>
      <c r="E108" s="62">
        <f t="shared" si="2"/>
        <v>0.000696541831550713</v>
      </c>
      <c r="F108" s="60" t="str">
        <v>Consumer Discretionary</v>
      </c>
      <c r="G108" s="62">
        <f t="shared" si="3"/>
        <v>0.000696541831550713</v>
      </c>
      <c r="H108" s="60"/>
      <c r="J108" s="6"/>
      <c r="M108" s="58" t="s">
        <v>865</v>
      </c>
      <c r="N108" s="67" t="s">
        <v>44</v>
      </c>
      <c r="O108" s="60" t="str">
        <v>Apollo Hospitals Enterprise Lt</v>
      </c>
      <c r="P108" s="68">
        <v>0.00311230859743196</v>
      </c>
      <c r="Q108" s="62">
        <f>P108*VLOOKUP(N108,'Selector Sheet '!$B$13:$D$43,2,FALSE)</f>
        <v>0</v>
      </c>
      <c r="R108" s="60" t="str">
        <v>Health Care</v>
      </c>
      <c r="S108" s="62">
        <f>P108*VLOOKUP(N108,'Selector Sheet '!$B$13:$D$43,2,FALSE)</f>
        <v>0</v>
      </c>
      <c r="T108" s="60"/>
      <c r="X108" s="60" t="str">
        <v>INE01EA01019</v>
      </c>
      <c r="Z108" s="58" t="s">
        <v>1121</v>
      </c>
      <c r="AB108" t="s">
        <v>1121</v>
      </c>
      <c r="AC108" t="s">
        <v>1135</v>
      </c>
      <c r="AD108" t="s">
        <v>874</v>
      </c>
      <c r="AE108">
        <v>106.878574916295</v>
      </c>
      <c r="AF108">
        <v>10.5125082091673</v>
      </c>
      <c r="AG108">
        <v>6319.67</v>
      </c>
      <c r="AH108">
        <v>1.4</v>
      </c>
      <c r="AI108">
        <v>697480910709.18</v>
      </c>
    </row>
    <row r="109" ht="28.8" spans="1:35">
      <c r="A109" s="63" t="s">
        <v>1136</v>
      </c>
      <c r="B109" s="59" t="s">
        <v>28</v>
      </c>
      <c r="C109" s="60" t="str">
        <v>WAAREE Energies Ltd</v>
      </c>
      <c r="D109" s="64">
        <v>0.00428664178394415</v>
      </c>
      <c r="E109" s="62">
        <f t="shared" si="2"/>
        <v>0.000357220148662012</v>
      </c>
      <c r="F109" s="60" t="str">
        <v>Information Technology</v>
      </c>
      <c r="G109" s="62">
        <f t="shared" si="3"/>
        <v>0.000357220148662012</v>
      </c>
      <c r="H109" s="60"/>
      <c r="J109" s="6"/>
      <c r="M109" s="63" t="s">
        <v>1137</v>
      </c>
      <c r="N109" s="69" t="s">
        <v>44</v>
      </c>
      <c r="O109" s="60" t="str">
        <v>Asian Paints Ltd</v>
      </c>
      <c r="P109" s="70">
        <v>0.00811506496300692</v>
      </c>
      <c r="Q109" s="62">
        <f>P109*VLOOKUP(N109,'Selector Sheet '!$B$13:$D$43,2,FALSE)</f>
        <v>0</v>
      </c>
      <c r="R109" s="60" t="str">
        <v>Materials</v>
      </c>
      <c r="S109" s="62">
        <f>P109*VLOOKUP(N109,'Selector Sheet '!$B$13:$D$43,2,FALSE)</f>
        <v>0</v>
      </c>
      <c r="T109" s="60"/>
      <c r="X109" s="60" t="str">
        <v>INE377N01017</v>
      </c>
      <c r="Z109" s="63" t="s">
        <v>1136</v>
      </c>
      <c r="AB109" t="s">
        <v>1136</v>
      </c>
      <c r="AC109" t="s">
        <v>1138</v>
      </c>
      <c r="AD109" t="s">
        <v>920</v>
      </c>
      <c r="AE109">
        <v>43.5082063305979</v>
      </c>
      <c r="AF109">
        <v>27.5283881573637</v>
      </c>
      <c r="AG109">
        <v>18673.9</v>
      </c>
      <c r="AH109">
        <v>68.24</v>
      </c>
      <c r="AI109">
        <v>852943817831</v>
      </c>
    </row>
    <row r="110" ht="28.8" spans="1:35">
      <c r="A110" s="58" t="s">
        <v>1139</v>
      </c>
      <c r="B110" s="59" t="s">
        <v>28</v>
      </c>
      <c r="C110" s="60" t="str">
        <v>Zee Entertainment Enterprises</v>
      </c>
      <c r="D110" s="61">
        <v>0.00161900262636029</v>
      </c>
      <c r="E110" s="62">
        <f t="shared" si="2"/>
        <v>0.000134916885530024</v>
      </c>
      <c r="F110" s="60" t="str">
        <v>Communication Services</v>
      </c>
      <c r="G110" s="62">
        <f t="shared" si="3"/>
        <v>0.000134916885530024</v>
      </c>
      <c r="H110" s="60"/>
      <c r="J110" s="6"/>
      <c r="M110" s="58" t="s">
        <v>1140</v>
      </c>
      <c r="N110" s="67" t="s">
        <v>44</v>
      </c>
      <c r="O110" s="60" t="str">
        <v>Atul Ltd</v>
      </c>
      <c r="P110" s="68">
        <v>0.00166141332140163</v>
      </c>
      <c r="Q110" s="62">
        <f>P110*VLOOKUP(N110,'Selector Sheet '!$B$13:$D$43,2,FALSE)</f>
        <v>0</v>
      </c>
      <c r="R110" s="60" t="str">
        <v>Materials</v>
      </c>
      <c r="S110" s="62">
        <f>P110*VLOOKUP(N110,'Selector Sheet '!$B$13:$D$43,2,FALSE)</f>
        <v>0</v>
      </c>
      <c r="T110" s="60"/>
      <c r="X110" s="60" t="str">
        <v>INE256A01028</v>
      </c>
      <c r="Z110" s="58" t="s">
        <v>1139</v>
      </c>
      <c r="AB110" t="s">
        <v>1139</v>
      </c>
      <c r="AC110" t="s">
        <v>1141</v>
      </c>
      <c r="AD110" t="s">
        <v>893</v>
      </c>
      <c r="AE110">
        <v>16.3808099239135</v>
      </c>
      <c r="AF110">
        <v>6.06528550133445</v>
      </c>
      <c r="AG110">
        <v>6795</v>
      </c>
      <c r="AH110">
        <v>7.074297</v>
      </c>
      <c r="AI110">
        <v>112601691606.6</v>
      </c>
    </row>
    <row r="111" ht="28.8" spans="1:35">
      <c r="A111" s="63" t="s">
        <v>1142</v>
      </c>
      <c r="B111" s="59" t="s">
        <v>28</v>
      </c>
      <c r="C111" s="60" t="str">
        <v>ZF Commercial Vehicle Control</v>
      </c>
      <c r="D111" s="64">
        <v>0.0064249119153024</v>
      </c>
      <c r="E111" s="62">
        <f t="shared" si="2"/>
        <v>0.0005354093262752</v>
      </c>
      <c r="F111" s="60" t="str">
        <v>Consumer Discretionary</v>
      </c>
      <c r="G111" s="62">
        <f t="shared" si="3"/>
        <v>0.0005354093262752</v>
      </c>
      <c r="H111" s="60"/>
      <c r="J111" s="6"/>
      <c r="M111" s="63" t="s">
        <v>876</v>
      </c>
      <c r="N111" s="69" t="s">
        <v>44</v>
      </c>
      <c r="O111" s="60" t="str">
        <v>Avenue Supermarts Ltd</v>
      </c>
      <c r="P111" s="70">
        <v>0.0132242710102134</v>
      </c>
      <c r="Q111" s="62">
        <f>P111*VLOOKUP(N111,'Selector Sheet '!$B$13:$D$43,2,FALSE)</f>
        <v>0</v>
      </c>
      <c r="R111" s="60" t="str">
        <v>Consumer Staples</v>
      </c>
      <c r="S111" s="62">
        <f>P111*VLOOKUP(N111,'Selector Sheet '!$B$13:$D$43,2,FALSE)</f>
        <v>0</v>
      </c>
      <c r="T111" s="60"/>
      <c r="X111" s="60" t="str">
        <v>INE342J01019</v>
      </c>
      <c r="Z111" s="63" t="s">
        <v>1142</v>
      </c>
      <c r="AB111" t="s">
        <v>1142</v>
      </c>
      <c r="AC111" t="s">
        <v>1143</v>
      </c>
      <c r="AD111" t="s">
        <v>874</v>
      </c>
      <c r="AE111">
        <v>56.6529435981886</v>
      </c>
      <c r="AF111">
        <v>15.3452423911647</v>
      </c>
      <c r="AG111">
        <v>4607.3</v>
      </c>
      <c r="AH111">
        <v>242.9</v>
      </c>
      <c r="AI111">
        <v>261012923424</v>
      </c>
    </row>
    <row r="112" ht="28.8" spans="1:35">
      <c r="A112" s="58" t="s">
        <v>853</v>
      </c>
      <c r="B112" s="59" t="s">
        <v>24</v>
      </c>
      <c r="C112" s="60" t="str">
        <v>Abbott India Ltd</v>
      </c>
      <c r="D112" s="68">
        <f>([1]Mediator!D112)/100</f>
        <v>0.0064249119153024</v>
      </c>
      <c r="E112" s="62">
        <f t="shared" si="2"/>
        <v>0.002677046631376</v>
      </c>
      <c r="F112" s="60" t="str">
        <v>Health Care</v>
      </c>
      <c r="G112" s="62">
        <f t="shared" si="3"/>
        <v>0.002677046631376</v>
      </c>
      <c r="H112" s="60"/>
      <c r="J112" s="6"/>
      <c r="M112" s="58" t="s">
        <v>879</v>
      </c>
      <c r="N112" s="67" t="s">
        <v>44</v>
      </c>
      <c r="O112" s="60" t="str">
        <v>Axis Bank Ltd</v>
      </c>
      <c r="P112" s="68">
        <v>0.0175468155418352</v>
      </c>
      <c r="Q112" s="62">
        <f>P112*VLOOKUP(N112,'Selector Sheet '!$B$13:$D$43,2,FALSE)</f>
        <v>0</v>
      </c>
      <c r="R112" s="60" t="str">
        <v>Financials</v>
      </c>
      <c r="S112" s="62">
        <f>P112*VLOOKUP(N112,'Selector Sheet '!$B$13:$D$43,2,FALSE)</f>
        <v>0</v>
      </c>
      <c r="T112" s="60"/>
      <c r="X112" s="60" t="str">
        <v>INE192R01011</v>
      </c>
      <c r="Z112" s="58" t="s">
        <v>853</v>
      </c>
      <c r="AB112" t="s">
        <v>876</v>
      </c>
      <c r="AC112" t="s">
        <v>1144</v>
      </c>
      <c r="AD112" t="s">
        <v>1016</v>
      </c>
      <c r="AE112">
        <v>109.226145213741</v>
      </c>
      <c r="AF112" t="s">
        <v>860</v>
      </c>
      <c r="AG112">
        <v>27080.2</v>
      </c>
      <c r="AH112">
        <v>41.61</v>
      </c>
      <c r="AI112">
        <v>2957516720753.2</v>
      </c>
    </row>
    <row r="113" ht="28.8" spans="1:35">
      <c r="A113" s="63" t="s">
        <v>876</v>
      </c>
      <c r="B113" s="59" t="s">
        <v>24</v>
      </c>
      <c r="C113" s="60" t="str">
        <v>Avenue Supermarts Ltd</v>
      </c>
      <c r="D113" s="70">
        <f>([1]Mediator!D113)/100</f>
        <v>0.00664763888605049</v>
      </c>
      <c r="E113" s="62">
        <f t="shared" si="2"/>
        <v>0.00276984953585437</v>
      </c>
      <c r="F113" s="60" t="str">
        <v>Consumer Staples</v>
      </c>
      <c r="G113" s="62">
        <f t="shared" si="3"/>
        <v>0.00276984953585437</v>
      </c>
      <c r="H113" s="60"/>
      <c r="J113" s="6"/>
      <c r="M113" s="63" t="s">
        <v>1145</v>
      </c>
      <c r="N113" s="69" t="s">
        <v>44</v>
      </c>
      <c r="O113" s="60" t="str">
        <v>Azad Engineering Ltd</v>
      </c>
      <c r="P113" s="70">
        <v>0.000896357609261179</v>
      </c>
      <c r="Q113" s="62">
        <f>P113*VLOOKUP(N113,'Selector Sheet '!$B$13:$D$43,2,FALSE)</f>
        <v>0</v>
      </c>
      <c r="R113" s="60" t="str">
        <v>Industrials</v>
      </c>
      <c r="S113" s="62">
        <f>P113*VLOOKUP(N113,'Selector Sheet '!$B$13:$D$43,2,FALSE)</f>
        <v>0</v>
      </c>
      <c r="T113" s="60"/>
      <c r="X113" s="60" t="str">
        <v>INE238A01034</v>
      </c>
      <c r="Z113" s="63" t="s">
        <v>876</v>
      </c>
      <c r="AB113" t="s">
        <v>879</v>
      </c>
      <c r="AC113" t="s">
        <v>1146</v>
      </c>
      <c r="AD113" t="s">
        <v>867</v>
      </c>
      <c r="AE113">
        <v>12.0639857809376</v>
      </c>
      <c r="AF113">
        <v>15.5305166899516</v>
      </c>
      <c r="AG113">
        <v>280551.1</v>
      </c>
      <c r="AH113">
        <v>90.72</v>
      </c>
      <c r="AI113">
        <v>3368883897096</v>
      </c>
    </row>
    <row r="114" ht="28.8" spans="1:35">
      <c r="A114" s="58" t="s">
        <v>879</v>
      </c>
      <c r="B114" s="59" t="s">
        <v>24</v>
      </c>
      <c r="C114" s="60" t="str">
        <v>Axis Bank Ltd</v>
      </c>
      <c r="D114" s="68">
        <f>([1]Mediator!D114)/100</f>
        <v>0.00590041773280451</v>
      </c>
      <c r="E114" s="62">
        <f t="shared" si="2"/>
        <v>0.00245850738866855</v>
      </c>
      <c r="F114" s="60" t="str">
        <v>Financials</v>
      </c>
      <c r="G114" s="62">
        <f t="shared" si="3"/>
        <v>0.00245850738866855</v>
      </c>
      <c r="H114" s="60"/>
      <c r="J114" s="6"/>
      <c r="M114" s="58" t="s">
        <v>878</v>
      </c>
      <c r="N114" s="67" t="s">
        <v>44</v>
      </c>
      <c r="O114" s="60" t="str">
        <v>Bajaj Finance Ltd</v>
      </c>
      <c r="P114" s="68">
        <v>0.00941892347993258</v>
      </c>
      <c r="Q114" s="62">
        <f>P114*VLOOKUP(N114,'Selector Sheet '!$B$13:$D$43,2,FALSE)</f>
        <v>0</v>
      </c>
      <c r="R114" s="60" t="str">
        <v>Financials</v>
      </c>
      <c r="S114" s="62">
        <f>P114*VLOOKUP(N114,'Selector Sheet '!$B$13:$D$43,2,FALSE)</f>
        <v>0</v>
      </c>
      <c r="T114" s="60"/>
      <c r="X114" s="60" t="str">
        <v>INE059A01026</v>
      </c>
      <c r="Z114" s="58" t="s">
        <v>879</v>
      </c>
      <c r="AB114" t="s">
        <v>914</v>
      </c>
      <c r="AC114" t="s">
        <v>1147</v>
      </c>
      <c r="AD114" t="s">
        <v>855</v>
      </c>
      <c r="AE114">
        <v>23.9868276242294</v>
      </c>
      <c r="AF114">
        <v>18.2125420639905</v>
      </c>
      <c r="AG114">
        <v>52725.2</v>
      </c>
      <c r="AH114">
        <v>65.29</v>
      </c>
      <c r="AI114">
        <v>1265019187208.1</v>
      </c>
    </row>
    <row r="115" ht="28.8" spans="1:35">
      <c r="A115" s="63" t="s">
        <v>875</v>
      </c>
      <c r="B115" s="59" t="s">
        <v>24</v>
      </c>
      <c r="C115" s="60" t="str">
        <v>Bajaj Auto Ltd</v>
      </c>
      <c r="D115" s="70">
        <f>([1]Mediator!D115)/100</f>
        <v>0.0223631145074362</v>
      </c>
      <c r="E115" s="62">
        <f t="shared" si="2"/>
        <v>0.00931796437809842</v>
      </c>
      <c r="F115" s="60" t="str">
        <v>Consumer Discretionary</v>
      </c>
      <c r="G115" s="62">
        <f t="shared" si="3"/>
        <v>0.00931796437809842</v>
      </c>
      <c r="H115" s="60"/>
      <c r="J115" s="6"/>
      <c r="M115" s="63" t="s">
        <v>884</v>
      </c>
      <c r="N115" s="69" t="s">
        <v>44</v>
      </c>
      <c r="O115" s="60" t="str">
        <v>Bajaj Finserv Ltd</v>
      </c>
      <c r="P115" s="70">
        <v>0.00733434057936045</v>
      </c>
      <c r="Q115" s="62">
        <f>P115*VLOOKUP(N115,'Selector Sheet '!$B$13:$D$43,2,FALSE)</f>
        <v>0</v>
      </c>
      <c r="R115" s="60" t="str">
        <v>Financials</v>
      </c>
      <c r="S115" s="62">
        <f>P115*VLOOKUP(N115,'Selector Sheet '!$B$13:$D$43,2,FALSE)</f>
        <v>0</v>
      </c>
      <c r="T115" s="60"/>
      <c r="X115" s="60" t="str">
        <v>INE361B01024</v>
      </c>
      <c r="Z115" s="63" t="s">
        <v>875</v>
      </c>
      <c r="AB115" t="s">
        <v>1148</v>
      </c>
      <c r="AC115" t="s">
        <v>1149</v>
      </c>
      <c r="AD115" t="s">
        <v>855</v>
      </c>
      <c r="AE115">
        <v>74.5607657821398</v>
      </c>
      <c r="AF115">
        <v>15.353889278206</v>
      </c>
      <c r="AG115">
        <v>21910</v>
      </c>
      <c r="AH115">
        <v>82.53</v>
      </c>
      <c r="AI115">
        <v>1633560907030</v>
      </c>
    </row>
    <row r="116" ht="28.8" spans="1:35">
      <c r="A116" s="58" t="s">
        <v>878</v>
      </c>
      <c r="B116" s="59" t="s">
        <v>24</v>
      </c>
      <c r="C116" s="60" t="str">
        <v>Bajaj Finance Ltd</v>
      </c>
      <c r="D116" s="68">
        <f>([1]Mediator!D116)/100</f>
        <v>0.00995115897142225</v>
      </c>
      <c r="E116" s="62">
        <f t="shared" si="2"/>
        <v>0.0041463162380926</v>
      </c>
      <c r="F116" s="60" t="str">
        <v>Financials</v>
      </c>
      <c r="G116" s="62">
        <f t="shared" si="3"/>
        <v>0.0041463162380926</v>
      </c>
      <c r="H116" s="60"/>
      <c r="J116" s="6"/>
      <c r="M116" s="58" t="s">
        <v>889</v>
      </c>
      <c r="N116" s="67" t="s">
        <v>44</v>
      </c>
      <c r="O116" s="60" t="str">
        <v>Bharat Petroleum Corp Ltd</v>
      </c>
      <c r="P116" s="68">
        <v>0.000565971687001652</v>
      </c>
      <c r="Q116" s="62">
        <f>P116*VLOOKUP(N116,'Selector Sheet '!$B$13:$D$43,2,FALSE)</f>
        <v>0</v>
      </c>
      <c r="R116" s="60" t="str">
        <v>Energy</v>
      </c>
      <c r="S116" s="62">
        <f>P116*VLOOKUP(N116,'Selector Sheet '!$B$13:$D$43,2,FALSE)</f>
        <v>0</v>
      </c>
      <c r="T116" s="60"/>
      <c r="X116" s="60" t="str">
        <v>INE860A01027</v>
      </c>
      <c r="Z116" s="58" t="s">
        <v>878</v>
      </c>
      <c r="AB116" t="s">
        <v>955</v>
      </c>
      <c r="AC116" t="s">
        <v>1150</v>
      </c>
      <c r="AD116" t="s">
        <v>920</v>
      </c>
      <c r="AE116">
        <v>23.5276125852737</v>
      </c>
      <c r="AF116">
        <v>24.6066584463625</v>
      </c>
      <c r="AG116">
        <v>172558.361380934</v>
      </c>
      <c r="AH116">
        <v>63.4094736478599</v>
      </c>
      <c r="AI116">
        <v>4033863165204</v>
      </c>
    </row>
    <row r="117" ht="28.8" spans="1:35">
      <c r="A117" s="63" t="s">
        <v>886</v>
      </c>
      <c r="B117" s="59" t="s">
        <v>24</v>
      </c>
      <c r="C117" s="60" t="str">
        <v>Bharat Electronics Ltd</v>
      </c>
      <c r="D117" s="70">
        <f>([1]Mediator!D117)/100</f>
        <v>0.0263675886918736</v>
      </c>
      <c r="E117" s="62">
        <f t="shared" si="2"/>
        <v>0.0109864952882807</v>
      </c>
      <c r="F117" s="60" t="str">
        <v>Industrials</v>
      </c>
      <c r="G117" s="62">
        <f t="shared" si="3"/>
        <v>0.0109864952882807</v>
      </c>
      <c r="H117" s="60"/>
      <c r="J117" s="6"/>
      <c r="M117" s="63" t="s">
        <v>891</v>
      </c>
      <c r="N117" s="69" t="s">
        <v>44</v>
      </c>
      <c r="O117" s="60" t="str">
        <v>Bharti Airtel Ltd</v>
      </c>
      <c r="P117" s="70">
        <v>0.0231236203720317</v>
      </c>
      <c r="Q117" s="62">
        <f>P117*VLOOKUP(N117,'Selector Sheet '!$B$13:$D$43,2,FALSE)</f>
        <v>0</v>
      </c>
      <c r="R117" s="60" t="str">
        <v>Communication Services</v>
      </c>
      <c r="S117" s="62">
        <f>P117*VLOOKUP(N117,'Selector Sheet '!$B$13:$D$43,2,FALSE)</f>
        <v>0</v>
      </c>
      <c r="T117" s="60"/>
      <c r="X117" s="60" t="str">
        <v>INE038A01020</v>
      </c>
      <c r="Z117" s="63" t="s">
        <v>886</v>
      </c>
      <c r="AB117" t="s">
        <v>967</v>
      </c>
      <c r="AC117" t="s">
        <v>1151</v>
      </c>
      <c r="AD117" t="s">
        <v>859</v>
      </c>
      <c r="AE117">
        <v>9.86190128789686</v>
      </c>
      <c r="AF117">
        <v>13.9226903917687</v>
      </c>
      <c r="AG117">
        <v>160010</v>
      </c>
      <c r="AH117">
        <v>72.05</v>
      </c>
      <c r="AI117">
        <v>1596766805917.65</v>
      </c>
    </row>
    <row r="118" ht="28.8" spans="1:35">
      <c r="A118" s="58" t="s">
        <v>891</v>
      </c>
      <c r="B118" s="59" t="s">
        <v>24</v>
      </c>
      <c r="C118" s="60" t="str">
        <v>Bharti Airtel Ltd</v>
      </c>
      <c r="D118" s="68">
        <f>([1]Mediator!D118)/100</f>
        <v>0.0172789253824198</v>
      </c>
      <c r="E118" s="62">
        <f t="shared" si="2"/>
        <v>0.00719955224267492</v>
      </c>
      <c r="F118" s="60" t="str">
        <v>Communication Services</v>
      </c>
      <c r="G118" s="62">
        <f t="shared" si="3"/>
        <v>0.00719955224267492</v>
      </c>
      <c r="H118" s="60"/>
      <c r="J118" s="6"/>
      <c r="M118" s="58" t="s">
        <v>900</v>
      </c>
      <c r="N118" s="67" t="s">
        <v>44</v>
      </c>
      <c r="O118" s="60" t="str">
        <v>Britannia Industries Ltd</v>
      </c>
      <c r="P118" s="68">
        <v>0.0127730274325237</v>
      </c>
      <c r="Q118" s="62">
        <f>P118*VLOOKUP(N118,'Selector Sheet '!$B$13:$D$43,2,FALSE)</f>
        <v>0</v>
      </c>
      <c r="R118" s="60" t="str">
        <v>Consumer Staples</v>
      </c>
      <c r="S118" s="62">
        <f>P118*VLOOKUP(N118,'Selector Sheet '!$B$13:$D$43,2,FALSE)</f>
        <v>0</v>
      </c>
      <c r="T118" s="60"/>
      <c r="X118" s="60" t="str">
        <v>INE030A01027</v>
      </c>
      <c r="Z118" s="58" t="s">
        <v>891</v>
      </c>
      <c r="AB118" t="s">
        <v>970</v>
      </c>
      <c r="AC118" t="s">
        <v>1152</v>
      </c>
      <c r="AD118" t="s">
        <v>1016</v>
      </c>
      <c r="AE118">
        <v>55.9425337396604</v>
      </c>
      <c r="AF118" t="s">
        <v>860</v>
      </c>
      <c r="AG118">
        <v>106490</v>
      </c>
      <c r="AH118">
        <v>45.32</v>
      </c>
      <c r="AI118">
        <v>6038449543340</v>
      </c>
    </row>
    <row r="119" ht="28.8" spans="1:35">
      <c r="A119" s="63" t="s">
        <v>906</v>
      </c>
      <c r="B119" s="59" t="s">
        <v>24</v>
      </c>
      <c r="C119" s="60" t="str">
        <v>CG Power &amp; Industrial Solution</v>
      </c>
      <c r="D119" s="70">
        <f>([1]Mediator!D119)/100</f>
        <v>0.0383318673566526</v>
      </c>
      <c r="E119" s="62">
        <f t="shared" si="2"/>
        <v>0.0159716113986052</v>
      </c>
      <c r="F119" s="60" t="str">
        <v>Industrials</v>
      </c>
      <c r="G119" s="62">
        <f t="shared" si="3"/>
        <v>0.0159716113986052</v>
      </c>
      <c r="H119" s="60"/>
      <c r="J119" s="6"/>
      <c r="M119" s="63" t="s">
        <v>912</v>
      </c>
      <c r="N119" s="69" t="s">
        <v>44</v>
      </c>
      <c r="O119" s="60" t="str">
        <v>Cholamandalam Investment and F</v>
      </c>
      <c r="P119" s="70">
        <v>0.00410368186809214</v>
      </c>
      <c r="Q119" s="62">
        <f>P119*VLOOKUP(N119,'Selector Sheet '!$B$13:$D$43,2,FALSE)</f>
        <v>0</v>
      </c>
      <c r="R119" s="60" t="str">
        <v>Financials</v>
      </c>
      <c r="S119" s="62">
        <f>P119*VLOOKUP(N119,'Selector Sheet '!$B$13:$D$43,2,FALSE)</f>
        <v>0</v>
      </c>
      <c r="T119" s="60"/>
      <c r="X119" s="60" t="str">
        <v>INE765G01017</v>
      </c>
      <c r="Z119" s="63" t="s">
        <v>906</v>
      </c>
      <c r="AB119" t="s">
        <v>1153</v>
      </c>
      <c r="AC119" t="s">
        <v>1154</v>
      </c>
      <c r="AD119" t="s">
        <v>867</v>
      </c>
      <c r="AE119">
        <v>36.3686840644087</v>
      </c>
      <c r="AF119">
        <v>19.7116861929034</v>
      </c>
      <c r="AG119">
        <v>25082.9</v>
      </c>
      <c r="AH119">
        <v>50.74</v>
      </c>
      <c r="AI119">
        <v>976765949220</v>
      </c>
    </row>
    <row r="120" ht="28.8" spans="1:35">
      <c r="A120" s="58" t="s">
        <v>912</v>
      </c>
      <c r="B120" s="59" t="s">
        <v>24</v>
      </c>
      <c r="C120" s="60" t="str">
        <v>Cholamandalam Investment and F</v>
      </c>
      <c r="D120" s="68">
        <f>([1]Mediator!D120)/100</f>
        <v>0.00920114021866781</v>
      </c>
      <c r="E120" s="62">
        <f t="shared" si="2"/>
        <v>0.00383380842444492</v>
      </c>
      <c r="F120" s="60" t="str">
        <v>Financials</v>
      </c>
      <c r="G120" s="62">
        <f t="shared" si="3"/>
        <v>0.00383380842444492</v>
      </c>
      <c r="H120" s="60"/>
      <c r="J120" s="6"/>
      <c r="M120" s="58" t="s">
        <v>914</v>
      </c>
      <c r="N120" s="67" t="s">
        <v>44</v>
      </c>
      <c r="O120" s="60" t="str">
        <v>Cipla Ltd/India</v>
      </c>
      <c r="P120" s="68">
        <v>0.0011829469855251</v>
      </c>
      <c r="Q120" s="62">
        <f>P120*VLOOKUP(N120,'Selector Sheet '!$B$13:$D$43,2,FALSE)</f>
        <v>0</v>
      </c>
      <c r="R120" s="60" t="str">
        <v>Health Care</v>
      </c>
      <c r="S120" s="62">
        <f>P120*VLOOKUP(N120,'Selector Sheet '!$B$13:$D$43,2,FALSE)</f>
        <v>0</v>
      </c>
      <c r="T120" s="60"/>
      <c r="X120" s="60" t="str">
        <v>INE663F01032</v>
      </c>
      <c r="Z120" s="58" t="s">
        <v>912</v>
      </c>
      <c r="AB120" t="s">
        <v>1155</v>
      </c>
      <c r="AC120" t="s">
        <v>1156</v>
      </c>
      <c r="AD120" t="s">
        <v>893</v>
      </c>
      <c r="AE120">
        <v>93.5913780126618</v>
      </c>
      <c r="AF120">
        <v>2.95291886165337</v>
      </c>
      <c r="AG120">
        <v>9621.4</v>
      </c>
      <c r="AH120">
        <v>14.849659</v>
      </c>
      <c r="AI120">
        <v>900480049880</v>
      </c>
    </row>
    <row r="121" ht="28.8" spans="1:35">
      <c r="A121" s="63" t="s">
        <v>914</v>
      </c>
      <c r="B121" s="59" t="s">
        <v>24</v>
      </c>
      <c r="C121" s="60" t="str">
        <v>Cipla Ltd/India</v>
      </c>
      <c r="D121" s="70">
        <f>([1]Mediator!D121)/100</f>
        <v>0.0113649889661517</v>
      </c>
      <c r="E121" s="62">
        <f t="shared" si="2"/>
        <v>0.00473541206922987</v>
      </c>
      <c r="F121" s="60" t="str">
        <v>Health Care</v>
      </c>
      <c r="G121" s="62">
        <f t="shared" si="3"/>
        <v>0.00473541206922987</v>
      </c>
      <c r="H121" s="60"/>
      <c r="J121" s="6"/>
      <c r="M121" s="63" t="s">
        <v>1157</v>
      </c>
      <c r="N121" s="69" t="s">
        <v>44</v>
      </c>
      <c r="O121" s="60" t="str">
        <v>CMS Info Systems Ltd</v>
      </c>
      <c r="P121" s="70">
        <v>0.000991182395793622</v>
      </c>
      <c r="Q121" s="62">
        <f>P121*VLOOKUP(N121,'Selector Sheet '!$B$13:$D$43,2,FALSE)</f>
        <v>0</v>
      </c>
      <c r="R121" s="60" t="str">
        <v>Industrials</v>
      </c>
      <c r="S121" s="62">
        <f>P121*VLOOKUP(N121,'Selector Sheet '!$B$13:$D$43,2,FALSE)</f>
        <v>0</v>
      </c>
      <c r="T121" s="60"/>
      <c r="X121" s="60" t="str">
        <v>INE009A01021</v>
      </c>
      <c r="Z121" s="63" t="s">
        <v>914</v>
      </c>
      <c r="AB121" t="s">
        <v>991</v>
      </c>
      <c r="AC121" t="s">
        <v>1158</v>
      </c>
      <c r="AD121" t="s">
        <v>920</v>
      </c>
      <c r="AE121">
        <v>21.9902768826202</v>
      </c>
      <c r="AF121">
        <v>30.6319969891531</v>
      </c>
      <c r="AG121">
        <v>267130</v>
      </c>
      <c r="AH121">
        <v>64.5</v>
      </c>
      <c r="AI121">
        <v>6012894201767.2</v>
      </c>
    </row>
    <row r="122" ht="28.8" spans="1:35">
      <c r="A122" s="58" t="s">
        <v>1148</v>
      </c>
      <c r="B122" s="59" t="s">
        <v>24</v>
      </c>
      <c r="C122" s="60" t="str">
        <v>Divi's Laboratories Ltd</v>
      </c>
      <c r="D122" s="68">
        <f>([1]Mediator!D122)/100</f>
        <v>0.00260680809797908</v>
      </c>
      <c r="E122" s="62">
        <f t="shared" si="2"/>
        <v>0.00108617004082462</v>
      </c>
      <c r="F122" s="60" t="str">
        <v>Health Care</v>
      </c>
      <c r="G122" s="62">
        <f t="shared" si="3"/>
        <v>0.00108617004082462</v>
      </c>
      <c r="H122" s="60"/>
      <c r="J122" s="6"/>
      <c r="M122" s="58" t="s">
        <v>916</v>
      </c>
      <c r="N122" s="67" t="s">
        <v>44</v>
      </c>
      <c r="O122" s="60" t="str">
        <v>Coal India Ltd</v>
      </c>
      <c r="P122" s="68">
        <v>0.000118662594464676</v>
      </c>
      <c r="Q122" s="62">
        <f>P122*VLOOKUP(N122,'Selector Sheet '!$B$13:$D$43,2,FALSE)</f>
        <v>0</v>
      </c>
      <c r="R122" s="60" t="str">
        <v>Energy</v>
      </c>
      <c r="S122" s="62">
        <f>P122*VLOOKUP(N122,'Selector Sheet '!$B$13:$D$43,2,FALSE)</f>
        <v>0</v>
      </c>
      <c r="T122" s="60"/>
      <c r="X122" s="60" t="str">
        <v>INE646L01027</v>
      </c>
      <c r="Z122" s="58" t="s">
        <v>1148</v>
      </c>
      <c r="AB122" t="s">
        <v>994</v>
      </c>
      <c r="AC122" t="s">
        <v>1159</v>
      </c>
      <c r="AD122" t="s">
        <v>849</v>
      </c>
      <c r="AE122">
        <v>32.6818491052187</v>
      </c>
      <c r="AF122">
        <v>127.736648225829</v>
      </c>
      <c r="AG122">
        <v>72584</v>
      </c>
      <c r="AH122">
        <v>187.93</v>
      </c>
      <c r="AI122">
        <v>2374120956608.4</v>
      </c>
    </row>
    <row r="123" ht="28.8" spans="1:35">
      <c r="A123" s="63" t="s">
        <v>937</v>
      </c>
      <c r="B123" s="59" t="s">
        <v>24</v>
      </c>
      <c r="C123" s="60" t="str">
        <v>Eternal Ltd</v>
      </c>
      <c r="D123" s="70">
        <f>([1]Mediator!D123)/100</f>
        <v>0.0101168085562612</v>
      </c>
      <c r="E123" s="62">
        <f t="shared" si="2"/>
        <v>0.00421533689844217</v>
      </c>
      <c r="F123" s="60" t="str">
        <v>Consumer Discretionary</v>
      </c>
      <c r="G123" s="62">
        <f t="shared" si="3"/>
        <v>0.00421533689844217</v>
      </c>
      <c r="H123" s="60"/>
      <c r="J123" s="6"/>
      <c r="M123" s="63" t="s">
        <v>1160</v>
      </c>
      <c r="N123" s="69" t="s">
        <v>44</v>
      </c>
      <c r="O123" s="60" t="str">
        <v>Colgate-Palmolive India Ltd</v>
      </c>
      <c r="P123" s="70">
        <v>0.00137334004698152</v>
      </c>
      <c r="Q123" s="62">
        <f>P123*VLOOKUP(N123,'Selector Sheet '!$B$13:$D$43,2,FALSE)</f>
        <v>0</v>
      </c>
      <c r="R123" s="60" t="str">
        <v>Consumer Staples</v>
      </c>
      <c r="S123" s="62">
        <f>P123*VLOOKUP(N123,'Selector Sheet '!$B$13:$D$43,2,FALSE)</f>
        <v>0</v>
      </c>
      <c r="T123" s="60"/>
      <c r="X123" s="60" t="str">
        <v>INE154A01025</v>
      </c>
      <c r="Z123" s="63" t="s">
        <v>937</v>
      </c>
      <c r="AB123" t="s">
        <v>997</v>
      </c>
      <c r="AC123" t="s">
        <v>1161</v>
      </c>
      <c r="AD123" t="s">
        <v>1016</v>
      </c>
      <c r="AE123">
        <v>25.9632453870109</v>
      </c>
      <c r="AF123">
        <v>48.0798937019954</v>
      </c>
      <c r="AG123">
        <v>347466.3</v>
      </c>
      <c r="AH123">
        <v>27.79</v>
      </c>
      <c r="AI123">
        <v>5131645355382.7</v>
      </c>
    </row>
    <row r="124" ht="28.8" spans="1:35">
      <c r="A124" s="58" t="s">
        <v>955</v>
      </c>
      <c r="B124" s="59" t="s">
        <v>24</v>
      </c>
      <c r="C124" s="60" t="str">
        <v>HCL Technologies Ltd</v>
      </c>
      <c r="D124" s="68">
        <f>([1]Mediator!D124)/100</f>
        <v>0.0271837807297335</v>
      </c>
      <c r="E124" s="62">
        <f t="shared" si="2"/>
        <v>0.0113265753040556</v>
      </c>
      <c r="F124" s="60" t="str">
        <v>Information Technology</v>
      </c>
      <c r="G124" s="62">
        <f t="shared" si="3"/>
        <v>0.0113265753040556</v>
      </c>
      <c r="H124" s="60"/>
      <c r="J124" s="6"/>
      <c r="M124" s="58" t="s">
        <v>933</v>
      </c>
      <c r="N124" s="67" t="s">
        <v>44</v>
      </c>
      <c r="O124" s="60" t="str">
        <v>Cummins India Ltd</v>
      </c>
      <c r="P124" s="68">
        <v>0.00637187561510394</v>
      </c>
      <c r="Q124" s="62">
        <f>P124*VLOOKUP(N124,'Selector Sheet '!$B$13:$D$43,2,FALSE)</f>
        <v>0</v>
      </c>
      <c r="R124" s="60" t="str">
        <v>Industrials</v>
      </c>
      <c r="S124" s="62">
        <f>P124*VLOOKUP(N124,'Selector Sheet '!$B$13:$D$43,2,FALSE)</f>
        <v>0</v>
      </c>
      <c r="T124" s="60"/>
      <c r="X124" s="60" t="str">
        <v>INE237A01028</v>
      </c>
      <c r="Z124" s="58" t="s">
        <v>955</v>
      </c>
      <c r="AB124" t="s">
        <v>1008</v>
      </c>
      <c r="AC124" t="s">
        <v>1162</v>
      </c>
      <c r="AD124" t="s">
        <v>867</v>
      </c>
      <c r="AE124">
        <v>20.8737407910491</v>
      </c>
      <c r="AF124" t="s">
        <v>860</v>
      </c>
      <c r="AG124">
        <v>221259.89</v>
      </c>
      <c r="AH124">
        <v>111.29</v>
      </c>
      <c r="AI124">
        <v>3997359701806.55</v>
      </c>
    </row>
    <row r="125" ht="28.8" spans="1:35">
      <c r="A125" s="63" t="s">
        <v>960</v>
      </c>
      <c r="B125" s="59" t="s">
        <v>24</v>
      </c>
      <c r="C125" s="60" t="str">
        <v>HDFC Bank Ltd</v>
      </c>
      <c r="D125" s="70">
        <f>([1]Mediator!D125)/100</f>
        <v>0.00953215292390808</v>
      </c>
      <c r="E125" s="62">
        <f t="shared" si="2"/>
        <v>0.0039717303849617</v>
      </c>
      <c r="F125" s="60" t="str">
        <v>Financials</v>
      </c>
      <c r="G125" s="62">
        <f t="shared" si="3"/>
        <v>0.0039717303849617</v>
      </c>
      <c r="H125" s="60"/>
      <c r="J125" s="6"/>
      <c r="M125" s="63" t="s">
        <v>931</v>
      </c>
      <c r="N125" s="69" t="s">
        <v>44</v>
      </c>
      <c r="O125" s="60" t="str">
        <v>Dr Reddy's Laboratories Ltd</v>
      </c>
      <c r="P125" s="70">
        <v>0.00955502957429962</v>
      </c>
      <c r="Q125" s="62">
        <f>P125*VLOOKUP(N125,'Selector Sheet '!$B$13:$D$43,2,FALSE)</f>
        <v>0</v>
      </c>
      <c r="R125" s="60" t="str">
        <v>Health Care</v>
      </c>
      <c r="S125" s="62">
        <f>P125*VLOOKUP(N125,'Selector Sheet '!$B$13:$D$43,2,FALSE)</f>
        <v>0</v>
      </c>
      <c r="T125" s="60"/>
      <c r="X125" s="60" t="str">
        <v>INE018A01030</v>
      </c>
      <c r="Z125" s="63" t="s">
        <v>960</v>
      </c>
      <c r="AB125" t="s">
        <v>1011</v>
      </c>
      <c r="AC125" t="s">
        <v>1163</v>
      </c>
      <c r="AD125" t="s">
        <v>849</v>
      </c>
      <c r="AE125">
        <v>33.3956647983152</v>
      </c>
      <c r="AF125">
        <v>16.3433666545589</v>
      </c>
      <c r="AG125">
        <v>150371.1</v>
      </c>
      <c r="AH125">
        <v>109.36</v>
      </c>
      <c r="AI125">
        <v>5023575489760.85</v>
      </c>
    </row>
    <row r="126" ht="28.8" spans="1:35">
      <c r="A126" s="58" t="s">
        <v>967</v>
      </c>
      <c r="B126" s="59" t="s">
        <v>24</v>
      </c>
      <c r="C126" s="60" t="str">
        <v>Hindalco Industries Ltd</v>
      </c>
      <c r="D126" s="68">
        <f>([1]Mediator!D126)/100</f>
        <v>0.0996527801120735</v>
      </c>
      <c r="E126" s="62">
        <f t="shared" si="2"/>
        <v>0.041521991713364</v>
      </c>
      <c r="F126" s="60" t="str">
        <v>Materials</v>
      </c>
      <c r="G126" s="62">
        <f t="shared" si="3"/>
        <v>0.041521991713364</v>
      </c>
      <c r="H126" s="60"/>
      <c r="J126" s="6"/>
      <c r="M126" s="58" t="s">
        <v>1164</v>
      </c>
      <c r="N126" s="67" t="s">
        <v>44</v>
      </c>
      <c r="O126" s="60" t="str">
        <v>Eicher Motors Ltd</v>
      </c>
      <c r="P126" s="68">
        <v>0.00563771084507791</v>
      </c>
      <c r="Q126" s="62">
        <f>P126*VLOOKUP(N126,'Selector Sheet '!$B$13:$D$43,2,FALSE)</f>
        <v>0</v>
      </c>
      <c r="R126" s="60" t="str">
        <v>Consumer Discretionary</v>
      </c>
      <c r="S126" s="62">
        <f>P126*VLOOKUP(N126,'Selector Sheet '!$B$13:$D$43,2,FALSE)</f>
        <v>0</v>
      </c>
      <c r="T126" s="60"/>
      <c r="X126" s="60" t="str">
        <v>INE585B01010</v>
      </c>
      <c r="Z126" s="58" t="s">
        <v>967</v>
      </c>
      <c r="AB126" t="s">
        <v>1026</v>
      </c>
      <c r="AC126" t="s">
        <v>1165</v>
      </c>
      <c r="AD126" t="s">
        <v>874</v>
      </c>
      <c r="AE126">
        <v>30.0975715524718</v>
      </c>
      <c r="AF126">
        <v>15.9451582095264</v>
      </c>
      <c r="AG126">
        <v>145002</v>
      </c>
      <c r="AH126">
        <v>461.2</v>
      </c>
      <c r="AI126">
        <v>4364222129694</v>
      </c>
    </row>
    <row r="127" ht="28.8" spans="1:35">
      <c r="A127" s="63" t="s">
        <v>970</v>
      </c>
      <c r="B127" s="59" t="s">
        <v>24</v>
      </c>
      <c r="C127" s="60" t="str">
        <v>Hindustan Unilever Ltd</v>
      </c>
      <c r="D127" s="70">
        <f>([1]Mediator!D127)/100</f>
        <v>0.00572853907019288</v>
      </c>
      <c r="E127" s="62">
        <f t="shared" si="2"/>
        <v>0.00238689127924703</v>
      </c>
      <c r="F127" s="60" t="str">
        <v>Consumer Staples</v>
      </c>
      <c r="G127" s="62">
        <f t="shared" si="3"/>
        <v>0.00238689127924703</v>
      </c>
      <c r="H127" s="60"/>
      <c r="J127" s="6"/>
      <c r="M127" s="63" t="s">
        <v>937</v>
      </c>
      <c r="N127" s="69" t="s">
        <v>44</v>
      </c>
      <c r="O127" s="60" t="str">
        <v>Eternal Ltd</v>
      </c>
      <c r="P127" s="70">
        <v>0.0147684486807093</v>
      </c>
      <c r="Q127" s="62">
        <f>P127*VLOOKUP(N127,'Selector Sheet '!$B$13:$D$43,2,FALSE)</f>
        <v>0</v>
      </c>
      <c r="R127" s="60" t="str">
        <v>Consumer Discretionary</v>
      </c>
      <c r="S127" s="62">
        <f>P127*VLOOKUP(N127,'Selector Sheet '!$B$13:$D$43,2,FALSE)</f>
        <v>0</v>
      </c>
      <c r="T127" s="60"/>
      <c r="X127" s="60" t="str">
        <v>INE0ONG01011</v>
      </c>
      <c r="Z127" s="63" t="s">
        <v>970</v>
      </c>
      <c r="AB127" t="s">
        <v>1166</v>
      </c>
      <c r="AC127" t="s">
        <v>1167</v>
      </c>
      <c r="AD127" t="s">
        <v>1030</v>
      </c>
      <c r="AE127">
        <v>180.229987201796</v>
      </c>
      <c r="AF127">
        <v>3.85433455782843</v>
      </c>
      <c r="AG127">
        <v>4754.8</v>
      </c>
      <c r="AH127">
        <v>0.564279</v>
      </c>
      <c r="AI127">
        <v>856957727337.3</v>
      </c>
    </row>
    <row r="128" ht="28.8" spans="1:35">
      <c r="A128" s="58" t="s">
        <v>972</v>
      </c>
      <c r="B128" s="59" t="s">
        <v>24</v>
      </c>
      <c r="C128" s="60" t="str">
        <v>ICICI Bank Ltd</v>
      </c>
      <c r="D128" s="68">
        <f>([1]Mediator!D128)/100</f>
        <v>0.00957036849889301</v>
      </c>
      <c r="E128" s="62">
        <f t="shared" si="2"/>
        <v>0.00398765354120542</v>
      </c>
      <c r="F128" s="60" t="str">
        <v>Financials</v>
      </c>
      <c r="G128" s="62">
        <f t="shared" si="3"/>
        <v>0.00398765354120542</v>
      </c>
      <c r="H128" s="60"/>
      <c r="J128" s="6"/>
      <c r="M128" s="58" t="s">
        <v>1168</v>
      </c>
      <c r="N128" s="67" t="s">
        <v>44</v>
      </c>
      <c r="O128" s="60" t="str">
        <v>FSN E-Commerce Ventures Ltd</v>
      </c>
      <c r="P128" s="68">
        <v>0.00227021332624511</v>
      </c>
      <c r="Q128" s="62">
        <f>P128*VLOOKUP(N128,'Selector Sheet '!$B$13:$D$43,2,FALSE)</f>
        <v>0</v>
      </c>
      <c r="R128" s="60" t="str">
        <v>Consumer Discretionary</v>
      </c>
      <c r="S128" s="62">
        <f>P128*VLOOKUP(N128,'Selector Sheet '!$B$13:$D$43,2,FALSE)</f>
        <v>0</v>
      </c>
      <c r="T128" s="60"/>
      <c r="X128" s="60" t="str">
        <v>INE761H01022</v>
      </c>
      <c r="Z128" s="58" t="s">
        <v>972</v>
      </c>
      <c r="AB128" t="s">
        <v>1044</v>
      </c>
      <c r="AC128" t="s">
        <v>1169</v>
      </c>
      <c r="AD128" t="s">
        <v>874</v>
      </c>
      <c r="AE128">
        <v>68.1571338972939</v>
      </c>
      <c r="AF128">
        <v>48.5427365847748</v>
      </c>
      <c r="AG128">
        <v>7291.42</v>
      </c>
      <c r="AH128">
        <v>653.71</v>
      </c>
      <c r="AI128">
        <v>496960856070</v>
      </c>
    </row>
    <row r="129" ht="28.8" spans="1:35">
      <c r="A129" s="63" t="s">
        <v>1153</v>
      </c>
      <c r="B129" s="59" t="s">
        <v>24</v>
      </c>
      <c r="C129" s="60" t="str">
        <v>ICICI Lombard General Insuranc</v>
      </c>
      <c r="D129" s="70">
        <f>([1]Mediator!D129)/100</f>
        <v>0.0867752162500231</v>
      </c>
      <c r="E129" s="62">
        <f t="shared" si="2"/>
        <v>0.0361563401041763</v>
      </c>
      <c r="F129" s="60" t="str">
        <v>Financials</v>
      </c>
      <c r="G129" s="62">
        <f t="shared" si="3"/>
        <v>0.0361563401041763</v>
      </c>
      <c r="H129" s="60"/>
      <c r="J129" s="6"/>
      <c r="M129" s="63" t="s">
        <v>1170</v>
      </c>
      <c r="N129" s="69" t="s">
        <v>44</v>
      </c>
      <c r="O129" s="60" t="str">
        <v>Grasim Industries Ltd</v>
      </c>
      <c r="P129" s="70">
        <v>0.0025628891478509</v>
      </c>
      <c r="Q129" s="62">
        <f>P129*VLOOKUP(N129,'Selector Sheet '!$B$13:$D$43,2,FALSE)</f>
        <v>0</v>
      </c>
      <c r="R129" s="60" t="str">
        <v>Materials</v>
      </c>
      <c r="S129" s="62">
        <f>P129*VLOOKUP(N129,'Selector Sheet '!$B$13:$D$43,2,FALSE)</f>
        <v>0</v>
      </c>
      <c r="T129" s="60"/>
      <c r="X129" s="60" t="str">
        <v>INE134E01011</v>
      </c>
      <c r="Z129" s="63" t="s">
        <v>1153</v>
      </c>
      <c r="AB129" t="s">
        <v>1056</v>
      </c>
      <c r="AC129" t="s">
        <v>1171</v>
      </c>
      <c r="AD129" t="s">
        <v>867</v>
      </c>
      <c r="AE129">
        <v>5.96239405621479</v>
      </c>
      <c r="AF129">
        <v>21.0071931796917</v>
      </c>
      <c r="AG129">
        <v>229908.1</v>
      </c>
      <c r="AH129">
        <v>69.67</v>
      </c>
      <c r="AI129">
        <v>1370862271104</v>
      </c>
    </row>
    <row r="130" ht="28.8" spans="1:35">
      <c r="A130" s="58" t="s">
        <v>1155</v>
      </c>
      <c r="B130" s="59" t="s">
        <v>24</v>
      </c>
      <c r="C130" s="60" t="str">
        <v>Info Edge India Ltd</v>
      </c>
      <c r="D130" s="68">
        <f>([1]Mediator!D130)/100</f>
        <v>0.00265681137982539</v>
      </c>
      <c r="E130" s="62">
        <f t="shared" ref="E130:E191" si="4">_xlfn.IFNA(D130*VLOOKUP($B130,$AK$1:$AM$34,3,FALSE),0)</f>
        <v>0.00110700474159391</v>
      </c>
      <c r="F130" s="60" t="str">
        <v>Communication Services</v>
      </c>
      <c r="G130" s="62">
        <f t="shared" ref="G130:G191" si="5">_xlfn.IFNA(D130*VLOOKUP($B130,$AK$1:$AM$34,3,FALSE),0)</f>
        <v>0.00110700474159391</v>
      </c>
      <c r="H130" s="60"/>
      <c r="J130" s="6"/>
      <c r="M130" s="58" t="s">
        <v>1172</v>
      </c>
      <c r="N130" s="67" t="s">
        <v>44</v>
      </c>
      <c r="O130" s="60" t="str">
        <v>Havells India Ltd</v>
      </c>
      <c r="P130" s="68">
        <v>0.00106601611868046</v>
      </c>
      <c r="Q130" s="62">
        <f>P130*VLOOKUP(N130,'Selector Sheet '!$B$13:$D$43,2,FALSE)</f>
        <v>0</v>
      </c>
      <c r="R130" s="60" t="str">
        <v>Industrials</v>
      </c>
      <c r="S130" s="62">
        <f>P130*VLOOKUP(N130,'Selector Sheet '!$B$13:$D$43,2,FALSE)</f>
        <v>0</v>
      </c>
      <c r="T130" s="60"/>
      <c r="X130" s="60" t="str">
        <v>INE002A01018</v>
      </c>
      <c r="Z130" s="58" t="s">
        <v>1155</v>
      </c>
      <c r="AB130" t="s">
        <v>1070</v>
      </c>
      <c r="AC130" t="s">
        <v>1173</v>
      </c>
      <c r="AD130" t="s">
        <v>1037</v>
      </c>
      <c r="AE130">
        <v>23.0732185152229</v>
      </c>
      <c r="AF130" t="s">
        <v>860</v>
      </c>
      <c r="AG130">
        <v>696480</v>
      </c>
      <c r="AH130">
        <v>51.47</v>
      </c>
      <c r="AI130">
        <v>18806639047385.8</v>
      </c>
    </row>
    <row r="131" ht="28.8" spans="1:35">
      <c r="A131" s="63" t="s">
        <v>991</v>
      </c>
      <c r="B131" s="59" t="s">
        <v>24</v>
      </c>
      <c r="C131" s="60" t="str">
        <v>Infosys Ltd</v>
      </c>
      <c r="D131" s="70">
        <f>([1]Mediator!D131)/100</f>
        <v>0.00119486145455268</v>
      </c>
      <c r="E131" s="62">
        <f t="shared" si="4"/>
        <v>0.00049785893939695</v>
      </c>
      <c r="F131" s="60" t="str">
        <v>Information Technology</v>
      </c>
      <c r="G131" s="62">
        <f t="shared" si="5"/>
        <v>0.00049785893939695</v>
      </c>
      <c r="H131" s="60"/>
      <c r="J131" s="6"/>
      <c r="M131" s="63" t="s">
        <v>955</v>
      </c>
      <c r="N131" s="69" t="s">
        <v>44</v>
      </c>
      <c r="O131" s="60" t="str">
        <v>HCL Technologies Ltd</v>
      </c>
      <c r="P131" s="70">
        <v>0.00916070365036832</v>
      </c>
      <c r="Q131" s="62">
        <f>P131*VLOOKUP(N131,'Selector Sheet '!$B$13:$D$43,2,FALSE)</f>
        <v>0</v>
      </c>
      <c r="R131" s="60" t="str">
        <v>Information Technology</v>
      </c>
      <c r="S131" s="62">
        <f>P131*VLOOKUP(N131,'Selector Sheet '!$B$13:$D$43,2,FALSE)</f>
        <v>0</v>
      </c>
      <c r="T131" s="60"/>
      <c r="X131" s="60" t="str">
        <v>INE123W01016</v>
      </c>
      <c r="Z131" s="63" t="s">
        <v>991</v>
      </c>
      <c r="AB131" t="s">
        <v>1174</v>
      </c>
      <c r="AC131" t="s">
        <v>1175</v>
      </c>
      <c r="AD131" t="s">
        <v>867</v>
      </c>
      <c r="AE131">
        <v>76.396938452974</v>
      </c>
      <c r="AF131">
        <v>14.8945296072865</v>
      </c>
      <c r="AG131">
        <v>24133</v>
      </c>
      <c r="AH131">
        <v>24.09</v>
      </c>
      <c r="AI131">
        <v>1902162099964</v>
      </c>
    </row>
    <row r="132" ht="28.8" spans="1:35">
      <c r="A132" s="58" t="s">
        <v>994</v>
      </c>
      <c r="B132" s="59" t="s">
        <v>24</v>
      </c>
      <c r="C132" s="60" t="str">
        <v>InterGlobe Aviation Ltd</v>
      </c>
      <c r="D132" s="68">
        <f>([1]Mediator!D132)/100</f>
        <v>0.0423918303121686</v>
      </c>
      <c r="E132" s="62">
        <f t="shared" si="4"/>
        <v>0.0176632626300702</v>
      </c>
      <c r="F132" s="60" t="str">
        <v>Industrials</v>
      </c>
      <c r="G132" s="62">
        <f t="shared" si="5"/>
        <v>0.0176632626300702</v>
      </c>
      <c r="H132" s="60"/>
      <c r="J132" s="6"/>
      <c r="M132" s="58" t="s">
        <v>962</v>
      </c>
      <c r="N132" s="67" t="s">
        <v>44</v>
      </c>
      <c r="O132" s="60" t="str">
        <v>HDFC Asset Management Co Ltd</v>
      </c>
      <c r="P132" s="68">
        <v>0.00720205044301123</v>
      </c>
      <c r="Q132" s="62">
        <f>P132*VLOOKUP(N132,'Selector Sheet '!$B$13:$D$43,2,FALSE)</f>
        <v>0</v>
      </c>
      <c r="R132" s="60" t="str">
        <v>Financials</v>
      </c>
      <c r="S132" s="62">
        <f>P132*VLOOKUP(N132,'Selector Sheet '!$B$13:$D$43,2,FALSE)</f>
        <v>0</v>
      </c>
      <c r="T132" s="60"/>
      <c r="X132" s="60" t="str">
        <v>INE081A01020</v>
      </c>
      <c r="Z132" s="58" t="s">
        <v>994</v>
      </c>
      <c r="AB132" t="s">
        <v>1092</v>
      </c>
      <c r="AC132" t="s">
        <v>1176</v>
      </c>
      <c r="AD132" t="s">
        <v>859</v>
      </c>
      <c r="AE132">
        <v>57.4452532468921</v>
      </c>
      <c r="AF132">
        <v>3.73407136111006</v>
      </c>
      <c r="AG132">
        <v>34205.1</v>
      </c>
      <c r="AH132">
        <v>2.74</v>
      </c>
      <c r="AI132">
        <v>1964995596143.99</v>
      </c>
    </row>
    <row r="133" ht="28.8" spans="1:35">
      <c r="A133" s="63" t="s">
        <v>977</v>
      </c>
      <c r="B133" s="59" t="s">
        <v>24</v>
      </c>
      <c r="C133" s="60" t="str">
        <v>ITC Hotels Ltd</v>
      </c>
      <c r="D133" s="70">
        <f>([1]Mediator!D133)/100</f>
        <v>0.0158909868968667</v>
      </c>
      <c r="E133" s="62">
        <f t="shared" si="4"/>
        <v>0.00662124454036112</v>
      </c>
      <c r="F133" s="60" t="str">
        <v>Consumer Discretionary</v>
      </c>
      <c r="G133" s="62">
        <f t="shared" si="5"/>
        <v>0.00662124454036112</v>
      </c>
      <c r="H133" s="60"/>
      <c r="J133" s="6"/>
      <c r="M133" s="63" t="s">
        <v>960</v>
      </c>
      <c r="N133" s="69" t="s">
        <v>44</v>
      </c>
      <c r="O133" s="60" t="str">
        <v>HDFC Bank Ltd</v>
      </c>
      <c r="P133" s="70">
        <v>0.0428168915181608</v>
      </c>
      <c r="Q133" s="62">
        <f>P133*VLOOKUP(N133,'Selector Sheet '!$B$13:$D$43,2,FALSE)</f>
        <v>0</v>
      </c>
      <c r="R133" s="60" t="str">
        <v>Financials</v>
      </c>
      <c r="S133" s="62">
        <f>P133*VLOOKUP(N133,'Selector Sheet '!$B$13:$D$43,2,FALSE)</f>
        <v>0</v>
      </c>
      <c r="T133" s="60"/>
      <c r="X133" s="60" t="str">
        <v>INE685A01028</v>
      </c>
      <c r="Z133" s="63" t="s">
        <v>977</v>
      </c>
      <c r="AB133" t="s">
        <v>1177</v>
      </c>
      <c r="AC133" t="s">
        <v>1178</v>
      </c>
      <c r="AD133" t="s">
        <v>855</v>
      </c>
      <c r="AE133">
        <v>63.9472303463122</v>
      </c>
      <c r="AF133">
        <v>26.4590734029033</v>
      </c>
      <c r="AG133">
        <v>19112.5</v>
      </c>
      <c r="AH133">
        <v>56.47</v>
      </c>
      <c r="AI133">
        <v>1222105439664</v>
      </c>
    </row>
    <row r="134" ht="28.8" spans="1:35">
      <c r="A134" s="58" t="s">
        <v>997</v>
      </c>
      <c r="B134" s="59" t="s">
        <v>24</v>
      </c>
      <c r="C134" s="60" t="str">
        <v>ITC Ltd</v>
      </c>
      <c r="D134" s="68">
        <f>([1]Mediator!D134)/100</f>
        <v>0.000421376997860129</v>
      </c>
      <c r="E134" s="62">
        <f t="shared" si="4"/>
        <v>0.000175573749108387</v>
      </c>
      <c r="F134" s="60" t="str">
        <v>Consumer Staples</v>
      </c>
      <c r="G134" s="62">
        <f t="shared" si="5"/>
        <v>0.000175573749108387</v>
      </c>
      <c r="H134" s="60"/>
      <c r="J134" s="6"/>
      <c r="M134" s="58" t="s">
        <v>963</v>
      </c>
      <c r="N134" s="67" t="s">
        <v>44</v>
      </c>
      <c r="O134" s="60" t="str">
        <v>HDFC Life Insurance Co Ltd</v>
      </c>
      <c r="P134" s="68">
        <v>0.00571820154485684</v>
      </c>
      <c r="Q134" s="62">
        <f>P134*VLOOKUP(N134,'Selector Sheet '!$B$13:$D$43,2,FALSE)</f>
        <v>0</v>
      </c>
      <c r="R134" s="60" t="str">
        <v>Financials</v>
      </c>
      <c r="S134" s="62">
        <f>P134*VLOOKUP(N134,'Selector Sheet '!$B$13:$D$43,2,FALSE)</f>
        <v>0</v>
      </c>
      <c r="T134" s="60"/>
      <c r="X134" s="60" t="str">
        <v>INE481G01011</v>
      </c>
      <c r="Z134" s="58" t="s">
        <v>997</v>
      </c>
      <c r="AB134" t="s">
        <v>1107</v>
      </c>
      <c r="AC134" t="s">
        <v>1179</v>
      </c>
      <c r="AD134" t="s">
        <v>859</v>
      </c>
      <c r="AE134">
        <v>62.7374573794447</v>
      </c>
      <c r="AF134">
        <v>9.22464519405732</v>
      </c>
      <c r="AG134">
        <v>60391.1</v>
      </c>
      <c r="AH134">
        <v>205.3</v>
      </c>
      <c r="AI134">
        <v>3795467722480</v>
      </c>
    </row>
    <row r="135" ht="28.8" spans="1:35">
      <c r="A135" s="63" t="s">
        <v>1008</v>
      </c>
      <c r="B135" s="59" t="s">
        <v>24</v>
      </c>
      <c r="C135" s="60" t="str">
        <v>Kotak Mahindra Bank Ltd</v>
      </c>
      <c r="D135" s="70">
        <f>([1]Mediator!D135)/100</f>
        <v>0.0230996389566792</v>
      </c>
      <c r="E135" s="62">
        <f t="shared" si="4"/>
        <v>0.009624849565283</v>
      </c>
      <c r="F135" s="60" t="str">
        <v>Financials</v>
      </c>
      <c r="G135" s="62">
        <f t="shared" si="5"/>
        <v>0.009624849565283</v>
      </c>
      <c r="H135" s="60"/>
      <c r="J135" s="6"/>
      <c r="M135" s="63" t="s">
        <v>967</v>
      </c>
      <c r="N135" s="69" t="s">
        <v>44</v>
      </c>
      <c r="O135" s="60" t="str">
        <v>Hindalco Industries Ltd</v>
      </c>
      <c r="P135" s="70">
        <v>0.00595476323431994</v>
      </c>
      <c r="Q135" s="62">
        <f>P135*VLOOKUP(N135,'Selector Sheet '!$B$13:$D$43,2,FALSE)</f>
        <v>0</v>
      </c>
      <c r="R135" s="60" t="str">
        <v>Materials</v>
      </c>
      <c r="S135" s="62">
        <f>P135*VLOOKUP(N135,'Selector Sheet '!$B$13:$D$43,2,FALSE)</f>
        <v>0</v>
      </c>
      <c r="T135" s="60"/>
      <c r="X135" s="60" t="str">
        <v>INE854D01024</v>
      </c>
      <c r="Z135" s="63" t="s">
        <v>1008</v>
      </c>
      <c r="AB135" t="s">
        <v>1112</v>
      </c>
      <c r="AC135" t="s">
        <v>1180</v>
      </c>
      <c r="AD135" t="s">
        <v>1016</v>
      </c>
      <c r="AE135">
        <v>59.174148313019</v>
      </c>
      <c r="AF135">
        <v>20.7816091954023</v>
      </c>
      <c r="AG135">
        <v>15820</v>
      </c>
      <c r="AH135">
        <v>22.28</v>
      </c>
      <c r="AI135">
        <v>958939364595.2</v>
      </c>
    </row>
    <row r="136" ht="28.8" spans="1:35">
      <c r="A136" s="58" t="s">
        <v>1011</v>
      </c>
      <c r="B136" s="59" t="s">
        <v>24</v>
      </c>
      <c r="C136" s="60" t="str">
        <v>Larsen &amp; Toubro Ltd</v>
      </c>
      <c r="D136" s="68">
        <f>([1]Mediator!D136)/100</f>
        <v>0.0194007918523126</v>
      </c>
      <c r="E136" s="62">
        <f t="shared" si="4"/>
        <v>0.00808366327179692</v>
      </c>
      <c r="F136" s="60" t="str">
        <v>Industrials</v>
      </c>
      <c r="G136" s="62">
        <f t="shared" si="5"/>
        <v>0.00808366327179692</v>
      </c>
      <c r="H136" s="60"/>
      <c r="J136" s="6"/>
      <c r="M136" s="58" t="s">
        <v>1181</v>
      </c>
      <c r="N136" s="67" t="s">
        <v>44</v>
      </c>
      <c r="O136" s="60" t="str">
        <v>Hindustan Petroleum Corp Ltd</v>
      </c>
      <c r="P136" s="68">
        <v>0.00135326432109671</v>
      </c>
      <c r="Q136" s="62">
        <f>P136*VLOOKUP(N136,'Selector Sheet '!$B$13:$D$43,2,FALSE)</f>
        <v>0</v>
      </c>
      <c r="R136" s="60" t="str">
        <v>Energy</v>
      </c>
      <c r="S136" s="62">
        <f>P136*VLOOKUP(N136,'Selector Sheet '!$B$13:$D$43,2,FALSE)</f>
        <v>0</v>
      </c>
      <c r="T136" s="60"/>
      <c r="X136" s="60" t="str">
        <v>INE012A01025</v>
      </c>
      <c r="Z136" s="58" t="s">
        <v>1011</v>
      </c>
      <c r="AB136" t="s">
        <v>1128</v>
      </c>
      <c r="AC136" t="s">
        <v>1182</v>
      </c>
      <c r="AD136" t="s">
        <v>859</v>
      </c>
      <c r="AE136">
        <v>14.289008564618</v>
      </c>
      <c r="AF136">
        <v>13.7724156080344</v>
      </c>
      <c r="AG136">
        <v>24021.2</v>
      </c>
      <c r="AH136">
        <v>127.92</v>
      </c>
      <c r="AI136">
        <v>343246948674.55</v>
      </c>
    </row>
    <row r="137" ht="28.8" spans="1:35">
      <c r="A137" s="63" t="s">
        <v>1002</v>
      </c>
      <c r="B137" s="59" t="s">
        <v>24</v>
      </c>
      <c r="C137" s="60" t="str">
        <v>Mahindra &amp; Mahindra Ltd</v>
      </c>
      <c r="D137" s="70">
        <f>([1]Mediator!D137)/100</f>
        <v>0.0378566594244597</v>
      </c>
      <c r="E137" s="62">
        <f t="shared" si="4"/>
        <v>0.0157736080935249</v>
      </c>
      <c r="F137" s="60" t="str">
        <v>Consumer Discretionary</v>
      </c>
      <c r="G137" s="62">
        <f t="shared" si="5"/>
        <v>0.0157736080935249</v>
      </c>
      <c r="H137" s="60"/>
      <c r="J137" s="6"/>
      <c r="M137" s="63" t="s">
        <v>970</v>
      </c>
      <c r="N137" s="69" t="s">
        <v>44</v>
      </c>
      <c r="O137" s="60" t="str">
        <v>Hindustan Unilever Ltd</v>
      </c>
      <c r="P137" s="70">
        <v>0.00909658662765094</v>
      </c>
      <c r="Q137" s="62">
        <f>P137*VLOOKUP(N137,'Selector Sheet '!$B$13:$D$43,2,FALSE)</f>
        <v>0</v>
      </c>
      <c r="R137" s="60" t="str">
        <v>Consumer Staples</v>
      </c>
      <c r="S137" s="62">
        <f>P137*VLOOKUP(N137,'Selector Sheet '!$B$13:$D$43,2,FALSE)</f>
        <v>0</v>
      </c>
      <c r="T137" s="60"/>
      <c r="X137" s="60" t="str">
        <v>INE212H01026</v>
      </c>
      <c r="Z137" s="63" t="s">
        <v>1002</v>
      </c>
      <c r="AB137" t="s">
        <v>1183</v>
      </c>
      <c r="AC137" t="s">
        <v>1184</v>
      </c>
      <c r="AD137" t="s">
        <v>849</v>
      </c>
      <c r="AE137">
        <v>27.3388524647984</v>
      </c>
      <c r="AF137">
        <v>15.6165812017768</v>
      </c>
      <c r="AG137">
        <v>10607.36</v>
      </c>
      <c r="AH137">
        <v>113.666073</v>
      </c>
      <c r="AI137">
        <v>289993049775</v>
      </c>
    </row>
    <row r="138" ht="28.8" spans="1:35">
      <c r="A138" s="58" t="s">
        <v>1005</v>
      </c>
      <c r="B138" s="59" t="s">
        <v>24</v>
      </c>
      <c r="C138" s="60" t="str">
        <v>Mankind Pharma Ltd</v>
      </c>
      <c r="D138" s="68">
        <f>([1]Mediator!D138)/100</f>
        <v>0.0326327487937089</v>
      </c>
      <c r="E138" s="62">
        <f t="shared" si="4"/>
        <v>0.0135969786640454</v>
      </c>
      <c r="F138" s="60" t="str">
        <v>Health Care</v>
      </c>
      <c r="G138" s="62">
        <f t="shared" si="5"/>
        <v>0.0135969786640454</v>
      </c>
      <c r="H138" s="60"/>
      <c r="J138" s="6"/>
      <c r="M138" s="58" t="s">
        <v>972</v>
      </c>
      <c r="N138" s="67" t="s">
        <v>44</v>
      </c>
      <c r="O138" s="60" t="str">
        <v>ICICI Bank Ltd</v>
      </c>
      <c r="P138" s="68">
        <v>0.0469859387921702</v>
      </c>
      <c r="Q138" s="62">
        <f>P138*VLOOKUP(N138,'Selector Sheet '!$B$13:$D$43,2,FALSE)</f>
        <v>0</v>
      </c>
      <c r="R138" s="60" t="str">
        <v>Financials</v>
      </c>
      <c r="S138" s="62">
        <f>P138*VLOOKUP(N138,'Selector Sheet '!$B$13:$D$43,2,FALSE)</f>
        <v>0</v>
      </c>
      <c r="T138" s="60"/>
      <c r="X138" s="60" t="str">
        <v>INE540L01014</v>
      </c>
      <c r="Z138" s="58" t="s">
        <v>1005</v>
      </c>
      <c r="AB138" t="s">
        <v>1185</v>
      </c>
      <c r="AC138" t="s">
        <v>1186</v>
      </c>
      <c r="AD138" t="s">
        <v>855</v>
      </c>
      <c r="AE138">
        <v>29.6090773563028</v>
      </c>
      <c r="AF138">
        <v>19.4240193605129</v>
      </c>
      <c r="AG138">
        <v>21654.8</v>
      </c>
      <c r="AH138">
        <v>181.11</v>
      </c>
      <c r="AI138">
        <v>641167312500</v>
      </c>
    </row>
    <row r="139" ht="28.8" spans="1:35">
      <c r="A139" s="63" t="s">
        <v>1026</v>
      </c>
      <c r="B139" s="59" t="s">
        <v>24</v>
      </c>
      <c r="C139" s="60" t="str">
        <v>Maruti Suzuki India Ltd</v>
      </c>
      <c r="D139" s="70">
        <f>([1]Mediator!D139)/100</f>
        <v>0.0143029255741438</v>
      </c>
      <c r="E139" s="62">
        <f t="shared" si="4"/>
        <v>0.00595955232255992</v>
      </c>
      <c r="F139" s="60" t="str">
        <v>Consumer Discretionary</v>
      </c>
      <c r="G139" s="62">
        <f t="shared" si="5"/>
        <v>0.00595955232255992</v>
      </c>
      <c r="H139" s="60"/>
      <c r="J139" s="6"/>
      <c r="M139" s="63" t="s">
        <v>1153</v>
      </c>
      <c r="N139" s="69" t="s">
        <v>44</v>
      </c>
      <c r="O139" s="60" t="str">
        <v>ICICI Lombard General Insuranc</v>
      </c>
      <c r="P139" s="70">
        <v>0.00353290752315761</v>
      </c>
      <c r="Q139" s="62">
        <f>P139*VLOOKUP(N139,'Selector Sheet '!$B$13:$D$43,2,FALSE)</f>
        <v>0</v>
      </c>
      <c r="R139" s="60" t="str">
        <v>Financials</v>
      </c>
      <c r="S139" s="62">
        <f>P139*VLOOKUP(N139,'Selector Sheet '!$B$13:$D$43,2,FALSE)</f>
        <v>0</v>
      </c>
      <c r="T139" s="60"/>
      <c r="X139" s="60" t="str">
        <v>INE021A01026</v>
      </c>
      <c r="Z139" s="63" t="s">
        <v>1026</v>
      </c>
      <c r="AB139" t="s">
        <v>1137</v>
      </c>
      <c r="AC139" t="s">
        <v>1187</v>
      </c>
      <c r="AD139" t="s">
        <v>859</v>
      </c>
      <c r="AE139">
        <v>66.4784326491013</v>
      </c>
      <c r="AF139">
        <v>19.2363586865439</v>
      </c>
      <c r="AG139">
        <v>36672.3</v>
      </c>
      <c r="AH139">
        <v>38.25</v>
      </c>
      <c r="AI139">
        <v>2439048140412</v>
      </c>
    </row>
    <row r="140" ht="28.8" spans="1:35">
      <c r="A140" s="58" t="s">
        <v>1007</v>
      </c>
      <c r="B140" s="59" t="s">
        <v>24</v>
      </c>
      <c r="C140" s="60" t="str">
        <v>Max Healthcare Institute Ltd</v>
      </c>
      <c r="D140" s="68">
        <f>([1]Mediator!D140)/100</f>
        <v>0.0113462529729295</v>
      </c>
      <c r="E140" s="62">
        <f t="shared" si="4"/>
        <v>0.00472760540538729</v>
      </c>
      <c r="F140" s="60" t="str">
        <v>Health Care</v>
      </c>
      <c r="G140" s="62">
        <f t="shared" si="5"/>
        <v>0.00472760540538729</v>
      </c>
      <c r="H140" s="60"/>
      <c r="J140" s="6"/>
      <c r="M140" s="58" t="s">
        <v>1188</v>
      </c>
      <c r="N140" s="67" t="s">
        <v>44</v>
      </c>
      <c r="O140" s="60" t="str">
        <v>ICICI Prudential Life Insuranc</v>
      </c>
      <c r="P140" s="68">
        <v>0.00138279297081672</v>
      </c>
      <c r="Q140" s="62">
        <f>P140*VLOOKUP(N140,'Selector Sheet '!$B$13:$D$43,2,FALSE)</f>
        <v>0</v>
      </c>
      <c r="R140" s="60" t="str">
        <v>Financials</v>
      </c>
      <c r="S140" s="62">
        <f>P140*VLOOKUP(N140,'Selector Sheet '!$B$13:$D$43,2,FALSE)</f>
        <v>0</v>
      </c>
      <c r="T140" s="60"/>
      <c r="X140" s="60" t="str">
        <v>INE699H01024</v>
      </c>
      <c r="Z140" s="58" t="s">
        <v>1007</v>
      </c>
      <c r="AB140" t="s">
        <v>1189</v>
      </c>
      <c r="AC140" t="s">
        <v>1190</v>
      </c>
      <c r="AD140" t="s">
        <v>1016</v>
      </c>
      <c r="AE140">
        <v>26.7108044381869</v>
      </c>
      <c r="AF140">
        <v>13.8116629340032</v>
      </c>
      <c r="AG140">
        <v>12250.8</v>
      </c>
      <c r="AH140">
        <v>9.44</v>
      </c>
      <c r="AI140">
        <v>327713960250.75</v>
      </c>
    </row>
    <row r="141" ht="28.8" spans="1:35">
      <c r="A141" s="63" t="s">
        <v>1166</v>
      </c>
      <c r="B141" s="59" t="s">
        <v>24</v>
      </c>
      <c r="C141" s="60" t="str">
        <v>NTPC Green Energy Ltd</v>
      </c>
      <c r="D141" s="70">
        <f>([1]Mediator!D141)/100</f>
        <v>0.0147186281381425</v>
      </c>
      <c r="E141" s="62">
        <f t="shared" si="4"/>
        <v>0.00613276172422604</v>
      </c>
      <c r="F141" s="60" t="str">
        <v>Utilities</v>
      </c>
      <c r="G141" s="62">
        <f t="shared" si="5"/>
        <v>0.00613276172422604</v>
      </c>
      <c r="H141" s="60"/>
      <c r="J141" s="6"/>
      <c r="M141" s="63" t="s">
        <v>1191</v>
      </c>
      <c r="N141" s="69" t="s">
        <v>44</v>
      </c>
      <c r="O141" s="60" t="str">
        <v>IndusInd Bank Ltd</v>
      </c>
      <c r="P141" s="70">
        <v>0.00280113330690394</v>
      </c>
      <c r="Q141" s="62">
        <f>P141*VLOOKUP(N141,'Selector Sheet '!$B$13:$D$43,2,FALSE)</f>
        <v>0</v>
      </c>
      <c r="R141" s="60" t="str">
        <v>Financials</v>
      </c>
      <c r="S141" s="62">
        <f>P141*VLOOKUP(N141,'Selector Sheet '!$B$13:$D$43,2,FALSE)</f>
        <v>0</v>
      </c>
      <c r="T141" s="60"/>
      <c r="X141" s="60" t="str">
        <v>INE918I01026</v>
      </c>
      <c r="Z141" s="63" t="s">
        <v>1166</v>
      </c>
      <c r="AB141" t="s">
        <v>884</v>
      </c>
      <c r="AC141" t="s">
        <v>1192</v>
      </c>
      <c r="AD141" t="s">
        <v>867</v>
      </c>
      <c r="AE141">
        <v>36.1210100607266</v>
      </c>
      <c r="AF141">
        <v>13.3695689436609</v>
      </c>
      <c r="AG141">
        <v>88723.1</v>
      </c>
      <c r="AH141">
        <v>55.590915</v>
      </c>
      <c r="AI141">
        <v>3208408945760</v>
      </c>
    </row>
    <row r="142" ht="28.8" spans="1:35">
      <c r="A142" s="58" t="s">
        <v>1028</v>
      </c>
      <c r="B142" s="59" t="s">
        <v>24</v>
      </c>
      <c r="C142" s="60" t="str">
        <v>NTPC Ltd</v>
      </c>
      <c r="D142" s="68">
        <f>([1]Mediator!D142)/100</f>
        <v>0.00289970274804299</v>
      </c>
      <c r="E142" s="62">
        <f t="shared" si="4"/>
        <v>0.00120820947835125</v>
      </c>
      <c r="F142" s="60" t="str">
        <v>Utilities</v>
      </c>
      <c r="G142" s="62">
        <f t="shared" si="5"/>
        <v>0.00120820947835125</v>
      </c>
      <c r="H142" s="60"/>
      <c r="J142" s="6"/>
      <c r="M142" s="58" t="s">
        <v>1155</v>
      </c>
      <c r="N142" s="67" t="s">
        <v>44</v>
      </c>
      <c r="O142" s="60" t="str">
        <v>Info Edge India Ltd</v>
      </c>
      <c r="P142" s="68">
        <v>0.00313027392459049</v>
      </c>
      <c r="Q142" s="62">
        <f>P142*VLOOKUP(N142,'Selector Sheet '!$B$13:$D$43,2,FALSE)</f>
        <v>0</v>
      </c>
      <c r="R142" s="60" t="str">
        <v>Communication Services</v>
      </c>
      <c r="S142" s="62">
        <f>P142*VLOOKUP(N142,'Selector Sheet '!$B$13:$D$43,2,FALSE)</f>
        <v>0</v>
      </c>
      <c r="T142" s="60"/>
      <c r="X142" s="60" t="str">
        <v>INE787D01026</v>
      </c>
      <c r="Z142" s="58" t="s">
        <v>1028</v>
      </c>
      <c r="AB142" t="s">
        <v>1193</v>
      </c>
      <c r="AC142" t="s">
        <v>1194</v>
      </c>
      <c r="AD142" t="s">
        <v>874</v>
      </c>
      <c r="AE142">
        <v>28.1999760678878</v>
      </c>
      <c r="AF142">
        <v>17.2020568128548</v>
      </c>
      <c r="AG142">
        <v>16549.6</v>
      </c>
      <c r="AH142">
        <v>85.61</v>
      </c>
      <c r="AI142">
        <v>466706360098</v>
      </c>
    </row>
    <row r="143" ht="28.8" spans="1:35">
      <c r="A143" s="63" t="s">
        <v>1031</v>
      </c>
      <c r="B143" s="59" t="s">
        <v>24</v>
      </c>
      <c r="C143" s="60" t="str">
        <v>Oberoi Realty Ltd</v>
      </c>
      <c r="D143" s="70">
        <f>([1]Mediator!D143)/100</f>
        <v>0.018131522783818</v>
      </c>
      <c r="E143" s="62">
        <f t="shared" si="4"/>
        <v>0.00755480115992417</v>
      </c>
      <c r="F143" s="60" t="str">
        <v>Real Estate</v>
      </c>
      <c r="G143" s="62">
        <f t="shared" si="5"/>
        <v>0.00755480115992417</v>
      </c>
      <c r="H143" s="60"/>
      <c r="J143" s="6"/>
      <c r="M143" s="63" t="s">
        <v>991</v>
      </c>
      <c r="N143" s="69" t="s">
        <v>44</v>
      </c>
      <c r="O143" s="60" t="str">
        <v>Infosys Ltd</v>
      </c>
      <c r="P143" s="70">
        <v>0.0285856355203785</v>
      </c>
      <c r="Q143" s="62">
        <f>P143*VLOOKUP(N143,'Selector Sheet '!$B$13:$D$43,2,FALSE)</f>
        <v>0</v>
      </c>
      <c r="R143" s="60" t="str">
        <v>Information Technology</v>
      </c>
      <c r="S143" s="62">
        <f>P143*VLOOKUP(N143,'Selector Sheet '!$B$13:$D$43,2,FALSE)</f>
        <v>0</v>
      </c>
      <c r="T143" s="60"/>
      <c r="X143" s="60" t="str">
        <v>INE536H01010</v>
      </c>
      <c r="Z143" s="63" t="s">
        <v>1031</v>
      </c>
      <c r="AB143" t="s">
        <v>1195</v>
      </c>
      <c r="AC143" t="s">
        <v>1196</v>
      </c>
      <c r="AD143" t="s">
        <v>874</v>
      </c>
      <c r="AE143">
        <v>18.35800156783</v>
      </c>
      <c r="AF143">
        <v>13.1719909792091</v>
      </c>
      <c r="AG143">
        <v>8275.14</v>
      </c>
      <c r="AH143">
        <v>21.81</v>
      </c>
      <c r="AI143">
        <v>150568927431.3</v>
      </c>
    </row>
    <row r="144" ht="28.8" spans="1:35">
      <c r="A144" s="58" t="s">
        <v>1044</v>
      </c>
      <c r="B144" s="59" t="s">
        <v>24</v>
      </c>
      <c r="C144" s="60" t="str">
        <v>Page Industries Ltd</v>
      </c>
      <c r="D144" s="68">
        <f>([1]Mediator!D144)/100</f>
        <v>0.00427223919882943</v>
      </c>
      <c r="E144" s="62">
        <f t="shared" si="4"/>
        <v>0.00178009966617893</v>
      </c>
      <c r="F144" s="60" t="str">
        <v>Consumer Discretionary</v>
      </c>
      <c r="G144" s="62">
        <f t="shared" si="5"/>
        <v>0.00178009966617893</v>
      </c>
      <c r="H144" s="60"/>
      <c r="J144" s="6"/>
      <c r="M144" s="58" t="s">
        <v>994</v>
      </c>
      <c r="N144" s="67" t="s">
        <v>44</v>
      </c>
      <c r="O144" s="60" t="str">
        <v>InterGlobe Aviation Ltd</v>
      </c>
      <c r="P144" s="68">
        <v>0.0178459380081278</v>
      </c>
      <c r="Q144" s="62">
        <f>P144*VLOOKUP(N144,'Selector Sheet '!$B$13:$D$43,2,FALSE)</f>
        <v>0</v>
      </c>
      <c r="R144" s="60" t="str">
        <v>Industrials</v>
      </c>
      <c r="S144" s="62">
        <f>P144*VLOOKUP(N144,'Selector Sheet '!$B$13:$D$43,2,FALSE)</f>
        <v>0</v>
      </c>
      <c r="T144" s="60"/>
      <c r="X144" s="60" t="str">
        <v>INE016A01026</v>
      </c>
      <c r="Z144" s="58" t="s">
        <v>1044</v>
      </c>
      <c r="AB144" t="s">
        <v>1197</v>
      </c>
      <c r="AC144" t="s">
        <v>1198</v>
      </c>
      <c r="AD144" t="s">
        <v>1016</v>
      </c>
      <c r="AE144">
        <v>52.7933776916688</v>
      </c>
      <c r="AF144">
        <v>17.1058291507375</v>
      </c>
      <c r="AG144">
        <v>17676.3</v>
      </c>
      <c r="AH144">
        <v>9.97</v>
      </c>
      <c r="AI144">
        <v>933581822032.2</v>
      </c>
    </row>
    <row r="145" ht="28.8" spans="1:35">
      <c r="A145" s="63" t="s">
        <v>1038</v>
      </c>
      <c r="B145" s="59" t="s">
        <v>24</v>
      </c>
      <c r="C145" s="60" t="str">
        <v>PB Fintech Ltd</v>
      </c>
      <c r="D145" s="70">
        <f>([1]Mediator!D145)/100</f>
        <v>0.00316682169370319</v>
      </c>
      <c r="E145" s="62">
        <f t="shared" si="4"/>
        <v>0.001319509039043</v>
      </c>
      <c r="F145" s="60" t="str">
        <v>Financials</v>
      </c>
      <c r="G145" s="62">
        <f t="shared" si="5"/>
        <v>0.001319509039043</v>
      </c>
      <c r="H145" s="60"/>
      <c r="J145" s="6"/>
      <c r="M145" s="63" t="s">
        <v>1199</v>
      </c>
      <c r="N145" s="69" t="s">
        <v>44</v>
      </c>
      <c r="O145" s="60" t="str">
        <v>IRB Infrastructure Developers</v>
      </c>
      <c r="P145" s="70">
        <v>5.21149958254993e-5</v>
      </c>
      <c r="Q145" s="62">
        <f>P145*VLOOKUP(N145,'Selector Sheet '!$B$13:$D$43,2,FALSE)</f>
        <v>0</v>
      </c>
      <c r="R145" s="60" t="str">
        <v>Industrials</v>
      </c>
      <c r="S145" s="62">
        <f>P145*VLOOKUP(N145,'Selector Sheet '!$B$13:$D$43,2,FALSE)</f>
        <v>0</v>
      </c>
      <c r="T145" s="60"/>
      <c r="X145" s="60" t="str">
        <v>INE753U01022</v>
      </c>
      <c r="Z145" s="63" t="s">
        <v>1038</v>
      </c>
      <c r="AB145" t="s">
        <v>1200</v>
      </c>
      <c r="AC145" t="s">
        <v>1201</v>
      </c>
      <c r="AD145" t="s">
        <v>874</v>
      </c>
      <c r="AE145">
        <v>82.5759038320358</v>
      </c>
      <c r="AF145">
        <v>4.14436992137557</v>
      </c>
      <c r="AG145">
        <v>243.92</v>
      </c>
      <c r="AH145">
        <v>7.975692</v>
      </c>
      <c r="AI145">
        <v>20141915722.2</v>
      </c>
    </row>
    <row r="146" ht="28.8" spans="1:35">
      <c r="A146" s="58" t="s">
        <v>1043</v>
      </c>
      <c r="B146" s="59" t="s">
        <v>24</v>
      </c>
      <c r="C146" s="60" t="str">
        <v>PI Industries Ltd</v>
      </c>
      <c r="D146" s="68">
        <f>([1]Mediator!D146)/100</f>
        <v>0.00959213370116911</v>
      </c>
      <c r="E146" s="62">
        <f t="shared" si="4"/>
        <v>0.00399672237548713</v>
      </c>
      <c r="F146" s="60" t="str">
        <v>Materials</v>
      </c>
      <c r="G146" s="62">
        <f t="shared" si="5"/>
        <v>0.00399672237548713</v>
      </c>
      <c r="H146" s="60"/>
      <c r="J146" s="6"/>
      <c r="M146" s="58" t="s">
        <v>997</v>
      </c>
      <c r="N146" s="67" t="s">
        <v>44</v>
      </c>
      <c r="O146" s="60" t="str">
        <v>ITC Ltd</v>
      </c>
      <c r="P146" s="68">
        <v>0.0115759372351117</v>
      </c>
      <c r="Q146" s="62">
        <f>P146*VLOOKUP(N146,'Selector Sheet '!$B$13:$D$43,2,FALSE)</f>
        <v>0</v>
      </c>
      <c r="R146" s="60" t="str">
        <v>Consumer Staples</v>
      </c>
      <c r="S146" s="62">
        <f>P146*VLOOKUP(N146,'Selector Sheet '!$B$13:$D$43,2,FALSE)</f>
        <v>0</v>
      </c>
      <c r="T146" s="60"/>
      <c r="X146" s="60" t="str">
        <v>INE089A01031</v>
      </c>
      <c r="Z146" s="58" t="s">
        <v>1043</v>
      </c>
      <c r="AB146" t="s">
        <v>931</v>
      </c>
      <c r="AC146" t="s">
        <v>1202</v>
      </c>
      <c r="AD146" t="s">
        <v>855</v>
      </c>
      <c r="AE146">
        <v>18.5756367003379</v>
      </c>
      <c r="AF146">
        <v>18.3593432957928</v>
      </c>
      <c r="AG146">
        <v>56551</v>
      </c>
      <c r="AH146">
        <v>67.89</v>
      </c>
      <c r="AI146">
        <v>1052491076452.5</v>
      </c>
    </row>
    <row r="147" ht="28.8" spans="1:35">
      <c r="A147" s="63" t="s">
        <v>1056</v>
      </c>
      <c r="B147" s="59" t="s">
        <v>24</v>
      </c>
      <c r="C147" s="60" t="str">
        <v>Power Finance Corp Ltd</v>
      </c>
      <c r="D147" s="70">
        <f>([1]Mediator!D147)/100</f>
        <v>0.0110619766359483</v>
      </c>
      <c r="E147" s="62">
        <f t="shared" si="4"/>
        <v>0.00460915693164512</v>
      </c>
      <c r="F147" s="60" t="str">
        <v>Financials</v>
      </c>
      <c r="G147" s="62">
        <f t="shared" si="5"/>
        <v>0.00460915693164512</v>
      </c>
      <c r="H147" s="60"/>
      <c r="J147" s="6"/>
      <c r="M147" s="63" t="s">
        <v>1203</v>
      </c>
      <c r="N147" s="69" t="s">
        <v>44</v>
      </c>
      <c r="O147" s="60" t="str">
        <v>Kalpataru Projects Internation</v>
      </c>
      <c r="P147" s="70">
        <v>0.00180633968178002</v>
      </c>
      <c r="Q147" s="62">
        <f>P147*VLOOKUP(N147,'Selector Sheet '!$B$13:$D$43,2,FALSE)</f>
        <v>0</v>
      </c>
      <c r="R147" s="60" t="str">
        <v>Industrials</v>
      </c>
      <c r="S147" s="62">
        <f>P147*VLOOKUP(N147,'Selector Sheet '!$B$13:$D$43,2,FALSE)</f>
        <v>0</v>
      </c>
      <c r="T147" s="60"/>
      <c r="X147" s="60" t="str">
        <v>INE066A01021</v>
      </c>
      <c r="Z147" s="63" t="s">
        <v>1056</v>
      </c>
      <c r="AB147" t="s">
        <v>1164</v>
      </c>
      <c r="AC147" t="s">
        <v>1204</v>
      </c>
      <c r="AD147" t="s">
        <v>874</v>
      </c>
      <c r="AE147">
        <v>34.5218800648298</v>
      </c>
      <c r="AF147">
        <v>24.068108348275</v>
      </c>
      <c r="AG147">
        <v>47344.4</v>
      </c>
      <c r="AH147">
        <v>172.76</v>
      </c>
      <c r="AI147">
        <v>1635793932360</v>
      </c>
    </row>
    <row r="148" ht="28.8" spans="1:35">
      <c r="A148" s="58" t="s">
        <v>1070</v>
      </c>
      <c r="B148" s="59" t="s">
        <v>24</v>
      </c>
      <c r="C148" s="60" t="str">
        <v>Reliance Industries Ltd</v>
      </c>
      <c r="D148" s="68">
        <f>([1]Mediator!D148)/100</f>
        <v>0.00545649537419969</v>
      </c>
      <c r="E148" s="62">
        <f t="shared" si="4"/>
        <v>0.00227353973924987</v>
      </c>
      <c r="F148" s="60" t="str">
        <v>Energy</v>
      </c>
      <c r="G148" s="62">
        <f t="shared" si="5"/>
        <v>0.00227353973924987</v>
      </c>
      <c r="H148" s="60"/>
      <c r="J148" s="6"/>
      <c r="M148" s="58" t="s">
        <v>1008</v>
      </c>
      <c r="N148" s="67" t="s">
        <v>44</v>
      </c>
      <c r="O148" s="60" t="str">
        <v>Kotak Mahindra Bank Ltd</v>
      </c>
      <c r="P148" s="68">
        <v>0.00686863053396141</v>
      </c>
      <c r="Q148" s="62">
        <f>P148*VLOOKUP(N148,'Selector Sheet '!$B$13:$D$43,2,FALSE)</f>
        <v>0</v>
      </c>
      <c r="R148" s="60" t="str">
        <v>Financials</v>
      </c>
      <c r="S148" s="62">
        <f>P148*VLOOKUP(N148,'Selector Sheet '!$B$13:$D$43,2,FALSE)</f>
        <v>0</v>
      </c>
      <c r="T148" s="60"/>
      <c r="X148" s="60" t="str">
        <v>INE388Y01029</v>
      </c>
      <c r="Z148" s="58" t="s">
        <v>1070</v>
      </c>
      <c r="AB148" t="s">
        <v>1168</v>
      </c>
      <c r="AC148" t="s">
        <v>1205</v>
      </c>
      <c r="AD148" t="s">
        <v>874</v>
      </c>
      <c r="AE148">
        <v>778.428595406668</v>
      </c>
      <c r="AF148" t="s">
        <v>860</v>
      </c>
      <c r="AG148">
        <v>660.8</v>
      </c>
      <c r="AH148">
        <v>0.23</v>
      </c>
      <c r="AI148">
        <v>623517723438.32</v>
      </c>
    </row>
    <row r="149" ht="28.8" spans="1:35">
      <c r="A149" s="63" t="s">
        <v>1055</v>
      </c>
      <c r="B149" s="59" t="s">
        <v>24</v>
      </c>
      <c r="C149" s="60" t="str">
        <v>Samvardhana Motherson Internat</v>
      </c>
      <c r="D149" s="70">
        <f>([1]Mediator!D149)/100</f>
        <v>0.0541567906781985</v>
      </c>
      <c r="E149" s="62">
        <f t="shared" si="4"/>
        <v>0.0225653294492494</v>
      </c>
      <c r="F149" s="60" t="str">
        <v>Consumer Discretionary</v>
      </c>
      <c r="G149" s="62">
        <f t="shared" si="5"/>
        <v>0.0225653294492494</v>
      </c>
      <c r="H149" s="60"/>
      <c r="J149" s="6"/>
      <c r="M149" s="63" t="s">
        <v>1011</v>
      </c>
      <c r="N149" s="69" t="s">
        <v>44</v>
      </c>
      <c r="O149" s="60" t="str">
        <v>Larsen &amp; Toubro Ltd</v>
      </c>
      <c r="P149" s="70">
        <v>0.0237047989365073</v>
      </c>
      <c r="Q149" s="62">
        <f>P149*VLOOKUP(N149,'Selector Sheet '!$B$13:$D$43,2,FALSE)</f>
        <v>0</v>
      </c>
      <c r="R149" s="60" t="str">
        <v>Industrials</v>
      </c>
      <c r="S149" s="62">
        <f>P149*VLOOKUP(N149,'Selector Sheet '!$B$13:$D$43,2,FALSE)</f>
        <v>0</v>
      </c>
      <c r="T149" s="60"/>
      <c r="X149" s="60" t="str">
        <v>INE068V01023</v>
      </c>
      <c r="Z149" s="63" t="s">
        <v>1055</v>
      </c>
      <c r="AB149" t="s">
        <v>1206</v>
      </c>
      <c r="AC149" t="s">
        <v>1207</v>
      </c>
      <c r="AD149" t="s">
        <v>855</v>
      </c>
      <c r="AE149">
        <v>46.8679233766952</v>
      </c>
      <c r="AF149">
        <v>7.81585742079368</v>
      </c>
      <c r="AG149">
        <v>6985.26</v>
      </c>
      <c r="AH149">
        <v>42.4</v>
      </c>
      <c r="AI149">
        <v>327403963785.6</v>
      </c>
    </row>
    <row r="150" ht="28.8" spans="1:35">
      <c r="A150" s="58" t="s">
        <v>1174</v>
      </c>
      <c r="B150" s="59" t="s">
        <v>24</v>
      </c>
      <c r="C150" s="60" t="str">
        <v>SBI Life Insurance Co Ltd</v>
      </c>
      <c r="D150" s="68">
        <f>([1]Mediator!D150)/100</f>
        <v>0.00644072013722061</v>
      </c>
      <c r="E150" s="62">
        <f t="shared" si="4"/>
        <v>0.00268363339050859</v>
      </c>
      <c r="F150" s="60" t="str">
        <v>Financials</v>
      </c>
      <c r="G150" s="62">
        <f t="shared" si="5"/>
        <v>0.00268363339050859</v>
      </c>
      <c r="H150" s="60"/>
      <c r="J150" s="6"/>
      <c r="M150" s="58" t="s">
        <v>1208</v>
      </c>
      <c r="N150" s="67" t="s">
        <v>44</v>
      </c>
      <c r="O150" s="60" t="str">
        <v>LIC Housing Finance Ltd</v>
      </c>
      <c r="P150" s="68">
        <v>0.000902114641526874</v>
      </c>
      <c r="Q150" s="62">
        <f>P150*VLOOKUP(N150,'Selector Sheet '!$B$13:$D$43,2,FALSE)</f>
        <v>0</v>
      </c>
      <c r="R150" s="60" t="str">
        <v>Financials</v>
      </c>
      <c r="S150" s="62">
        <f>P150*VLOOKUP(N150,'Selector Sheet '!$B$13:$D$43,2,FALSE)</f>
        <v>0</v>
      </c>
      <c r="T150" s="60"/>
      <c r="X150" s="60" t="str">
        <v>INE844O01030</v>
      </c>
      <c r="Z150" s="58" t="s">
        <v>1174</v>
      </c>
      <c r="AB150" t="s">
        <v>1209</v>
      </c>
      <c r="AC150" t="s">
        <v>1210</v>
      </c>
      <c r="AD150" t="s">
        <v>1030</v>
      </c>
      <c r="AE150">
        <v>25.4976011866288</v>
      </c>
      <c r="AF150">
        <v>14.1661917133601</v>
      </c>
      <c r="AG150">
        <v>11483.2</v>
      </c>
      <c r="AH150">
        <v>16.68</v>
      </c>
      <c r="AI150">
        <v>292772320162.5</v>
      </c>
    </row>
    <row r="151" ht="28.8" spans="1:35">
      <c r="A151" s="63" t="s">
        <v>1072</v>
      </c>
      <c r="B151" s="59" t="s">
        <v>24</v>
      </c>
      <c r="C151" s="60" t="str">
        <v>Sona Blw Precision Forgings Lt</v>
      </c>
      <c r="D151" s="70">
        <f>([1]Mediator!D151)/100</f>
        <v>0.0135711308356166</v>
      </c>
      <c r="E151" s="62">
        <f t="shared" si="4"/>
        <v>0.00565463784817358</v>
      </c>
      <c r="F151" s="60" t="str">
        <v>Consumer Discretionary</v>
      </c>
      <c r="G151" s="62">
        <f t="shared" si="5"/>
        <v>0.00565463784817358</v>
      </c>
      <c r="H151" s="60"/>
      <c r="J151" s="6"/>
      <c r="M151" s="63" t="s">
        <v>999</v>
      </c>
      <c r="N151" s="69" t="s">
        <v>44</v>
      </c>
      <c r="O151" s="60" t="str">
        <v>LTIMindtree Ltd</v>
      </c>
      <c r="P151" s="70">
        <v>0.00350003394533243</v>
      </c>
      <c r="Q151" s="62">
        <f>P151*VLOOKUP(N151,'Selector Sheet '!$B$13:$D$43,2,FALSE)</f>
        <v>0</v>
      </c>
      <c r="R151" s="60" t="str">
        <v>Information Technology</v>
      </c>
      <c r="S151" s="62">
        <f>P151*VLOOKUP(N151,'Selector Sheet '!$B$13:$D$43,2,FALSE)</f>
        <v>0</v>
      </c>
      <c r="T151" s="60"/>
      <c r="X151" s="60" t="str">
        <v>INE113A01013</v>
      </c>
      <c r="Z151" s="63" t="s">
        <v>1072</v>
      </c>
      <c r="AB151" t="s">
        <v>1211</v>
      </c>
      <c r="AC151" t="s">
        <v>1212</v>
      </c>
      <c r="AD151" t="s">
        <v>859</v>
      </c>
      <c r="AE151">
        <v>12.4513665081626</v>
      </c>
      <c r="AF151">
        <v>7.07188446175496</v>
      </c>
      <c r="AG151">
        <v>5970</v>
      </c>
      <c r="AH151">
        <v>40.61</v>
      </c>
      <c r="AI151">
        <v>74300556358.95</v>
      </c>
    </row>
    <row r="152" ht="28.8" spans="1:35">
      <c r="A152" s="58" t="s">
        <v>1075</v>
      </c>
      <c r="B152" s="59" t="s">
        <v>24</v>
      </c>
      <c r="C152" s="60" t="str">
        <v>SRF Ltd</v>
      </c>
      <c r="D152" s="68">
        <f>([1]Mediator!D152)/100</f>
        <v>0.00104507102858305</v>
      </c>
      <c r="E152" s="62">
        <f t="shared" si="4"/>
        <v>0.000435446261909604</v>
      </c>
      <c r="F152" s="60" t="str">
        <v>Materials</v>
      </c>
      <c r="G152" s="62">
        <f t="shared" si="5"/>
        <v>0.000435446261909604</v>
      </c>
      <c r="H152" s="60"/>
      <c r="J152" s="6"/>
      <c r="M152" s="58" t="s">
        <v>1014</v>
      </c>
      <c r="N152" s="67" t="s">
        <v>44</v>
      </c>
      <c r="O152" s="60" t="str">
        <v>Lupin Ltd</v>
      </c>
      <c r="P152" s="68">
        <v>0.00189321237508129</v>
      </c>
      <c r="Q152" s="62">
        <f>P152*VLOOKUP(N152,'Selector Sheet '!$B$13:$D$43,2,FALSE)</f>
        <v>0</v>
      </c>
      <c r="R152" s="60" t="str">
        <v>Health Care</v>
      </c>
      <c r="S152" s="62">
        <f>P152*VLOOKUP(N152,'Selector Sheet '!$B$13:$D$43,2,FALSE)</f>
        <v>0</v>
      </c>
      <c r="T152" s="60"/>
      <c r="X152" s="60" t="str">
        <v>INE795G01014</v>
      </c>
      <c r="Z152" s="58" t="s">
        <v>1075</v>
      </c>
      <c r="AB152" t="s">
        <v>963</v>
      </c>
      <c r="AC152" t="s">
        <v>1213</v>
      </c>
      <c r="AD152" t="s">
        <v>867</v>
      </c>
      <c r="AE152">
        <v>92.6258567268843</v>
      </c>
      <c r="AF152" t="s">
        <v>860</v>
      </c>
      <c r="AG152">
        <v>18108.2</v>
      </c>
      <c r="AH152">
        <v>8.41</v>
      </c>
      <c r="AI152">
        <v>1744942590008.1</v>
      </c>
    </row>
    <row r="153" ht="28.8" spans="1:35">
      <c r="A153" s="63" t="s">
        <v>1077</v>
      </c>
      <c r="B153" s="59" t="s">
        <v>24</v>
      </c>
      <c r="C153" s="60" t="str">
        <v>State Bank of India</v>
      </c>
      <c r="D153" s="70">
        <f>([1]Mediator!D153)/100</f>
        <v>0.00459893665254029</v>
      </c>
      <c r="E153" s="62">
        <f t="shared" si="4"/>
        <v>0.00191622360522512</v>
      </c>
      <c r="F153" s="60" t="str">
        <v>Financials</v>
      </c>
      <c r="G153" s="62">
        <f t="shared" si="5"/>
        <v>0.00191622360522512</v>
      </c>
      <c r="H153" s="60"/>
      <c r="J153" s="6"/>
      <c r="M153" s="63" t="s">
        <v>1002</v>
      </c>
      <c r="N153" s="69" t="s">
        <v>44</v>
      </c>
      <c r="O153" s="60" t="str">
        <v>Mahindra &amp; Mahindra Ltd</v>
      </c>
      <c r="P153" s="70">
        <v>0.00346828406631846</v>
      </c>
      <c r="Q153" s="62">
        <f>P153*VLOOKUP(N153,'Selector Sheet '!$B$13:$D$43,2,FALSE)</f>
        <v>0</v>
      </c>
      <c r="R153" s="60" t="str">
        <v>Consumer Discretionary</v>
      </c>
      <c r="S153" s="62">
        <f>P153*VLOOKUP(N153,'Selector Sheet '!$B$13:$D$43,2,FALSE)</f>
        <v>0</v>
      </c>
      <c r="T153" s="60"/>
      <c r="X153" s="60" t="str">
        <v>INE094A01015</v>
      </c>
      <c r="Z153" s="63" t="s">
        <v>1077</v>
      </c>
      <c r="AB153" t="s">
        <v>1181</v>
      </c>
      <c r="AC153" t="s">
        <v>1214</v>
      </c>
      <c r="AD153" t="s">
        <v>1037</v>
      </c>
      <c r="AE153">
        <v>12.2473152242577</v>
      </c>
      <c r="AF153">
        <v>13.737125460049</v>
      </c>
      <c r="AG153">
        <v>67357</v>
      </c>
      <c r="AH153">
        <v>31.66</v>
      </c>
      <c r="AI153">
        <v>825063181160.625</v>
      </c>
    </row>
    <row r="154" ht="28.8" spans="1:35">
      <c r="A154" s="58" t="s">
        <v>1080</v>
      </c>
      <c r="B154" s="59" t="s">
        <v>24</v>
      </c>
      <c r="C154" s="60" t="str">
        <v>Sun Pharmaceutical Industries</v>
      </c>
      <c r="D154" s="68">
        <f>([1]Mediator!D154)/100</f>
        <v>0.0299201377984151</v>
      </c>
      <c r="E154" s="62">
        <f t="shared" si="4"/>
        <v>0.012466724082673</v>
      </c>
      <c r="F154" s="60" t="str">
        <v>Health Care</v>
      </c>
      <c r="G154" s="62">
        <f t="shared" si="5"/>
        <v>0.012466724082673</v>
      </c>
      <c r="H154" s="60"/>
      <c r="J154" s="6"/>
      <c r="M154" s="58" t="s">
        <v>1026</v>
      </c>
      <c r="N154" s="67" t="s">
        <v>44</v>
      </c>
      <c r="O154" s="60" t="str">
        <v>Maruti Suzuki India Ltd</v>
      </c>
      <c r="P154" s="68">
        <v>0.0221093467353242</v>
      </c>
      <c r="Q154" s="62">
        <f>P154*VLOOKUP(N154,'Selector Sheet '!$B$13:$D$43,2,FALSE)</f>
        <v>0</v>
      </c>
      <c r="R154" s="60" t="str">
        <v>Consumer Discretionary</v>
      </c>
      <c r="S154" s="62">
        <f>P154*VLOOKUP(N154,'Selector Sheet '!$B$13:$D$43,2,FALSE)</f>
        <v>0</v>
      </c>
      <c r="T154" s="60"/>
      <c r="X154" s="60" t="str">
        <v>INE671A01010</v>
      </c>
      <c r="Z154" s="58" t="s">
        <v>1080</v>
      </c>
      <c r="AB154" t="s">
        <v>1215</v>
      </c>
      <c r="AC154" t="s">
        <v>1216</v>
      </c>
      <c r="AD154" t="s">
        <v>920</v>
      </c>
      <c r="AE154">
        <v>63.2535206511094</v>
      </c>
      <c r="AF154">
        <v>13.6989168541678</v>
      </c>
      <c r="AG154">
        <v>5236</v>
      </c>
      <c r="AH154">
        <v>592.22</v>
      </c>
      <c r="AI154">
        <v>331203451580</v>
      </c>
    </row>
    <row r="155" ht="28.8" spans="1:35">
      <c r="A155" s="63" t="s">
        <v>1087</v>
      </c>
      <c r="B155" s="59" t="s">
        <v>24</v>
      </c>
      <c r="C155" s="60" t="str">
        <v>Tata Consultancy Services Ltd</v>
      </c>
      <c r="D155" s="70">
        <f>([1]Mediator!D155)/100</f>
        <v>0.0188229930814998</v>
      </c>
      <c r="E155" s="62">
        <f t="shared" si="4"/>
        <v>0.00784291378395825</v>
      </c>
      <c r="F155" s="60" t="str">
        <v>Information Technology</v>
      </c>
      <c r="G155" s="62">
        <f t="shared" si="5"/>
        <v>0.00784291378395825</v>
      </c>
      <c r="H155" s="60"/>
      <c r="J155" s="6"/>
      <c r="M155" s="63" t="s">
        <v>1217</v>
      </c>
      <c r="N155" s="69" t="s">
        <v>44</v>
      </c>
      <c r="O155" s="60" t="str">
        <v>Max Financial Services Ltd</v>
      </c>
      <c r="P155" s="70">
        <v>0.00287387510282578</v>
      </c>
      <c r="Q155" s="62">
        <f>P155*VLOOKUP(N155,'Selector Sheet '!$B$13:$D$43,2,FALSE)</f>
        <v>0</v>
      </c>
      <c r="R155" s="60" t="str">
        <v>Financials</v>
      </c>
      <c r="S155" s="62">
        <f>P155*VLOOKUP(N155,'Selector Sheet '!$B$13:$D$43,2,FALSE)</f>
        <v>0</v>
      </c>
      <c r="T155" s="60"/>
      <c r="X155" s="60" t="str">
        <v>INE726G01019</v>
      </c>
      <c r="Z155" s="63" t="s">
        <v>1087</v>
      </c>
      <c r="AB155" t="s">
        <v>1188</v>
      </c>
      <c r="AC155" t="s">
        <v>1218</v>
      </c>
      <c r="AD155" t="s">
        <v>867</v>
      </c>
      <c r="AE155">
        <v>74.3435395849705</v>
      </c>
      <c r="AF155">
        <v>10.5928156477281</v>
      </c>
      <c r="AG155">
        <v>11855.2</v>
      </c>
      <c r="AH155">
        <v>8.21</v>
      </c>
      <c r="AI155">
        <v>939511682474.75</v>
      </c>
    </row>
    <row r="156" ht="28.8" spans="1:35">
      <c r="A156" s="58" t="s">
        <v>1094</v>
      </c>
      <c r="B156" s="59" t="s">
        <v>24</v>
      </c>
      <c r="C156" s="60" t="str">
        <v>Tata Consumer Products Ltd</v>
      </c>
      <c r="D156" s="68">
        <f>([1]Mediator!D156)/100</f>
        <v>0.0166950194335951</v>
      </c>
      <c r="E156" s="62">
        <f t="shared" si="4"/>
        <v>0.00695625809733129</v>
      </c>
      <c r="F156" s="60" t="str">
        <v>Consumer Staples</v>
      </c>
      <c r="G156" s="62">
        <f t="shared" si="5"/>
        <v>0.00695625809733129</v>
      </c>
      <c r="H156" s="60"/>
      <c r="J156" s="6"/>
      <c r="M156" s="58" t="s">
        <v>1219</v>
      </c>
      <c r="N156" s="67" t="s">
        <v>44</v>
      </c>
      <c r="O156" s="60" t="str">
        <v>Motherson Sumi Wiring India Lt</v>
      </c>
      <c r="P156" s="68">
        <v>0.00268499364716747</v>
      </c>
      <c r="Q156" s="62">
        <f>P156*VLOOKUP(N156,'Selector Sheet '!$B$13:$D$43,2,FALSE)</f>
        <v>0</v>
      </c>
      <c r="R156" s="60" t="str">
        <v>Consumer Discretionary</v>
      </c>
      <c r="S156" s="62">
        <f>P156*VLOOKUP(N156,'Selector Sheet '!$B$13:$D$43,2,FALSE)</f>
        <v>0</v>
      </c>
      <c r="T156" s="60"/>
      <c r="X156" s="60" t="str">
        <v>INE933S01016</v>
      </c>
      <c r="Z156" s="58" t="s">
        <v>1094</v>
      </c>
      <c r="AB156" t="s">
        <v>1220</v>
      </c>
      <c r="AC156" t="s">
        <v>1221</v>
      </c>
      <c r="AD156" t="s">
        <v>849</v>
      </c>
      <c r="AE156">
        <v>25.6983240223464</v>
      </c>
      <c r="AF156" t="s">
        <v>860</v>
      </c>
      <c r="AG156">
        <v>5506.98</v>
      </c>
      <c r="AH156">
        <v>91.84</v>
      </c>
      <c r="AI156">
        <v>151881334440</v>
      </c>
    </row>
    <row r="157" ht="28.8" spans="1:35">
      <c r="A157" s="63" t="s">
        <v>1099</v>
      </c>
      <c r="B157" s="59" t="s">
        <v>24</v>
      </c>
      <c r="C157" s="60" t="str">
        <v>Tata Power Co Ltd/The</v>
      </c>
      <c r="D157" s="70">
        <f>([1]Mediator!D157)/100</f>
        <v>0.014123385511571</v>
      </c>
      <c r="E157" s="62">
        <f t="shared" si="4"/>
        <v>0.00588474396315458</v>
      </c>
      <c r="F157" s="60" t="str">
        <v>Utilities</v>
      </c>
      <c r="G157" s="62">
        <f t="shared" si="5"/>
        <v>0.00588474396315458</v>
      </c>
      <c r="H157" s="60"/>
      <c r="J157" s="6"/>
      <c r="M157" s="63" t="s">
        <v>1010</v>
      </c>
      <c r="N157" s="69" t="s">
        <v>44</v>
      </c>
      <c r="O157" s="60" t="str">
        <v>Mphasis Ltd</v>
      </c>
      <c r="P157" s="70">
        <v>0.00337983203742773</v>
      </c>
      <c r="Q157" s="62">
        <f>P157*VLOOKUP(N157,'Selector Sheet '!$B$13:$D$43,2,FALSE)</f>
        <v>0</v>
      </c>
      <c r="R157" s="60" t="str">
        <v>Information Technology</v>
      </c>
      <c r="S157" s="62">
        <f>P157*VLOOKUP(N157,'Selector Sheet '!$B$13:$D$43,2,FALSE)</f>
        <v>0</v>
      </c>
      <c r="T157" s="60"/>
      <c r="X157" s="60" t="str">
        <v>INE335Y01020</v>
      </c>
      <c r="Z157" s="63" t="s">
        <v>1099</v>
      </c>
      <c r="AB157" t="s">
        <v>1222</v>
      </c>
      <c r="AC157" t="s">
        <v>1223</v>
      </c>
      <c r="AD157" t="s">
        <v>849</v>
      </c>
      <c r="AE157">
        <v>44.306570828106</v>
      </c>
      <c r="AF157">
        <v>38.1509693103735</v>
      </c>
      <c r="AG157">
        <v>13149.024</v>
      </c>
      <c r="AH157">
        <v>16.44</v>
      </c>
      <c r="AI157">
        <v>582720000000</v>
      </c>
    </row>
    <row r="158" ht="28.8" spans="1:35">
      <c r="A158" s="58" t="s">
        <v>1092</v>
      </c>
      <c r="B158" s="59" t="s">
        <v>24</v>
      </c>
      <c r="C158" s="60" t="str">
        <v>Tata Steel Ltd</v>
      </c>
      <c r="D158" s="68">
        <f>([1]Mediator!D158)/100</f>
        <v>0.00933348678887878</v>
      </c>
      <c r="E158" s="62">
        <f t="shared" si="4"/>
        <v>0.00388895282869949</v>
      </c>
      <c r="F158" s="60" t="str">
        <v>Materials</v>
      </c>
      <c r="G158" s="62">
        <f t="shared" si="5"/>
        <v>0.00388895282869949</v>
      </c>
      <c r="H158" s="60"/>
      <c r="J158" s="6"/>
      <c r="M158" s="58" t="s">
        <v>1025</v>
      </c>
      <c r="N158" s="67" t="s">
        <v>44</v>
      </c>
      <c r="O158" s="60" t="str">
        <v>Nestle India Ltd</v>
      </c>
      <c r="P158" s="68">
        <v>0.00140405088942347</v>
      </c>
      <c r="Q158" s="62">
        <f>P158*VLOOKUP(N158,'Selector Sheet '!$B$13:$D$43,2,FALSE)</f>
        <v>0</v>
      </c>
      <c r="R158" s="60" t="str">
        <v>Consumer Staples</v>
      </c>
      <c r="S158" s="62">
        <f>P158*VLOOKUP(N158,'Selector Sheet '!$B$13:$D$43,2,FALSE)</f>
        <v>0</v>
      </c>
      <c r="T158" s="60"/>
      <c r="X158" s="60" t="str">
        <v>INE095A01012</v>
      </c>
      <c r="Z158" s="58" t="s">
        <v>1092</v>
      </c>
      <c r="AB158" t="s">
        <v>1191</v>
      </c>
      <c r="AC158" t="s">
        <v>1224</v>
      </c>
      <c r="AD158" t="s">
        <v>867</v>
      </c>
      <c r="AE158">
        <v>60.9189208041747</v>
      </c>
      <c r="AF158">
        <v>1.5390905692905</v>
      </c>
      <c r="AG158">
        <v>25754.16</v>
      </c>
      <c r="AH158">
        <v>33.07</v>
      </c>
      <c r="AI158">
        <v>614597177420.8</v>
      </c>
    </row>
    <row r="159" ht="28.8" spans="1:35">
      <c r="A159" s="63" t="s">
        <v>1095</v>
      </c>
      <c r="B159" s="59" t="s">
        <v>24</v>
      </c>
      <c r="C159" s="60" t="str">
        <v>Tech Mahindra Ltd</v>
      </c>
      <c r="D159" s="70">
        <f>([1]Mediator!D159)/100</f>
        <v>0.00293605935167698</v>
      </c>
      <c r="E159" s="62">
        <f t="shared" si="4"/>
        <v>0.00122335806319874</v>
      </c>
      <c r="F159" s="60" t="str">
        <v>Information Technology</v>
      </c>
      <c r="G159" s="62">
        <f t="shared" si="5"/>
        <v>0.00122335806319874</v>
      </c>
      <c r="H159" s="60"/>
      <c r="J159" s="6"/>
      <c r="M159" s="63" t="s">
        <v>1028</v>
      </c>
      <c r="N159" s="69" t="s">
        <v>44</v>
      </c>
      <c r="O159" s="60" t="str">
        <v>NTPC Ltd</v>
      </c>
      <c r="P159" s="70">
        <v>0.0134000282794821</v>
      </c>
      <c r="Q159" s="62">
        <f>P159*VLOOKUP(N159,'Selector Sheet '!$B$13:$D$43,2,FALSE)</f>
        <v>0</v>
      </c>
      <c r="R159" s="60" t="str">
        <v>Utilities</v>
      </c>
      <c r="S159" s="62">
        <f>P159*VLOOKUP(N159,'Selector Sheet '!$B$13:$D$43,2,FALSE)</f>
        <v>0</v>
      </c>
      <c r="T159" s="60"/>
      <c r="X159" s="60" t="str">
        <v>INE0Q9301021</v>
      </c>
      <c r="Z159" s="63" t="s">
        <v>1095</v>
      </c>
      <c r="AB159" t="s">
        <v>1225</v>
      </c>
      <c r="AC159" t="s">
        <v>1226</v>
      </c>
      <c r="AD159" t="s">
        <v>849</v>
      </c>
      <c r="AE159">
        <v>31.6061463879917</v>
      </c>
      <c r="AF159" t="s">
        <v>860</v>
      </c>
      <c r="AG159">
        <v>4272.9</v>
      </c>
      <c r="AH159">
        <v>10.74</v>
      </c>
      <c r="AI159">
        <v>146696608807.2</v>
      </c>
    </row>
    <row r="160" ht="28.8" spans="1:35">
      <c r="A160" s="58" t="s">
        <v>1100</v>
      </c>
      <c r="B160" s="59" t="s">
        <v>24</v>
      </c>
      <c r="C160" s="60" t="str">
        <v>Indian Hotels Co Ltd/The</v>
      </c>
      <c r="D160" s="68">
        <f>([1]Mediator!D160)/100</f>
        <v>0.0118652412041841</v>
      </c>
      <c r="E160" s="62">
        <f t="shared" si="4"/>
        <v>0.00494385050174337</v>
      </c>
      <c r="F160" s="60" t="str">
        <v>Consumer Discretionary</v>
      </c>
      <c r="G160" s="62">
        <f t="shared" si="5"/>
        <v>0.00494385050174337</v>
      </c>
      <c r="H160" s="60"/>
      <c r="J160" s="6"/>
      <c r="M160" s="58" t="s">
        <v>1227</v>
      </c>
      <c r="N160" s="67" t="s">
        <v>44</v>
      </c>
      <c r="O160" s="60" t="str">
        <v>Oil &amp; Natural Gas Corp Ltd</v>
      </c>
      <c r="P160" s="68">
        <v>0.00321974959691885</v>
      </c>
      <c r="Q160" s="62">
        <f>P160*VLOOKUP(N160,'Selector Sheet '!$B$13:$D$43,2,FALSE)</f>
        <v>0</v>
      </c>
      <c r="R160" s="60" t="str">
        <v>Energy</v>
      </c>
      <c r="S160" s="62">
        <f>P160*VLOOKUP(N160,'Selector Sheet '!$B$13:$D$43,2,FALSE)</f>
        <v>0</v>
      </c>
      <c r="T160" s="60"/>
      <c r="X160" s="60" t="str">
        <v>INE220B01022</v>
      </c>
      <c r="Z160" s="58" t="s">
        <v>1100</v>
      </c>
      <c r="AB160" t="s">
        <v>1203</v>
      </c>
      <c r="AC160" t="s">
        <v>1228</v>
      </c>
      <c r="AD160" t="s">
        <v>849</v>
      </c>
      <c r="AE160">
        <v>36.6211912721904</v>
      </c>
      <c r="AF160">
        <v>10.0537964797122</v>
      </c>
      <c r="AG160">
        <v>5857</v>
      </c>
      <c r="AH160">
        <v>34.297082</v>
      </c>
      <c r="AI160">
        <v>214490317776</v>
      </c>
    </row>
    <row r="161" ht="28.8" spans="1:35">
      <c r="A161" s="63" t="s">
        <v>1117</v>
      </c>
      <c r="B161" s="59" t="s">
        <v>24</v>
      </c>
      <c r="C161" s="60" t="str">
        <v>Titan Co Ltd</v>
      </c>
      <c r="D161" s="70">
        <f>([1]Mediator!D161)/100</f>
        <v>0.0135422405923265</v>
      </c>
      <c r="E161" s="62">
        <f t="shared" si="4"/>
        <v>0.00564260024680271</v>
      </c>
      <c r="F161" s="60" t="str">
        <v>Consumer Discretionary</v>
      </c>
      <c r="G161" s="62">
        <f t="shared" si="5"/>
        <v>0.00564260024680271</v>
      </c>
      <c r="H161" s="60"/>
      <c r="J161" s="6"/>
      <c r="M161" s="63" t="s">
        <v>1043</v>
      </c>
      <c r="N161" s="69" t="s">
        <v>44</v>
      </c>
      <c r="O161" s="60" t="str">
        <v>PI Industries Ltd</v>
      </c>
      <c r="P161" s="70">
        <v>0.013524215469883</v>
      </c>
      <c r="Q161" s="62">
        <f>P161*VLOOKUP(N161,'Selector Sheet '!$B$13:$D$43,2,FALSE)</f>
        <v>0</v>
      </c>
      <c r="R161" s="60" t="str">
        <v>Materials</v>
      </c>
      <c r="S161" s="62">
        <f>P161*VLOOKUP(N161,'Selector Sheet '!$B$13:$D$43,2,FALSE)</f>
        <v>0</v>
      </c>
      <c r="T161" s="60"/>
      <c r="X161" s="60" t="str">
        <v>INE999A01023</v>
      </c>
      <c r="Z161" s="63" t="s">
        <v>1117</v>
      </c>
      <c r="AB161" t="s">
        <v>1229</v>
      </c>
      <c r="AC161" t="s">
        <v>1230</v>
      </c>
      <c r="AD161" t="s">
        <v>849</v>
      </c>
      <c r="AE161">
        <v>55.7348795916293</v>
      </c>
      <c r="AF161">
        <v>17.757589086626</v>
      </c>
      <c r="AG161">
        <v>2474.75</v>
      </c>
      <c r="AH161">
        <v>14.22</v>
      </c>
      <c r="AI161">
        <v>137934783811</v>
      </c>
    </row>
    <row r="162" ht="28.8" spans="1:35">
      <c r="A162" s="58" t="s">
        <v>1177</v>
      </c>
      <c r="B162" s="59" t="s">
        <v>24</v>
      </c>
      <c r="C162" s="60" t="str">
        <v>Torrent Pharmaceuticals Ltd</v>
      </c>
      <c r="D162" s="68">
        <f>([1]Mediator!D162)/100</f>
        <v>0.0132213577572019</v>
      </c>
      <c r="E162" s="62">
        <f t="shared" si="4"/>
        <v>0.00550889906550079</v>
      </c>
      <c r="F162" s="60" t="str">
        <v>Health Care</v>
      </c>
      <c r="G162" s="62">
        <f t="shared" si="5"/>
        <v>0.00550889906550079</v>
      </c>
      <c r="H162" s="60"/>
      <c r="J162" s="6"/>
      <c r="M162" s="58" t="s">
        <v>1046</v>
      </c>
      <c r="N162" s="67" t="s">
        <v>44</v>
      </c>
      <c r="O162" s="60" t="str">
        <v>Pidilite Industries Ltd</v>
      </c>
      <c r="P162" s="68">
        <v>0.00392178273819778</v>
      </c>
      <c r="Q162" s="62">
        <f>P162*VLOOKUP(N162,'Selector Sheet '!$B$13:$D$43,2,FALSE)</f>
        <v>0</v>
      </c>
      <c r="R162" s="60" t="str">
        <v>Materials</v>
      </c>
      <c r="S162" s="62">
        <f>P162*VLOOKUP(N162,'Selector Sheet '!$B$13:$D$43,2,FALSE)</f>
        <v>0</v>
      </c>
      <c r="T162" s="60"/>
      <c r="X162" s="60" t="str">
        <v>INE115A01026</v>
      </c>
      <c r="Z162" s="58" t="s">
        <v>1177</v>
      </c>
      <c r="AB162" t="s">
        <v>1208</v>
      </c>
      <c r="AC162" t="s">
        <v>1231</v>
      </c>
      <c r="AD162" t="s">
        <v>867</v>
      </c>
      <c r="AE162">
        <v>5.80141473262222</v>
      </c>
      <c r="AF162">
        <v>16.0470422072154</v>
      </c>
      <c r="AG162">
        <v>54422.3</v>
      </c>
      <c r="AH162">
        <v>98.95</v>
      </c>
      <c r="AI162">
        <v>315763665150</v>
      </c>
    </row>
    <row r="163" ht="28.8" spans="1:35">
      <c r="A163" s="63" t="s">
        <v>1103</v>
      </c>
      <c r="B163" s="59" t="s">
        <v>24</v>
      </c>
      <c r="C163" s="60" t="str">
        <v>Trent Ltd</v>
      </c>
      <c r="D163" s="70">
        <f>([1]Mediator!D163)/100</f>
        <v>0.00798613482865657</v>
      </c>
      <c r="E163" s="62">
        <f t="shared" si="4"/>
        <v>0.0033275561786069</v>
      </c>
      <c r="F163" s="60" t="str">
        <v>Consumer Discretionary</v>
      </c>
      <c r="G163" s="62">
        <f t="shared" si="5"/>
        <v>0.0033275561786069</v>
      </c>
      <c r="H163" s="60"/>
      <c r="J163" s="6"/>
      <c r="M163" s="63" t="s">
        <v>1232</v>
      </c>
      <c r="N163" s="69" t="s">
        <v>44</v>
      </c>
      <c r="O163" s="60" t="str">
        <v>Polycab India Ltd</v>
      </c>
      <c r="P163" s="70">
        <v>0.00690294644847989</v>
      </c>
      <c r="Q163" s="62">
        <f>P163*VLOOKUP(N163,'Selector Sheet '!$B$13:$D$43,2,FALSE)</f>
        <v>0</v>
      </c>
      <c r="R163" s="60" t="str">
        <v>Industrials</v>
      </c>
      <c r="S163" s="62">
        <f>P163*VLOOKUP(N163,'Selector Sheet '!$B$13:$D$43,2,FALSE)</f>
        <v>0</v>
      </c>
      <c r="T163" s="60"/>
      <c r="X163" s="60" t="str">
        <v>INE774D01024</v>
      </c>
      <c r="Z163" s="63" t="s">
        <v>1103</v>
      </c>
      <c r="AB163" t="s">
        <v>1018</v>
      </c>
      <c r="AC163" t="s">
        <v>1233</v>
      </c>
      <c r="AD163" t="s">
        <v>867</v>
      </c>
      <c r="AE163">
        <v>14.9282928363923</v>
      </c>
      <c r="AF163">
        <v>10.9103818829015</v>
      </c>
      <c r="AG163">
        <v>22618.7</v>
      </c>
      <c r="AH163">
        <v>17.82521344</v>
      </c>
      <c r="AI163">
        <v>369871325676</v>
      </c>
    </row>
    <row r="164" ht="28.8" spans="1:35">
      <c r="A164" s="58" t="s">
        <v>1105</v>
      </c>
      <c r="B164" s="59" t="s">
        <v>24</v>
      </c>
      <c r="C164" s="60" t="str">
        <v>TVS Motor Co Ltd</v>
      </c>
      <c r="D164" s="68">
        <f>([1]Mediator!D164)/100</f>
        <v>0.00953314640695793</v>
      </c>
      <c r="E164" s="62">
        <f t="shared" si="4"/>
        <v>0.00397214433623247</v>
      </c>
      <c r="F164" s="60" t="str">
        <v>Consumer Discretionary</v>
      </c>
      <c r="G164" s="62">
        <f t="shared" si="5"/>
        <v>0.00397214433623247</v>
      </c>
      <c r="H164" s="60"/>
      <c r="J164" s="6"/>
      <c r="M164" s="58" t="s">
        <v>1056</v>
      </c>
      <c r="N164" s="67" t="s">
        <v>44</v>
      </c>
      <c r="O164" s="60" t="str">
        <v>Power Finance Corp Ltd</v>
      </c>
      <c r="P164" s="68">
        <v>0.0010454539697486</v>
      </c>
      <c r="Q164" s="62">
        <f>P164*VLOOKUP(N164,'Selector Sheet '!$B$13:$D$43,2,FALSE)</f>
        <v>0</v>
      </c>
      <c r="R164" s="60" t="str">
        <v>Financials</v>
      </c>
      <c r="S164" s="62">
        <f>P164*VLOOKUP(N164,'Selector Sheet '!$B$13:$D$43,2,FALSE)</f>
        <v>0</v>
      </c>
      <c r="T164" s="60"/>
      <c r="X164" s="60" t="str">
        <v>INE0FS801015</v>
      </c>
      <c r="Z164" s="58" t="s">
        <v>1105</v>
      </c>
      <c r="AB164" t="s">
        <v>1219</v>
      </c>
      <c r="AC164" t="s">
        <v>1234</v>
      </c>
      <c r="AD164" t="s">
        <v>874</v>
      </c>
      <c r="AE164">
        <v>46.5480010986328</v>
      </c>
      <c r="AF164" t="s">
        <v>860</v>
      </c>
      <c r="AG164">
        <v>6058.6</v>
      </c>
      <c r="AH164">
        <v>0.913333333333333</v>
      </c>
      <c r="AI164">
        <v>257242165023.42</v>
      </c>
    </row>
    <row r="165" ht="28.8" spans="1:35">
      <c r="A165" s="63" t="s">
        <v>1107</v>
      </c>
      <c r="B165" s="59" t="s">
        <v>24</v>
      </c>
      <c r="C165" s="60" t="str">
        <v>UltraTech Cement Ltd</v>
      </c>
      <c r="D165" s="70">
        <f>([1]Mediator!D165)/100</f>
        <v>0.00384231093275497</v>
      </c>
      <c r="E165" s="62">
        <f t="shared" si="4"/>
        <v>0.0016009628886479</v>
      </c>
      <c r="F165" s="60" t="str">
        <v>Materials</v>
      </c>
      <c r="G165" s="62">
        <f t="shared" si="5"/>
        <v>0.0016009628886479</v>
      </c>
      <c r="H165" s="60"/>
      <c r="J165" s="6"/>
      <c r="M165" s="63" t="s">
        <v>1059</v>
      </c>
      <c r="N165" s="69" t="s">
        <v>44</v>
      </c>
      <c r="O165" s="60" t="str">
        <v>Power Grid Corp of India Ltd</v>
      </c>
      <c r="P165" s="70">
        <v>0.00434219540699719</v>
      </c>
      <c r="Q165" s="62">
        <f>P165*VLOOKUP(N165,'Selector Sheet '!$B$13:$D$43,2,FALSE)</f>
        <v>0</v>
      </c>
      <c r="R165" s="60" t="str">
        <v>Utilities</v>
      </c>
      <c r="S165" s="62">
        <f>P165*VLOOKUP(N165,'Selector Sheet '!$B$13:$D$43,2,FALSE)</f>
        <v>0</v>
      </c>
      <c r="T165" s="60"/>
      <c r="X165" s="60" t="str">
        <v>INE883A01011</v>
      </c>
      <c r="Z165" s="63" t="s">
        <v>1107</v>
      </c>
      <c r="AB165" t="s">
        <v>1235</v>
      </c>
      <c r="AC165" t="s">
        <v>1236</v>
      </c>
      <c r="AD165" t="s">
        <v>874</v>
      </c>
      <c r="AE165">
        <v>31.8166148658289</v>
      </c>
      <c r="AF165">
        <v>10.6235463443535</v>
      </c>
      <c r="AG165">
        <v>18692.9</v>
      </c>
      <c r="AH165">
        <v>4408.70283</v>
      </c>
      <c r="AI165">
        <v>594905128610</v>
      </c>
    </row>
    <row r="166" ht="28.8" spans="1:35">
      <c r="A166" s="58" t="s">
        <v>1112</v>
      </c>
      <c r="B166" s="59" t="s">
        <v>24</v>
      </c>
      <c r="C166" s="60" t="str">
        <v>United Spirits Ltd</v>
      </c>
      <c r="D166" s="68">
        <f>([1]Mediator!D166)/100</f>
        <v>0.0265894218764273</v>
      </c>
      <c r="E166" s="62">
        <f t="shared" si="4"/>
        <v>0.0110789257818447</v>
      </c>
      <c r="F166" s="60" t="str">
        <v>Consumer Staples</v>
      </c>
      <c r="G166" s="62">
        <f t="shared" si="5"/>
        <v>0.0110789257818447</v>
      </c>
      <c r="H166" s="60"/>
      <c r="J166" s="6"/>
      <c r="M166" s="58" t="s">
        <v>1067</v>
      </c>
      <c r="N166" s="67" t="s">
        <v>44</v>
      </c>
      <c r="O166" s="60" t="str">
        <v>REC Ltd</v>
      </c>
      <c r="P166" s="68">
        <v>0.00263264467569909</v>
      </c>
      <c r="Q166" s="62">
        <f>P166*VLOOKUP(N166,'Selector Sheet '!$B$13:$D$43,2,FALSE)</f>
        <v>0</v>
      </c>
      <c r="R166" s="60" t="str">
        <v>Financials</v>
      </c>
      <c r="S166" s="62">
        <f>P166*VLOOKUP(N166,'Selector Sheet '!$B$13:$D$43,2,FALSE)</f>
        <v>0</v>
      </c>
      <c r="T166" s="60"/>
      <c r="X166" s="60" t="str">
        <v>INE868B01028</v>
      </c>
      <c r="Z166" s="58" t="s">
        <v>1112</v>
      </c>
      <c r="AB166" t="s">
        <v>1237</v>
      </c>
      <c r="AC166" t="s">
        <v>1238</v>
      </c>
      <c r="AD166" t="s">
        <v>849</v>
      </c>
      <c r="AE166">
        <v>16.8070444104135</v>
      </c>
      <c r="AF166">
        <v>11.7432632859738</v>
      </c>
      <c r="AG166">
        <v>8198.8</v>
      </c>
      <c r="AH166">
        <v>13.06</v>
      </c>
      <c r="AI166">
        <v>137812326066</v>
      </c>
    </row>
    <row r="167" ht="28.8" spans="1:35">
      <c r="A167" s="63" t="s">
        <v>1115</v>
      </c>
      <c r="B167" s="59" t="s">
        <v>24</v>
      </c>
      <c r="C167" s="60" t="str">
        <v>UNO Minda Ltd</v>
      </c>
      <c r="D167" s="70">
        <f>([1]Mediator!D167)/100</f>
        <v>0.010169786192269</v>
      </c>
      <c r="E167" s="62">
        <f t="shared" si="4"/>
        <v>0.00423741091344542</v>
      </c>
      <c r="F167" s="60" t="str">
        <v>Consumer Discretionary</v>
      </c>
      <c r="G167" s="62">
        <f t="shared" si="5"/>
        <v>0.00423741091344542</v>
      </c>
      <c r="H167" s="60"/>
      <c r="J167" s="6"/>
      <c r="M167" s="63" t="s">
        <v>1070</v>
      </c>
      <c r="N167" s="69" t="s">
        <v>44</v>
      </c>
      <c r="O167" s="60" t="str">
        <v>Reliance Industries Ltd</v>
      </c>
      <c r="P167" s="70">
        <v>0.0337557475824665</v>
      </c>
      <c r="Q167" s="62">
        <f>P167*VLOOKUP(N167,'Selector Sheet '!$B$13:$D$43,2,FALSE)</f>
        <v>0</v>
      </c>
      <c r="R167" s="60" t="str">
        <v>Energy</v>
      </c>
      <c r="S167" s="62">
        <f>P167*VLOOKUP(N167,'Selector Sheet '!$B$13:$D$43,2,FALSE)</f>
        <v>0</v>
      </c>
      <c r="T167" s="60"/>
      <c r="X167" s="60" t="str">
        <v>INE584A01023</v>
      </c>
      <c r="Z167" s="63" t="s">
        <v>1115</v>
      </c>
      <c r="AB167" t="s">
        <v>1239</v>
      </c>
      <c r="AC167" t="s">
        <v>1240</v>
      </c>
      <c r="AD167" t="s">
        <v>859</v>
      </c>
      <c r="AE167">
        <v>9.3562988739544</v>
      </c>
      <c r="AF167">
        <v>23.6378775924918</v>
      </c>
      <c r="AG167">
        <v>65419.8</v>
      </c>
      <c r="AH167">
        <v>7.440987</v>
      </c>
      <c r="AI167">
        <v>612174256006.5</v>
      </c>
    </row>
    <row r="168" ht="28.8" spans="1:35">
      <c r="A168" s="58" t="s">
        <v>1118</v>
      </c>
      <c r="B168" s="59" t="s">
        <v>24</v>
      </c>
      <c r="C168" s="60" t="str">
        <v>Varun Beverages Ltd</v>
      </c>
      <c r="D168" s="68">
        <f>([1]Mediator!D168)/100</f>
        <v>0.00749878568029614</v>
      </c>
      <c r="E168" s="62">
        <f t="shared" si="4"/>
        <v>0.00312449403345672</v>
      </c>
      <c r="F168" s="60" t="str">
        <v>Consumer Staples</v>
      </c>
      <c r="G168" s="62">
        <f t="shared" si="5"/>
        <v>0.00312449403345672</v>
      </c>
      <c r="H168" s="60"/>
      <c r="J168" s="6"/>
      <c r="M168" s="58" t="s">
        <v>1241</v>
      </c>
      <c r="N168" s="67" t="s">
        <v>44</v>
      </c>
      <c r="O168" s="60" t="str">
        <v>Rhi Magnesita India Ltd</v>
      </c>
      <c r="P168" s="68">
        <v>0.000644159573874301</v>
      </c>
      <c r="Q168" s="62">
        <f>P168*VLOOKUP(N168,'Selector Sheet '!$B$13:$D$43,2,FALSE)</f>
        <v>0</v>
      </c>
      <c r="R168" s="60" t="str">
        <v>Materials</v>
      </c>
      <c r="S168" s="62">
        <f>P168*VLOOKUP(N168,'Selector Sheet '!$B$13:$D$43,2,FALSE)</f>
        <v>0</v>
      </c>
      <c r="T168" s="60"/>
      <c r="X168" s="60" t="str">
        <v>INE118D01016</v>
      </c>
      <c r="Z168" s="58" t="s">
        <v>1118</v>
      </c>
      <c r="AB168" t="s">
        <v>1242</v>
      </c>
      <c r="AC168" t="s">
        <v>1243</v>
      </c>
      <c r="AD168" t="s">
        <v>859</v>
      </c>
      <c r="AE168">
        <v>749.098380667264</v>
      </c>
      <c r="AF168">
        <v>0.242857714735592</v>
      </c>
      <c r="AG168">
        <v>218.4</v>
      </c>
      <c r="AH168">
        <v>0.61</v>
      </c>
      <c r="AI168">
        <v>163202504113.35</v>
      </c>
    </row>
    <row r="169" spans="1:35">
      <c r="A169" s="63" t="s">
        <v>1128</v>
      </c>
      <c r="B169" t="s">
        <v>27</v>
      </c>
      <c r="C169" s="60" t="str">
        <v>ACC Ltd</v>
      </c>
      <c r="D169" s="64">
        <v>0.00733343136029014</v>
      </c>
      <c r="E169" s="62">
        <f t="shared" si="4"/>
        <v>0</v>
      </c>
      <c r="F169" s="60" t="str">
        <v>Materials</v>
      </c>
      <c r="G169" s="62">
        <f t="shared" si="5"/>
        <v>0</v>
      </c>
      <c r="H169" s="60"/>
      <c r="J169" s="6"/>
      <c r="M169" s="63" t="s">
        <v>1244</v>
      </c>
      <c r="N169" s="69" t="s">
        <v>44</v>
      </c>
      <c r="O169" s="60" t="str">
        <v>RR Kabel Ltd</v>
      </c>
      <c r="P169" s="70">
        <v>0.00262556845181529</v>
      </c>
      <c r="Q169" s="62">
        <f>P169*VLOOKUP(N169,'Selector Sheet '!$B$13:$D$43,2,FALSE)</f>
        <v>0</v>
      </c>
      <c r="R169" s="60" t="str">
        <v>Industrials</v>
      </c>
      <c r="S169" s="62">
        <f>P169*VLOOKUP(N169,'Selector Sheet '!$B$13:$D$43,2,FALSE)</f>
        <v>0</v>
      </c>
      <c r="T169" s="60"/>
      <c r="X169" s="60" t="str">
        <v>INE213A01029</v>
      </c>
      <c r="Z169" s="63" t="s">
        <v>1128</v>
      </c>
      <c r="AB169" t="s">
        <v>1227</v>
      </c>
      <c r="AC169" t="s">
        <v>1245</v>
      </c>
      <c r="AD169" t="s">
        <v>1037</v>
      </c>
      <c r="AE169">
        <v>8.19756931728787</v>
      </c>
      <c r="AF169">
        <v>10.6465951607724</v>
      </c>
      <c r="AG169">
        <v>362256.1</v>
      </c>
      <c r="AH169">
        <v>28.8</v>
      </c>
      <c r="AI169">
        <v>2970078117744.54</v>
      </c>
    </row>
    <row r="170" spans="1:35">
      <c r="A170" s="58" t="s">
        <v>1183</v>
      </c>
      <c r="B170" t="s">
        <v>27</v>
      </c>
      <c r="C170" s="60" t="str">
        <v>AIA Engineering Ltd</v>
      </c>
      <c r="D170" s="61">
        <v>0.0164245262857395</v>
      </c>
      <c r="E170" s="62">
        <f t="shared" si="4"/>
        <v>0</v>
      </c>
      <c r="F170" s="60" t="str">
        <v>Industrials</v>
      </c>
      <c r="G170" s="62">
        <f t="shared" si="5"/>
        <v>0</v>
      </c>
      <c r="H170" s="60"/>
      <c r="J170" s="6"/>
      <c r="M170" s="58" t="s">
        <v>1055</v>
      </c>
      <c r="N170" s="67" t="s">
        <v>44</v>
      </c>
      <c r="O170" s="60" t="str">
        <v>Samvardhana Motherson Internat</v>
      </c>
      <c r="P170" s="68">
        <v>0.011058013677827</v>
      </c>
      <c r="Q170" s="62">
        <f>P170*VLOOKUP(N170,'Selector Sheet '!$B$13:$D$43,2,FALSE)</f>
        <v>0</v>
      </c>
      <c r="R170" s="60" t="str">
        <v>Consumer Discretionary</v>
      </c>
      <c r="S170" s="62">
        <f>P170*VLOOKUP(N170,'Selector Sheet '!$B$13:$D$43,2,FALSE)</f>
        <v>0</v>
      </c>
      <c r="T170" s="60"/>
      <c r="X170" s="60" t="str">
        <v>INE142Z01019</v>
      </c>
      <c r="Z170" s="58" t="s">
        <v>1183</v>
      </c>
      <c r="AB170" t="s">
        <v>1246</v>
      </c>
      <c r="AC170" t="s">
        <v>1247</v>
      </c>
      <c r="AD170" t="s">
        <v>874</v>
      </c>
      <c r="AE170">
        <v>54.3589743589744</v>
      </c>
      <c r="AF170">
        <v>12.4824673912228</v>
      </c>
      <c r="AG170">
        <v>832.1</v>
      </c>
      <c r="AH170">
        <v>3.9</v>
      </c>
      <c r="AI170">
        <v>45233570588</v>
      </c>
    </row>
    <row r="171" spans="1:35">
      <c r="A171" s="63" t="s">
        <v>1185</v>
      </c>
      <c r="B171" t="s">
        <v>27</v>
      </c>
      <c r="C171" s="60" t="str">
        <v>Alkem Laboratories Ltd</v>
      </c>
      <c r="D171" s="64">
        <v>0.0321450132204415</v>
      </c>
      <c r="E171" s="62">
        <f t="shared" si="4"/>
        <v>0</v>
      </c>
      <c r="F171" s="60" t="str">
        <v>Health Care</v>
      </c>
      <c r="G171" s="62">
        <f t="shared" si="5"/>
        <v>0</v>
      </c>
      <c r="H171" s="60"/>
      <c r="J171" s="6"/>
      <c r="M171" s="63" t="s">
        <v>1174</v>
      </c>
      <c r="N171" s="69" t="s">
        <v>44</v>
      </c>
      <c r="O171" s="60" t="str">
        <v>SBI Life Insurance Co Ltd</v>
      </c>
      <c r="P171" s="70">
        <v>0.0100625781589985</v>
      </c>
      <c r="Q171" s="62">
        <f>P171*VLOOKUP(N171,'Selector Sheet '!$B$13:$D$43,2,FALSE)</f>
        <v>0</v>
      </c>
      <c r="R171" s="60" t="str">
        <v>Financials</v>
      </c>
      <c r="S171" s="62">
        <f>P171*VLOOKUP(N171,'Selector Sheet '!$B$13:$D$43,2,FALSE)</f>
        <v>0</v>
      </c>
      <c r="T171" s="60"/>
      <c r="X171" s="60" t="str">
        <v>INE726V01018</v>
      </c>
      <c r="Z171" s="63" t="s">
        <v>1185</v>
      </c>
      <c r="AB171" t="s">
        <v>1248</v>
      </c>
      <c r="AC171" t="s">
        <v>1249</v>
      </c>
      <c r="AD171" t="s">
        <v>874</v>
      </c>
      <c r="AE171">
        <v>32.2627737226277</v>
      </c>
      <c r="AF171">
        <v>17.9476554161996</v>
      </c>
      <c r="AG171">
        <v>1670.299</v>
      </c>
      <c r="AH171">
        <v>13.7</v>
      </c>
      <c r="AI171">
        <v>53871622116</v>
      </c>
    </row>
    <row r="172" spans="1:35">
      <c r="A172" s="58" t="s">
        <v>1137</v>
      </c>
      <c r="B172" t="s">
        <v>27</v>
      </c>
      <c r="C172" s="60" t="str">
        <v>Asian Paints Ltd</v>
      </c>
      <c r="D172" s="61">
        <v>0.00634938857926248</v>
      </c>
      <c r="E172" s="62">
        <f t="shared" si="4"/>
        <v>0</v>
      </c>
      <c r="F172" s="60" t="str">
        <v>Materials</v>
      </c>
      <c r="G172" s="62">
        <f t="shared" si="5"/>
        <v>0</v>
      </c>
      <c r="H172" s="60"/>
      <c r="J172" s="6"/>
      <c r="M172" s="58" t="s">
        <v>1063</v>
      </c>
      <c r="N172" s="67" t="s">
        <v>44</v>
      </c>
      <c r="O172" s="60" t="str">
        <v>Siemens Energy India Ltd</v>
      </c>
      <c r="P172" s="68">
        <v>0.000869622813434818</v>
      </c>
      <c r="Q172" s="62">
        <f>P172*VLOOKUP(N172,'Selector Sheet '!$B$13:$D$43,2,FALSE)</f>
        <v>0</v>
      </c>
      <c r="R172" s="60" t="str">
        <v>Industrials</v>
      </c>
      <c r="S172" s="62">
        <f>P172*VLOOKUP(N172,'Selector Sheet '!$B$13:$D$43,2,FALSE)</f>
        <v>0</v>
      </c>
      <c r="T172" s="60"/>
      <c r="X172" s="60" t="str">
        <v>INE179A01014</v>
      </c>
      <c r="Z172" s="58" t="s">
        <v>1137</v>
      </c>
      <c r="AB172" t="s">
        <v>1250</v>
      </c>
      <c r="AC172" t="s">
        <v>1251</v>
      </c>
      <c r="AD172" t="s">
        <v>1016</v>
      </c>
      <c r="AE172">
        <v>64.3375811493147</v>
      </c>
      <c r="AF172">
        <v>78.4501043064926</v>
      </c>
      <c r="AG172">
        <v>6750.2</v>
      </c>
      <c r="AH172">
        <v>207.95</v>
      </c>
      <c r="AI172">
        <v>434292186944</v>
      </c>
    </row>
    <row r="173" spans="1:35">
      <c r="A173" s="63" t="s">
        <v>876</v>
      </c>
      <c r="B173" t="s">
        <v>27</v>
      </c>
      <c r="C173" s="60" t="str">
        <v>Avenue Supermarts Ltd</v>
      </c>
      <c r="D173" s="64">
        <v>0.0284248822293395</v>
      </c>
      <c r="E173" s="62">
        <f t="shared" si="4"/>
        <v>0</v>
      </c>
      <c r="F173" s="60" t="str">
        <v>Consumer Staples</v>
      </c>
      <c r="G173" s="62">
        <f t="shared" si="5"/>
        <v>0</v>
      </c>
      <c r="H173" s="60"/>
      <c r="J173" s="6"/>
      <c r="M173" s="63" t="s">
        <v>1072</v>
      </c>
      <c r="N173" s="69" t="s">
        <v>44</v>
      </c>
      <c r="O173" s="60" t="str">
        <v>Sona Blw Precision Forgings Lt</v>
      </c>
      <c r="P173" s="70">
        <v>0.00366264855645015</v>
      </c>
      <c r="Q173" s="62">
        <f>P173*VLOOKUP(N173,'Selector Sheet '!$B$13:$D$43,2,FALSE)</f>
        <v>0</v>
      </c>
      <c r="R173" s="60" t="str">
        <v>Consumer Discretionary</v>
      </c>
      <c r="S173" s="62">
        <f>P173*VLOOKUP(N173,'Selector Sheet '!$B$13:$D$43,2,FALSE)</f>
        <v>0</v>
      </c>
      <c r="T173" s="60"/>
      <c r="X173" s="60" t="str">
        <v>INE855B01025</v>
      </c>
      <c r="Z173" s="63" t="s">
        <v>876</v>
      </c>
      <c r="AB173" t="s">
        <v>1252</v>
      </c>
      <c r="AC173" t="s">
        <v>1253</v>
      </c>
      <c r="AD173" t="s">
        <v>859</v>
      </c>
      <c r="AE173" t="s">
        <v>860</v>
      </c>
      <c r="AF173">
        <v>-8.07240297509356</v>
      </c>
      <c r="AG173">
        <v>-5642.69</v>
      </c>
      <c r="AH173">
        <v>-16.78</v>
      </c>
      <c r="AI173">
        <v>52839906170.9</v>
      </c>
    </row>
    <row r="174" spans="1:35">
      <c r="A174" s="58" t="s">
        <v>1189</v>
      </c>
      <c r="B174" t="s">
        <v>27</v>
      </c>
      <c r="C174" s="60" t="str">
        <v>AWL Agri Business Ltd</v>
      </c>
      <c r="D174" s="61">
        <v>0.00711853550309004</v>
      </c>
      <c r="E174" s="62">
        <f t="shared" si="4"/>
        <v>0</v>
      </c>
      <c r="F174" s="60" t="str">
        <v>Consumer Staples</v>
      </c>
      <c r="G174" s="62">
        <f t="shared" si="5"/>
        <v>0</v>
      </c>
      <c r="H174" s="60"/>
      <c r="J174" s="6"/>
      <c r="M174" s="58" t="s">
        <v>1077</v>
      </c>
      <c r="N174" s="67" t="s">
        <v>44</v>
      </c>
      <c r="O174" s="60" t="str">
        <v>State Bank of India</v>
      </c>
      <c r="P174" s="68">
        <v>0.0203813827366565</v>
      </c>
      <c r="Q174" s="62">
        <f>P174*VLOOKUP(N174,'Selector Sheet '!$B$13:$D$43,2,FALSE)</f>
        <v>0</v>
      </c>
      <c r="R174" s="60" t="str">
        <v>Financials</v>
      </c>
      <c r="S174" s="62">
        <f>P174*VLOOKUP(N174,'Selector Sheet '!$B$13:$D$43,2,FALSE)</f>
        <v>0</v>
      </c>
      <c r="T174" s="60"/>
      <c r="X174" s="60" t="str">
        <v>INE0CLI01024</v>
      </c>
      <c r="Z174" s="58" t="s">
        <v>1189</v>
      </c>
      <c r="AB174" t="s">
        <v>1254</v>
      </c>
      <c r="AC174" t="s">
        <v>1255</v>
      </c>
      <c r="AD174" t="s">
        <v>920</v>
      </c>
      <c r="AE174">
        <v>27.3434849291015</v>
      </c>
      <c r="AF174">
        <v>13.3367548308705</v>
      </c>
      <c r="AG174">
        <v>2089.29</v>
      </c>
      <c r="AH174">
        <v>17.73</v>
      </c>
      <c r="AI174">
        <v>57243910915.2</v>
      </c>
    </row>
    <row r="175" spans="1:35">
      <c r="A175" s="63" t="s">
        <v>879</v>
      </c>
      <c r="B175" t="s">
        <v>27</v>
      </c>
      <c r="C175" s="60" t="str">
        <v>Axis Bank Ltd</v>
      </c>
      <c r="D175" s="64">
        <v>0.0340240216427702</v>
      </c>
      <c r="E175" s="62">
        <f t="shared" si="4"/>
        <v>0</v>
      </c>
      <c r="F175" s="60" t="str">
        <v>Financials</v>
      </c>
      <c r="G175" s="62">
        <f t="shared" si="5"/>
        <v>0</v>
      </c>
      <c r="H175" s="60"/>
      <c r="J175" s="6"/>
      <c r="M175" s="63" t="s">
        <v>1080</v>
      </c>
      <c r="N175" s="69" t="s">
        <v>44</v>
      </c>
      <c r="O175" s="60" t="str">
        <v>Sun Pharmaceutical Industries</v>
      </c>
      <c r="P175" s="70">
        <v>0.0132841749320454</v>
      </c>
      <c r="Q175" s="62">
        <f>P175*VLOOKUP(N175,'Selector Sheet '!$B$13:$D$43,2,FALSE)</f>
        <v>0</v>
      </c>
      <c r="R175" s="60" t="str">
        <v>Health Care</v>
      </c>
      <c r="S175" s="62">
        <f>P175*VLOOKUP(N175,'Selector Sheet '!$B$13:$D$43,2,FALSE)</f>
        <v>0</v>
      </c>
      <c r="T175" s="60"/>
      <c r="X175" s="60" t="str">
        <v>INE703B01027</v>
      </c>
      <c r="Z175" s="63" t="s">
        <v>879</v>
      </c>
      <c r="AB175" t="s">
        <v>1256</v>
      </c>
      <c r="AC175" t="s">
        <v>1257</v>
      </c>
      <c r="AD175" t="s">
        <v>859</v>
      </c>
      <c r="AE175">
        <v>30.41108121577</v>
      </c>
      <c r="AF175">
        <v>16.0522938083152</v>
      </c>
      <c r="AG175">
        <v>5439.775</v>
      </c>
      <c r="AH175">
        <v>77.6</v>
      </c>
      <c r="AI175">
        <v>165410110800</v>
      </c>
    </row>
    <row r="176" spans="1:35">
      <c r="A176" s="58" t="s">
        <v>884</v>
      </c>
      <c r="B176" t="s">
        <v>27</v>
      </c>
      <c r="C176" s="60" t="str">
        <v>Bajaj Finserv Ltd</v>
      </c>
      <c r="D176" s="61">
        <v>0.0139602336927129</v>
      </c>
      <c r="E176" s="62">
        <f t="shared" si="4"/>
        <v>0</v>
      </c>
      <c r="F176" s="60" t="str">
        <v>Financials</v>
      </c>
      <c r="G176" s="62">
        <f t="shared" si="5"/>
        <v>0</v>
      </c>
      <c r="H176" s="60"/>
      <c r="J176" s="6"/>
      <c r="M176" s="58" t="s">
        <v>1086</v>
      </c>
      <c r="N176" s="67" t="s">
        <v>44</v>
      </c>
      <c r="O176" s="60" t="str">
        <v>Syngene International Ltd</v>
      </c>
      <c r="P176" s="68">
        <v>0.000272837149990738</v>
      </c>
      <c r="Q176" s="62">
        <f>P176*VLOOKUP(N176,'Selector Sheet '!$B$13:$D$43,2,FALSE)</f>
        <v>0</v>
      </c>
      <c r="R176" s="60" t="str">
        <v>Health Care</v>
      </c>
      <c r="S176" s="62">
        <f>P176*VLOOKUP(N176,'Selector Sheet '!$B$13:$D$43,2,FALSE)</f>
        <v>0</v>
      </c>
      <c r="T176" s="60"/>
      <c r="X176" s="60" t="str">
        <v>INE018E01016</v>
      </c>
      <c r="Z176" s="58" t="s">
        <v>884</v>
      </c>
      <c r="AB176" t="s">
        <v>1258</v>
      </c>
      <c r="AC176" t="s">
        <v>1259</v>
      </c>
      <c r="AD176" t="s">
        <v>867</v>
      </c>
      <c r="AE176">
        <v>40.121588695138</v>
      </c>
      <c r="AF176">
        <v>14.8181282197501</v>
      </c>
      <c r="AG176">
        <v>19164.1</v>
      </c>
      <c r="AH176">
        <v>20.15</v>
      </c>
      <c r="AI176">
        <v>769262572298.8</v>
      </c>
    </row>
    <row r="177" spans="1:35">
      <c r="A177" s="63" t="s">
        <v>1193</v>
      </c>
      <c r="B177" t="s">
        <v>27</v>
      </c>
      <c r="C177" s="60" t="str">
        <v>Balkrishna Industries Ltd</v>
      </c>
      <c r="D177" s="64">
        <v>0.0103173284133205</v>
      </c>
      <c r="E177" s="62">
        <f t="shared" si="4"/>
        <v>0</v>
      </c>
      <c r="F177" s="60" t="str">
        <v>Consumer Discretionary</v>
      </c>
      <c r="G177" s="62">
        <f t="shared" si="5"/>
        <v>0</v>
      </c>
      <c r="H177" s="60"/>
      <c r="J177" s="6"/>
      <c r="M177" s="63" t="s">
        <v>1087</v>
      </c>
      <c r="N177" s="69" t="s">
        <v>44</v>
      </c>
      <c r="O177" s="60" t="str">
        <v>Tata Consultancy Services Ltd</v>
      </c>
      <c r="P177" s="70">
        <v>0.0133573892971934</v>
      </c>
      <c r="Q177" s="62">
        <f>P177*VLOOKUP(N177,'Selector Sheet '!$B$13:$D$43,2,FALSE)</f>
        <v>0</v>
      </c>
      <c r="R177" s="60" t="str">
        <v>Information Technology</v>
      </c>
      <c r="S177" s="62">
        <f>P177*VLOOKUP(N177,'Selector Sheet '!$B$13:$D$43,2,FALSE)</f>
        <v>0</v>
      </c>
      <c r="T177" s="60"/>
      <c r="X177" s="60" t="str">
        <v>INE597I01028</v>
      </c>
      <c r="Z177" s="63" t="s">
        <v>1193</v>
      </c>
      <c r="AB177" t="s">
        <v>1260</v>
      </c>
      <c r="AC177" t="s">
        <v>1261</v>
      </c>
      <c r="AD177" t="s">
        <v>874</v>
      </c>
      <c r="AE177">
        <v>18.7111480159341</v>
      </c>
      <c r="AF177">
        <v>30.4601738531925</v>
      </c>
      <c r="AG177">
        <v>3149.193</v>
      </c>
      <c r="AH177">
        <v>54.855</v>
      </c>
      <c r="AI177">
        <v>58923269438.4</v>
      </c>
    </row>
    <row r="178" spans="1:35">
      <c r="A178" s="58" t="s">
        <v>888</v>
      </c>
      <c r="B178" t="s">
        <v>27</v>
      </c>
      <c r="C178" s="60" t="str">
        <v>Bharat Forge Ltd</v>
      </c>
      <c r="D178" s="61">
        <v>0.0122936734097833</v>
      </c>
      <c r="E178" s="62">
        <f t="shared" si="4"/>
        <v>0</v>
      </c>
      <c r="F178" s="60" t="str">
        <v>Consumer Discretionary</v>
      </c>
      <c r="G178" s="62">
        <f t="shared" si="5"/>
        <v>0</v>
      </c>
      <c r="H178" s="60"/>
      <c r="J178" s="6"/>
      <c r="M178" s="58" t="s">
        <v>1092</v>
      </c>
      <c r="N178" s="67" t="s">
        <v>44</v>
      </c>
      <c r="O178" s="60" t="str">
        <v>Tata Steel Ltd</v>
      </c>
      <c r="P178" s="68">
        <v>0.002995873389515</v>
      </c>
      <c r="Q178" s="62">
        <f>P178*VLOOKUP(N178,'Selector Sheet '!$B$13:$D$43,2,FALSE)</f>
        <v>0</v>
      </c>
      <c r="R178" s="60" t="str">
        <v>Materials</v>
      </c>
      <c r="S178" s="62">
        <f>P178*VLOOKUP(N178,'Selector Sheet '!$B$13:$D$43,2,FALSE)</f>
        <v>0</v>
      </c>
      <c r="T178" s="60"/>
      <c r="X178" s="60" t="str">
        <v>INE640A01023</v>
      </c>
      <c r="Z178" s="58" t="s">
        <v>888</v>
      </c>
      <c r="AB178" t="s">
        <v>1262</v>
      </c>
      <c r="AC178" t="s">
        <v>1263</v>
      </c>
      <c r="AD178" t="s">
        <v>849</v>
      </c>
      <c r="AE178">
        <v>39.2516426133865</v>
      </c>
      <c r="AF178">
        <v>21.4330621581905</v>
      </c>
      <c r="AG178">
        <v>5659.1</v>
      </c>
      <c r="AH178">
        <v>114.463997</v>
      </c>
      <c r="AI178">
        <v>222119823962.7</v>
      </c>
    </row>
    <row r="179" spans="1:35">
      <c r="A179" s="63" t="s">
        <v>891</v>
      </c>
      <c r="B179" t="s">
        <v>27</v>
      </c>
      <c r="C179" s="60" t="str">
        <v>Bharti Airtel Ltd</v>
      </c>
      <c r="D179" s="64">
        <v>0.005890185535152</v>
      </c>
      <c r="E179" s="62">
        <f t="shared" si="4"/>
        <v>0</v>
      </c>
      <c r="F179" s="60" t="str">
        <v>Communication Services</v>
      </c>
      <c r="G179" s="62">
        <f t="shared" si="5"/>
        <v>0</v>
      </c>
      <c r="H179" s="60"/>
      <c r="J179" s="6"/>
      <c r="M179" s="63" t="s">
        <v>1095</v>
      </c>
      <c r="N179" s="69" t="s">
        <v>44</v>
      </c>
      <c r="O179" s="60" t="str">
        <v>Tech Mahindra Ltd</v>
      </c>
      <c r="P179" s="70">
        <v>0.00315364685986384</v>
      </c>
      <c r="Q179" s="62">
        <f>P179*VLOOKUP(N179,'Selector Sheet '!$B$13:$D$43,2,FALSE)</f>
        <v>0</v>
      </c>
      <c r="R179" s="60" t="str">
        <v>Information Technology</v>
      </c>
      <c r="S179" s="62">
        <f>P179*VLOOKUP(N179,'Selector Sheet '!$B$13:$D$43,2,FALSE)</f>
        <v>0</v>
      </c>
      <c r="T179" s="60"/>
      <c r="X179" s="60" t="str">
        <v>INE575P01011</v>
      </c>
      <c r="Z179" s="63" t="s">
        <v>891</v>
      </c>
      <c r="AB179" t="s">
        <v>1264</v>
      </c>
      <c r="AC179" t="s">
        <v>1265</v>
      </c>
      <c r="AD179" t="s">
        <v>867</v>
      </c>
      <c r="AE179">
        <v>44.7211155378486</v>
      </c>
      <c r="AF179" t="s">
        <v>860</v>
      </c>
      <c r="AG179">
        <v>6458.6</v>
      </c>
      <c r="AH179">
        <v>11.01</v>
      </c>
      <c r="AI179">
        <v>263987116869</v>
      </c>
    </row>
    <row r="180" spans="1:35">
      <c r="A180" s="58" t="s">
        <v>1195</v>
      </c>
      <c r="B180" t="s">
        <v>27</v>
      </c>
      <c r="C180" s="60" t="str">
        <v>CIE Automotive India Ltd</v>
      </c>
      <c r="D180" s="61">
        <v>0.00570797036711514</v>
      </c>
      <c r="E180" s="62">
        <f t="shared" si="4"/>
        <v>0</v>
      </c>
      <c r="F180" s="60" t="str">
        <v>Consumer Discretionary</v>
      </c>
      <c r="G180" s="62">
        <f t="shared" si="5"/>
        <v>0</v>
      </c>
      <c r="H180" s="60"/>
      <c r="J180" s="6"/>
      <c r="M180" s="58" t="s">
        <v>1100</v>
      </c>
      <c r="N180" s="67" t="s">
        <v>44</v>
      </c>
      <c r="O180" s="60" t="str">
        <v>Indian Hotels Co Ltd/The</v>
      </c>
      <c r="P180" s="68">
        <v>0.00178168449841114</v>
      </c>
      <c r="Q180" s="62">
        <f>P180*VLOOKUP(N180,'Selector Sheet '!$B$13:$D$43,2,FALSE)</f>
        <v>0</v>
      </c>
      <c r="R180" s="60" t="str">
        <v>Consumer Discretionary</v>
      </c>
      <c r="S180" s="62">
        <f>P180*VLOOKUP(N180,'Selector Sheet '!$B$13:$D$43,2,FALSE)</f>
        <v>0</v>
      </c>
      <c r="T180" s="60"/>
      <c r="X180" s="60" t="str">
        <v>INE424H01027</v>
      </c>
      <c r="Z180" s="58" t="s">
        <v>1195</v>
      </c>
      <c r="AB180" t="s">
        <v>1266</v>
      </c>
      <c r="AC180" t="s">
        <v>1267</v>
      </c>
      <c r="AD180" t="s">
        <v>893</v>
      </c>
      <c r="AE180">
        <v>13.4466802635431</v>
      </c>
      <c r="AF180">
        <v>15.3532681581497</v>
      </c>
      <c r="AG180">
        <v>17029.3</v>
      </c>
      <c r="AH180">
        <v>43.23</v>
      </c>
      <c r="AI180">
        <v>229081389606</v>
      </c>
    </row>
    <row r="181" spans="1:35">
      <c r="A181" s="63" t="s">
        <v>924</v>
      </c>
      <c r="B181" t="s">
        <v>27</v>
      </c>
      <c r="C181" s="60" t="str">
        <v>Container Corp Of India Ltd</v>
      </c>
      <c r="D181" s="64">
        <v>0.00273602368324304</v>
      </c>
      <c r="E181" s="62">
        <f t="shared" si="4"/>
        <v>0</v>
      </c>
      <c r="F181" s="60" t="str">
        <v>Industrials</v>
      </c>
      <c r="G181" s="62">
        <f t="shared" si="5"/>
        <v>0</v>
      </c>
      <c r="H181" s="60"/>
      <c r="J181" s="6"/>
      <c r="M181" s="63" t="s">
        <v>1268</v>
      </c>
      <c r="N181" s="69" t="s">
        <v>44</v>
      </c>
      <c r="O181" s="60" t="str">
        <v>Phoenix Mills Ltd/The</v>
      </c>
      <c r="P181" s="70">
        <v>0.00528842831102863</v>
      </c>
      <c r="Q181" s="62">
        <f>P181*VLOOKUP(N181,'Selector Sheet '!$B$13:$D$43,2,FALSE)</f>
        <v>0</v>
      </c>
      <c r="R181" s="60" t="str">
        <v>Real Estate</v>
      </c>
      <c r="S181" s="62">
        <f>P181*VLOOKUP(N181,'Selector Sheet '!$B$13:$D$43,2,FALSE)</f>
        <v>0</v>
      </c>
      <c r="T181" s="60"/>
      <c r="X181" s="60" t="str">
        <v>INE399C01030</v>
      </c>
      <c r="Z181" s="63" t="s">
        <v>924</v>
      </c>
      <c r="AB181" t="s">
        <v>1269</v>
      </c>
      <c r="AC181" t="s">
        <v>1270</v>
      </c>
      <c r="AD181" t="s">
        <v>874</v>
      </c>
      <c r="AE181">
        <v>62.0416683620877</v>
      </c>
      <c r="AF181">
        <v>7.51323131768219</v>
      </c>
      <c r="AG181">
        <v>992.65</v>
      </c>
      <c r="AH181">
        <v>7.2</v>
      </c>
      <c r="AI181">
        <v>61269820040.1</v>
      </c>
    </row>
    <row r="182" spans="1:35">
      <c r="A182" s="58" t="s">
        <v>1197</v>
      </c>
      <c r="B182" t="s">
        <v>27</v>
      </c>
      <c r="C182" s="60" t="str">
        <v>Dabur India Ltd</v>
      </c>
      <c r="D182" s="61">
        <v>0.00945010070590449</v>
      </c>
      <c r="E182" s="62">
        <f t="shared" si="4"/>
        <v>0</v>
      </c>
      <c r="F182" s="60" t="str">
        <v>Consumer Staples</v>
      </c>
      <c r="G182" s="62">
        <f t="shared" si="5"/>
        <v>0</v>
      </c>
      <c r="H182" s="60"/>
      <c r="J182" s="6"/>
      <c r="M182" s="58" t="s">
        <v>1117</v>
      </c>
      <c r="N182" s="67" t="s">
        <v>44</v>
      </c>
      <c r="O182" s="60" t="str">
        <v>Titan Co Ltd</v>
      </c>
      <c r="P182" s="68">
        <v>0.00774476772187441</v>
      </c>
      <c r="Q182" s="62">
        <f>P182*VLOOKUP(N182,'Selector Sheet '!$B$13:$D$43,2,FALSE)</f>
        <v>0</v>
      </c>
      <c r="R182" s="60" t="str">
        <v>Consumer Discretionary</v>
      </c>
      <c r="S182" s="62">
        <f>P182*VLOOKUP(N182,'Selector Sheet '!$B$13:$D$43,2,FALSE)</f>
        <v>0</v>
      </c>
      <c r="T182" s="60"/>
      <c r="X182" s="60" t="str">
        <v>INE151A01013</v>
      </c>
      <c r="Z182" s="58" t="s">
        <v>1197</v>
      </c>
      <c r="AB182" t="s">
        <v>1271</v>
      </c>
      <c r="AC182" t="s">
        <v>1272</v>
      </c>
      <c r="AD182" t="s">
        <v>893</v>
      </c>
      <c r="AE182">
        <v>29.6721015460613</v>
      </c>
      <c r="AF182">
        <v>76.3942016686115</v>
      </c>
      <c r="AG182">
        <v>18363.6</v>
      </c>
      <c r="AH182">
        <v>64.44</v>
      </c>
      <c r="AI182">
        <v>482277000000</v>
      </c>
    </row>
    <row r="183" spans="1:35">
      <c r="A183" s="63" t="s">
        <v>1200</v>
      </c>
      <c r="B183" t="s">
        <v>27</v>
      </c>
      <c r="C183" s="60" t="str">
        <v>Divgi Torqtransfer Systems Ltd</v>
      </c>
      <c r="D183" s="64">
        <v>0.00102823505689627</v>
      </c>
      <c r="E183" s="62">
        <f t="shared" si="4"/>
        <v>0</v>
      </c>
      <c r="F183" s="60" t="str">
        <v>Consumer Discretionary</v>
      </c>
      <c r="G183" s="62">
        <f t="shared" si="5"/>
        <v>0</v>
      </c>
      <c r="H183" s="60"/>
      <c r="J183" s="6"/>
      <c r="M183" s="63" t="s">
        <v>1273</v>
      </c>
      <c r="N183" s="69" t="s">
        <v>44</v>
      </c>
      <c r="O183" s="60" t="str">
        <v>Travel Food Services Ltd</v>
      </c>
      <c r="P183" s="70">
        <v>0.00168481858225722</v>
      </c>
      <c r="Q183" s="62">
        <f>P183*VLOOKUP(N183,'Selector Sheet '!$B$13:$D$43,2,FALSE)</f>
        <v>0</v>
      </c>
      <c r="R183" s="60" t="str">
        <v>Consumer Discretionary</v>
      </c>
      <c r="S183" s="62">
        <f>P183*VLOOKUP(N183,'Selector Sheet '!$B$13:$D$43,2,FALSE)</f>
        <v>0</v>
      </c>
      <c r="T183" s="60"/>
      <c r="X183" s="60" t="str">
        <v>INE211B01039</v>
      </c>
      <c r="Z183" s="63" t="s">
        <v>1200</v>
      </c>
      <c r="AB183" t="s">
        <v>1268</v>
      </c>
      <c r="AC183" t="s">
        <v>1274</v>
      </c>
      <c r="AD183" t="s">
        <v>1034</v>
      </c>
      <c r="AE183">
        <v>53.8212840963267</v>
      </c>
      <c r="AF183">
        <v>9.88880508887409</v>
      </c>
      <c r="AG183">
        <v>9842.257</v>
      </c>
      <c r="AH183">
        <v>27.53</v>
      </c>
      <c r="AI183">
        <v>529790671858.8</v>
      </c>
    </row>
    <row r="184" spans="1:35">
      <c r="A184" s="58" t="s">
        <v>931</v>
      </c>
      <c r="B184" t="s">
        <v>27</v>
      </c>
      <c r="C184" s="60" t="str">
        <v>Dr Reddy's Laboratories Ltd</v>
      </c>
      <c r="D184" s="61">
        <v>0.00512001048381227</v>
      </c>
      <c r="E184" s="62">
        <f t="shared" si="4"/>
        <v>0</v>
      </c>
      <c r="F184" s="60" t="str">
        <v>Health Care</v>
      </c>
      <c r="G184" s="62">
        <f t="shared" si="5"/>
        <v>0</v>
      </c>
      <c r="H184" s="60"/>
      <c r="J184" s="6"/>
      <c r="M184" s="58" t="s">
        <v>1103</v>
      </c>
      <c r="N184" s="67" t="s">
        <v>44</v>
      </c>
      <c r="O184" s="60" t="str">
        <v>Trent Ltd</v>
      </c>
      <c r="P184" s="68">
        <v>0.00350875261665673</v>
      </c>
      <c r="Q184" s="62">
        <f>P184*VLOOKUP(N184,'Selector Sheet '!$B$13:$D$43,2,FALSE)</f>
        <v>0</v>
      </c>
      <c r="R184" s="60" t="str">
        <v>Consumer Discretionary</v>
      </c>
      <c r="S184" s="62">
        <f>P184*VLOOKUP(N184,'Selector Sheet '!$B$13:$D$43,2,FALSE)</f>
        <v>0</v>
      </c>
      <c r="T184" s="60"/>
      <c r="X184" s="60" t="str">
        <v>INE974X01010</v>
      </c>
      <c r="Z184" s="58" t="s">
        <v>931</v>
      </c>
      <c r="AB184" t="s">
        <v>1275</v>
      </c>
      <c r="AC184" t="s">
        <v>1276</v>
      </c>
      <c r="AD184" t="s">
        <v>874</v>
      </c>
      <c r="AE184">
        <v>87.9012373716983</v>
      </c>
      <c r="AF184">
        <v>12.6629601226994</v>
      </c>
      <c r="AG184">
        <v>6737.1</v>
      </c>
      <c r="AH184">
        <v>34.83</v>
      </c>
      <c r="AI184">
        <v>592413140024</v>
      </c>
    </row>
    <row r="185" spans="1:35">
      <c r="A185" s="63" t="s">
        <v>1164</v>
      </c>
      <c r="B185" t="s">
        <v>27</v>
      </c>
      <c r="C185" s="60" t="str">
        <v>Eicher Motors Ltd</v>
      </c>
      <c r="D185" s="64">
        <v>0.00965847935314245</v>
      </c>
      <c r="E185" s="62">
        <f t="shared" si="4"/>
        <v>0</v>
      </c>
      <c r="F185" s="60" t="str">
        <v>Consumer Discretionary</v>
      </c>
      <c r="G185" s="62">
        <f t="shared" si="5"/>
        <v>0</v>
      </c>
      <c r="H185" s="60"/>
      <c r="J185" s="6"/>
      <c r="M185" s="63" t="s">
        <v>1105</v>
      </c>
      <c r="N185" s="69" t="s">
        <v>44</v>
      </c>
      <c r="O185" s="60" t="str">
        <v>TVS Motor Co Ltd</v>
      </c>
      <c r="P185" s="70">
        <v>0.0449400403776593</v>
      </c>
      <c r="Q185" s="62">
        <f>P185*VLOOKUP(N185,'Selector Sheet '!$B$13:$D$43,2,FALSE)</f>
        <v>0</v>
      </c>
      <c r="R185" s="60" t="str">
        <v>Consumer Discretionary</v>
      </c>
      <c r="S185" s="62">
        <f>P185*VLOOKUP(N185,'Selector Sheet '!$B$13:$D$43,2,FALSE)</f>
        <v>0</v>
      </c>
      <c r="T185" s="60"/>
      <c r="X185" s="60" t="str">
        <v>INE628A01036</v>
      </c>
      <c r="Z185" s="63" t="s">
        <v>1164</v>
      </c>
      <c r="AB185" t="s">
        <v>1277</v>
      </c>
      <c r="AC185" t="s">
        <v>1278</v>
      </c>
      <c r="AD185" t="s">
        <v>859</v>
      </c>
      <c r="AE185">
        <v>57.9566146763574</v>
      </c>
      <c r="AF185">
        <v>3.14703715398379</v>
      </c>
      <c r="AG185">
        <v>8970</v>
      </c>
      <c r="AH185">
        <v>11.950318</v>
      </c>
      <c r="AI185">
        <v>585154951645.6</v>
      </c>
    </row>
    <row r="186" spans="1:35">
      <c r="A186" s="58" t="s">
        <v>1168</v>
      </c>
      <c r="B186" t="s">
        <v>27</v>
      </c>
      <c r="C186" s="60" t="str">
        <v>FSN E-Commerce Ventures Ltd</v>
      </c>
      <c r="D186" s="61">
        <v>0.0381028013658607</v>
      </c>
      <c r="E186" s="62">
        <f t="shared" si="4"/>
        <v>0</v>
      </c>
      <c r="F186" s="60" t="str">
        <v>Consumer Discretionary</v>
      </c>
      <c r="G186" s="62">
        <f t="shared" si="5"/>
        <v>0</v>
      </c>
      <c r="H186" s="60"/>
      <c r="J186" s="6"/>
      <c r="M186" s="58" t="s">
        <v>1107</v>
      </c>
      <c r="N186" s="67" t="s">
        <v>44</v>
      </c>
      <c r="O186" s="60" t="str">
        <v>UltraTech Cement Ltd</v>
      </c>
      <c r="P186" s="68">
        <v>0.00428058592587362</v>
      </c>
      <c r="Q186" s="62">
        <f>P186*VLOOKUP(N186,'Selector Sheet '!$B$13:$D$43,2,FALSE)</f>
        <v>0</v>
      </c>
      <c r="R186" s="60" t="str">
        <v>Materials</v>
      </c>
      <c r="S186" s="62">
        <f>P186*VLOOKUP(N186,'Selector Sheet '!$B$13:$D$43,2,FALSE)</f>
        <v>0</v>
      </c>
      <c r="T186" s="60"/>
      <c r="X186" s="60" t="str">
        <v>INE951I01027</v>
      </c>
      <c r="Z186" s="58" t="s">
        <v>1168</v>
      </c>
      <c r="AB186" t="s">
        <v>1279</v>
      </c>
      <c r="AC186" t="s">
        <v>1280</v>
      </c>
      <c r="AD186" t="s">
        <v>849</v>
      </c>
      <c r="AE186">
        <v>51.6945598181987</v>
      </c>
      <c r="AF186">
        <v>16.038649812758</v>
      </c>
      <c r="AG186">
        <v>3137.2</v>
      </c>
      <c r="AH186">
        <v>7.17</v>
      </c>
      <c r="AI186">
        <v>161602950030.9</v>
      </c>
    </row>
    <row r="187" spans="1:35">
      <c r="A187" s="63" t="s">
        <v>1206</v>
      </c>
      <c r="B187" t="s">
        <v>27</v>
      </c>
      <c r="C187" s="60" t="str">
        <v>Gland Pharma Ltd</v>
      </c>
      <c r="D187" s="64">
        <v>0</v>
      </c>
      <c r="E187" s="62">
        <f t="shared" si="4"/>
        <v>0</v>
      </c>
      <c r="F187" s="60" t="str">
        <v>Health Care</v>
      </c>
      <c r="G187" s="62">
        <f t="shared" si="5"/>
        <v>0</v>
      </c>
      <c r="H187" s="60"/>
      <c r="J187" s="6"/>
      <c r="M187" s="63" t="s">
        <v>1281</v>
      </c>
      <c r="N187" s="69" t="s">
        <v>44</v>
      </c>
      <c r="O187" s="60" t="str">
        <v>Vedanta Ltd</v>
      </c>
      <c r="P187" s="70">
        <v>0.00160684927789305</v>
      </c>
      <c r="Q187" s="62">
        <f>P187*VLOOKUP(N187,'Selector Sheet '!$B$13:$D$43,2,FALSE)</f>
        <v>0</v>
      </c>
      <c r="R187" s="60" t="str">
        <v>Materials</v>
      </c>
      <c r="S187" s="62">
        <f>P187*VLOOKUP(N187,'Selector Sheet '!$B$13:$D$43,2,FALSE)</f>
        <v>0</v>
      </c>
      <c r="T187" s="60"/>
      <c r="X187" s="60" t="str">
        <v>INE825V01034</v>
      </c>
      <c r="Z187" s="63" t="s">
        <v>1206</v>
      </c>
      <c r="AB187" t="s">
        <v>1282</v>
      </c>
      <c r="AC187" t="s">
        <v>1283</v>
      </c>
      <c r="AD187" t="s">
        <v>874</v>
      </c>
      <c r="AE187">
        <v>44.4343486396816</v>
      </c>
      <c r="AF187">
        <v>27.5952774372368</v>
      </c>
      <c r="AG187">
        <v>4141.72</v>
      </c>
      <c r="AH187">
        <v>17.06</v>
      </c>
      <c r="AI187">
        <v>184167810863.2</v>
      </c>
    </row>
    <row r="188" spans="1:35">
      <c r="A188" s="58" t="s">
        <v>1209</v>
      </c>
      <c r="B188" t="s">
        <v>27</v>
      </c>
      <c r="C188" s="60" t="str">
        <v>Gujarat Gas Ltd</v>
      </c>
      <c r="D188" s="61">
        <v>0.00926222438386751</v>
      </c>
      <c r="E188" s="62">
        <f t="shared" si="4"/>
        <v>0</v>
      </c>
      <c r="F188" s="60" t="str">
        <v>Utilities</v>
      </c>
      <c r="G188" s="62">
        <f t="shared" si="5"/>
        <v>0</v>
      </c>
      <c r="H188" s="60"/>
      <c r="J188" s="6"/>
      <c r="M188" s="58" t="s">
        <v>1284</v>
      </c>
      <c r="N188" s="67" t="s">
        <v>44</v>
      </c>
      <c r="O188" s="60" t="str">
        <v>Voltas Ltd</v>
      </c>
      <c r="P188" s="68">
        <v>0.00161104236770368</v>
      </c>
      <c r="Q188" s="62">
        <f>P188*VLOOKUP(N188,'Selector Sheet '!$B$13:$D$43,2,FALSE)</f>
        <v>0</v>
      </c>
      <c r="R188" s="60" t="str">
        <v>Industrials</v>
      </c>
      <c r="S188" s="62">
        <f>P188*VLOOKUP(N188,'Selector Sheet '!$B$13:$D$43,2,FALSE)</f>
        <v>0</v>
      </c>
      <c r="T188" s="60"/>
      <c r="X188" s="60" t="str">
        <v>INE205A01025</v>
      </c>
      <c r="Z188" s="58" t="s">
        <v>1209</v>
      </c>
      <c r="AB188" t="s">
        <v>1281</v>
      </c>
      <c r="AC188" t="s">
        <v>1285</v>
      </c>
      <c r="AD188" t="s">
        <v>859</v>
      </c>
      <c r="AE188">
        <v>11.6435064726625</v>
      </c>
      <c r="AF188" t="s">
        <v>860</v>
      </c>
      <c r="AG188">
        <v>149880</v>
      </c>
      <c r="AH188">
        <v>38.97</v>
      </c>
      <c r="AI188">
        <v>1703756076434.9</v>
      </c>
    </row>
    <row r="189" spans="1:35">
      <c r="A189" s="63" t="s">
        <v>1211</v>
      </c>
      <c r="B189" t="s">
        <v>27</v>
      </c>
      <c r="C189" s="60" t="str">
        <v>Gujarat Narmada Valley Fertili</v>
      </c>
      <c r="D189" s="64">
        <v>0.00458380542100733</v>
      </c>
      <c r="E189" s="62">
        <f t="shared" si="4"/>
        <v>0</v>
      </c>
      <c r="F189" s="60" t="str">
        <v>Materials</v>
      </c>
      <c r="G189" s="62">
        <f t="shared" si="5"/>
        <v>0</v>
      </c>
      <c r="H189" s="60"/>
      <c r="J189" s="6"/>
      <c r="M189" s="63" t="s">
        <v>1286</v>
      </c>
      <c r="N189" s="69" t="s">
        <v>46</v>
      </c>
      <c r="O189" s="60" t="str">
        <v>Acutaas Chemicals Ltd</v>
      </c>
      <c r="P189" s="70">
        <v>0.00295191440874888</v>
      </c>
      <c r="Q189" s="62">
        <f>P189*VLOOKUP(N189,'Selector Sheet '!$B$13:$D$43,2,FALSE)</f>
        <v>0</v>
      </c>
      <c r="R189" s="60" t="str">
        <v>Health Care</v>
      </c>
      <c r="S189" s="62">
        <f>P189*VLOOKUP(N189,'Selector Sheet '!$B$13:$D$43,2,FALSE)</f>
        <v>0</v>
      </c>
      <c r="T189" s="60"/>
      <c r="X189" s="60" t="str">
        <v>INE010B01027</v>
      </c>
      <c r="Z189" s="63" t="s">
        <v>1211</v>
      </c>
      <c r="AB189" t="s">
        <v>1123</v>
      </c>
      <c r="AC189" t="s">
        <v>1287</v>
      </c>
      <c r="AD189" t="s">
        <v>855</v>
      </c>
      <c r="AE189">
        <v>21.9435176293744</v>
      </c>
      <c r="AF189">
        <v>20.6725959627797</v>
      </c>
      <c r="AG189">
        <v>45255</v>
      </c>
      <c r="AH189">
        <v>44.97</v>
      </c>
      <c r="AI189">
        <v>992951701332</v>
      </c>
    </row>
    <row r="190" spans="1:35">
      <c r="A190" s="58" t="s">
        <v>955</v>
      </c>
      <c r="B190" t="s">
        <v>27</v>
      </c>
      <c r="C190" s="60" t="str">
        <v>HCL Technologies Ltd</v>
      </c>
      <c r="D190" s="61">
        <v>0.00454145861251413</v>
      </c>
      <c r="E190" s="62">
        <f t="shared" si="4"/>
        <v>0</v>
      </c>
      <c r="F190" s="60" t="str">
        <v>Information Technology</v>
      </c>
      <c r="G190" s="62">
        <f t="shared" si="5"/>
        <v>0</v>
      </c>
      <c r="H190" s="60"/>
      <c r="J190" s="6"/>
      <c r="M190" s="58" t="s">
        <v>1288</v>
      </c>
      <c r="N190" s="67" t="s">
        <v>46</v>
      </c>
      <c r="O190" s="60" t="str">
        <v>Adani Enterprises Ltd</v>
      </c>
      <c r="P190" s="68">
        <v>0.000507284557550205</v>
      </c>
      <c r="Q190" s="62">
        <f>P190*VLOOKUP(N190,'Selector Sheet '!$B$13:$D$43,2,FALSE)</f>
        <v>0</v>
      </c>
      <c r="R190" s="60" t="str">
        <v>Industrials</v>
      </c>
      <c r="S190" s="62">
        <f>P190*VLOOKUP(N190,'Selector Sheet '!$B$13:$D$43,2,FALSE)</f>
        <v>0</v>
      </c>
      <c r="T190" s="60"/>
      <c r="X190" s="60" t="str">
        <v>INE208A01029</v>
      </c>
      <c r="Z190" s="58" t="s">
        <v>955</v>
      </c>
      <c r="AB190" t="s">
        <v>1289</v>
      </c>
      <c r="AC190" t="s">
        <v>1290</v>
      </c>
      <c r="AD190" t="s">
        <v>849</v>
      </c>
      <c r="AE190">
        <v>24.5689983403976</v>
      </c>
      <c r="AF190">
        <v>29.2587693668181</v>
      </c>
      <c r="AG190">
        <v>31068</v>
      </c>
      <c r="AH190">
        <v>5.29</v>
      </c>
      <c r="AI190">
        <v>763320900123.44</v>
      </c>
    </row>
    <row r="191" spans="1:35">
      <c r="A191" s="63" t="s">
        <v>960</v>
      </c>
      <c r="B191" t="s">
        <v>27</v>
      </c>
      <c r="C191" s="60" t="str">
        <v>HDFC Bank Ltd</v>
      </c>
      <c r="D191" s="64">
        <v>0.0115052157562396</v>
      </c>
      <c r="E191" s="62">
        <f t="shared" si="4"/>
        <v>0</v>
      </c>
      <c r="F191" s="60" t="str">
        <v>Financials</v>
      </c>
      <c r="G191" s="62">
        <f t="shared" si="5"/>
        <v>0</v>
      </c>
      <c r="H191" s="60"/>
      <c r="J191" s="6"/>
      <c r="M191" s="63" t="s">
        <v>1130</v>
      </c>
      <c r="N191" s="69" t="s">
        <v>46</v>
      </c>
      <c r="O191" s="60" t="str">
        <v>Adani Ports &amp; Special Economic</v>
      </c>
      <c r="P191" s="70">
        <v>0.0105844417723869</v>
      </c>
      <c r="Q191" s="62">
        <f>P191*VLOOKUP(N191,'Selector Sheet '!$B$13:$D$43,2,FALSE)</f>
        <v>0</v>
      </c>
      <c r="R191" s="60" t="str">
        <v>Industrials</v>
      </c>
      <c r="S191" s="62">
        <f>P191*VLOOKUP(N191,'Selector Sheet '!$B$13:$D$43,2,FALSE)</f>
        <v>0</v>
      </c>
      <c r="T191" s="60"/>
      <c r="X191" s="60" t="str">
        <v>INE406A01037</v>
      </c>
      <c r="Z191" s="63" t="s">
        <v>960</v>
      </c>
      <c r="AB191" t="s">
        <v>1291</v>
      </c>
      <c r="AC191" t="s">
        <v>1292</v>
      </c>
      <c r="AD191" t="s">
        <v>855</v>
      </c>
      <c r="AE191">
        <v>17.9994224927812</v>
      </c>
      <c r="AF191">
        <v>11.1555085339698</v>
      </c>
      <c r="AG191">
        <v>34858.8</v>
      </c>
      <c r="AH191">
        <v>60.018595</v>
      </c>
      <c r="AI191">
        <v>627439993326.9</v>
      </c>
    </row>
    <row r="192" spans="1:35">
      <c r="A192" s="58" t="s">
        <v>963</v>
      </c>
      <c r="B192" t="s">
        <v>27</v>
      </c>
      <c r="C192" s="60" t="str">
        <v>HDFC Life Insurance Co Ltd</v>
      </c>
      <c r="D192" s="61">
        <v>0.00384310622620918</v>
      </c>
      <c r="E192" s="62">
        <f t="shared" ref="E192:E255" si="6">_xlfn.IFNA(D192*VLOOKUP($B192,$AK$1:$AM$34,3,FALSE),0)</f>
        <v>0</v>
      </c>
      <c r="F192" s="60" t="str">
        <v>Financials</v>
      </c>
      <c r="G192" s="62">
        <f t="shared" ref="G192:G255" si="7">_xlfn.IFNA(D192*VLOOKUP($B192,$AK$1:$AM$34,3,FALSE),0)</f>
        <v>0</v>
      </c>
      <c r="H192" s="60"/>
      <c r="J192" s="6"/>
      <c r="M192" s="58" t="s">
        <v>1133</v>
      </c>
      <c r="N192" s="67" t="s">
        <v>46</v>
      </c>
      <c r="O192" s="60" t="str">
        <v>Ambuja Cements Ltd</v>
      </c>
      <c r="P192" s="68">
        <v>0.00934710742854439</v>
      </c>
      <c r="Q192" s="62">
        <f>P192*VLOOKUP(N192,'Selector Sheet '!$B$13:$D$43,2,FALSE)</f>
        <v>0</v>
      </c>
      <c r="R192" s="60" t="str">
        <v>Materials</v>
      </c>
      <c r="S192" s="62">
        <f>P192*VLOOKUP(N192,'Selector Sheet '!$B$13:$D$43,2,FALSE)</f>
        <v>0</v>
      </c>
      <c r="T192" s="60"/>
      <c r="X192" s="60" t="str">
        <v>INE028A01039</v>
      </c>
      <c r="Z192" s="58" t="s">
        <v>963</v>
      </c>
      <c r="AB192" t="s">
        <v>1293</v>
      </c>
      <c r="AC192" t="s">
        <v>1294</v>
      </c>
      <c r="AD192" t="s">
        <v>867</v>
      </c>
      <c r="AE192">
        <v>6.54120057993426</v>
      </c>
      <c r="AF192">
        <v>13.7170301173012</v>
      </c>
      <c r="AG192">
        <v>207163.28</v>
      </c>
      <c r="AH192">
        <v>40.06</v>
      </c>
      <c r="AI192">
        <v>1264915188983.4</v>
      </c>
    </row>
    <row r="193" spans="1:35">
      <c r="A193" s="63" t="s">
        <v>967</v>
      </c>
      <c r="B193" t="s">
        <v>27</v>
      </c>
      <c r="C193" s="60" t="str">
        <v>Hindalco Industries Ltd</v>
      </c>
      <c r="D193" s="64">
        <v>0.004349530005471</v>
      </c>
      <c r="E193" s="62">
        <f t="shared" si="6"/>
        <v>0</v>
      </c>
      <c r="F193" s="60" t="str">
        <v>Materials</v>
      </c>
      <c r="G193" s="62">
        <f t="shared" si="7"/>
        <v>0</v>
      </c>
      <c r="H193" s="60"/>
      <c r="J193" s="6"/>
      <c r="M193" s="63" t="s">
        <v>865</v>
      </c>
      <c r="N193" s="69" t="s">
        <v>46</v>
      </c>
      <c r="O193" s="60" t="str">
        <v>Apollo Hospitals Enterprise Lt</v>
      </c>
      <c r="P193" s="70">
        <v>0.0037410268883453</v>
      </c>
      <c r="Q193" s="62">
        <f>P193*VLOOKUP(N193,'Selector Sheet '!$B$13:$D$43,2,FALSE)</f>
        <v>0</v>
      </c>
      <c r="R193" s="60" t="str">
        <v>Health Care</v>
      </c>
      <c r="S193" s="62">
        <f>P193*VLOOKUP(N193,'Selector Sheet '!$B$13:$D$43,2,FALSE)</f>
        <v>0</v>
      </c>
      <c r="T193" s="60"/>
      <c r="X193" s="60" t="str">
        <v>INE029A01011</v>
      </c>
      <c r="Z193" s="63" t="s">
        <v>967</v>
      </c>
      <c r="AB193" t="s">
        <v>889</v>
      </c>
      <c r="AC193" t="s">
        <v>1295</v>
      </c>
      <c r="AD193" t="s">
        <v>1037</v>
      </c>
      <c r="AE193">
        <v>10.0608779237424</v>
      </c>
      <c r="AF193">
        <v>16.9871593402055</v>
      </c>
      <c r="AG193">
        <v>133365.5</v>
      </c>
      <c r="AH193">
        <v>31.21</v>
      </c>
      <c r="AI193">
        <v>1362290723232</v>
      </c>
    </row>
    <row r="194" spans="1:35">
      <c r="A194" s="58" t="s">
        <v>1181</v>
      </c>
      <c r="B194" t="s">
        <v>27</v>
      </c>
      <c r="C194" s="60" t="str">
        <v>Hindustan Petroleum Corp Ltd</v>
      </c>
      <c r="D194" s="61">
        <v>0.00627726909080367</v>
      </c>
      <c r="E194" s="62">
        <f t="shared" si="6"/>
        <v>0</v>
      </c>
      <c r="F194" s="60" t="str">
        <v>Energy</v>
      </c>
      <c r="G194" s="62">
        <f t="shared" si="7"/>
        <v>0</v>
      </c>
      <c r="H194" s="60"/>
      <c r="J194" s="6"/>
      <c r="M194" s="58" t="s">
        <v>1296</v>
      </c>
      <c r="N194" s="67" t="s">
        <v>46</v>
      </c>
      <c r="O194" s="60" t="str">
        <v>Apollo Tyres Ltd</v>
      </c>
      <c r="P194" s="68">
        <v>0.0042676359745311</v>
      </c>
      <c r="Q194" s="62">
        <f>P194*VLOOKUP(N194,'Selector Sheet '!$B$13:$D$43,2,FALSE)</f>
        <v>0</v>
      </c>
      <c r="R194" s="60" t="str">
        <v>Consumer Discretionary</v>
      </c>
      <c r="S194" s="62">
        <f>P194*VLOOKUP(N194,'Selector Sheet '!$B$13:$D$43,2,FALSE)</f>
        <v>0</v>
      </c>
      <c r="T194" s="60"/>
      <c r="X194" s="60" t="str">
        <v>INE340A01012</v>
      </c>
      <c r="Z194" s="58" t="s">
        <v>1181</v>
      </c>
      <c r="AB194" t="s">
        <v>1297</v>
      </c>
      <c r="AC194" t="s">
        <v>1298</v>
      </c>
      <c r="AD194" t="s">
        <v>859</v>
      </c>
      <c r="AE194">
        <v>33.5680751173709</v>
      </c>
      <c r="AF194">
        <v>4.31342497455966</v>
      </c>
      <c r="AG194">
        <v>2952.3</v>
      </c>
      <c r="AH194">
        <v>38.34</v>
      </c>
      <c r="AI194">
        <v>99105881589</v>
      </c>
    </row>
    <row r="195" spans="1:35">
      <c r="A195" s="63" t="s">
        <v>970</v>
      </c>
      <c r="B195" t="s">
        <v>27</v>
      </c>
      <c r="C195" s="60" t="str">
        <v>Hindustan Unilever Ltd</v>
      </c>
      <c r="D195" s="64">
        <v>0.0106888954169369</v>
      </c>
      <c r="E195" s="62">
        <f t="shared" si="6"/>
        <v>0</v>
      </c>
      <c r="F195" s="60" t="str">
        <v>Consumer Staples</v>
      </c>
      <c r="G195" s="62">
        <f t="shared" si="7"/>
        <v>0</v>
      </c>
      <c r="H195" s="60"/>
      <c r="J195" s="6"/>
      <c r="M195" s="63" t="s">
        <v>1299</v>
      </c>
      <c r="N195" s="69" t="s">
        <v>46</v>
      </c>
      <c r="O195" s="60" t="str">
        <v>Astral Ltd</v>
      </c>
      <c r="P195" s="70">
        <v>0.00208599419804549</v>
      </c>
      <c r="Q195" s="62">
        <f>P195*VLOOKUP(N195,'Selector Sheet '!$B$13:$D$43,2,FALSE)</f>
        <v>0</v>
      </c>
      <c r="R195" s="60" t="str">
        <v>Industrials</v>
      </c>
      <c r="S195" s="62">
        <f>P195*VLOOKUP(N195,'Selector Sheet '!$B$13:$D$43,2,FALSE)</f>
        <v>0</v>
      </c>
      <c r="T195" s="60"/>
      <c r="X195" s="60" t="str">
        <v>INE522F01014</v>
      </c>
      <c r="Z195" s="63" t="s">
        <v>970</v>
      </c>
      <c r="AB195" t="s">
        <v>916</v>
      </c>
      <c r="AC195" t="s">
        <v>1300</v>
      </c>
      <c r="AD195" t="s">
        <v>1037</v>
      </c>
      <c r="AE195">
        <v>6.72041115204756</v>
      </c>
      <c r="AF195">
        <v>38.8904428032713</v>
      </c>
      <c r="AG195">
        <v>353581.6</v>
      </c>
      <c r="AH195">
        <v>57.37</v>
      </c>
      <c r="AI195">
        <v>2376039906474.85</v>
      </c>
    </row>
    <row r="196" spans="1:35">
      <c r="A196" s="58" t="s">
        <v>1215</v>
      </c>
      <c r="B196" t="s">
        <v>27</v>
      </c>
      <c r="C196" s="60" t="str">
        <v>Honeywell Automation India Ltd</v>
      </c>
      <c r="D196" s="61">
        <v>0.00155522568819039</v>
      </c>
      <c r="E196" s="62">
        <f t="shared" si="6"/>
        <v>0</v>
      </c>
      <c r="F196" s="60" t="str">
        <v>Information Technology</v>
      </c>
      <c r="G196" s="62">
        <f t="shared" si="7"/>
        <v>0</v>
      </c>
      <c r="H196" s="60"/>
      <c r="J196" s="6"/>
      <c r="M196" s="58" t="s">
        <v>1291</v>
      </c>
      <c r="N196" s="67" t="s">
        <v>46</v>
      </c>
      <c r="O196" s="60" t="str">
        <v>Aurobindo Pharma Ltd</v>
      </c>
      <c r="P196" s="68">
        <v>0</v>
      </c>
      <c r="Q196" s="62">
        <f>P196*VLOOKUP(N196,'Selector Sheet '!$B$13:$D$43,2,FALSE)</f>
        <v>0</v>
      </c>
      <c r="R196" s="60" t="str">
        <v>Health Care</v>
      </c>
      <c r="S196" s="62">
        <f>P196*VLOOKUP(N196,'Selector Sheet '!$B$13:$D$43,2,FALSE)</f>
        <v>0</v>
      </c>
      <c r="T196" s="60"/>
      <c r="X196" s="60" t="str">
        <v>INE271C01023</v>
      </c>
      <c r="Z196" s="58" t="s">
        <v>1215</v>
      </c>
      <c r="AB196" t="s">
        <v>1301</v>
      </c>
      <c r="AC196" t="s">
        <v>1302</v>
      </c>
      <c r="AD196" t="s">
        <v>1034</v>
      </c>
      <c r="AE196">
        <v>43.6082766439909</v>
      </c>
      <c r="AF196">
        <v>10.655199770625</v>
      </c>
      <c r="AG196">
        <v>43676.215</v>
      </c>
      <c r="AH196">
        <v>17.64</v>
      </c>
      <c r="AI196">
        <v>1904133529840.5</v>
      </c>
    </row>
    <row r="197" spans="1:35">
      <c r="A197" s="63" t="s">
        <v>972</v>
      </c>
      <c r="B197" t="s">
        <v>27</v>
      </c>
      <c r="C197" s="60" t="str">
        <v>ICICI Bank Ltd</v>
      </c>
      <c r="D197" s="64">
        <v>0.0253058702933385</v>
      </c>
      <c r="E197" s="62">
        <f t="shared" si="6"/>
        <v>0</v>
      </c>
      <c r="F197" s="60" t="str">
        <v>Financials</v>
      </c>
      <c r="G197" s="62">
        <f t="shared" si="7"/>
        <v>0</v>
      </c>
      <c r="H197" s="60"/>
      <c r="J197" s="6"/>
      <c r="M197" s="63" t="s">
        <v>879</v>
      </c>
      <c r="N197" s="69" t="s">
        <v>46</v>
      </c>
      <c r="O197" s="60" t="str">
        <v>Axis Bank Ltd</v>
      </c>
      <c r="P197" s="70">
        <v>0.0132030437005027</v>
      </c>
      <c r="Q197" s="62">
        <f>P197*VLOOKUP(N197,'Selector Sheet '!$B$13:$D$43,2,FALSE)</f>
        <v>0</v>
      </c>
      <c r="R197" s="60" t="str">
        <v>Financials</v>
      </c>
      <c r="S197" s="62">
        <f>P197*VLOOKUP(N197,'Selector Sheet '!$B$13:$D$43,2,FALSE)</f>
        <v>0</v>
      </c>
      <c r="T197" s="60"/>
      <c r="X197" s="60" t="str">
        <v>INE322A01010</v>
      </c>
      <c r="Z197" s="63" t="s">
        <v>972</v>
      </c>
      <c r="AB197" t="s">
        <v>1303</v>
      </c>
      <c r="AC197" t="s">
        <v>1304</v>
      </c>
      <c r="AD197" t="s">
        <v>1016</v>
      </c>
      <c r="AE197">
        <v>81.3668396938069</v>
      </c>
      <c r="AF197">
        <v>42.007417875345</v>
      </c>
      <c r="AG197">
        <v>4117</v>
      </c>
      <c r="AH197">
        <v>126.35</v>
      </c>
      <c r="AI197">
        <v>334998840411.9</v>
      </c>
    </row>
    <row r="198" spans="1:35">
      <c r="A198" s="58" t="s">
        <v>1153</v>
      </c>
      <c r="B198" t="s">
        <v>27</v>
      </c>
      <c r="C198" s="60" t="str">
        <v>ICICI Lombard General Insuranc</v>
      </c>
      <c r="D198" s="61">
        <v>0.00407840116568018</v>
      </c>
      <c r="E198" s="62">
        <f t="shared" si="6"/>
        <v>0</v>
      </c>
      <c r="F198" s="60" t="str">
        <v>Financials</v>
      </c>
      <c r="G198" s="62">
        <f t="shared" si="7"/>
        <v>0</v>
      </c>
      <c r="H198" s="60"/>
      <c r="J198" s="6"/>
      <c r="M198" s="58" t="s">
        <v>875</v>
      </c>
      <c r="N198" s="67" t="s">
        <v>46</v>
      </c>
      <c r="O198" s="60" t="str">
        <v>Bajaj Auto Ltd</v>
      </c>
      <c r="P198" s="68">
        <v>0.00218888348535762</v>
      </c>
      <c r="Q198" s="62">
        <f>P198*VLOOKUP(N198,'Selector Sheet '!$B$13:$D$43,2,FALSE)</f>
        <v>0</v>
      </c>
      <c r="R198" s="60" t="str">
        <v>Consumer Discretionary</v>
      </c>
      <c r="S198" s="62">
        <f>P198*VLOOKUP(N198,'Selector Sheet '!$B$13:$D$43,2,FALSE)</f>
        <v>0</v>
      </c>
      <c r="T198" s="60"/>
      <c r="X198" s="60" t="str">
        <v>INE517F01014</v>
      </c>
      <c r="Z198" s="58" t="s">
        <v>1153</v>
      </c>
      <c r="AB198" t="s">
        <v>1305</v>
      </c>
      <c r="AC198" t="s">
        <v>1306</v>
      </c>
      <c r="AD198" t="s">
        <v>849</v>
      </c>
      <c r="AE198">
        <v>18.8270410869938</v>
      </c>
      <c r="AF198">
        <v>17.0688832498552</v>
      </c>
      <c r="AG198">
        <v>3968.96</v>
      </c>
      <c r="AH198">
        <v>8.21</v>
      </c>
      <c r="AI198">
        <v>74725306888.7</v>
      </c>
    </row>
    <row r="199" spans="1:35">
      <c r="A199" s="63" t="s">
        <v>1188</v>
      </c>
      <c r="B199" t="s">
        <v>27</v>
      </c>
      <c r="C199" s="60" t="str">
        <v>ICICI Prudential Life Insuranc</v>
      </c>
      <c r="D199" s="64">
        <v>0.00254017614664512</v>
      </c>
      <c r="E199" s="62">
        <f t="shared" si="6"/>
        <v>0</v>
      </c>
      <c r="F199" s="60" t="str">
        <v>Financials</v>
      </c>
      <c r="G199" s="62">
        <f t="shared" si="7"/>
        <v>0</v>
      </c>
      <c r="H199" s="60"/>
      <c r="J199" s="6"/>
      <c r="M199" s="63" t="s">
        <v>878</v>
      </c>
      <c r="N199" s="69" t="s">
        <v>46</v>
      </c>
      <c r="O199" s="60" t="str">
        <v>Bajaj Finance Ltd</v>
      </c>
      <c r="P199" s="70">
        <v>0.0134902658403386</v>
      </c>
      <c r="Q199" s="62">
        <f>P199*VLOOKUP(N199,'Selector Sheet '!$B$13:$D$43,2,FALSE)</f>
        <v>0</v>
      </c>
      <c r="R199" s="60" t="str">
        <v>Financials</v>
      </c>
      <c r="S199" s="62">
        <f>P199*VLOOKUP(N199,'Selector Sheet '!$B$13:$D$43,2,FALSE)</f>
        <v>0</v>
      </c>
      <c r="T199" s="60"/>
      <c r="X199" s="60" t="str">
        <v>INE066F01020</v>
      </c>
      <c r="Z199" s="63" t="s">
        <v>1188</v>
      </c>
      <c r="AB199" t="s">
        <v>1307</v>
      </c>
      <c r="AC199" t="s">
        <v>1308</v>
      </c>
      <c r="AD199" t="s">
        <v>849</v>
      </c>
      <c r="AE199">
        <v>36.7586706365173</v>
      </c>
      <c r="AF199" t="s">
        <v>860</v>
      </c>
      <c r="AG199">
        <v>83641.3</v>
      </c>
      <c r="AH199">
        <v>125.07</v>
      </c>
      <c r="AI199">
        <v>3054964200000</v>
      </c>
    </row>
    <row r="200" spans="1:35">
      <c r="A200" s="58" t="s">
        <v>1220</v>
      </c>
      <c r="B200" t="s">
        <v>27</v>
      </c>
      <c r="C200" s="60" t="str">
        <v>IndiaMart InterMesh Ltd</v>
      </c>
      <c r="D200" s="61">
        <v>0.00461302747201244</v>
      </c>
      <c r="E200" s="62">
        <f t="shared" si="6"/>
        <v>0</v>
      </c>
      <c r="F200" s="60" t="str">
        <v>Industrials</v>
      </c>
      <c r="G200" s="62">
        <f t="shared" si="7"/>
        <v>0</v>
      </c>
      <c r="H200" s="60"/>
      <c r="J200" s="6"/>
      <c r="M200" s="58" t="s">
        <v>884</v>
      </c>
      <c r="N200" s="67" t="s">
        <v>46</v>
      </c>
      <c r="O200" s="60" t="str">
        <v>Bajaj Finserv Ltd</v>
      </c>
      <c r="P200" s="68">
        <v>0.000183277957924314</v>
      </c>
      <c r="Q200" s="62">
        <f>P200*VLOOKUP(N200,'Selector Sheet '!$B$13:$D$43,2,FALSE)</f>
        <v>0</v>
      </c>
      <c r="R200" s="60" t="str">
        <v>Financials</v>
      </c>
      <c r="S200" s="62">
        <f>P200*VLOOKUP(N200,'Selector Sheet '!$B$13:$D$43,2,FALSE)</f>
        <v>0</v>
      </c>
      <c r="T200" s="60"/>
      <c r="X200" s="60" t="str">
        <v>INE0V6F01027</v>
      </c>
      <c r="Z200" s="58" t="s">
        <v>1220</v>
      </c>
      <c r="AB200" t="s">
        <v>1309</v>
      </c>
      <c r="AC200" t="s">
        <v>1310</v>
      </c>
      <c r="AD200" t="s">
        <v>874</v>
      </c>
      <c r="AE200">
        <v>34.533928828699</v>
      </c>
      <c r="AF200">
        <v>41.8380571084131</v>
      </c>
      <c r="AG200">
        <v>56402.14</v>
      </c>
      <c r="AH200">
        <v>69.41</v>
      </c>
      <c r="AI200">
        <v>1947661016700</v>
      </c>
    </row>
    <row r="201" spans="1:35">
      <c r="A201" s="63" t="s">
        <v>1222</v>
      </c>
      <c r="B201" t="s">
        <v>27</v>
      </c>
      <c r="C201" s="60" t="str">
        <v>Indian Railway Catering &amp; Tour</v>
      </c>
      <c r="D201" s="64">
        <v>0.00435367262804099</v>
      </c>
      <c r="E201" s="62">
        <f t="shared" si="6"/>
        <v>0</v>
      </c>
      <c r="F201" s="60" t="str">
        <v>Industrials</v>
      </c>
      <c r="G201" s="62">
        <f t="shared" si="7"/>
        <v>0</v>
      </c>
      <c r="H201" s="60"/>
      <c r="J201" s="6"/>
      <c r="M201" s="63" t="s">
        <v>1293</v>
      </c>
      <c r="N201" s="69" t="s">
        <v>46</v>
      </c>
      <c r="O201" s="60" t="str">
        <v>Bank of Baroda</v>
      </c>
      <c r="P201" s="70">
        <v>0.00278509280657622</v>
      </c>
      <c r="Q201" s="62">
        <f>P201*VLOOKUP(N201,'Selector Sheet '!$B$13:$D$43,2,FALSE)</f>
        <v>0</v>
      </c>
      <c r="R201" s="60" t="str">
        <v>Financials</v>
      </c>
      <c r="S201" s="62">
        <f>P201*VLOOKUP(N201,'Selector Sheet '!$B$13:$D$43,2,FALSE)</f>
        <v>0</v>
      </c>
      <c r="T201" s="60"/>
      <c r="X201" s="60" t="str">
        <v>INE242A01010</v>
      </c>
      <c r="Z201" s="63" t="s">
        <v>1222</v>
      </c>
      <c r="AB201" t="s">
        <v>1311</v>
      </c>
      <c r="AC201" t="s">
        <v>1312</v>
      </c>
      <c r="AD201" t="s">
        <v>1037</v>
      </c>
      <c r="AE201">
        <v>14.1337386018237</v>
      </c>
      <c r="AF201">
        <v>7.35209950246766</v>
      </c>
      <c r="AG201">
        <v>135978.4</v>
      </c>
      <c r="AH201">
        <v>9.87</v>
      </c>
      <c r="AI201">
        <v>1969912754428.5</v>
      </c>
    </row>
    <row r="202" spans="1:35">
      <c r="A202" s="58" t="s">
        <v>1191</v>
      </c>
      <c r="B202" t="s">
        <v>27</v>
      </c>
      <c r="C202" s="60" t="str">
        <v>IndusInd Bank Ltd</v>
      </c>
      <c r="D202" s="61">
        <v>0.0220973080208479</v>
      </c>
      <c r="E202" s="62">
        <f t="shared" si="6"/>
        <v>0</v>
      </c>
      <c r="F202" s="60" t="str">
        <v>Financials</v>
      </c>
      <c r="G202" s="62">
        <f t="shared" si="7"/>
        <v>0</v>
      </c>
      <c r="H202" s="60"/>
      <c r="J202" s="6"/>
      <c r="M202" s="58" t="s">
        <v>886</v>
      </c>
      <c r="N202" s="67" t="s">
        <v>46</v>
      </c>
      <c r="O202" s="60" t="str">
        <v>Bharat Electronics Ltd</v>
      </c>
      <c r="P202" s="68">
        <v>0.00370093519143266</v>
      </c>
      <c r="Q202" s="62">
        <f>P202*VLOOKUP(N202,'Selector Sheet '!$B$13:$D$43,2,FALSE)</f>
        <v>0</v>
      </c>
      <c r="R202" s="60" t="str">
        <v>Industrials</v>
      </c>
      <c r="S202" s="62">
        <f>P202*VLOOKUP(N202,'Selector Sheet '!$B$13:$D$43,2,FALSE)</f>
        <v>0</v>
      </c>
      <c r="T202" s="60"/>
      <c r="X202" s="60" t="str">
        <v>INE0J1Y01017</v>
      </c>
      <c r="Z202" s="58" t="s">
        <v>1191</v>
      </c>
      <c r="AB202" t="s">
        <v>1313</v>
      </c>
      <c r="AC202" t="s">
        <v>1314</v>
      </c>
      <c r="AD202" t="s">
        <v>867</v>
      </c>
      <c r="AE202">
        <v>12.0297459210818</v>
      </c>
      <c r="AF202">
        <v>50.290536995044</v>
      </c>
      <c r="AG202">
        <v>527983.4</v>
      </c>
      <c r="AH202">
        <v>83.475667</v>
      </c>
      <c r="AI202">
        <v>5768397903312</v>
      </c>
    </row>
    <row r="203" spans="1:35">
      <c r="A203" s="63" t="s">
        <v>1155</v>
      </c>
      <c r="B203" t="s">
        <v>27</v>
      </c>
      <c r="C203" s="60" t="str">
        <v>Info Edge India Ltd</v>
      </c>
      <c r="D203" s="64">
        <v>0.00119787609640555</v>
      </c>
      <c r="E203" s="62">
        <f t="shared" si="6"/>
        <v>0</v>
      </c>
      <c r="F203" s="60" t="str">
        <v>Communication Services</v>
      </c>
      <c r="G203" s="62">
        <f t="shared" si="7"/>
        <v>0</v>
      </c>
      <c r="H203" s="60"/>
      <c r="J203" s="6"/>
      <c r="M203" s="63" t="s">
        <v>889</v>
      </c>
      <c r="N203" s="69" t="s">
        <v>46</v>
      </c>
      <c r="O203" s="60" t="str">
        <v>Bharat Petroleum Corp Ltd</v>
      </c>
      <c r="P203" s="70">
        <v>0.00954059790661812</v>
      </c>
      <c r="Q203" s="62">
        <f>P203*VLOOKUP(N203,'Selector Sheet '!$B$13:$D$43,2,FALSE)</f>
        <v>0</v>
      </c>
      <c r="R203" s="60" t="str">
        <v>Energy</v>
      </c>
      <c r="S203" s="62">
        <f>P203*VLOOKUP(N203,'Selector Sheet '!$B$13:$D$43,2,FALSE)</f>
        <v>0</v>
      </c>
      <c r="T203" s="60"/>
      <c r="X203" s="60" t="str">
        <v>INE326A01037</v>
      </c>
      <c r="Z203" s="63" t="s">
        <v>1155</v>
      </c>
      <c r="AB203" t="s">
        <v>1014</v>
      </c>
      <c r="AC203" t="s">
        <v>1315</v>
      </c>
      <c r="AD203" t="s">
        <v>855</v>
      </c>
      <c r="AE203">
        <v>27.207782843446</v>
      </c>
      <c r="AF203">
        <v>20.8397909556138</v>
      </c>
      <c r="AG203">
        <v>32816.2</v>
      </c>
      <c r="AH203">
        <v>71.95</v>
      </c>
      <c r="AI203">
        <v>894128569292.8</v>
      </c>
    </row>
    <row r="204" spans="1:35">
      <c r="A204" s="58" t="s">
        <v>991</v>
      </c>
      <c r="B204" t="s">
        <v>27</v>
      </c>
      <c r="C204" s="60" t="str">
        <v>Infosys Ltd</v>
      </c>
      <c r="D204" s="61">
        <v>0.0247402151847245</v>
      </c>
      <c r="E204" s="62">
        <f t="shared" si="6"/>
        <v>0</v>
      </c>
      <c r="F204" s="60" t="str">
        <v>Information Technology</v>
      </c>
      <c r="G204" s="62">
        <f t="shared" si="7"/>
        <v>0</v>
      </c>
      <c r="H204" s="60"/>
      <c r="J204" s="6"/>
      <c r="M204" s="58" t="s">
        <v>891</v>
      </c>
      <c r="N204" s="67" t="s">
        <v>46</v>
      </c>
      <c r="O204" s="60" t="str">
        <v>Bharti Airtel Ltd</v>
      </c>
      <c r="P204" s="68">
        <v>0.0204880089532155</v>
      </c>
      <c r="Q204" s="62">
        <f>P204*VLOOKUP(N204,'Selector Sheet '!$B$13:$D$43,2,FALSE)</f>
        <v>0</v>
      </c>
      <c r="R204" s="60" t="str">
        <v>Communication Services</v>
      </c>
      <c r="S204" s="62">
        <f>P204*VLOOKUP(N204,'Selector Sheet '!$B$13:$D$43,2,FALSE)</f>
        <v>0</v>
      </c>
      <c r="T204" s="60"/>
      <c r="X204" s="60" t="str">
        <v>INE180A01020</v>
      </c>
      <c r="Z204" s="58" t="s">
        <v>991</v>
      </c>
      <c r="AB204" t="s">
        <v>1217</v>
      </c>
      <c r="AC204" t="s">
        <v>1316</v>
      </c>
      <c r="AD204" t="s">
        <v>867</v>
      </c>
      <c r="AE204">
        <v>172.816204051948</v>
      </c>
      <c r="AF204">
        <v>7.15960710756151</v>
      </c>
      <c r="AG204">
        <v>3272.1</v>
      </c>
      <c r="AH204">
        <v>9.4816</v>
      </c>
      <c r="AI204">
        <v>571302991913.4</v>
      </c>
    </row>
    <row r="205" spans="1:35">
      <c r="A205" s="63" t="s">
        <v>994</v>
      </c>
      <c r="B205" t="s">
        <v>27</v>
      </c>
      <c r="C205" s="60" t="str">
        <v>InterGlobe Aviation Ltd</v>
      </c>
      <c r="D205" s="64">
        <v>0.0076277167289431</v>
      </c>
      <c r="E205" s="62">
        <f t="shared" si="6"/>
        <v>0</v>
      </c>
      <c r="F205" s="60" t="str">
        <v>Industrials</v>
      </c>
      <c r="G205" s="62">
        <f t="shared" si="7"/>
        <v>0</v>
      </c>
      <c r="H205" s="60"/>
      <c r="J205" s="6"/>
      <c r="M205" s="63" t="s">
        <v>895</v>
      </c>
      <c r="N205" s="69" t="s">
        <v>46</v>
      </c>
      <c r="O205" s="60" t="str">
        <v>Biocon Ltd</v>
      </c>
      <c r="P205" s="70">
        <v>7.25368335123889e-5</v>
      </c>
      <c r="Q205" s="62">
        <f>P205*VLOOKUP(N205,'Selector Sheet '!$B$13:$D$43,2,FALSE)</f>
        <v>0</v>
      </c>
      <c r="R205" s="60" t="str">
        <v>Health Care</v>
      </c>
      <c r="S205" s="62">
        <f>P205*VLOOKUP(N205,'Selector Sheet '!$B$13:$D$43,2,FALSE)</f>
        <v>0</v>
      </c>
      <c r="T205" s="60"/>
      <c r="X205" s="60" t="str">
        <v>INE848E01016</v>
      </c>
      <c r="Z205" s="63" t="s">
        <v>994</v>
      </c>
      <c r="AB205" t="s">
        <v>1317</v>
      </c>
      <c r="AC205" t="s">
        <v>1318</v>
      </c>
      <c r="AD205" t="s">
        <v>1030</v>
      </c>
      <c r="AE205">
        <v>27.6761384962577</v>
      </c>
      <c r="AF205">
        <v>7.67295388832036</v>
      </c>
      <c r="AG205">
        <v>30066.7</v>
      </c>
      <c r="AH205">
        <v>2.993192</v>
      </c>
      <c r="AI205">
        <v>832130683246.2</v>
      </c>
    </row>
    <row r="206" spans="1:35">
      <c r="A206" s="58" t="s">
        <v>1225</v>
      </c>
      <c r="B206" t="s">
        <v>27</v>
      </c>
      <c r="C206" s="60" t="str">
        <v>International Gemmological Ins</v>
      </c>
      <c r="D206" s="61">
        <v>0.00329931710983116</v>
      </c>
      <c r="E206" s="62">
        <f t="shared" si="6"/>
        <v>0</v>
      </c>
      <c r="F206" s="60" t="str">
        <v>Industrials</v>
      </c>
      <c r="G206" s="62">
        <f t="shared" si="7"/>
        <v>0</v>
      </c>
      <c r="H206" s="60"/>
      <c r="J206" s="6"/>
      <c r="M206" s="58" t="s">
        <v>1319</v>
      </c>
      <c r="N206" s="67" t="s">
        <v>46</v>
      </c>
      <c r="O206" s="60" t="str">
        <v>Bosch Ltd</v>
      </c>
      <c r="P206" s="68">
        <v>0.00645591503379389</v>
      </c>
      <c r="Q206" s="62">
        <f>P206*VLOOKUP(N206,'Selector Sheet '!$B$13:$D$43,2,FALSE)</f>
        <v>0</v>
      </c>
      <c r="R206" s="60" t="str">
        <v>Consumer Discretionary</v>
      </c>
      <c r="S206" s="62">
        <f>P206*VLOOKUP(N206,'Selector Sheet '!$B$13:$D$43,2,FALSE)</f>
        <v>0</v>
      </c>
      <c r="T206" s="60"/>
      <c r="X206" s="60" t="str">
        <v>INE752E01010</v>
      </c>
      <c r="Z206" s="58" t="s">
        <v>1225</v>
      </c>
      <c r="AB206" t="s">
        <v>1059</v>
      </c>
      <c r="AC206" t="s">
        <v>1320</v>
      </c>
      <c r="AD206" t="s">
        <v>1030</v>
      </c>
      <c r="AE206">
        <v>17.3606950269623</v>
      </c>
      <c r="AF206">
        <v>17.264467549594</v>
      </c>
      <c r="AG206">
        <v>155214.4</v>
      </c>
      <c r="AH206">
        <v>16.69</v>
      </c>
      <c r="AI206">
        <v>2694849956555.25</v>
      </c>
    </row>
    <row r="207" spans="1:35">
      <c r="A207" s="63" t="s">
        <v>997</v>
      </c>
      <c r="B207" t="s">
        <v>27</v>
      </c>
      <c r="C207" s="60" t="str">
        <v>ITC Ltd</v>
      </c>
      <c r="D207" s="64">
        <v>0.00341358552450048</v>
      </c>
      <c r="E207" s="62">
        <f t="shared" si="6"/>
        <v>0</v>
      </c>
      <c r="F207" s="60" t="str">
        <v>Consumer Staples</v>
      </c>
      <c r="G207" s="62">
        <f t="shared" si="7"/>
        <v>0</v>
      </c>
      <c r="H207" s="60"/>
      <c r="J207" s="6"/>
      <c r="M207" s="63" t="s">
        <v>1321</v>
      </c>
      <c r="N207" s="69" t="s">
        <v>46</v>
      </c>
      <c r="O207" s="60" t="str">
        <v>Canara Bank</v>
      </c>
      <c r="P207" s="70">
        <v>0.00113106939381212</v>
      </c>
      <c r="Q207" s="62">
        <f>P207*VLOOKUP(N207,'Selector Sheet '!$B$13:$D$43,2,FALSE)</f>
        <v>0</v>
      </c>
      <c r="R207" s="60" t="str">
        <v>Financials</v>
      </c>
      <c r="S207" s="62">
        <f>P207*VLOOKUP(N207,'Selector Sheet '!$B$13:$D$43,2,FALSE)</f>
        <v>0</v>
      </c>
      <c r="T207" s="60"/>
      <c r="X207" s="60" t="str">
        <v>INE692A01016</v>
      </c>
      <c r="Z207" s="63" t="s">
        <v>997</v>
      </c>
      <c r="AB207" t="s">
        <v>1109</v>
      </c>
      <c r="AC207" t="s">
        <v>1322</v>
      </c>
      <c r="AD207" t="s">
        <v>867</v>
      </c>
      <c r="AE207">
        <v>5.56006493506494</v>
      </c>
      <c r="AF207">
        <v>16.7629171673657</v>
      </c>
      <c r="AG207">
        <v>180269.508</v>
      </c>
      <c r="AH207">
        <v>23.62</v>
      </c>
      <c r="AI207">
        <v>1045803968159</v>
      </c>
    </row>
    <row r="208" spans="1:35">
      <c r="A208" s="58" t="s">
        <v>1203</v>
      </c>
      <c r="B208" t="s">
        <v>27</v>
      </c>
      <c r="C208" s="60" t="str">
        <v>Kalpataru Projects Internation</v>
      </c>
      <c r="D208" s="61">
        <v>0.00626729754447218</v>
      </c>
      <c r="E208" s="62">
        <f t="shared" si="6"/>
        <v>0</v>
      </c>
      <c r="F208" s="60" t="str">
        <v>Industrials</v>
      </c>
      <c r="G208" s="62">
        <f t="shared" si="7"/>
        <v>0</v>
      </c>
      <c r="H208" s="60"/>
      <c r="J208" s="6"/>
      <c r="M208" s="58" t="s">
        <v>905</v>
      </c>
      <c r="N208" s="67" t="s">
        <v>46</v>
      </c>
      <c r="O208" s="60" t="str">
        <v>Carborundum Universal Ltd</v>
      </c>
      <c r="P208" s="68">
        <v>0.00293972895059182</v>
      </c>
      <c r="Q208" s="62">
        <f>P208*VLOOKUP(N208,'Selector Sheet '!$B$13:$D$43,2,FALSE)</f>
        <v>0</v>
      </c>
      <c r="R208" s="60" t="str">
        <v>Materials</v>
      </c>
      <c r="S208" s="62">
        <f>P208*VLOOKUP(N208,'Selector Sheet '!$B$13:$D$43,2,FALSE)</f>
        <v>0</v>
      </c>
      <c r="T208" s="60"/>
      <c r="X208" s="60" t="str">
        <v>INE075A01022</v>
      </c>
      <c r="Z208" s="58" t="s">
        <v>1203</v>
      </c>
      <c r="AB208" t="s">
        <v>1323</v>
      </c>
      <c r="AC208" t="s">
        <v>1324</v>
      </c>
      <c r="AD208" t="s">
        <v>920</v>
      </c>
      <c r="AE208">
        <v>19.2921517704843</v>
      </c>
      <c r="AF208">
        <v>16.3282385160425</v>
      </c>
      <c r="AG208">
        <v>131354</v>
      </c>
      <c r="AH208">
        <v>12.56</v>
      </c>
      <c r="AI208">
        <v>2602869780189</v>
      </c>
    </row>
    <row r="209" spans="1:35">
      <c r="A209" s="63" t="s">
        <v>1229</v>
      </c>
      <c r="B209" t="s">
        <v>27</v>
      </c>
      <c r="C209" s="60" t="str">
        <v>KSB Ltd</v>
      </c>
      <c r="D209" s="64">
        <v>0.00202951510546073</v>
      </c>
      <c r="E209" s="62">
        <f t="shared" si="6"/>
        <v>0</v>
      </c>
      <c r="F209" s="60" t="str">
        <v>Industrials</v>
      </c>
      <c r="G209" s="62">
        <f t="shared" si="7"/>
        <v>0</v>
      </c>
      <c r="H209" s="60"/>
      <c r="J209" s="6"/>
      <c r="M209" s="63" t="s">
        <v>914</v>
      </c>
      <c r="N209" s="69" t="s">
        <v>46</v>
      </c>
      <c r="O209" s="60" t="str">
        <v>Cipla Ltd/India</v>
      </c>
      <c r="P209" s="70">
        <v>0.0028433001799348</v>
      </c>
      <c r="Q209" s="62">
        <f>P209*VLOOKUP(N209,'Selector Sheet '!$B$13:$D$43,2,FALSE)</f>
        <v>0</v>
      </c>
      <c r="R209" s="60" t="str">
        <v>Health Care</v>
      </c>
      <c r="S209" s="62">
        <f>P209*VLOOKUP(N209,'Selector Sheet '!$B$13:$D$43,2,FALSE)</f>
        <v>0</v>
      </c>
      <c r="T209" s="60"/>
      <c r="X209" s="60" t="str">
        <v>INE742F01042</v>
      </c>
      <c r="Z209" s="63" t="s">
        <v>1229</v>
      </c>
      <c r="AB209" t="s">
        <v>1130</v>
      </c>
      <c r="AC209" t="s">
        <v>1325</v>
      </c>
      <c r="AD209" t="s">
        <v>849</v>
      </c>
      <c r="AE209">
        <v>25.5365150696811</v>
      </c>
      <c r="AF209">
        <v>19.2274131011779</v>
      </c>
      <c r="AG209">
        <v>110923.1</v>
      </c>
      <c r="AH209">
        <v>51.35</v>
      </c>
      <c r="AI209">
        <v>2832590198578.5</v>
      </c>
    </row>
    <row r="210" spans="1:35">
      <c r="A210" s="58" t="s">
        <v>1011</v>
      </c>
      <c r="B210" t="s">
        <v>27</v>
      </c>
      <c r="C210" s="60" t="str">
        <v>Larsen &amp; Toubro Ltd</v>
      </c>
      <c r="D210" s="61">
        <v>0.0325559544965222</v>
      </c>
      <c r="E210" s="62">
        <f t="shared" si="6"/>
        <v>0</v>
      </c>
      <c r="F210" s="60" t="str">
        <v>Industrials</v>
      </c>
      <c r="G210" s="62">
        <f t="shared" si="7"/>
        <v>0</v>
      </c>
      <c r="H210" s="60"/>
      <c r="J210" s="6"/>
      <c r="M210" s="58" t="s">
        <v>916</v>
      </c>
      <c r="N210" s="67" t="s">
        <v>46</v>
      </c>
      <c r="O210" s="60" t="str">
        <v>Coal India Ltd</v>
      </c>
      <c r="P210" s="68">
        <v>0.0018026381043633</v>
      </c>
      <c r="Q210" s="62">
        <f>P210*VLOOKUP(N210,'Selector Sheet '!$B$13:$D$43,2,FALSE)</f>
        <v>0</v>
      </c>
      <c r="R210" s="60" t="str">
        <v>Energy</v>
      </c>
      <c r="S210" s="62">
        <f>P210*VLOOKUP(N210,'Selector Sheet '!$B$13:$D$43,2,FALSE)</f>
        <v>0</v>
      </c>
      <c r="T210" s="60"/>
      <c r="X210" s="60" t="str">
        <v>INE0CZ201020</v>
      </c>
      <c r="Z210" s="58" t="s">
        <v>1011</v>
      </c>
      <c r="AB210" t="s">
        <v>862</v>
      </c>
      <c r="AC210" t="s">
        <v>1326</v>
      </c>
      <c r="AD210" t="s">
        <v>855</v>
      </c>
      <c r="AE210" t="s">
        <v>860</v>
      </c>
      <c r="AF210">
        <v>20.8216874813561</v>
      </c>
      <c r="AG210">
        <v>4512.6</v>
      </c>
      <c r="AH210" t="s">
        <v>860</v>
      </c>
      <c r="AI210">
        <v>449877731353.55</v>
      </c>
    </row>
    <row r="211" spans="1:35">
      <c r="A211" s="63" t="s">
        <v>1208</v>
      </c>
      <c r="B211" t="s">
        <v>27</v>
      </c>
      <c r="C211" s="60" t="str">
        <v>LIC Housing Finance Ltd</v>
      </c>
      <c r="D211" s="64">
        <v>0.00156408307123463</v>
      </c>
      <c r="E211" s="62">
        <f t="shared" si="6"/>
        <v>0</v>
      </c>
      <c r="F211" s="60" t="str">
        <v>Financials</v>
      </c>
      <c r="G211" s="62">
        <f t="shared" si="7"/>
        <v>0</v>
      </c>
      <c r="H211" s="60"/>
      <c r="J211" s="6"/>
      <c r="M211" s="63" t="s">
        <v>924</v>
      </c>
      <c r="N211" s="69" t="s">
        <v>46</v>
      </c>
      <c r="O211" s="60" t="str">
        <v>Container Corp Of India Ltd</v>
      </c>
      <c r="P211" s="70">
        <v>4.12264213736791e-6</v>
      </c>
      <c r="Q211" s="62">
        <f>P211*VLOOKUP(N211,'Selector Sheet '!$B$13:$D$43,2,FALSE)</f>
        <v>0</v>
      </c>
      <c r="R211" s="60" t="str">
        <v>Industrials</v>
      </c>
      <c r="S211" s="62">
        <f>P211*VLOOKUP(N211,'Selector Sheet '!$B$13:$D$43,2,FALSE)</f>
        <v>0</v>
      </c>
      <c r="T211" s="60"/>
      <c r="X211" s="60" t="str">
        <v>INE437A01024</v>
      </c>
      <c r="Z211" s="63" t="s">
        <v>1208</v>
      </c>
      <c r="AB211" t="s">
        <v>865</v>
      </c>
      <c r="AC211" t="s">
        <v>1327</v>
      </c>
      <c r="AD211" t="s">
        <v>855</v>
      </c>
      <c r="AE211">
        <v>72.0643333637942</v>
      </c>
      <c r="AF211" t="s">
        <v>860</v>
      </c>
      <c r="AG211">
        <v>14459</v>
      </c>
      <c r="AH211">
        <v>100.56</v>
      </c>
      <c r="AI211">
        <v>1133885805102</v>
      </c>
    </row>
    <row r="212" spans="1:35">
      <c r="A212" s="58" t="s">
        <v>1018</v>
      </c>
      <c r="B212" t="s">
        <v>27</v>
      </c>
      <c r="C212" s="60" t="str">
        <v>Mahindra &amp; Mahindra Financial</v>
      </c>
      <c r="D212" s="61">
        <v>0.0072174852480068</v>
      </c>
      <c r="E212" s="62">
        <f t="shared" si="6"/>
        <v>0</v>
      </c>
      <c r="F212" s="60" t="str">
        <v>Financials</v>
      </c>
      <c r="G212" s="62">
        <f t="shared" si="7"/>
        <v>0</v>
      </c>
      <c r="H212" s="60"/>
      <c r="J212" s="6"/>
      <c r="M212" s="58" t="s">
        <v>922</v>
      </c>
      <c r="N212" s="67" t="s">
        <v>46</v>
      </c>
      <c r="O212" s="60" t="str">
        <v>Coromandel International Ltd</v>
      </c>
      <c r="P212" s="68">
        <v>0.012061031913521</v>
      </c>
      <c r="Q212" s="62">
        <f>P212*VLOOKUP(N212,'Selector Sheet '!$B$13:$D$43,2,FALSE)</f>
        <v>0</v>
      </c>
      <c r="R212" s="60" t="str">
        <v>Materials</v>
      </c>
      <c r="S212" s="62">
        <f>P212*VLOOKUP(N212,'Selector Sheet '!$B$13:$D$43,2,FALSE)</f>
        <v>0</v>
      </c>
      <c r="T212" s="60"/>
      <c r="X212" s="60" t="str">
        <v>INE438A01022</v>
      </c>
      <c r="Z212" s="58" t="s">
        <v>1018</v>
      </c>
      <c r="AB212" t="s">
        <v>1296</v>
      </c>
      <c r="AC212" t="s">
        <v>1328</v>
      </c>
      <c r="AD212" t="s">
        <v>874</v>
      </c>
      <c r="AE212">
        <v>25.206681421092</v>
      </c>
      <c r="AF212">
        <v>7.8228305932869</v>
      </c>
      <c r="AG212">
        <v>11213.2</v>
      </c>
      <c r="AH212">
        <v>17.66</v>
      </c>
      <c r="AI212">
        <v>282715186111.9</v>
      </c>
    </row>
    <row r="213" spans="1:35">
      <c r="A213" s="63" t="s">
        <v>1026</v>
      </c>
      <c r="B213" t="s">
        <v>27</v>
      </c>
      <c r="C213" s="60" t="str">
        <v>Maruti Suzuki India Ltd</v>
      </c>
      <c r="D213" s="64">
        <v>0.0473953404550768</v>
      </c>
      <c r="E213" s="62">
        <f t="shared" si="6"/>
        <v>0</v>
      </c>
      <c r="F213" s="60" t="str">
        <v>Consumer Discretionary</v>
      </c>
      <c r="G213" s="62">
        <f t="shared" si="7"/>
        <v>0</v>
      </c>
      <c r="H213" s="60"/>
      <c r="J213" s="6"/>
      <c r="M213" s="63" t="s">
        <v>933</v>
      </c>
      <c r="N213" s="69" t="s">
        <v>46</v>
      </c>
      <c r="O213" s="60" t="str">
        <v>Cummins India Ltd</v>
      </c>
      <c r="P213" s="70">
        <v>0.00116777972587349</v>
      </c>
      <c r="Q213" s="62">
        <f>P213*VLOOKUP(N213,'Selector Sheet '!$B$13:$D$43,2,FALSE)</f>
        <v>0</v>
      </c>
      <c r="R213" s="60" t="str">
        <v>Industrials</v>
      </c>
      <c r="S213" s="62">
        <f>P213*VLOOKUP(N213,'Selector Sheet '!$B$13:$D$43,2,FALSE)</f>
        <v>0</v>
      </c>
      <c r="T213" s="60"/>
      <c r="X213" s="60" t="str">
        <v>INE386C01029</v>
      </c>
      <c r="Z213" s="63" t="s">
        <v>1026</v>
      </c>
      <c r="AB213" t="s">
        <v>1329</v>
      </c>
      <c r="AC213" t="s">
        <v>1330</v>
      </c>
      <c r="AD213" t="s">
        <v>920</v>
      </c>
      <c r="AE213">
        <v>62.6190468641292</v>
      </c>
      <c r="AF213">
        <v>14.8701251367961</v>
      </c>
      <c r="AG213">
        <v>1535.088</v>
      </c>
      <c r="AH213">
        <v>16.17</v>
      </c>
      <c r="AI213">
        <v>96136567850.4</v>
      </c>
    </row>
    <row r="214" spans="1:35">
      <c r="A214" s="58" t="s">
        <v>1219</v>
      </c>
      <c r="B214" t="s">
        <v>27</v>
      </c>
      <c r="C214" s="60" t="str">
        <v>Motherson Sumi Wiring India Lt</v>
      </c>
      <c r="D214" s="61">
        <v>0.0217458002581908</v>
      </c>
      <c r="E214" s="62">
        <f t="shared" si="6"/>
        <v>0</v>
      </c>
      <c r="F214" s="60" t="str">
        <v>Consumer Discretionary</v>
      </c>
      <c r="G214" s="62">
        <f t="shared" si="7"/>
        <v>0</v>
      </c>
      <c r="H214" s="60"/>
      <c r="J214" s="6"/>
      <c r="M214" s="58" t="s">
        <v>1331</v>
      </c>
      <c r="N214" s="67" t="s">
        <v>46</v>
      </c>
      <c r="O214" s="60" t="str">
        <v>Dalmia Bharat Ltd</v>
      </c>
      <c r="P214" s="68">
        <v>0.000713621941205524</v>
      </c>
      <c r="Q214" s="62">
        <f>P214*VLOOKUP(N214,'Selector Sheet '!$B$13:$D$43,2,FALSE)</f>
        <v>0</v>
      </c>
      <c r="R214" s="60" t="str">
        <v>Materials</v>
      </c>
      <c r="S214" s="62">
        <f>P214*VLOOKUP(N214,'Selector Sheet '!$B$13:$D$43,2,FALSE)</f>
        <v>0</v>
      </c>
      <c r="T214" s="60"/>
      <c r="X214" s="60" t="str">
        <v>INE462A01022</v>
      </c>
      <c r="Z214" s="58" t="s">
        <v>1219</v>
      </c>
      <c r="AB214" t="s">
        <v>1332</v>
      </c>
      <c r="AC214" t="s">
        <v>1333</v>
      </c>
      <c r="AD214" t="s">
        <v>859</v>
      </c>
      <c r="AE214">
        <v>44.5284682244084</v>
      </c>
      <c r="AF214">
        <v>19.9305238780308</v>
      </c>
      <c r="AG214">
        <v>5680</v>
      </c>
      <c r="AH214">
        <v>126.503341</v>
      </c>
      <c r="AI214">
        <v>253158804236</v>
      </c>
    </row>
    <row r="215" spans="1:35">
      <c r="A215" s="63" t="s">
        <v>1010</v>
      </c>
      <c r="B215" t="s">
        <v>27</v>
      </c>
      <c r="C215" s="60" t="str">
        <v>Mphasis Ltd</v>
      </c>
      <c r="D215" s="64">
        <v>0.00482028335238565</v>
      </c>
      <c r="E215" s="62">
        <f t="shared" si="6"/>
        <v>0</v>
      </c>
      <c r="F215" s="60" t="str">
        <v>Information Technology</v>
      </c>
      <c r="G215" s="62">
        <f t="shared" si="7"/>
        <v>0</v>
      </c>
      <c r="H215" s="60"/>
      <c r="J215" s="6"/>
      <c r="M215" s="63" t="s">
        <v>939</v>
      </c>
      <c r="N215" s="69" t="s">
        <v>46</v>
      </c>
      <c r="O215" s="60" t="str">
        <v>Devyani International Ltd</v>
      </c>
      <c r="P215" s="70">
        <v>0.000140717237435637</v>
      </c>
      <c r="Q215" s="62">
        <f>P215*VLOOKUP(N215,'Selector Sheet '!$B$13:$D$43,2,FALSE)</f>
        <v>0</v>
      </c>
      <c r="R215" s="60" t="str">
        <v>Consumer Discretionary</v>
      </c>
      <c r="S215" s="62">
        <f>P215*VLOOKUP(N215,'Selector Sheet '!$B$13:$D$43,2,FALSE)</f>
        <v>0</v>
      </c>
      <c r="T215" s="60"/>
      <c r="X215" s="60" t="str">
        <v>INE323A01026</v>
      </c>
      <c r="Z215" s="63" t="s">
        <v>1010</v>
      </c>
      <c r="AB215" t="s">
        <v>1319</v>
      </c>
      <c r="AC215" t="s">
        <v>1334</v>
      </c>
      <c r="AD215" t="s">
        <v>874</v>
      </c>
      <c r="AE215">
        <v>57.8265642151482</v>
      </c>
      <c r="AF215">
        <v>15.5793151966355</v>
      </c>
      <c r="AG215">
        <v>20152</v>
      </c>
      <c r="AH215">
        <v>683.25</v>
      </c>
      <c r="AI215">
        <v>1165293716400</v>
      </c>
    </row>
    <row r="216" spans="1:35">
      <c r="A216" s="58" t="s">
        <v>1235</v>
      </c>
      <c r="B216" t="s">
        <v>27</v>
      </c>
      <c r="C216" s="60" t="str">
        <v>MRF Ltd</v>
      </c>
      <c r="D216" s="61">
        <v>0</v>
      </c>
      <c r="E216" s="62">
        <f t="shared" si="6"/>
        <v>0</v>
      </c>
      <c r="F216" s="60" t="str">
        <v>Consumer Discretionary</v>
      </c>
      <c r="G216" s="62">
        <f t="shared" si="7"/>
        <v>0</v>
      </c>
      <c r="H216" s="60"/>
      <c r="J216" s="6"/>
      <c r="M216" s="58" t="s">
        <v>928</v>
      </c>
      <c r="N216" s="67" t="s">
        <v>46</v>
      </c>
      <c r="O216" s="60" t="str">
        <v>Dixon Technologies India Ltd</v>
      </c>
      <c r="P216" s="68">
        <v>5.76200536626593e-5</v>
      </c>
      <c r="Q216" s="62">
        <f>P216*VLOOKUP(N216,'Selector Sheet '!$B$13:$D$43,2,FALSE)</f>
        <v>0</v>
      </c>
      <c r="R216" s="60" t="str">
        <v>Consumer Discretionary</v>
      </c>
      <c r="S216" s="62">
        <f>P216*VLOOKUP(N216,'Selector Sheet '!$B$13:$D$43,2,FALSE)</f>
        <v>0</v>
      </c>
      <c r="T216" s="60"/>
      <c r="X216" s="60" t="str">
        <v>INE02RE01045</v>
      </c>
      <c r="Z216" s="58" t="s">
        <v>1235</v>
      </c>
      <c r="AB216" t="s">
        <v>1335</v>
      </c>
      <c r="AC216" t="s">
        <v>1336</v>
      </c>
      <c r="AD216" t="s">
        <v>874</v>
      </c>
      <c r="AE216" t="s">
        <v>860</v>
      </c>
      <c r="AF216">
        <v>-4.84412450002359</v>
      </c>
      <c r="AG216">
        <v>-1914.67</v>
      </c>
      <c r="AH216">
        <v>-4.11</v>
      </c>
      <c r="AI216">
        <v>191640168450.25</v>
      </c>
    </row>
    <row r="217" spans="1:35">
      <c r="A217" s="63" t="s">
        <v>1237</v>
      </c>
      <c r="B217" t="s">
        <v>27</v>
      </c>
      <c r="C217" s="60" t="str">
        <v>NCC Ltd/India</v>
      </c>
      <c r="D217" s="64">
        <v>0.00609436993835494</v>
      </c>
      <c r="E217" s="62">
        <f t="shared" si="6"/>
        <v>0</v>
      </c>
      <c r="F217" s="60" t="str">
        <v>Industrials</v>
      </c>
      <c r="G217" s="62">
        <f t="shared" si="7"/>
        <v>0</v>
      </c>
      <c r="H217" s="60"/>
      <c r="J217" s="6"/>
      <c r="M217" s="63" t="s">
        <v>1301</v>
      </c>
      <c r="N217" s="69" t="s">
        <v>46</v>
      </c>
      <c r="O217" s="60" t="str">
        <v>DLF Ltd</v>
      </c>
      <c r="P217" s="70">
        <v>0.00136135573594177</v>
      </c>
      <c r="Q217" s="62">
        <f>P217*VLOOKUP(N217,'Selector Sheet '!$B$13:$D$43,2,FALSE)</f>
        <v>0</v>
      </c>
      <c r="R217" s="60" t="str">
        <v>Real Estate</v>
      </c>
      <c r="S217" s="62">
        <f>P217*VLOOKUP(N217,'Selector Sheet '!$B$13:$D$43,2,FALSE)</f>
        <v>0</v>
      </c>
      <c r="T217" s="60"/>
      <c r="X217" s="60" t="str">
        <v>INE216A01030</v>
      </c>
      <c r="Z217" s="63" t="s">
        <v>1237</v>
      </c>
      <c r="AB217" t="s">
        <v>900</v>
      </c>
      <c r="AC217" t="s">
        <v>1337</v>
      </c>
      <c r="AD217" t="s">
        <v>1016</v>
      </c>
      <c r="AE217">
        <v>60.2108036890645</v>
      </c>
      <c r="AF217" t="s">
        <v>860</v>
      </c>
      <c r="AG217">
        <v>21787.3</v>
      </c>
      <c r="AH217">
        <v>90.45</v>
      </c>
      <c r="AI217">
        <v>1320921735264</v>
      </c>
    </row>
    <row r="218" spans="1:35">
      <c r="A218" s="58" t="s">
        <v>1025</v>
      </c>
      <c r="B218" t="s">
        <v>27</v>
      </c>
      <c r="C218" s="60" t="str">
        <v>Nestle India Ltd</v>
      </c>
      <c r="D218" s="61">
        <v>0.00986291756188187</v>
      </c>
      <c r="E218" s="62">
        <f t="shared" si="6"/>
        <v>0</v>
      </c>
      <c r="F218" s="60" t="str">
        <v>Consumer Staples</v>
      </c>
      <c r="G218" s="62">
        <f t="shared" si="7"/>
        <v>0</v>
      </c>
      <c r="H218" s="60"/>
      <c r="J218" s="6"/>
      <c r="M218" s="58" t="s">
        <v>947</v>
      </c>
      <c r="N218" s="67" t="s">
        <v>46</v>
      </c>
      <c r="O218" s="60" t="str">
        <v>Dr Lal PathLabs Ltd</v>
      </c>
      <c r="P218" s="68">
        <v>0.00206191409051284</v>
      </c>
      <c r="Q218" s="62">
        <f>P218*VLOOKUP(N218,'Selector Sheet '!$B$13:$D$43,2,FALSE)</f>
        <v>0</v>
      </c>
      <c r="R218" s="60" t="str">
        <v>Health Care</v>
      </c>
      <c r="S218" s="62">
        <f>P218*VLOOKUP(N218,'Selector Sheet '!$B$13:$D$43,2,FALSE)</f>
        <v>0</v>
      </c>
      <c r="T218" s="60"/>
      <c r="X218" s="60" t="str">
        <v>INE169A01031</v>
      </c>
      <c r="Z218" s="58" t="s">
        <v>1025</v>
      </c>
      <c r="AB218" t="s">
        <v>922</v>
      </c>
      <c r="AC218" t="s">
        <v>1338</v>
      </c>
      <c r="AD218" t="s">
        <v>859</v>
      </c>
      <c r="AE218">
        <v>41.1102143737752</v>
      </c>
      <c r="AF218">
        <v>20.1529862154417</v>
      </c>
      <c r="AG218">
        <v>20664.6</v>
      </c>
      <c r="AH218">
        <v>70.15903</v>
      </c>
      <c r="AI218">
        <v>707684787087.25</v>
      </c>
    </row>
    <row r="219" spans="1:35">
      <c r="A219" s="63" t="s">
        <v>1239</v>
      </c>
      <c r="B219" t="s">
        <v>27</v>
      </c>
      <c r="C219" s="60" t="str">
        <v>NMDC Ltd</v>
      </c>
      <c r="D219" s="64">
        <v>0.00283218156725853</v>
      </c>
      <c r="E219" s="62">
        <f t="shared" si="6"/>
        <v>0</v>
      </c>
      <c r="F219" s="60" t="str">
        <v>Materials</v>
      </c>
      <c r="G219" s="62">
        <f t="shared" si="7"/>
        <v>0</v>
      </c>
      <c r="H219" s="60"/>
      <c r="J219" s="6"/>
      <c r="M219" s="63" t="s">
        <v>937</v>
      </c>
      <c r="N219" s="69" t="s">
        <v>46</v>
      </c>
      <c r="O219" s="60" t="str">
        <v>Eternal Ltd</v>
      </c>
      <c r="P219" s="70">
        <v>0.0128642628743514</v>
      </c>
      <c r="Q219" s="62">
        <f>P219*VLOOKUP(N219,'Selector Sheet '!$B$13:$D$43,2,FALSE)</f>
        <v>0</v>
      </c>
      <c r="R219" s="60" t="str">
        <v>Consumer Discretionary</v>
      </c>
      <c r="S219" s="62">
        <f>P219*VLOOKUP(N219,'Selector Sheet '!$B$13:$D$43,2,FALSE)</f>
        <v>0</v>
      </c>
      <c r="T219" s="60"/>
      <c r="X219" s="60" t="str">
        <v>INE102D01028</v>
      </c>
      <c r="Z219" s="63" t="s">
        <v>1239</v>
      </c>
      <c r="AB219" t="s">
        <v>1339</v>
      </c>
      <c r="AC219" t="s">
        <v>1340</v>
      </c>
      <c r="AD219" t="s">
        <v>1016</v>
      </c>
      <c r="AE219">
        <v>66.3410582552946</v>
      </c>
      <c r="AF219" t="s">
        <v>860</v>
      </c>
      <c r="AG219">
        <v>18523</v>
      </c>
      <c r="AH219">
        <v>18.11</v>
      </c>
      <c r="AI219">
        <v>1229837667720.3</v>
      </c>
    </row>
    <row r="220" spans="1:35">
      <c r="A220" s="58" t="s">
        <v>1028</v>
      </c>
      <c r="B220" t="s">
        <v>27</v>
      </c>
      <c r="C220" s="60" t="str">
        <v>NTPC Ltd</v>
      </c>
      <c r="D220" s="61">
        <v>0.0117067846718801</v>
      </c>
      <c r="E220" s="62">
        <f t="shared" si="6"/>
        <v>0</v>
      </c>
      <c r="F220" s="60" t="str">
        <v>Utilities</v>
      </c>
      <c r="G220" s="62">
        <f t="shared" si="7"/>
        <v>0</v>
      </c>
      <c r="H220" s="60"/>
      <c r="J220" s="6"/>
      <c r="M220" s="58" t="s">
        <v>940</v>
      </c>
      <c r="N220" s="67" t="s">
        <v>46</v>
      </c>
      <c r="O220" s="60" t="str">
        <v>Fortis Healthcare Ltd</v>
      </c>
      <c r="P220" s="68">
        <v>3.4104457294049e-5</v>
      </c>
      <c r="Q220" s="62">
        <f>P220*VLOOKUP(N220,'Selector Sheet '!$B$13:$D$43,2,FALSE)</f>
        <v>0</v>
      </c>
      <c r="R220" s="60" t="str">
        <v>Health Care</v>
      </c>
      <c r="S220" s="62">
        <f>P220*VLOOKUP(N220,'Selector Sheet '!$B$13:$D$43,2,FALSE)</f>
        <v>0</v>
      </c>
      <c r="T220" s="60"/>
      <c r="X220" s="60" t="str">
        <v>INE246F01010</v>
      </c>
      <c r="Z220" s="58" t="s">
        <v>1028</v>
      </c>
      <c r="AB220" t="s">
        <v>1341</v>
      </c>
      <c r="AC220" t="s">
        <v>1342</v>
      </c>
      <c r="AD220" t="s">
        <v>1030</v>
      </c>
      <c r="AE220">
        <v>15.3555107213568</v>
      </c>
      <c r="AF220">
        <v>9.88920846980454</v>
      </c>
      <c r="AG220">
        <v>11110.844</v>
      </c>
      <c r="AH220">
        <v>19.69</v>
      </c>
      <c r="AI220">
        <v>170589309533.6</v>
      </c>
    </row>
    <row r="221" spans="1:35">
      <c r="A221" s="63" t="s">
        <v>1242</v>
      </c>
      <c r="B221" t="s">
        <v>27</v>
      </c>
      <c r="C221" s="60" t="str">
        <v>Nuvoco Vistas Corp Ltd</v>
      </c>
      <c r="D221" s="64">
        <v>0.00333652328076347</v>
      </c>
      <c r="E221" s="62">
        <f t="shared" si="6"/>
        <v>0</v>
      </c>
      <c r="F221" s="60" t="str">
        <v>Materials</v>
      </c>
      <c r="G221" s="62">
        <f t="shared" si="7"/>
        <v>0</v>
      </c>
      <c r="H221" s="60"/>
      <c r="J221" s="6"/>
      <c r="M221" s="63" t="s">
        <v>1168</v>
      </c>
      <c r="N221" s="69" t="s">
        <v>46</v>
      </c>
      <c r="O221" s="60" t="str">
        <v>FSN E-Commerce Ventures Ltd</v>
      </c>
      <c r="P221" s="70">
        <v>0.000589178591266496</v>
      </c>
      <c r="Q221" s="62">
        <f>P221*VLOOKUP(N221,'Selector Sheet '!$B$13:$D$43,2,FALSE)</f>
        <v>0</v>
      </c>
      <c r="R221" s="60" t="str">
        <v>Consumer Discretionary</v>
      </c>
      <c r="S221" s="62">
        <f>P221*VLOOKUP(N221,'Selector Sheet '!$B$13:$D$43,2,FALSE)</f>
        <v>0</v>
      </c>
      <c r="T221" s="60"/>
      <c r="X221" s="60" t="str">
        <v>INE813A01018</v>
      </c>
      <c r="Z221" s="63" t="s">
        <v>1242</v>
      </c>
      <c r="AB221" t="s">
        <v>1343</v>
      </c>
      <c r="AC221" t="s">
        <v>1344</v>
      </c>
      <c r="AD221" t="s">
        <v>1034</v>
      </c>
      <c r="AE221">
        <v>94.8865599585821</v>
      </c>
      <c r="AF221">
        <v>3.25254476108956</v>
      </c>
      <c r="AG221">
        <v>612.921</v>
      </c>
      <c r="AH221">
        <v>3.6290704</v>
      </c>
      <c r="AI221">
        <v>73438800676.3</v>
      </c>
    </row>
    <row r="222" spans="1:35">
      <c r="A222" s="58" t="s">
        <v>1031</v>
      </c>
      <c r="B222" t="s">
        <v>27</v>
      </c>
      <c r="C222" s="60" t="str">
        <v>Oberoi Realty Ltd</v>
      </c>
      <c r="D222" s="61">
        <v>0.00511631094548393</v>
      </c>
      <c r="E222" s="62">
        <f t="shared" si="6"/>
        <v>0</v>
      </c>
      <c r="F222" s="60" t="str">
        <v>Real Estate</v>
      </c>
      <c r="G222" s="62">
        <f t="shared" si="7"/>
        <v>0</v>
      </c>
      <c r="H222" s="60"/>
      <c r="J222" s="6"/>
      <c r="M222" s="58" t="s">
        <v>945</v>
      </c>
      <c r="N222" s="67" t="s">
        <v>46</v>
      </c>
      <c r="O222" s="60" t="str">
        <v>GE Vernova T&amp;D India Ltd</v>
      </c>
      <c r="P222" s="68">
        <v>0.00817656216818041</v>
      </c>
      <c r="Q222" s="62">
        <f>P222*VLOOKUP(N222,'Selector Sheet '!$B$13:$D$43,2,FALSE)</f>
        <v>0</v>
      </c>
      <c r="R222" s="60" t="str">
        <v>Industrials</v>
      </c>
      <c r="S222" s="62">
        <f>P222*VLOOKUP(N222,'Selector Sheet '!$B$13:$D$43,2,FALSE)</f>
        <v>0</v>
      </c>
      <c r="T222" s="60"/>
      <c r="X222" s="60" t="str">
        <v>INE511C01022</v>
      </c>
      <c r="Z222" s="58" t="s">
        <v>1031</v>
      </c>
      <c r="AB222" t="s">
        <v>1345</v>
      </c>
      <c r="AC222" t="s">
        <v>1346</v>
      </c>
      <c r="AD222" t="s">
        <v>867</v>
      </c>
      <c r="AE222" t="s">
        <v>860</v>
      </c>
      <c r="AF222">
        <v>-1.20354380867643</v>
      </c>
      <c r="AG222">
        <v>-983.4</v>
      </c>
      <c r="AH222">
        <v>-1.27</v>
      </c>
      <c r="AI222">
        <v>361901846637</v>
      </c>
    </row>
    <row r="223" spans="1:35">
      <c r="A223" s="63" t="s">
        <v>1227</v>
      </c>
      <c r="B223" t="s">
        <v>27</v>
      </c>
      <c r="C223" s="60" t="str">
        <v>Oil &amp; Natural Gas Corp Ltd</v>
      </c>
      <c r="D223" s="64">
        <v>0.00303580673792346</v>
      </c>
      <c r="E223" s="62">
        <f t="shared" si="6"/>
        <v>0</v>
      </c>
      <c r="F223" s="60" t="str">
        <v>Energy</v>
      </c>
      <c r="G223" s="62">
        <f t="shared" si="7"/>
        <v>0</v>
      </c>
      <c r="H223" s="60"/>
      <c r="J223" s="6"/>
      <c r="M223" s="63" t="s">
        <v>951</v>
      </c>
      <c r="N223" s="69" t="s">
        <v>46</v>
      </c>
      <c r="O223" s="60" t="str">
        <v>Glenmark Pharmaceuticals Ltd</v>
      </c>
      <c r="P223" s="70">
        <v>0.0011362754412138</v>
      </c>
      <c r="Q223" s="62">
        <f>P223*VLOOKUP(N223,'Selector Sheet '!$B$13:$D$43,2,FALSE)</f>
        <v>0</v>
      </c>
      <c r="R223" s="60" t="str">
        <v>Health Care</v>
      </c>
      <c r="S223" s="62">
        <f>P223*VLOOKUP(N223,'Selector Sheet '!$B$13:$D$43,2,FALSE)</f>
        <v>0</v>
      </c>
      <c r="T223" s="60"/>
      <c r="X223" s="60" t="str">
        <v>INE721A01047</v>
      </c>
      <c r="Z223" s="63" t="s">
        <v>1227</v>
      </c>
      <c r="AB223" t="s">
        <v>1347</v>
      </c>
      <c r="AC223" t="s">
        <v>1348</v>
      </c>
      <c r="AD223" t="s">
        <v>867</v>
      </c>
      <c r="AE223">
        <v>12.6220362622036</v>
      </c>
      <c r="AF223">
        <v>18.1257689106851</v>
      </c>
      <c r="AG223">
        <v>95538.2</v>
      </c>
      <c r="AH223">
        <v>50.82</v>
      </c>
      <c r="AI223">
        <v>1191463367468.5</v>
      </c>
    </row>
    <row r="224" spans="1:35">
      <c r="A224" s="58" t="s">
        <v>1035</v>
      </c>
      <c r="B224" t="s">
        <v>27</v>
      </c>
      <c r="C224" s="60" t="str">
        <v>Oil India Ltd</v>
      </c>
      <c r="D224" s="61">
        <v>0.000880361068481632</v>
      </c>
      <c r="E224" s="62">
        <f t="shared" si="6"/>
        <v>0</v>
      </c>
      <c r="F224" s="60" t="str">
        <v>Energy</v>
      </c>
      <c r="G224" s="62">
        <f t="shared" si="7"/>
        <v>0</v>
      </c>
      <c r="H224" s="60"/>
      <c r="J224" s="6"/>
      <c r="M224" s="58" t="s">
        <v>1339</v>
      </c>
      <c r="N224" s="67" t="s">
        <v>46</v>
      </c>
      <c r="O224" s="60" t="str">
        <v>Godrej Consumer Products Ltd</v>
      </c>
      <c r="P224" s="68">
        <v>0.00877907234633095</v>
      </c>
      <c r="Q224" s="62">
        <f>P224*VLOOKUP(N224,'Selector Sheet '!$B$13:$D$43,2,FALSE)</f>
        <v>0</v>
      </c>
      <c r="R224" s="60" t="str">
        <v>Consumer Staples</v>
      </c>
      <c r="S224" s="62">
        <f>P224*VLOOKUP(N224,'Selector Sheet '!$B$13:$D$43,2,FALSE)</f>
        <v>0</v>
      </c>
      <c r="T224" s="60"/>
      <c r="X224" s="60" t="str">
        <v>INE383A01012</v>
      </c>
      <c r="Z224" s="58" t="s">
        <v>1035</v>
      </c>
      <c r="AB224" t="s">
        <v>1349</v>
      </c>
      <c r="AC224" t="s">
        <v>1350</v>
      </c>
      <c r="AD224" t="s">
        <v>859</v>
      </c>
      <c r="AE224" t="s">
        <v>860</v>
      </c>
      <c r="AF224">
        <v>-1.82229910713904</v>
      </c>
      <c r="AG224">
        <v>-1436.778</v>
      </c>
      <c r="AH224">
        <v>-4.636309</v>
      </c>
      <c r="AI224">
        <v>116164965794.85</v>
      </c>
    </row>
    <row r="225" spans="1:35">
      <c r="A225" s="63" t="s">
        <v>1246</v>
      </c>
      <c r="B225" t="s">
        <v>27</v>
      </c>
      <c r="C225" s="60" t="str">
        <v>Orient Electric Ltd</v>
      </c>
      <c r="D225" s="64">
        <v>0.00259376783094096</v>
      </c>
      <c r="E225" s="62">
        <f t="shared" si="6"/>
        <v>0</v>
      </c>
      <c r="F225" s="60" t="str">
        <v>Consumer Discretionary</v>
      </c>
      <c r="G225" s="62">
        <f t="shared" si="7"/>
        <v>0</v>
      </c>
      <c r="H225" s="60"/>
      <c r="J225" s="6"/>
      <c r="M225" s="63" t="s">
        <v>1351</v>
      </c>
      <c r="N225" s="69" t="s">
        <v>46</v>
      </c>
      <c r="O225" s="60" t="str">
        <v>Godrej Properties Ltd</v>
      </c>
      <c r="P225" s="70">
        <v>0.0028884097538611</v>
      </c>
      <c r="Q225" s="62">
        <f>P225*VLOOKUP(N225,'Selector Sheet '!$B$13:$D$43,2,FALSE)</f>
        <v>0</v>
      </c>
      <c r="R225" s="60" t="str">
        <v>Real Estate</v>
      </c>
      <c r="S225" s="62">
        <f>P225*VLOOKUP(N225,'Selector Sheet '!$B$13:$D$43,2,FALSE)</f>
        <v>0</v>
      </c>
      <c r="T225" s="60"/>
      <c r="X225" s="60" t="str">
        <v>INE427F01016</v>
      </c>
      <c r="Z225" s="63" t="s">
        <v>1246</v>
      </c>
      <c r="AB225" t="s">
        <v>1352</v>
      </c>
      <c r="AC225" t="s">
        <v>1353</v>
      </c>
      <c r="AD225" t="s">
        <v>874</v>
      </c>
      <c r="AE225">
        <v>142.373661900005</v>
      </c>
      <c r="AF225">
        <v>5.82184417679801</v>
      </c>
      <c r="AG225">
        <v>1425.65</v>
      </c>
      <c r="AH225">
        <v>6.53</v>
      </c>
      <c r="AI225">
        <v>203130538825.5</v>
      </c>
    </row>
    <row r="226" spans="1:35">
      <c r="A226" s="58" t="s">
        <v>1044</v>
      </c>
      <c r="B226" t="s">
        <v>27</v>
      </c>
      <c r="C226" s="60" t="str">
        <v>Page Industries Ltd</v>
      </c>
      <c r="D226" s="61">
        <v>0.0249013989075436</v>
      </c>
      <c r="E226" s="62">
        <f t="shared" si="6"/>
        <v>0</v>
      </c>
      <c r="F226" s="60" t="str">
        <v>Consumer Discretionary</v>
      </c>
      <c r="G226" s="62">
        <f t="shared" si="7"/>
        <v>0</v>
      </c>
      <c r="H226" s="60"/>
      <c r="J226" s="6"/>
      <c r="M226" s="58" t="s">
        <v>1170</v>
      </c>
      <c r="N226" s="67" t="s">
        <v>46</v>
      </c>
      <c r="O226" s="60" t="str">
        <v>Grasim Industries Ltd</v>
      </c>
      <c r="P226" s="68">
        <v>0.00112754547563661</v>
      </c>
      <c r="Q226" s="62">
        <f>P226*VLOOKUP(N226,'Selector Sheet '!$B$13:$D$43,2,FALSE)</f>
        <v>0</v>
      </c>
      <c r="R226" s="60" t="str">
        <v>Materials</v>
      </c>
      <c r="S226" s="62">
        <f>P226*VLOOKUP(N226,'Selector Sheet '!$B$13:$D$43,2,FALSE)</f>
        <v>0</v>
      </c>
      <c r="T226" s="60"/>
      <c r="X226" s="60" t="str">
        <v>INE259A01022</v>
      </c>
      <c r="Z226" s="58" t="s">
        <v>1044</v>
      </c>
      <c r="AB226" t="s">
        <v>1160</v>
      </c>
      <c r="AC226" t="s">
        <v>1354</v>
      </c>
      <c r="AD226" t="s">
        <v>1016</v>
      </c>
      <c r="AE226">
        <v>41.7944349801249</v>
      </c>
      <c r="AF226">
        <v>81.2025076299194</v>
      </c>
      <c r="AG226">
        <v>14368.1</v>
      </c>
      <c r="AH226">
        <v>52.83</v>
      </c>
      <c r="AI226">
        <v>600544279872</v>
      </c>
    </row>
    <row r="227" spans="1:35">
      <c r="A227" s="63" t="s">
        <v>1043</v>
      </c>
      <c r="B227" t="s">
        <v>27</v>
      </c>
      <c r="C227" s="60" t="str">
        <v>PI Industries Ltd</v>
      </c>
      <c r="D227" s="64">
        <v>0.0168425354007428</v>
      </c>
      <c r="E227" s="62">
        <f t="shared" si="6"/>
        <v>0</v>
      </c>
      <c r="F227" s="60" t="str">
        <v>Materials</v>
      </c>
      <c r="G227" s="62">
        <f t="shared" si="7"/>
        <v>0</v>
      </c>
      <c r="H227" s="60"/>
      <c r="J227" s="6"/>
      <c r="M227" s="63" t="s">
        <v>1341</v>
      </c>
      <c r="N227" s="69" t="s">
        <v>46</v>
      </c>
      <c r="O227" s="60" t="str">
        <v>Gujarat State Petronet Ltd</v>
      </c>
      <c r="P227" s="70">
        <v>0.00665986322373475</v>
      </c>
      <c r="Q227" s="62">
        <f>P227*VLOOKUP(N227,'Selector Sheet '!$B$13:$D$43,2,FALSE)</f>
        <v>0</v>
      </c>
      <c r="R227" s="60" t="str">
        <v>Utilities</v>
      </c>
      <c r="S227" s="62">
        <f>P227*VLOOKUP(N227,'Selector Sheet '!$B$13:$D$43,2,FALSE)</f>
        <v>0</v>
      </c>
      <c r="T227" s="60"/>
      <c r="X227" s="60" t="str">
        <v>INE047A01021</v>
      </c>
      <c r="Z227" s="63" t="s">
        <v>1043</v>
      </c>
      <c r="AB227" t="s">
        <v>1170</v>
      </c>
      <c r="AC227" t="s">
        <v>1355</v>
      </c>
      <c r="AD227" t="s">
        <v>859</v>
      </c>
      <c r="AE227">
        <v>51.0815205624663</v>
      </c>
      <c r="AF227">
        <v>3.98114262321403</v>
      </c>
      <c r="AG227">
        <v>37056.8</v>
      </c>
      <c r="AH227">
        <v>55.57</v>
      </c>
      <c r="AI227">
        <v>1931715644196.6</v>
      </c>
    </row>
    <row r="228" spans="1:35">
      <c r="A228" s="58" t="s">
        <v>1046</v>
      </c>
      <c r="B228" t="s">
        <v>27</v>
      </c>
      <c r="C228" s="60" t="str">
        <v>Pidilite Industries Ltd</v>
      </c>
      <c r="D228" s="61">
        <v>0.00502300944920102</v>
      </c>
      <c r="E228" s="62">
        <f t="shared" si="6"/>
        <v>0</v>
      </c>
      <c r="F228" s="60" t="str">
        <v>Materials</v>
      </c>
      <c r="G228" s="62">
        <f t="shared" si="7"/>
        <v>0</v>
      </c>
      <c r="H228" s="60"/>
      <c r="J228" s="6"/>
      <c r="M228" s="58" t="s">
        <v>1172</v>
      </c>
      <c r="N228" s="67" t="s">
        <v>46</v>
      </c>
      <c r="O228" s="60" t="str">
        <v>Havells India Ltd</v>
      </c>
      <c r="P228" s="68">
        <v>0.00166295295299525</v>
      </c>
      <c r="Q228" s="62">
        <f>P228*VLOOKUP(N228,'Selector Sheet '!$B$13:$D$43,2,FALSE)</f>
        <v>0</v>
      </c>
      <c r="R228" s="60" t="str">
        <v>Industrials</v>
      </c>
      <c r="S228" s="62">
        <f>P228*VLOOKUP(N228,'Selector Sheet '!$B$13:$D$43,2,FALSE)</f>
        <v>0</v>
      </c>
      <c r="T228" s="60"/>
      <c r="X228" s="60" t="str">
        <v>INE176B01034</v>
      </c>
      <c r="Z228" s="58" t="s">
        <v>1046</v>
      </c>
      <c r="AB228" t="s">
        <v>1172</v>
      </c>
      <c r="AC228" t="s">
        <v>1356</v>
      </c>
      <c r="AD228" t="s">
        <v>849</v>
      </c>
      <c r="AE228">
        <v>66.2409535972754</v>
      </c>
      <c r="AF228">
        <v>18.6710038647986</v>
      </c>
      <c r="AG228">
        <v>14722.6</v>
      </c>
      <c r="AH228">
        <v>23.49</v>
      </c>
      <c r="AI228">
        <v>975933191076</v>
      </c>
    </row>
    <row r="229" spans="1:35">
      <c r="A229" s="63" t="s">
        <v>1248</v>
      </c>
      <c r="B229" t="s">
        <v>27</v>
      </c>
      <c r="C229" s="60" t="str">
        <v>Pricol Ltd</v>
      </c>
      <c r="D229" s="64">
        <v>0.00379575213560647</v>
      </c>
      <c r="E229" s="62">
        <f t="shared" si="6"/>
        <v>0</v>
      </c>
      <c r="F229" s="60" t="str">
        <v>Consumer Discretionary</v>
      </c>
      <c r="G229" s="62">
        <f t="shared" si="7"/>
        <v>0</v>
      </c>
      <c r="H229" s="60"/>
      <c r="J229" s="6"/>
      <c r="M229" s="63" t="s">
        <v>958</v>
      </c>
      <c r="N229" s="69" t="s">
        <v>46</v>
      </c>
      <c r="O229" s="60" t="str">
        <v>HDB Financial Services Ltd</v>
      </c>
      <c r="P229" s="70">
        <v>0.000771874931627862</v>
      </c>
      <c r="Q229" s="62">
        <f>P229*VLOOKUP(N229,'Selector Sheet '!$B$13:$D$43,2,FALSE)</f>
        <v>0</v>
      </c>
      <c r="R229" s="60" t="str">
        <v>Financials</v>
      </c>
      <c r="S229" s="62">
        <f>P229*VLOOKUP(N229,'Selector Sheet '!$B$13:$D$43,2,FALSE)</f>
        <v>0</v>
      </c>
      <c r="T229" s="60"/>
      <c r="X229" s="60" t="str">
        <v>INE982J01020</v>
      </c>
      <c r="Z229" s="63" t="s">
        <v>1248</v>
      </c>
      <c r="AB229" t="s">
        <v>1357</v>
      </c>
      <c r="AC229" t="s">
        <v>1358</v>
      </c>
      <c r="AD229" t="s">
        <v>867</v>
      </c>
      <c r="AE229" t="s">
        <v>860</v>
      </c>
      <c r="AF229">
        <v>-4.64637273262724</v>
      </c>
      <c r="AG229">
        <v>-6587</v>
      </c>
      <c r="AH229">
        <v>-10.35</v>
      </c>
      <c r="AI229">
        <v>737607769149.6</v>
      </c>
    </row>
    <row r="230" spans="1:35">
      <c r="A230" s="58" t="s">
        <v>1250</v>
      </c>
      <c r="B230" t="s">
        <v>27</v>
      </c>
      <c r="C230" s="60" t="str">
        <v>Procter &amp; Gamble Hygiene &amp; Hea</v>
      </c>
      <c r="D230" s="61">
        <v>0.00128749095972638</v>
      </c>
      <c r="E230" s="62">
        <f t="shared" si="6"/>
        <v>0</v>
      </c>
      <c r="F230" s="60" t="str">
        <v>Consumer Staples</v>
      </c>
      <c r="G230" s="62">
        <f t="shared" si="7"/>
        <v>0</v>
      </c>
      <c r="H230" s="60"/>
      <c r="J230" s="6"/>
      <c r="M230" s="58" t="s">
        <v>960</v>
      </c>
      <c r="N230" s="67" t="s">
        <v>46</v>
      </c>
      <c r="O230" s="60" t="str">
        <v>HDFC Bank Ltd</v>
      </c>
      <c r="P230" s="68">
        <v>0.0365740510833907</v>
      </c>
      <c r="Q230" s="62">
        <f>P230*VLOOKUP(N230,'Selector Sheet '!$B$13:$D$43,2,FALSE)</f>
        <v>0</v>
      </c>
      <c r="R230" s="60" t="str">
        <v>Financials</v>
      </c>
      <c r="S230" s="62">
        <f>P230*VLOOKUP(N230,'Selector Sheet '!$B$13:$D$43,2,FALSE)</f>
        <v>0</v>
      </c>
      <c r="T230" s="60"/>
      <c r="X230" s="60" t="str">
        <v>INE191H01014</v>
      </c>
      <c r="Z230" s="58" t="s">
        <v>1250</v>
      </c>
      <c r="AB230" t="s">
        <v>1359</v>
      </c>
      <c r="AC230" t="s">
        <v>1360</v>
      </c>
      <c r="AD230" t="s">
        <v>893</v>
      </c>
      <c r="AE230" t="s">
        <v>860</v>
      </c>
      <c r="AF230">
        <v>-3.89008695652174</v>
      </c>
      <c r="AG230">
        <v>-2796</v>
      </c>
      <c r="AH230">
        <v>-28.48</v>
      </c>
      <c r="AI230">
        <v>104946299389.4</v>
      </c>
    </row>
    <row r="231" spans="1:35">
      <c r="A231" s="63" t="s">
        <v>1252</v>
      </c>
      <c r="B231" t="s">
        <v>27</v>
      </c>
      <c r="C231" s="60" t="str">
        <v>Rain Industries Ltd</v>
      </c>
      <c r="D231" s="64">
        <v>0.00225387489791936</v>
      </c>
      <c r="E231" s="62">
        <f t="shared" si="6"/>
        <v>0</v>
      </c>
      <c r="F231" s="60" t="str">
        <v>Materials</v>
      </c>
      <c r="G231" s="62">
        <f t="shared" si="7"/>
        <v>0</v>
      </c>
      <c r="H231" s="60"/>
      <c r="J231" s="6"/>
      <c r="M231" s="63" t="s">
        <v>963</v>
      </c>
      <c r="N231" s="69" t="s">
        <v>46</v>
      </c>
      <c r="O231" s="60" t="str">
        <v>HDFC Life Insurance Co Ltd</v>
      </c>
      <c r="P231" s="70">
        <v>0.00402279778906181</v>
      </c>
      <c r="Q231" s="62">
        <f>P231*VLOOKUP(N231,'Selector Sheet '!$B$13:$D$43,2,FALSE)</f>
        <v>0</v>
      </c>
      <c r="R231" s="60" t="str">
        <v>Financials</v>
      </c>
      <c r="S231" s="62">
        <f>P231*VLOOKUP(N231,'Selector Sheet '!$B$13:$D$43,2,FALSE)</f>
        <v>0</v>
      </c>
      <c r="T231" s="60"/>
      <c r="X231" s="60" t="str">
        <v>INE020B01018</v>
      </c>
      <c r="Z231" s="63" t="s">
        <v>1252</v>
      </c>
      <c r="AB231" t="s">
        <v>1067</v>
      </c>
      <c r="AC231" t="s">
        <v>1361</v>
      </c>
      <c r="AD231" t="s">
        <v>867</v>
      </c>
      <c r="AE231">
        <v>5.96680377644926</v>
      </c>
      <c r="AF231" t="s">
        <v>860</v>
      </c>
      <c r="AG231">
        <v>158842.3</v>
      </c>
      <c r="AH231">
        <v>60.322457</v>
      </c>
      <c r="AI231">
        <v>1007734824800</v>
      </c>
    </row>
    <row r="232" spans="1:35">
      <c r="A232" s="58" t="s">
        <v>1254</v>
      </c>
      <c r="B232" t="s">
        <v>27</v>
      </c>
      <c r="C232" s="60" t="str">
        <v>Rategain Travel Technologies L</v>
      </c>
      <c r="D232" s="61">
        <v>0.00662968022909907</v>
      </c>
      <c r="E232" s="62">
        <f t="shared" si="6"/>
        <v>0</v>
      </c>
      <c r="F232" s="60" t="str">
        <v>Information Technology</v>
      </c>
      <c r="G232" s="62">
        <f t="shared" si="7"/>
        <v>0</v>
      </c>
      <c r="H232" s="60"/>
      <c r="J232" s="6"/>
      <c r="M232" s="58" t="s">
        <v>967</v>
      </c>
      <c r="N232" s="67" t="s">
        <v>46</v>
      </c>
      <c r="O232" s="60" t="str">
        <v>Hindalco Industries Ltd</v>
      </c>
      <c r="P232" s="68">
        <v>0.00482307504501364</v>
      </c>
      <c r="Q232" s="62">
        <f>P232*VLOOKUP(N232,'Selector Sheet '!$B$13:$D$43,2,FALSE)</f>
        <v>0</v>
      </c>
      <c r="R232" s="60" t="str">
        <v>Materials</v>
      </c>
      <c r="S232" s="62">
        <f>P232*VLOOKUP(N232,'Selector Sheet '!$B$13:$D$43,2,FALSE)</f>
        <v>0</v>
      </c>
      <c r="T232" s="60"/>
      <c r="X232" s="60" t="str">
        <v>INE216P01012</v>
      </c>
      <c r="Z232" s="58" t="s">
        <v>1254</v>
      </c>
      <c r="AB232" t="s">
        <v>1362</v>
      </c>
      <c r="AC232" t="s">
        <v>1363</v>
      </c>
      <c r="AD232" t="s">
        <v>867</v>
      </c>
      <c r="AE232">
        <v>27.3190387810082</v>
      </c>
      <c r="AF232">
        <v>13.9342873165307</v>
      </c>
      <c r="AG232">
        <v>4906.942</v>
      </c>
      <c r="AH232">
        <v>62.03</v>
      </c>
      <c r="AI232">
        <v>134139291213</v>
      </c>
    </row>
    <row r="233" spans="1:35">
      <c r="A233" s="63" t="s">
        <v>1256</v>
      </c>
      <c r="B233" t="s">
        <v>27</v>
      </c>
      <c r="C233" s="60" t="str">
        <v>Ratnamani Metals &amp; Tubes Ltd</v>
      </c>
      <c r="D233" s="64">
        <v>0.00681062206766479</v>
      </c>
      <c r="E233" s="62">
        <f t="shared" si="6"/>
        <v>0</v>
      </c>
      <c r="F233" s="60" t="str">
        <v>Materials</v>
      </c>
      <c r="G233" s="62">
        <f t="shared" si="7"/>
        <v>0</v>
      </c>
      <c r="H233" s="60"/>
      <c r="J233" s="6"/>
      <c r="M233" s="63" t="s">
        <v>1364</v>
      </c>
      <c r="N233" s="69" t="s">
        <v>46</v>
      </c>
      <c r="O233" s="60" t="str">
        <v>Hindustan Copper Ltd</v>
      </c>
      <c r="P233" s="70">
        <v>0</v>
      </c>
      <c r="Q233" s="62">
        <f>P233*VLOOKUP(N233,'Selector Sheet '!$B$13:$D$43,2,FALSE)</f>
        <v>0</v>
      </c>
      <c r="R233" s="60" t="str">
        <v>Materials</v>
      </c>
      <c r="S233" s="62">
        <f>P233*VLOOKUP(N233,'Selector Sheet '!$B$13:$D$43,2,FALSE)</f>
        <v>0</v>
      </c>
      <c r="T233" s="60"/>
      <c r="X233" s="60" t="str">
        <v>INE647O01011</v>
      </c>
      <c r="Z233" s="63" t="s">
        <v>1256</v>
      </c>
      <c r="AB233" t="s">
        <v>1365</v>
      </c>
      <c r="AC233" t="s">
        <v>1366</v>
      </c>
      <c r="AD233" t="s">
        <v>874</v>
      </c>
      <c r="AE233" t="s">
        <v>860</v>
      </c>
      <c r="AF233" t="s">
        <v>860</v>
      </c>
      <c r="AG233">
        <v>-3758.2</v>
      </c>
      <c r="AH233">
        <v>-3.079748</v>
      </c>
      <c r="AI233">
        <v>93657623827.75</v>
      </c>
    </row>
    <row r="234" spans="1:35">
      <c r="A234" s="58" t="s">
        <v>1070</v>
      </c>
      <c r="B234" t="s">
        <v>27</v>
      </c>
      <c r="C234" s="60" t="str">
        <v>Reliance Industries Ltd</v>
      </c>
      <c r="D234" s="61">
        <v>0.0278342380298542</v>
      </c>
      <c r="E234" s="62">
        <f t="shared" si="6"/>
        <v>0</v>
      </c>
      <c r="F234" s="60" t="str">
        <v>Energy</v>
      </c>
      <c r="G234" s="62">
        <f t="shared" si="7"/>
        <v>0</v>
      </c>
      <c r="H234" s="60"/>
      <c r="J234" s="6"/>
      <c r="M234" s="58" t="s">
        <v>970</v>
      </c>
      <c r="N234" s="67" t="s">
        <v>46</v>
      </c>
      <c r="O234" s="60" t="str">
        <v>Hindustan Unilever Ltd</v>
      </c>
      <c r="P234" s="68">
        <v>0.00826345127037849</v>
      </c>
      <c r="Q234" s="62">
        <f>P234*VLOOKUP(N234,'Selector Sheet '!$B$13:$D$43,2,FALSE)</f>
        <v>0</v>
      </c>
      <c r="R234" s="60" t="str">
        <v>Consumer Staples</v>
      </c>
      <c r="S234" s="62">
        <f>P234*VLOOKUP(N234,'Selector Sheet '!$B$13:$D$43,2,FALSE)</f>
        <v>0</v>
      </c>
      <c r="T234" s="60"/>
      <c r="X234" s="60" t="str">
        <v>INE14LE01019</v>
      </c>
      <c r="Z234" s="58" t="s">
        <v>1070</v>
      </c>
      <c r="AB234" t="s">
        <v>1367</v>
      </c>
      <c r="AC234" t="s">
        <v>1368</v>
      </c>
      <c r="AD234" t="s">
        <v>874</v>
      </c>
      <c r="AE234" t="s">
        <v>1369</v>
      </c>
      <c r="AF234" t="s">
        <v>1369</v>
      </c>
      <c r="AG234" t="s">
        <v>860</v>
      </c>
      <c r="AH234" t="s">
        <v>1369</v>
      </c>
      <c r="AI234">
        <v>164239473498.07</v>
      </c>
    </row>
    <row r="235" spans="1:35">
      <c r="A235" s="63" t="s">
        <v>1258</v>
      </c>
      <c r="B235" t="s">
        <v>27</v>
      </c>
      <c r="C235" s="60" t="str">
        <v>SBI Cards &amp; Payment Services L</v>
      </c>
      <c r="D235" s="64">
        <v>0.0360549391313647</v>
      </c>
      <c r="E235" s="62">
        <f t="shared" si="6"/>
        <v>0</v>
      </c>
      <c r="F235" s="60" t="str">
        <v>Financials</v>
      </c>
      <c r="G235" s="62">
        <f t="shared" si="7"/>
        <v>0</v>
      </c>
      <c r="H235" s="60"/>
      <c r="J235" s="6"/>
      <c r="M235" s="63" t="s">
        <v>972</v>
      </c>
      <c r="N235" s="69" t="s">
        <v>46</v>
      </c>
      <c r="O235" s="60" t="str">
        <v>ICICI Bank Ltd</v>
      </c>
      <c r="P235" s="70">
        <v>0.0430858185096266</v>
      </c>
      <c r="Q235" s="62">
        <f>P235*VLOOKUP(N235,'Selector Sheet '!$B$13:$D$43,2,FALSE)</f>
        <v>0</v>
      </c>
      <c r="R235" s="60" t="str">
        <v>Financials</v>
      </c>
      <c r="S235" s="62">
        <f>P235*VLOOKUP(N235,'Selector Sheet '!$B$13:$D$43,2,FALSE)</f>
        <v>0</v>
      </c>
      <c r="T235" s="60"/>
      <c r="X235" s="60" t="str">
        <v>INE404A01024</v>
      </c>
      <c r="Z235" s="63" t="s">
        <v>1258</v>
      </c>
      <c r="AB235" t="s">
        <v>1370</v>
      </c>
      <c r="AC235" t="s">
        <v>1371</v>
      </c>
      <c r="AD235" t="s">
        <v>867</v>
      </c>
      <c r="AE235">
        <v>26.7389949034699</v>
      </c>
      <c r="AF235">
        <v>26.9905376500018</v>
      </c>
      <c r="AG235">
        <v>9306</v>
      </c>
      <c r="AH235">
        <v>32.26</v>
      </c>
      <c r="AI235">
        <v>248980196347.6</v>
      </c>
    </row>
    <row r="236" spans="1:35">
      <c r="A236" s="58" t="s">
        <v>1174</v>
      </c>
      <c r="B236" t="s">
        <v>27</v>
      </c>
      <c r="C236" s="60" t="str">
        <v>SBI Life Insurance Co Ltd</v>
      </c>
      <c r="D236" s="61">
        <v>0.0033790163500743</v>
      </c>
      <c r="E236" s="62">
        <f t="shared" si="6"/>
        <v>0</v>
      </c>
      <c r="F236" s="60" t="str">
        <v>Financials</v>
      </c>
      <c r="G236" s="62">
        <f t="shared" si="7"/>
        <v>0</v>
      </c>
      <c r="H236" s="60"/>
      <c r="J236" s="6"/>
      <c r="M236" s="58" t="s">
        <v>1153</v>
      </c>
      <c r="N236" s="67" t="s">
        <v>46</v>
      </c>
      <c r="O236" s="60" t="str">
        <v>ICICI Lombard General Insuranc</v>
      </c>
      <c r="P236" s="68">
        <v>0.00611331377855257</v>
      </c>
      <c r="Q236" s="62">
        <f>P236*VLOOKUP(N236,'Selector Sheet '!$B$13:$D$43,2,FALSE)</f>
        <v>0</v>
      </c>
      <c r="R236" s="60" t="str">
        <v>Financials</v>
      </c>
      <c r="S236" s="62">
        <f>P236*VLOOKUP(N236,'Selector Sheet '!$B$13:$D$43,2,FALSE)</f>
        <v>0</v>
      </c>
      <c r="T236" s="60"/>
      <c r="X236" s="60" t="str">
        <v>INE101I01011</v>
      </c>
      <c r="Z236" s="58" t="s">
        <v>1174</v>
      </c>
      <c r="AB236" t="s">
        <v>1372</v>
      </c>
      <c r="AC236" t="s">
        <v>1373</v>
      </c>
      <c r="AD236" t="s">
        <v>849</v>
      </c>
      <c r="AE236">
        <v>32.2485213052923</v>
      </c>
      <c r="AF236">
        <v>10.9933053545759</v>
      </c>
      <c r="AG236">
        <v>4868.1</v>
      </c>
      <c r="AH236">
        <v>13.236266</v>
      </c>
      <c r="AI236">
        <v>156988869742.35</v>
      </c>
    </row>
    <row r="237" spans="1:35">
      <c r="A237" s="63" t="s">
        <v>1260</v>
      </c>
      <c r="B237" t="s">
        <v>27</v>
      </c>
      <c r="C237" s="60" t="str">
        <v>Sharda Motor Industries Ltd</v>
      </c>
      <c r="D237" s="64">
        <v>0</v>
      </c>
      <c r="E237" s="62">
        <f t="shared" si="6"/>
        <v>0</v>
      </c>
      <c r="F237" s="60" t="str">
        <v>Consumer Discretionary</v>
      </c>
      <c r="G237" s="62">
        <f t="shared" si="7"/>
        <v>0</v>
      </c>
      <c r="H237" s="60"/>
      <c r="J237" s="6"/>
      <c r="M237" s="63" t="s">
        <v>988</v>
      </c>
      <c r="N237" s="69" t="s">
        <v>46</v>
      </c>
      <c r="O237" s="60" t="str">
        <v>Indus Towers Ltd</v>
      </c>
      <c r="P237" s="70">
        <v>0.00458259899126645</v>
      </c>
      <c r="Q237" s="62">
        <f>P237*VLOOKUP(N237,'Selector Sheet '!$B$13:$D$43,2,FALSE)</f>
        <v>0</v>
      </c>
      <c r="R237" s="60" t="str">
        <v>Communication Services</v>
      </c>
      <c r="S237" s="62">
        <f>P237*VLOOKUP(N237,'Selector Sheet '!$B$13:$D$43,2,FALSE)</f>
        <v>0</v>
      </c>
      <c r="T237" s="60"/>
      <c r="X237" s="60" t="str">
        <v>INE885A01032</v>
      </c>
      <c r="Z237" s="63" t="s">
        <v>1260</v>
      </c>
      <c r="AB237" t="s">
        <v>1374</v>
      </c>
      <c r="AC237" t="s">
        <v>1375</v>
      </c>
      <c r="AD237" t="s">
        <v>849</v>
      </c>
      <c r="AE237">
        <v>18.4182487407981</v>
      </c>
      <c r="AF237">
        <v>13.3165960194138</v>
      </c>
      <c r="AG237">
        <v>9446.7</v>
      </c>
      <c r="AH237">
        <v>51.62</v>
      </c>
      <c r="AI237">
        <v>174011364823</v>
      </c>
    </row>
    <row r="238" spans="1:35">
      <c r="A238" s="58" t="s">
        <v>1061</v>
      </c>
      <c r="B238" t="s">
        <v>27</v>
      </c>
      <c r="C238" s="60" t="str">
        <v>Shree Cement Ltd</v>
      </c>
      <c r="D238" s="61">
        <v>0.0147962906388183</v>
      </c>
      <c r="E238" s="62">
        <f t="shared" si="6"/>
        <v>0</v>
      </c>
      <c r="F238" s="60" t="str">
        <v>Materials</v>
      </c>
      <c r="G238" s="62">
        <f t="shared" si="7"/>
        <v>0</v>
      </c>
      <c r="H238" s="60"/>
      <c r="J238" s="6"/>
      <c r="M238" s="58" t="s">
        <v>991</v>
      </c>
      <c r="N238" s="67" t="s">
        <v>46</v>
      </c>
      <c r="O238" s="60" t="str">
        <v>Infosys Ltd</v>
      </c>
      <c r="P238" s="68">
        <v>0.0254197039291762</v>
      </c>
      <c r="Q238" s="62">
        <f>P238*VLOOKUP(N238,'Selector Sheet '!$B$13:$D$43,2,FALSE)</f>
        <v>0</v>
      </c>
      <c r="R238" s="60" t="str">
        <v>Information Technology</v>
      </c>
      <c r="S238" s="62">
        <f>P238*VLOOKUP(N238,'Selector Sheet '!$B$13:$D$43,2,FALSE)</f>
        <v>0</v>
      </c>
      <c r="T238" s="60"/>
      <c r="X238" s="60" t="str">
        <v>INE949L01017</v>
      </c>
      <c r="Z238" s="58" t="s">
        <v>1061</v>
      </c>
      <c r="AB238" t="s">
        <v>872</v>
      </c>
      <c r="AC238" t="s">
        <v>1376</v>
      </c>
      <c r="AD238" t="s">
        <v>867</v>
      </c>
      <c r="AE238">
        <v>26.8185028248588</v>
      </c>
      <c r="AF238">
        <v>14.1690091761728</v>
      </c>
      <c r="AG238">
        <v>21059.266</v>
      </c>
      <c r="AH238">
        <v>28.32</v>
      </c>
      <c r="AI238">
        <v>566322543619</v>
      </c>
    </row>
    <row r="239" spans="1:35">
      <c r="A239" s="63" t="s">
        <v>1262</v>
      </c>
      <c r="B239" t="s">
        <v>27</v>
      </c>
      <c r="C239" s="60" t="str">
        <v>SKF India Ltd</v>
      </c>
      <c r="D239" s="64">
        <v>0</v>
      </c>
      <c r="E239" s="62">
        <f t="shared" si="6"/>
        <v>0</v>
      </c>
      <c r="F239" s="60" t="str">
        <v>Industrials</v>
      </c>
      <c r="G239" s="62">
        <f t="shared" si="7"/>
        <v>0</v>
      </c>
      <c r="H239" s="60"/>
      <c r="J239" s="6"/>
      <c r="M239" s="63" t="s">
        <v>994</v>
      </c>
      <c r="N239" s="69" t="s">
        <v>46</v>
      </c>
      <c r="O239" s="60" t="str">
        <v>InterGlobe Aviation Ltd</v>
      </c>
      <c r="P239" s="70">
        <v>0.0184463659454113</v>
      </c>
      <c r="Q239" s="62">
        <f>P239*VLOOKUP(N239,'Selector Sheet '!$B$13:$D$43,2,FALSE)</f>
        <v>0</v>
      </c>
      <c r="R239" s="60" t="str">
        <v>Industrials</v>
      </c>
      <c r="S239" s="62">
        <f>P239*VLOOKUP(N239,'Selector Sheet '!$B$13:$D$43,2,FALSE)</f>
        <v>0</v>
      </c>
      <c r="T239" s="60"/>
      <c r="X239" s="60" t="str">
        <v>INE108V01019</v>
      </c>
      <c r="Z239" s="63" t="s">
        <v>1262</v>
      </c>
      <c r="AB239" t="s">
        <v>1377</v>
      </c>
      <c r="AC239" t="s">
        <v>1378</v>
      </c>
      <c r="AD239" t="s">
        <v>1034</v>
      </c>
      <c r="AE239">
        <v>59.3333333333333</v>
      </c>
      <c r="AF239">
        <v>-8.34943380981238</v>
      </c>
      <c r="AG239">
        <v>678.7</v>
      </c>
      <c r="AH239">
        <v>9.75</v>
      </c>
      <c r="AI239">
        <v>41243893704</v>
      </c>
    </row>
    <row r="240" spans="1:35">
      <c r="A240" s="58" t="s">
        <v>1072</v>
      </c>
      <c r="B240" t="s">
        <v>27</v>
      </c>
      <c r="C240" s="60" t="str">
        <v>Sona Blw Precision Forgings Lt</v>
      </c>
      <c r="D240" s="61">
        <v>0.029463617952584</v>
      </c>
      <c r="E240" s="62">
        <f t="shared" si="6"/>
        <v>0</v>
      </c>
      <c r="F240" s="60" t="str">
        <v>Consumer Discretionary</v>
      </c>
      <c r="G240" s="62">
        <f t="shared" si="7"/>
        <v>0</v>
      </c>
      <c r="H240" s="60"/>
      <c r="J240" s="6"/>
      <c r="M240" s="58" t="s">
        <v>997</v>
      </c>
      <c r="N240" s="67" t="s">
        <v>46</v>
      </c>
      <c r="O240" s="60" t="str">
        <v>ITC Ltd</v>
      </c>
      <c r="P240" s="68">
        <v>0.0174878487974068</v>
      </c>
      <c r="Q240" s="62">
        <f>P240*VLOOKUP(N240,'Selector Sheet '!$B$13:$D$43,2,FALSE)</f>
        <v>0</v>
      </c>
      <c r="R240" s="60" t="str">
        <v>Consumer Staples</v>
      </c>
      <c r="S240" s="62">
        <f>P240*VLOOKUP(N240,'Selector Sheet '!$B$13:$D$43,2,FALSE)</f>
        <v>0</v>
      </c>
      <c r="T240" s="60"/>
      <c r="X240" s="60" t="str">
        <v>INE791I01019</v>
      </c>
      <c r="Z240" s="58" t="s">
        <v>1072</v>
      </c>
      <c r="AB240" t="s">
        <v>897</v>
      </c>
      <c r="AC240" t="s">
        <v>1379</v>
      </c>
      <c r="AD240" t="s">
        <v>1034</v>
      </c>
      <c r="AE240">
        <v>32.9401535214694</v>
      </c>
      <c r="AF240">
        <v>14.7670734057661</v>
      </c>
      <c r="AG240">
        <v>6857.6</v>
      </c>
      <c r="AH240">
        <v>28.74</v>
      </c>
      <c r="AI240">
        <v>231399589986</v>
      </c>
    </row>
    <row r="241" spans="1:35">
      <c r="A241" s="63" t="s">
        <v>1264</v>
      </c>
      <c r="B241" t="s">
        <v>27</v>
      </c>
      <c r="C241" s="60" t="str">
        <v>Star Health &amp; Allied Insurance</v>
      </c>
      <c r="D241" s="64">
        <v>0.00849018665799734</v>
      </c>
      <c r="E241" s="62">
        <f t="shared" si="6"/>
        <v>0</v>
      </c>
      <c r="F241" s="60" t="str">
        <v>Financials</v>
      </c>
      <c r="G241" s="62">
        <f t="shared" si="7"/>
        <v>0</v>
      </c>
      <c r="H241" s="60"/>
      <c r="J241" s="6"/>
      <c r="M241" s="63" t="s">
        <v>1380</v>
      </c>
      <c r="N241" s="69" t="s">
        <v>46</v>
      </c>
      <c r="O241" s="60" t="str">
        <v>JB Chemicals &amp; Pharmaceuticals</v>
      </c>
      <c r="P241" s="70">
        <v>0.00354803249583997</v>
      </c>
      <c r="Q241" s="62">
        <f>P241*VLOOKUP(N241,'Selector Sheet '!$B$13:$D$43,2,FALSE)</f>
        <v>0</v>
      </c>
      <c r="R241" s="60" t="str">
        <v>Health Care</v>
      </c>
      <c r="S241" s="62">
        <f>P241*VLOOKUP(N241,'Selector Sheet '!$B$13:$D$43,2,FALSE)</f>
        <v>0</v>
      </c>
      <c r="T241" s="60"/>
      <c r="X241" s="60" t="str">
        <v>INE752H01013</v>
      </c>
      <c r="Z241" s="63" t="s">
        <v>1264</v>
      </c>
      <c r="AB241" t="s">
        <v>1381</v>
      </c>
      <c r="AC241" t="s">
        <v>1382</v>
      </c>
      <c r="AD241" t="s">
        <v>867</v>
      </c>
      <c r="AE241">
        <v>35.4565259443438</v>
      </c>
      <c r="AF241">
        <v>18.0174676828961</v>
      </c>
      <c r="AG241">
        <v>1372.387</v>
      </c>
      <c r="AH241">
        <v>45.89</v>
      </c>
      <c r="AI241">
        <v>48771531729.4</v>
      </c>
    </row>
    <row r="242" spans="1:35">
      <c r="A242" s="58" t="s">
        <v>1077</v>
      </c>
      <c r="B242" t="s">
        <v>27</v>
      </c>
      <c r="C242" s="60" t="str">
        <v>State Bank of India</v>
      </c>
      <c r="D242" s="61">
        <v>0.00808932017117824</v>
      </c>
      <c r="E242" s="62">
        <f t="shared" si="6"/>
        <v>0</v>
      </c>
      <c r="F242" s="60" t="str">
        <v>Financials</v>
      </c>
      <c r="G242" s="62">
        <f t="shared" si="7"/>
        <v>0</v>
      </c>
      <c r="H242" s="60"/>
      <c r="J242" s="6"/>
      <c r="M242" s="58" t="s">
        <v>1383</v>
      </c>
      <c r="N242" s="67" t="s">
        <v>46</v>
      </c>
      <c r="O242" s="60" t="str">
        <v>Jindal Steel &amp; Power Ltd</v>
      </c>
      <c r="P242" s="68">
        <v>7.9099988560951e-5</v>
      </c>
      <c r="Q242" s="62">
        <f>P242*VLOOKUP(N242,'Selector Sheet '!$B$13:$D$43,2,FALSE)</f>
        <v>0</v>
      </c>
      <c r="R242" s="60" t="str">
        <v>Materials</v>
      </c>
      <c r="S242" s="62">
        <f>P242*VLOOKUP(N242,'Selector Sheet '!$B$13:$D$43,2,FALSE)</f>
        <v>0</v>
      </c>
      <c r="T242" s="60"/>
      <c r="X242" s="60" t="str">
        <v>INE486A01021</v>
      </c>
      <c r="Z242" s="58" t="s">
        <v>1077</v>
      </c>
      <c r="AB242" t="s">
        <v>1384</v>
      </c>
      <c r="AC242" t="s">
        <v>1385</v>
      </c>
      <c r="AD242" t="s">
        <v>1030</v>
      </c>
      <c r="AE242">
        <v>15.9292635067489</v>
      </c>
      <c r="AF242">
        <v>11.6735963544953</v>
      </c>
      <c r="AG242">
        <v>13690</v>
      </c>
      <c r="AH242">
        <v>10.32</v>
      </c>
      <c r="AI242">
        <v>217910522987.7</v>
      </c>
    </row>
    <row r="243" spans="1:35">
      <c r="A243" s="63" t="s">
        <v>1080</v>
      </c>
      <c r="B243" t="s">
        <v>27</v>
      </c>
      <c r="C243" s="60" t="str">
        <v>Sun Pharmaceutical Industries</v>
      </c>
      <c r="D243" s="64">
        <v>0.00605511181418703</v>
      </c>
      <c r="E243" s="62">
        <f t="shared" si="6"/>
        <v>0</v>
      </c>
      <c r="F243" s="60" t="str">
        <v>Health Care</v>
      </c>
      <c r="G243" s="62">
        <f t="shared" si="7"/>
        <v>0</v>
      </c>
      <c r="H243" s="60"/>
      <c r="J243" s="6"/>
      <c r="M243" s="63" t="s">
        <v>1386</v>
      </c>
      <c r="N243" s="69" t="s">
        <v>46</v>
      </c>
      <c r="O243" s="60" t="str">
        <v>Jubilant Foodworks Ltd</v>
      </c>
      <c r="P243" s="70">
        <v>0.00519546994502363</v>
      </c>
      <c r="Q243" s="62">
        <f>P243*VLOOKUP(N243,'Selector Sheet '!$B$13:$D$43,2,FALSE)</f>
        <v>0</v>
      </c>
      <c r="R243" s="60" t="str">
        <v>Consumer Discretionary</v>
      </c>
      <c r="S243" s="62">
        <f>P243*VLOOKUP(N243,'Selector Sheet '!$B$13:$D$43,2,FALSE)</f>
        <v>0</v>
      </c>
      <c r="T243" s="60"/>
      <c r="X243" s="60" t="str">
        <v>INE00LO01017</v>
      </c>
      <c r="Z243" s="63" t="s">
        <v>1080</v>
      </c>
      <c r="AB243" t="s">
        <v>925</v>
      </c>
      <c r="AC243" t="s">
        <v>1387</v>
      </c>
      <c r="AD243" t="s">
        <v>849</v>
      </c>
      <c r="AE243">
        <v>83.5803059273423</v>
      </c>
      <c r="AF243">
        <v>8.61936066910019</v>
      </c>
      <c r="AG243">
        <v>1945.7</v>
      </c>
      <c r="AH243">
        <v>83.68</v>
      </c>
      <c r="AI243">
        <v>166845947502</v>
      </c>
    </row>
    <row r="244" spans="1:35">
      <c r="A244" s="58" t="s">
        <v>1266</v>
      </c>
      <c r="B244" t="s">
        <v>27</v>
      </c>
      <c r="C244" s="60" t="str">
        <v>Sun TV Network Ltd</v>
      </c>
      <c r="D244" s="61">
        <v>0.00879569969529793</v>
      </c>
      <c r="E244" s="62">
        <f t="shared" si="6"/>
        <v>0</v>
      </c>
      <c r="F244" s="60" t="str">
        <v>Communication Services</v>
      </c>
      <c r="G244" s="62">
        <f t="shared" si="7"/>
        <v>0</v>
      </c>
      <c r="H244" s="60"/>
      <c r="J244" s="6"/>
      <c r="M244" s="58" t="s">
        <v>1003</v>
      </c>
      <c r="N244" s="67" t="s">
        <v>46</v>
      </c>
      <c r="O244" s="60" t="str">
        <v>Jyoti CNC Automation Ltd</v>
      </c>
      <c r="P244" s="68">
        <v>0.00236246781723279</v>
      </c>
      <c r="Q244" s="62">
        <f>P244*VLOOKUP(N244,'Selector Sheet '!$B$13:$D$43,2,FALSE)</f>
        <v>0</v>
      </c>
      <c r="R244" s="60" t="str">
        <v>Industrials</v>
      </c>
      <c r="S244" s="62">
        <f>P244*VLOOKUP(N244,'Selector Sheet '!$B$13:$D$43,2,FALSE)</f>
        <v>0</v>
      </c>
      <c r="T244" s="60"/>
      <c r="X244" s="60" t="str">
        <v>INE055S01018</v>
      </c>
      <c r="Z244" s="58" t="s">
        <v>1266</v>
      </c>
      <c r="AB244" t="s">
        <v>1388</v>
      </c>
      <c r="AC244" t="s">
        <v>1389</v>
      </c>
      <c r="AD244" t="s">
        <v>920</v>
      </c>
      <c r="AE244">
        <v>49.6212121212121</v>
      </c>
      <c r="AF244">
        <v>7.32625094637198</v>
      </c>
      <c r="AG244">
        <v>680.76</v>
      </c>
      <c r="AH244">
        <v>8.58</v>
      </c>
      <c r="AI244">
        <v>33789391597</v>
      </c>
    </row>
    <row r="245" spans="1:35">
      <c r="A245" s="63" t="s">
        <v>1269</v>
      </c>
      <c r="B245" t="s">
        <v>27</v>
      </c>
      <c r="C245" s="60" t="str">
        <v>Suprajit Engineering Ltd</v>
      </c>
      <c r="D245" s="64">
        <v>0.00366634142452348</v>
      </c>
      <c r="E245" s="62">
        <f t="shared" si="6"/>
        <v>0</v>
      </c>
      <c r="F245" s="60" t="str">
        <v>Consumer Discretionary</v>
      </c>
      <c r="G245" s="62">
        <f t="shared" si="7"/>
        <v>0</v>
      </c>
      <c r="H245" s="60"/>
      <c r="J245" s="6"/>
      <c r="M245" s="63" t="s">
        <v>987</v>
      </c>
      <c r="N245" s="69" t="s">
        <v>46</v>
      </c>
      <c r="O245" s="60" t="str">
        <v>Kaynes Technology India Ltd</v>
      </c>
      <c r="P245" s="70">
        <v>0.00141150599541363</v>
      </c>
      <c r="Q245" s="62">
        <f>P245*VLOOKUP(N245,'Selector Sheet '!$B$13:$D$43,2,FALSE)</f>
        <v>0</v>
      </c>
      <c r="R245" s="60" t="str">
        <v>Information Technology</v>
      </c>
      <c r="S245" s="62">
        <f>P245*VLOOKUP(N245,'Selector Sheet '!$B$13:$D$43,2,FALSE)</f>
        <v>0</v>
      </c>
      <c r="T245" s="60"/>
      <c r="X245" s="60" t="str">
        <v>INE00R701025</v>
      </c>
      <c r="Z245" s="63" t="s">
        <v>1269</v>
      </c>
      <c r="AB245" t="s">
        <v>1331</v>
      </c>
      <c r="AC245" t="s">
        <v>1390</v>
      </c>
      <c r="AD245" t="s">
        <v>859</v>
      </c>
      <c r="AE245">
        <v>64.6238357401496</v>
      </c>
      <c r="AF245">
        <v>4.04489058659797</v>
      </c>
      <c r="AG245">
        <v>6830</v>
      </c>
      <c r="AH245">
        <v>36.42</v>
      </c>
      <c r="AI245">
        <v>441453362929.6</v>
      </c>
    </row>
    <row r="246" spans="1:35">
      <c r="A246" s="58" t="s">
        <v>1086</v>
      </c>
      <c r="B246" t="s">
        <v>27</v>
      </c>
      <c r="C246" s="60" t="str">
        <v>Syngene International Ltd</v>
      </c>
      <c r="D246" s="61">
        <v>0.00848439645033462</v>
      </c>
      <c r="E246" s="62">
        <f t="shared" si="6"/>
        <v>0</v>
      </c>
      <c r="F246" s="60" t="str">
        <v>Health Care</v>
      </c>
      <c r="G246" s="62">
        <f t="shared" si="7"/>
        <v>0</v>
      </c>
      <c r="H246" s="60"/>
      <c r="J246" s="6"/>
      <c r="M246" s="58" t="s">
        <v>1391</v>
      </c>
      <c r="N246" s="67" t="s">
        <v>46</v>
      </c>
      <c r="O246" s="60" t="str">
        <v>KEI Industries Ltd</v>
      </c>
      <c r="P246" s="68">
        <v>0.00230683210584372</v>
      </c>
      <c r="Q246" s="62">
        <f>P246*VLOOKUP(N246,'Selector Sheet '!$B$13:$D$43,2,FALSE)</f>
        <v>0</v>
      </c>
      <c r="R246" s="60" t="str">
        <v>Industrials</v>
      </c>
      <c r="S246" s="62">
        <f>P246*VLOOKUP(N246,'Selector Sheet '!$B$13:$D$43,2,FALSE)</f>
        <v>0</v>
      </c>
      <c r="T246" s="60"/>
      <c r="X246" s="60" t="str">
        <v>INE148O01028</v>
      </c>
      <c r="Z246" s="58" t="s">
        <v>1086</v>
      </c>
      <c r="AB246" t="s">
        <v>1392</v>
      </c>
      <c r="AC246" t="s">
        <v>1393</v>
      </c>
      <c r="AD246" t="s">
        <v>849</v>
      </c>
      <c r="AE246">
        <v>173.445695169856</v>
      </c>
      <c r="AF246" t="s">
        <v>860</v>
      </c>
      <c r="AG246">
        <v>1621.1</v>
      </c>
      <c r="AH246">
        <v>2.19</v>
      </c>
      <c r="AI246">
        <v>345746745474.9</v>
      </c>
    </row>
    <row r="247" spans="1:35">
      <c r="A247" s="63" t="s">
        <v>1271</v>
      </c>
      <c r="B247" t="s">
        <v>27</v>
      </c>
      <c r="C247" s="60" t="str">
        <v>Tata Communications Ltd</v>
      </c>
      <c r="D247" s="64">
        <v>0.00562812916784312</v>
      </c>
      <c r="E247" s="62">
        <f t="shared" si="6"/>
        <v>0</v>
      </c>
      <c r="F247" s="60" t="str">
        <v>Communication Services</v>
      </c>
      <c r="G247" s="62">
        <f t="shared" si="7"/>
        <v>0</v>
      </c>
      <c r="H247" s="60"/>
      <c r="J247" s="6"/>
      <c r="M247" s="63" t="s">
        <v>1008</v>
      </c>
      <c r="N247" s="69" t="s">
        <v>46</v>
      </c>
      <c r="O247" s="60" t="str">
        <v>Kotak Mahindra Bank Ltd</v>
      </c>
      <c r="P247" s="70">
        <v>0.011068883585259</v>
      </c>
      <c r="Q247" s="62">
        <f>P247*VLOOKUP(N247,'Selector Sheet '!$B$13:$D$43,2,FALSE)</f>
        <v>0</v>
      </c>
      <c r="R247" s="60" t="str">
        <v>Financials</v>
      </c>
      <c r="S247" s="62">
        <f>P247*VLOOKUP(N247,'Selector Sheet '!$B$13:$D$43,2,FALSE)</f>
        <v>0</v>
      </c>
      <c r="T247" s="60"/>
      <c r="X247" s="60" t="str">
        <v>INE02YR01019</v>
      </c>
      <c r="Z247" s="63" t="s">
        <v>1271</v>
      </c>
      <c r="AB247" t="s">
        <v>1394</v>
      </c>
      <c r="AC247" t="s">
        <v>1395</v>
      </c>
      <c r="AD247" t="s">
        <v>874</v>
      </c>
      <c r="AE247">
        <v>30.46875</v>
      </c>
      <c r="AF247">
        <v>11.0356468604037</v>
      </c>
      <c r="AG247">
        <v>1600.48</v>
      </c>
      <c r="AH247">
        <v>4.16</v>
      </c>
      <c r="AI247">
        <v>48766905583.5</v>
      </c>
    </row>
    <row r="248" spans="1:35">
      <c r="A248" s="58" t="s">
        <v>1087</v>
      </c>
      <c r="B248" t="s">
        <v>27</v>
      </c>
      <c r="C248" s="60" t="str">
        <v>Tata Consultancy Services Ltd</v>
      </c>
      <c r="D248" s="61">
        <v>0.0187621613124857</v>
      </c>
      <c r="E248" s="62">
        <f t="shared" si="6"/>
        <v>0</v>
      </c>
      <c r="F248" s="60" t="str">
        <v>Information Technology</v>
      </c>
      <c r="G248" s="62">
        <f t="shared" si="7"/>
        <v>0</v>
      </c>
      <c r="H248" s="60"/>
      <c r="J248" s="6"/>
      <c r="M248" s="58" t="s">
        <v>1396</v>
      </c>
      <c r="N248" s="67" t="s">
        <v>46</v>
      </c>
      <c r="O248" s="60" t="str">
        <v>Krishna Institute of Medical S</v>
      </c>
      <c r="P248" s="68">
        <v>0.00441743100765511</v>
      </c>
      <c r="Q248" s="62">
        <f>P248*VLOOKUP(N248,'Selector Sheet '!$B$13:$D$43,2,FALSE)</f>
        <v>0</v>
      </c>
      <c r="R248" s="60" t="str">
        <v>Health Care</v>
      </c>
      <c r="S248" s="62">
        <f>P248*VLOOKUP(N248,'Selector Sheet '!$B$13:$D$43,2,FALSE)</f>
        <v>0</v>
      </c>
      <c r="T248" s="60"/>
      <c r="X248" s="60" t="str">
        <v>INE548C01032</v>
      </c>
      <c r="Z248" s="58" t="s">
        <v>1087</v>
      </c>
      <c r="AB248" t="s">
        <v>1397</v>
      </c>
      <c r="AC248" t="s">
        <v>1398</v>
      </c>
      <c r="AD248" t="s">
        <v>1016</v>
      </c>
      <c r="AE248">
        <v>32.1861465255935</v>
      </c>
      <c r="AF248">
        <v>31.3716540895006</v>
      </c>
      <c r="AG248">
        <v>8064.681</v>
      </c>
      <c r="AH248">
        <v>18.48</v>
      </c>
      <c r="AI248">
        <v>261164816714</v>
      </c>
    </row>
    <row r="249" spans="1:35">
      <c r="A249" s="63" t="s">
        <v>1090</v>
      </c>
      <c r="B249" t="s">
        <v>27</v>
      </c>
      <c r="C249" s="60" t="str">
        <v>Tata Motors Ltd</v>
      </c>
      <c r="D249" s="64">
        <v>0.0111986831950043</v>
      </c>
      <c r="E249" s="62">
        <f t="shared" si="6"/>
        <v>0</v>
      </c>
      <c r="F249" s="60" t="str">
        <v>Consumer Discretionary</v>
      </c>
      <c r="G249" s="62">
        <f t="shared" si="7"/>
        <v>0</v>
      </c>
      <c r="H249" s="60"/>
      <c r="J249" s="6"/>
      <c r="M249" s="63" t="s">
        <v>1011</v>
      </c>
      <c r="N249" s="69" t="s">
        <v>46</v>
      </c>
      <c r="O249" s="60" t="str">
        <v>Larsen &amp; Toubro Ltd</v>
      </c>
      <c r="P249" s="70">
        <v>0.0182833020488659</v>
      </c>
      <c r="Q249" s="62">
        <f>P249*VLOOKUP(N249,'Selector Sheet '!$B$13:$D$43,2,FALSE)</f>
        <v>0</v>
      </c>
      <c r="R249" s="60" t="str">
        <v>Industrials</v>
      </c>
      <c r="S249" s="62">
        <f>P249*VLOOKUP(N249,'Selector Sheet '!$B$13:$D$43,2,FALSE)</f>
        <v>0</v>
      </c>
      <c r="T249" s="60"/>
      <c r="X249" s="60" t="str">
        <v>INE168P01015</v>
      </c>
      <c r="Z249" s="63" t="s">
        <v>1090</v>
      </c>
      <c r="AB249" t="s">
        <v>1399</v>
      </c>
      <c r="AC249" t="s">
        <v>1400</v>
      </c>
      <c r="AD249" t="s">
        <v>855</v>
      </c>
      <c r="AE249">
        <v>38.7125810372653</v>
      </c>
      <c r="AF249">
        <v>19.1246864722958</v>
      </c>
      <c r="AG249">
        <v>7074.67</v>
      </c>
      <c r="AH249">
        <v>37.3367</v>
      </c>
      <c r="AI249">
        <v>273915364753.8</v>
      </c>
    </row>
    <row r="250" spans="1:35">
      <c r="A250" s="58" t="s">
        <v>1092</v>
      </c>
      <c r="B250" t="s">
        <v>27</v>
      </c>
      <c r="C250" s="60" t="str">
        <v>Tata Steel Ltd</v>
      </c>
      <c r="D250" s="61">
        <v>0.00562740216554371</v>
      </c>
      <c r="E250" s="62">
        <f t="shared" si="6"/>
        <v>0</v>
      </c>
      <c r="F250" s="60" t="str">
        <v>Materials</v>
      </c>
      <c r="G250" s="62">
        <f t="shared" si="7"/>
        <v>0</v>
      </c>
      <c r="H250" s="60"/>
      <c r="J250" s="6"/>
      <c r="M250" s="58" t="s">
        <v>1208</v>
      </c>
      <c r="N250" s="67" t="s">
        <v>46</v>
      </c>
      <c r="O250" s="60" t="str">
        <v>LIC Housing Finance Ltd</v>
      </c>
      <c r="P250" s="68">
        <v>0</v>
      </c>
      <c r="Q250" s="62">
        <f>P250*VLOOKUP(N250,'Selector Sheet '!$B$13:$D$43,2,FALSE)</f>
        <v>0</v>
      </c>
      <c r="R250" s="60" t="str">
        <v>Financials</v>
      </c>
      <c r="S250" s="62">
        <f>P250*VLOOKUP(N250,'Selector Sheet '!$B$13:$D$43,2,FALSE)</f>
        <v>0</v>
      </c>
      <c r="T250" s="60"/>
      <c r="X250" s="60" t="str">
        <v>INE302A01020</v>
      </c>
      <c r="Z250" s="58" t="s">
        <v>1092</v>
      </c>
      <c r="AB250" t="s">
        <v>1401</v>
      </c>
      <c r="AC250" t="s">
        <v>1402</v>
      </c>
      <c r="AD250" t="s">
        <v>874</v>
      </c>
      <c r="AE250">
        <v>40.3262019029913</v>
      </c>
      <c r="AF250">
        <v>5.93302492330172</v>
      </c>
      <c r="AG250">
        <v>7950.2</v>
      </c>
      <c r="AH250">
        <v>9.35</v>
      </c>
      <c r="AI250">
        <v>320492500000</v>
      </c>
    </row>
    <row r="251" spans="1:35">
      <c r="A251" s="63" t="s">
        <v>1095</v>
      </c>
      <c r="B251" t="s">
        <v>27</v>
      </c>
      <c r="C251" s="60" t="str">
        <v>Tech Mahindra Ltd</v>
      </c>
      <c r="D251" s="64">
        <v>0.00382998146872109</v>
      </c>
      <c r="E251" s="62">
        <f t="shared" si="6"/>
        <v>0</v>
      </c>
      <c r="F251" s="60" t="str">
        <v>Information Technology</v>
      </c>
      <c r="G251" s="62">
        <f t="shared" si="7"/>
        <v>0</v>
      </c>
      <c r="H251" s="60"/>
      <c r="J251" s="6"/>
      <c r="M251" s="63" t="s">
        <v>1014</v>
      </c>
      <c r="N251" s="69" t="s">
        <v>46</v>
      </c>
      <c r="O251" s="60" t="str">
        <v>Lupin Ltd</v>
      </c>
      <c r="P251" s="70">
        <v>0.00129760018720331</v>
      </c>
      <c r="Q251" s="62">
        <f>P251*VLOOKUP(N251,'Selector Sheet '!$B$13:$D$43,2,FALSE)</f>
        <v>0</v>
      </c>
      <c r="R251" s="60" t="str">
        <v>Health Care</v>
      </c>
      <c r="S251" s="62">
        <f>P251*VLOOKUP(N251,'Selector Sheet '!$B$13:$D$43,2,FALSE)</f>
        <v>0</v>
      </c>
      <c r="T251" s="60"/>
      <c r="X251" s="60" t="str">
        <v>INE235A01022</v>
      </c>
      <c r="Z251" s="63" t="s">
        <v>1095</v>
      </c>
      <c r="AB251" t="s">
        <v>1403</v>
      </c>
      <c r="AC251" t="s">
        <v>1404</v>
      </c>
      <c r="AD251" t="s">
        <v>849</v>
      </c>
      <c r="AE251">
        <v>18.1143605412484</v>
      </c>
      <c r="AF251">
        <v>13.4232854552821</v>
      </c>
      <c r="AG251">
        <v>7007.7</v>
      </c>
      <c r="AH251">
        <v>45.82</v>
      </c>
      <c r="AI251">
        <v>126939656350</v>
      </c>
    </row>
    <row r="252" spans="1:35">
      <c r="A252" s="58" t="s">
        <v>1268</v>
      </c>
      <c r="B252" t="s">
        <v>27</v>
      </c>
      <c r="C252" s="60" t="str">
        <v>Phoenix Mills Ltd/The</v>
      </c>
      <c r="D252" s="61">
        <v>0.00544889944120144</v>
      </c>
      <c r="E252" s="62">
        <f t="shared" si="6"/>
        <v>0</v>
      </c>
      <c r="F252" s="60" t="str">
        <v>Real Estate</v>
      </c>
      <c r="G252" s="62">
        <f t="shared" si="7"/>
        <v>0</v>
      </c>
      <c r="H252" s="60"/>
      <c r="J252" s="6"/>
      <c r="M252" s="58" t="s">
        <v>1002</v>
      </c>
      <c r="N252" s="67" t="s">
        <v>46</v>
      </c>
      <c r="O252" s="60" t="str">
        <v>Mahindra &amp; Mahindra Ltd</v>
      </c>
      <c r="P252" s="68">
        <v>0.0163747639309823</v>
      </c>
      <c r="Q252" s="62">
        <f>P252*VLOOKUP(N252,'Selector Sheet '!$B$13:$D$43,2,FALSE)</f>
        <v>0</v>
      </c>
      <c r="R252" s="60" t="str">
        <v>Consumer Discretionary</v>
      </c>
      <c r="S252" s="62">
        <f>P252*VLOOKUP(N252,'Selector Sheet '!$B$13:$D$43,2,FALSE)</f>
        <v>0</v>
      </c>
      <c r="T252" s="60"/>
      <c r="X252" s="60" t="str">
        <v>INE0BJS01011</v>
      </c>
      <c r="Z252" s="58" t="s">
        <v>1268</v>
      </c>
      <c r="AB252" t="s">
        <v>1405</v>
      </c>
      <c r="AC252" t="s">
        <v>1406</v>
      </c>
      <c r="AD252" t="s">
        <v>874</v>
      </c>
      <c r="AE252">
        <v>40.0953199187157</v>
      </c>
      <c r="AF252">
        <v>14.370367797387</v>
      </c>
      <c r="AG252">
        <v>934.987</v>
      </c>
      <c r="AH252">
        <v>17.31</v>
      </c>
      <c r="AI252">
        <v>37484935345.2</v>
      </c>
    </row>
    <row r="253" spans="1:35">
      <c r="A253" s="63" t="s">
        <v>1275</v>
      </c>
      <c r="B253" t="s">
        <v>27</v>
      </c>
      <c r="C253" s="60" t="str">
        <v>Tube Investments of India Ltd</v>
      </c>
      <c r="D253" s="64">
        <v>0.00359229043291418</v>
      </c>
      <c r="E253" s="62">
        <f t="shared" si="6"/>
        <v>0</v>
      </c>
      <c r="F253" s="60" t="str">
        <v>Consumer Discretionary</v>
      </c>
      <c r="G253" s="62">
        <f t="shared" si="7"/>
        <v>0</v>
      </c>
      <c r="H253" s="60"/>
      <c r="J253" s="6"/>
      <c r="M253" s="63" t="s">
        <v>1343</v>
      </c>
      <c r="N253" s="69" t="s">
        <v>46</v>
      </c>
      <c r="O253" s="60" t="str">
        <v>Mahindra Lifespace Developers</v>
      </c>
      <c r="P253" s="70">
        <v>0.00437217888040455</v>
      </c>
      <c r="Q253" s="62">
        <f>P253*VLOOKUP(N253,'Selector Sheet '!$B$13:$D$43,2,FALSE)</f>
        <v>0</v>
      </c>
      <c r="R253" s="60" t="str">
        <v>Real Estate</v>
      </c>
      <c r="S253" s="62">
        <f>P253*VLOOKUP(N253,'Selector Sheet '!$B$13:$D$43,2,FALSE)</f>
        <v>0</v>
      </c>
      <c r="T253" s="60"/>
      <c r="X253" s="60" t="str">
        <v>INE07Y701011</v>
      </c>
      <c r="Z253" s="63" t="s">
        <v>1275</v>
      </c>
      <c r="AB253" t="s">
        <v>1407</v>
      </c>
      <c r="AC253" t="s">
        <v>1408</v>
      </c>
      <c r="AD253" t="s">
        <v>849</v>
      </c>
      <c r="AE253">
        <v>237.325371273169</v>
      </c>
      <c r="AF253">
        <v>13.7775880071331</v>
      </c>
      <c r="AG253">
        <v>3839.8</v>
      </c>
      <c r="AH253">
        <v>86.147553</v>
      </c>
      <c r="AI253">
        <v>911281961535</v>
      </c>
    </row>
    <row r="254" spans="1:35">
      <c r="A254" s="58" t="s">
        <v>1105</v>
      </c>
      <c r="B254" t="s">
        <v>27</v>
      </c>
      <c r="C254" s="60" t="str">
        <v>TVS Motor Co Ltd</v>
      </c>
      <c r="D254" s="61">
        <v>0.00757988944157746</v>
      </c>
      <c r="E254" s="62">
        <f t="shared" si="6"/>
        <v>0</v>
      </c>
      <c r="F254" s="60" t="str">
        <v>Consumer Discretionary</v>
      </c>
      <c r="G254" s="62">
        <f t="shared" si="7"/>
        <v>0</v>
      </c>
      <c r="H254" s="60"/>
      <c r="J254" s="6"/>
      <c r="M254" s="58" t="s">
        <v>1026</v>
      </c>
      <c r="N254" s="67" t="s">
        <v>46</v>
      </c>
      <c r="O254" s="60" t="str">
        <v>Maruti Suzuki India Ltd</v>
      </c>
      <c r="P254" s="68">
        <v>0.0110598000874376</v>
      </c>
      <c r="Q254" s="62">
        <f>P254*VLOOKUP(N254,'Selector Sheet '!$B$13:$D$43,2,FALSE)</f>
        <v>0</v>
      </c>
      <c r="R254" s="60" t="str">
        <v>Consumer Discretionary</v>
      </c>
      <c r="S254" s="62">
        <f>P254*VLOOKUP(N254,'Selector Sheet '!$B$13:$D$43,2,FALSE)</f>
        <v>0</v>
      </c>
      <c r="T254" s="60"/>
      <c r="X254" s="60" t="str">
        <v>INE09VQ01012</v>
      </c>
      <c r="Z254" s="58" t="s">
        <v>1105</v>
      </c>
      <c r="AB254" t="s">
        <v>1409</v>
      </c>
      <c r="AC254" t="s">
        <v>1410</v>
      </c>
      <c r="AD254" t="s">
        <v>859</v>
      </c>
      <c r="AE254">
        <v>37.6075252409904</v>
      </c>
      <c r="AF254">
        <v>14.6694001606134</v>
      </c>
      <c r="AG254">
        <v>1417.589</v>
      </c>
      <c r="AH254">
        <v>29.76</v>
      </c>
      <c r="AI254">
        <v>53312764074.4</v>
      </c>
    </row>
    <row r="255" spans="1:35">
      <c r="A255" s="63" t="s">
        <v>1126</v>
      </c>
      <c r="B255" t="s">
        <v>27</v>
      </c>
      <c r="C255" s="60" t="str">
        <v>United Breweries Ltd</v>
      </c>
      <c r="D255" s="64">
        <v>0.0128950333650545</v>
      </c>
      <c r="E255" s="62">
        <f t="shared" si="6"/>
        <v>0</v>
      </c>
      <c r="F255" s="60" t="str">
        <v>Consumer Staples</v>
      </c>
      <c r="G255" s="62">
        <f t="shared" si="7"/>
        <v>0</v>
      </c>
      <c r="H255" s="60"/>
      <c r="J255" s="6"/>
      <c r="M255" s="63" t="s">
        <v>1411</v>
      </c>
      <c r="N255" s="69" t="s">
        <v>46</v>
      </c>
      <c r="O255" s="60" t="str">
        <v>Metropolis Healthcare Ltd</v>
      </c>
      <c r="P255" s="70">
        <v>0.000670508113818748</v>
      </c>
      <c r="Q255" s="62">
        <f>P255*VLOOKUP(N255,'Selector Sheet '!$B$13:$D$43,2,FALSE)</f>
        <v>0</v>
      </c>
      <c r="R255" s="60" t="str">
        <v>Health Care</v>
      </c>
      <c r="S255" s="62">
        <f>P255*VLOOKUP(N255,'Selector Sheet '!$B$13:$D$43,2,FALSE)</f>
        <v>0</v>
      </c>
      <c r="T255" s="60"/>
      <c r="X255" s="60" t="str">
        <v>INE572A01036</v>
      </c>
      <c r="Z255" s="63" t="s">
        <v>1126</v>
      </c>
      <c r="AB255" t="s">
        <v>1380</v>
      </c>
      <c r="AC255" t="s">
        <v>1412</v>
      </c>
      <c r="AD255" t="s">
        <v>855</v>
      </c>
      <c r="AE255">
        <v>40.3910477169832</v>
      </c>
      <c r="AF255">
        <v>20.7525152736246</v>
      </c>
      <c r="AG255">
        <v>6595.818</v>
      </c>
      <c r="AH255">
        <v>42.45</v>
      </c>
      <c r="AI255">
        <v>268022844514.6</v>
      </c>
    </row>
    <row r="256" spans="1:35">
      <c r="A256" s="58" t="s">
        <v>1277</v>
      </c>
      <c r="B256" t="s">
        <v>27</v>
      </c>
      <c r="C256" s="60" t="str">
        <v>UPL Ltd</v>
      </c>
      <c r="D256" s="61">
        <v>0.011504875914928</v>
      </c>
      <c r="E256" s="62">
        <f t="shared" ref="E256:E319" si="8">_xlfn.IFNA(D256*VLOOKUP($B256,$AK$1:$AM$34,3,FALSE),0)</f>
        <v>0</v>
      </c>
      <c r="F256" s="60" t="str">
        <v>Materials</v>
      </c>
      <c r="G256" s="62">
        <f t="shared" ref="G256:G319" si="9">_xlfn.IFNA(D256*VLOOKUP($B256,$AK$1:$AM$34,3,FALSE),0)</f>
        <v>0</v>
      </c>
      <c r="H256" s="60"/>
      <c r="J256" s="6"/>
      <c r="M256" s="58" t="s">
        <v>1010</v>
      </c>
      <c r="N256" s="67" t="s">
        <v>46</v>
      </c>
      <c r="O256" s="60" t="str">
        <v>Mphasis Ltd</v>
      </c>
      <c r="P256" s="68">
        <v>0.0105892942875445</v>
      </c>
      <c r="Q256" s="62">
        <f>P256*VLOOKUP(N256,'Selector Sheet '!$B$13:$D$43,2,FALSE)</f>
        <v>0</v>
      </c>
      <c r="R256" s="60" t="str">
        <v>Information Technology</v>
      </c>
      <c r="S256" s="62">
        <f>P256*VLOOKUP(N256,'Selector Sheet '!$B$13:$D$43,2,FALSE)</f>
        <v>0</v>
      </c>
      <c r="T256" s="60"/>
      <c r="X256" s="60" t="str">
        <v>INE797F01020</v>
      </c>
      <c r="Z256" s="58" t="s">
        <v>1277</v>
      </c>
      <c r="AB256" t="s">
        <v>1386</v>
      </c>
      <c r="AC256" t="s">
        <v>1413</v>
      </c>
      <c r="AD256" t="s">
        <v>874</v>
      </c>
      <c r="AE256">
        <v>163.183525768363</v>
      </c>
      <c r="AF256" t="s">
        <v>860</v>
      </c>
      <c r="AG256">
        <v>2107.64</v>
      </c>
      <c r="AH256">
        <v>3.194143</v>
      </c>
      <c r="AI256">
        <v>426754883100</v>
      </c>
    </row>
    <row r="257" spans="1:35">
      <c r="A257" s="63" t="s">
        <v>1279</v>
      </c>
      <c r="B257" t="s">
        <v>27</v>
      </c>
      <c r="C257" s="60" t="str">
        <v>V-Guard Industries Ltd</v>
      </c>
      <c r="D257" s="64">
        <v>0.00300054927729665</v>
      </c>
      <c r="E257" s="62">
        <f t="shared" si="8"/>
        <v>0</v>
      </c>
      <c r="F257" s="60" t="str">
        <v>Industrials</v>
      </c>
      <c r="G257" s="62">
        <f t="shared" si="9"/>
        <v>0</v>
      </c>
      <c r="H257" s="60"/>
      <c r="J257" s="6"/>
      <c r="M257" s="63" t="s">
        <v>1166</v>
      </c>
      <c r="N257" s="69" t="s">
        <v>46</v>
      </c>
      <c r="O257" s="60" t="str">
        <v>NTPC Green Energy Ltd</v>
      </c>
      <c r="P257" s="70">
        <v>0.00306194846867252</v>
      </c>
      <c r="Q257" s="62">
        <f>P257*VLOOKUP(N257,'Selector Sheet '!$B$13:$D$43,2,FALSE)</f>
        <v>0</v>
      </c>
      <c r="R257" s="60" t="str">
        <v>Utilities</v>
      </c>
      <c r="S257" s="62">
        <f>P257*VLOOKUP(N257,'Selector Sheet '!$B$13:$D$43,2,FALSE)</f>
        <v>0</v>
      </c>
      <c r="T257" s="60"/>
      <c r="X257" s="60" t="str">
        <v>INE531A01024</v>
      </c>
      <c r="Z257" s="63" t="s">
        <v>1279</v>
      </c>
      <c r="AB257" t="s">
        <v>1414</v>
      </c>
      <c r="AC257" t="s">
        <v>1415</v>
      </c>
      <c r="AD257" t="s">
        <v>859</v>
      </c>
      <c r="AE257">
        <v>16.7206501185135</v>
      </c>
      <c r="AF257">
        <v>19.0400908900091</v>
      </c>
      <c r="AG257">
        <v>11429.5</v>
      </c>
      <c r="AH257">
        <v>14.14</v>
      </c>
      <c r="AI257">
        <v>191154249857.88</v>
      </c>
    </row>
    <row r="258" spans="1:35">
      <c r="A258" s="58" t="s">
        <v>1282</v>
      </c>
      <c r="B258" t="s">
        <v>27</v>
      </c>
      <c r="C258" s="60" t="str">
        <v>Vedant Fashions Ltd</v>
      </c>
      <c r="D258" s="61">
        <v>0.00165379687569681</v>
      </c>
      <c r="E258" s="62">
        <f t="shared" si="8"/>
        <v>0</v>
      </c>
      <c r="F258" s="60" t="str">
        <v>Consumer Discretionary</v>
      </c>
      <c r="G258" s="62">
        <f t="shared" si="9"/>
        <v>0</v>
      </c>
      <c r="H258" s="60"/>
      <c r="J258" s="6"/>
      <c r="M258" s="58" t="s">
        <v>1028</v>
      </c>
      <c r="N258" s="67" t="s">
        <v>46</v>
      </c>
      <c r="O258" s="60" t="str">
        <v>NTPC Ltd</v>
      </c>
      <c r="P258" s="68">
        <v>0.00770666079438205</v>
      </c>
      <c r="Q258" s="62">
        <f>P258*VLOOKUP(N258,'Selector Sheet '!$B$13:$D$43,2,FALSE)</f>
        <v>0</v>
      </c>
      <c r="R258" s="60" t="str">
        <v>Utilities</v>
      </c>
      <c r="S258" s="62">
        <f>P258*VLOOKUP(N258,'Selector Sheet '!$B$13:$D$43,2,FALSE)</f>
        <v>0</v>
      </c>
      <c r="T258" s="60"/>
      <c r="X258" s="60" t="str">
        <v>INE389H01022</v>
      </c>
      <c r="Z258" s="58" t="s">
        <v>1282</v>
      </c>
      <c r="AB258" t="s">
        <v>1416</v>
      </c>
      <c r="AC258" t="s">
        <v>1417</v>
      </c>
      <c r="AD258" t="s">
        <v>849</v>
      </c>
      <c r="AE258">
        <v>37.8899082568807</v>
      </c>
      <c r="AF258">
        <v>12.0879155790176</v>
      </c>
      <c r="AG258">
        <v>5707.4</v>
      </c>
      <c r="AH258">
        <v>21.8</v>
      </c>
      <c r="AI258">
        <v>219881200000</v>
      </c>
    </row>
    <row r="259" spans="1:35">
      <c r="A259" s="63" t="s">
        <v>1281</v>
      </c>
      <c r="B259" t="s">
        <v>27</v>
      </c>
      <c r="C259" s="60" t="str">
        <v>Vedanta Ltd</v>
      </c>
      <c r="D259" s="64">
        <v>0.0207887684087488</v>
      </c>
      <c r="E259" s="62">
        <f t="shared" si="8"/>
        <v>0</v>
      </c>
      <c r="F259" s="60" t="str">
        <v>Materials</v>
      </c>
      <c r="G259" s="62">
        <f t="shared" si="9"/>
        <v>0</v>
      </c>
      <c r="H259" s="60"/>
      <c r="J259" s="6"/>
      <c r="M259" s="63" t="s">
        <v>1418</v>
      </c>
      <c r="N259" s="69" t="s">
        <v>46</v>
      </c>
      <c r="O259" s="60" t="str">
        <v>Nuvama Wealth Management Ltd</v>
      </c>
      <c r="P259" s="70">
        <v>0.000861113312609615</v>
      </c>
      <c r="Q259" s="62">
        <f>P259*VLOOKUP(N259,'Selector Sheet '!$B$13:$D$43,2,FALSE)</f>
        <v>0</v>
      </c>
      <c r="R259" s="60" t="str">
        <v>Financials</v>
      </c>
      <c r="S259" s="62">
        <f>P259*VLOOKUP(N259,'Selector Sheet '!$B$13:$D$43,2,FALSE)</f>
        <v>0</v>
      </c>
      <c r="T259" s="60"/>
      <c r="X259" s="60" t="str">
        <v>INE717A01029</v>
      </c>
      <c r="Z259" s="63" t="s">
        <v>1281</v>
      </c>
      <c r="AB259" t="s">
        <v>1419</v>
      </c>
      <c r="AC259" t="s">
        <v>1420</v>
      </c>
      <c r="AD259" t="s">
        <v>849</v>
      </c>
      <c r="AE259">
        <v>42.3151732317337</v>
      </c>
      <c r="AF259">
        <v>18.5227272727273</v>
      </c>
      <c r="AG259">
        <v>1141</v>
      </c>
      <c r="AH259">
        <v>51.94</v>
      </c>
      <c r="AI259">
        <v>48304874784</v>
      </c>
    </row>
    <row r="260" spans="1:35">
      <c r="A260" s="58" t="s">
        <v>1139</v>
      </c>
      <c r="B260" t="s">
        <v>27</v>
      </c>
      <c r="C260" s="60" t="str">
        <v>Zee Entertainment Enterprises</v>
      </c>
      <c r="D260" s="61">
        <v>0.00270869441928963</v>
      </c>
      <c r="E260" s="62">
        <f t="shared" si="8"/>
        <v>0</v>
      </c>
      <c r="F260" s="60" t="str">
        <v>Communication Services</v>
      </c>
      <c r="G260" s="62">
        <f t="shared" si="9"/>
        <v>0</v>
      </c>
      <c r="H260" s="60"/>
      <c r="J260" s="6"/>
      <c r="M260" s="58" t="s">
        <v>1031</v>
      </c>
      <c r="N260" s="67" t="s">
        <v>46</v>
      </c>
      <c r="O260" s="60" t="str">
        <v>Oberoi Realty Ltd</v>
      </c>
      <c r="P260" s="68">
        <v>0.00445787623681189</v>
      </c>
      <c r="Q260" s="62">
        <f>P260*VLOOKUP(N260,'Selector Sheet '!$B$13:$D$43,2,FALSE)</f>
        <v>0</v>
      </c>
      <c r="R260" s="60" t="str">
        <v>Real Estate</v>
      </c>
      <c r="S260" s="62">
        <f>P260*VLOOKUP(N260,'Selector Sheet '!$B$13:$D$43,2,FALSE)</f>
        <v>0</v>
      </c>
      <c r="T260" s="60"/>
      <c r="X260" s="60" t="str">
        <v>INE766P01016</v>
      </c>
      <c r="Z260" s="58" t="s">
        <v>1139</v>
      </c>
      <c r="AB260" t="s">
        <v>1421</v>
      </c>
      <c r="AC260" t="s">
        <v>1422</v>
      </c>
      <c r="AD260" t="s">
        <v>849</v>
      </c>
      <c r="AE260" t="s">
        <v>860</v>
      </c>
      <c r="AF260" t="s">
        <v>860</v>
      </c>
      <c r="AG260">
        <v>-358.5</v>
      </c>
      <c r="AH260">
        <v>-4.53558224</v>
      </c>
      <c r="AI260">
        <v>23648302439.5</v>
      </c>
    </row>
    <row r="261" spans="1:35">
      <c r="A261" s="63" t="s">
        <v>1123</v>
      </c>
      <c r="B261" t="s">
        <v>27</v>
      </c>
      <c r="C261" s="60" t="str">
        <v>Zydus Lifesciences Ltd</v>
      </c>
      <c r="D261" s="64">
        <v>0.00440598668107693</v>
      </c>
      <c r="E261" s="62">
        <f t="shared" si="8"/>
        <v>0</v>
      </c>
      <c r="F261" s="60" t="str">
        <v>Health Care</v>
      </c>
      <c r="G261" s="62">
        <f t="shared" si="9"/>
        <v>0</v>
      </c>
      <c r="H261" s="60"/>
      <c r="J261" s="6"/>
      <c r="M261" s="63" t="s">
        <v>1227</v>
      </c>
      <c r="N261" s="69" t="s">
        <v>46</v>
      </c>
      <c r="O261" s="60" t="str">
        <v>Oil &amp; Natural Gas Corp Ltd</v>
      </c>
      <c r="P261" s="70">
        <v>0.00407168787714727</v>
      </c>
      <c r="Q261" s="62">
        <f>P261*VLOOKUP(N261,'Selector Sheet '!$B$13:$D$43,2,FALSE)</f>
        <v>0</v>
      </c>
      <c r="R261" s="60" t="str">
        <v>Energy</v>
      </c>
      <c r="S261" s="62">
        <f>P261*VLOOKUP(N261,'Selector Sheet '!$B$13:$D$43,2,FALSE)</f>
        <v>0</v>
      </c>
      <c r="T261" s="60"/>
      <c r="X261" s="60" t="str">
        <v>INE804L01022</v>
      </c>
      <c r="Z261" s="63" t="s">
        <v>1123</v>
      </c>
      <c r="AB261" t="s">
        <v>1423</v>
      </c>
      <c r="AC261" t="s">
        <v>1424</v>
      </c>
      <c r="AD261" t="s">
        <v>1016</v>
      </c>
      <c r="AE261">
        <v>64.7494052835372</v>
      </c>
      <c r="AF261">
        <v>9.05965448774489</v>
      </c>
      <c r="AG261">
        <v>1503.22</v>
      </c>
      <c r="AH261">
        <v>12.57</v>
      </c>
      <c r="AI261">
        <v>97459172793.6</v>
      </c>
    </row>
    <row r="262" spans="1:35">
      <c r="A262" s="58" t="s">
        <v>850</v>
      </c>
      <c r="B262" s="73" t="s">
        <v>22</v>
      </c>
      <c r="C262" s="60" t="str">
        <v>ABB India Ltd</v>
      </c>
      <c r="D262" s="61">
        <v>0.00337344175861055</v>
      </c>
      <c r="E262" s="62">
        <f t="shared" si="8"/>
        <v>0</v>
      </c>
      <c r="F262" s="60" t="str">
        <v>Industrials</v>
      </c>
      <c r="G262" s="62">
        <f t="shared" si="9"/>
        <v>0</v>
      </c>
      <c r="H262" s="60"/>
      <c r="J262" s="6"/>
      <c r="M262" s="58" t="s">
        <v>1038</v>
      </c>
      <c r="N262" s="67" t="s">
        <v>46</v>
      </c>
      <c r="O262" s="60" t="str">
        <v>PB Fintech Ltd</v>
      </c>
      <c r="P262" s="68">
        <v>0.00559736768102081</v>
      </c>
      <c r="Q262" s="62">
        <f>P262*VLOOKUP(N262,'Selector Sheet '!$B$13:$D$43,2,FALSE)</f>
        <v>0</v>
      </c>
      <c r="R262" s="60" t="str">
        <v>Financials</v>
      </c>
      <c r="S262" s="62">
        <f>P262*VLOOKUP(N262,'Selector Sheet '!$B$13:$D$43,2,FALSE)</f>
        <v>0</v>
      </c>
      <c r="T262" s="60"/>
      <c r="X262" s="60" t="str">
        <v>INE410P01011</v>
      </c>
      <c r="Z262" s="58" t="s">
        <v>850</v>
      </c>
      <c r="AB262" t="s">
        <v>1425</v>
      </c>
      <c r="AC262" t="s">
        <v>1426</v>
      </c>
      <c r="AD262" t="s">
        <v>855</v>
      </c>
      <c r="AE262">
        <v>47.4958947711735</v>
      </c>
      <c r="AF262" t="s">
        <v>860</v>
      </c>
      <c r="AG262">
        <v>7901.55</v>
      </c>
      <c r="AH262">
        <v>38.664667</v>
      </c>
      <c r="AI262">
        <v>372386257048.8</v>
      </c>
    </row>
    <row r="263" spans="1:35">
      <c r="A263" s="63" t="s">
        <v>1289</v>
      </c>
      <c r="B263" s="73" t="s">
        <v>22</v>
      </c>
      <c r="C263" s="60" t="str">
        <v>Ashok Leyland Ltd</v>
      </c>
      <c r="D263" s="64">
        <v>0.00132106022063543</v>
      </c>
      <c r="E263" s="62">
        <f t="shared" si="8"/>
        <v>0</v>
      </c>
      <c r="F263" s="60" t="str">
        <v>Industrials</v>
      </c>
      <c r="G263" s="62">
        <f t="shared" si="9"/>
        <v>0</v>
      </c>
      <c r="H263" s="60"/>
      <c r="J263" s="6"/>
      <c r="M263" s="63" t="s">
        <v>1041</v>
      </c>
      <c r="N263" s="69" t="s">
        <v>46</v>
      </c>
      <c r="O263" s="60" t="str">
        <v>Persistent Systems Ltd</v>
      </c>
      <c r="P263" s="70">
        <v>0.00878950154753323</v>
      </c>
      <c r="Q263" s="62">
        <f>P263*VLOOKUP(N263,'Selector Sheet '!$B$13:$D$43,2,FALSE)</f>
        <v>0</v>
      </c>
      <c r="R263" s="60" t="str">
        <v>Information Technology</v>
      </c>
      <c r="S263" s="62">
        <f>P263*VLOOKUP(N263,'Selector Sheet '!$B$13:$D$43,2,FALSE)</f>
        <v>0</v>
      </c>
      <c r="T263" s="60"/>
      <c r="X263" s="60" t="str">
        <v>INE995S01015</v>
      </c>
      <c r="Z263" s="63" t="s">
        <v>1289</v>
      </c>
      <c r="AB263" t="s">
        <v>1427</v>
      </c>
      <c r="AC263" t="s">
        <v>1428</v>
      </c>
      <c r="AD263" t="s">
        <v>867</v>
      </c>
      <c r="AE263">
        <v>170.588235294118</v>
      </c>
      <c r="AF263">
        <v>3.39164035982415</v>
      </c>
      <c r="AG263">
        <v>818.52</v>
      </c>
      <c r="AH263">
        <v>0.51</v>
      </c>
      <c r="AI263">
        <v>160576921902</v>
      </c>
    </row>
    <row r="264" spans="1:35">
      <c r="A264" s="58" t="s">
        <v>1137</v>
      </c>
      <c r="B264" s="73" t="s">
        <v>22</v>
      </c>
      <c r="C264" s="60" t="str">
        <v>Asian Paints Ltd</v>
      </c>
      <c r="D264" s="61">
        <v>0.0170569191147426</v>
      </c>
      <c r="E264" s="62">
        <f t="shared" si="8"/>
        <v>0</v>
      </c>
      <c r="F264" s="60" t="str">
        <v>Materials</v>
      </c>
      <c r="G264" s="62">
        <f t="shared" si="9"/>
        <v>0</v>
      </c>
      <c r="H264" s="60"/>
      <c r="J264" s="6"/>
      <c r="M264" s="58" t="s">
        <v>1429</v>
      </c>
      <c r="N264" s="67" t="s">
        <v>46</v>
      </c>
      <c r="O264" s="60" t="str">
        <v>Piramal Pharma Ltd</v>
      </c>
      <c r="P264" s="68">
        <v>0.000983053426174778</v>
      </c>
      <c r="Q264" s="62">
        <f>P264*VLOOKUP(N264,'Selector Sheet '!$B$13:$D$43,2,FALSE)</f>
        <v>0</v>
      </c>
      <c r="R264" s="60" t="str">
        <v>Health Care</v>
      </c>
      <c r="S264" s="62">
        <f>P264*VLOOKUP(N264,'Selector Sheet '!$B$13:$D$43,2,FALSE)</f>
        <v>0</v>
      </c>
      <c r="T264" s="60"/>
      <c r="X264" s="60" t="str">
        <v>INE589A01014</v>
      </c>
      <c r="Z264" s="58" t="s">
        <v>1137</v>
      </c>
      <c r="AB264" t="s">
        <v>1430</v>
      </c>
      <c r="AC264" t="s">
        <v>1431</v>
      </c>
      <c r="AD264" t="s">
        <v>1030</v>
      </c>
      <c r="AE264">
        <v>12.1277463637144</v>
      </c>
      <c r="AF264">
        <v>14.8712685815689</v>
      </c>
      <c r="AG264">
        <v>26213.6</v>
      </c>
      <c r="AH264">
        <v>19.57</v>
      </c>
      <c r="AI264">
        <v>329104332780.06</v>
      </c>
    </row>
    <row r="265" spans="1:35">
      <c r="A265" s="63" t="s">
        <v>1291</v>
      </c>
      <c r="B265" s="73" t="s">
        <v>22</v>
      </c>
      <c r="C265" s="60" t="str">
        <v>Aurobindo Pharma Ltd</v>
      </c>
      <c r="D265" s="64">
        <v>0.00520502694343344</v>
      </c>
      <c r="E265" s="62">
        <f t="shared" si="8"/>
        <v>0</v>
      </c>
      <c r="F265" s="60" t="str">
        <v>Health Care</v>
      </c>
      <c r="G265" s="62">
        <f t="shared" si="9"/>
        <v>0</v>
      </c>
      <c r="H265" s="60"/>
      <c r="J265" s="6"/>
      <c r="M265" s="63" t="s">
        <v>1056</v>
      </c>
      <c r="N265" s="69" t="s">
        <v>46</v>
      </c>
      <c r="O265" s="60" t="str">
        <v>Power Finance Corp Ltd</v>
      </c>
      <c r="P265" s="70">
        <v>0.00613332256314458</v>
      </c>
      <c r="Q265" s="62">
        <f>P265*VLOOKUP(N265,'Selector Sheet '!$B$13:$D$43,2,FALSE)</f>
        <v>0</v>
      </c>
      <c r="R265" s="60" t="str">
        <v>Financials</v>
      </c>
      <c r="S265" s="62">
        <f>P265*VLOOKUP(N265,'Selector Sheet '!$B$13:$D$43,2,FALSE)</f>
        <v>0</v>
      </c>
      <c r="T265" s="60"/>
      <c r="X265" s="60" t="str">
        <v>INE0LXG01040</v>
      </c>
      <c r="Z265" s="63" t="s">
        <v>1291</v>
      </c>
      <c r="AB265" t="s">
        <v>1432</v>
      </c>
      <c r="AC265" t="s">
        <v>1433</v>
      </c>
      <c r="AD265" t="s">
        <v>874</v>
      </c>
      <c r="AE265" t="s">
        <v>860</v>
      </c>
      <c r="AF265">
        <v>-63.5546572146334</v>
      </c>
      <c r="AG265">
        <v>-22760</v>
      </c>
      <c r="AH265">
        <v>-5.159828</v>
      </c>
      <c r="AI265">
        <v>185034313675.75</v>
      </c>
    </row>
    <row r="266" spans="1:35">
      <c r="A266" s="58" t="s">
        <v>876</v>
      </c>
      <c r="B266" s="73" t="s">
        <v>22</v>
      </c>
      <c r="C266" s="60" t="str">
        <v>Avenue Supermarts Ltd</v>
      </c>
      <c r="D266" s="61">
        <v>0.00602243104829246</v>
      </c>
      <c r="E266" s="62">
        <f t="shared" si="8"/>
        <v>0</v>
      </c>
      <c r="F266" s="60" t="str">
        <v>Consumer Staples</v>
      </c>
      <c r="G266" s="62">
        <f t="shared" si="9"/>
        <v>0</v>
      </c>
      <c r="H266" s="60"/>
      <c r="J266" s="6"/>
      <c r="M266" s="58" t="s">
        <v>1059</v>
      </c>
      <c r="N266" s="67" t="s">
        <v>46</v>
      </c>
      <c r="O266" s="60" t="str">
        <v>Power Grid Corp of India Ltd</v>
      </c>
      <c r="P266" s="68">
        <v>0.00710886057806479</v>
      </c>
      <c r="Q266" s="62">
        <f>P266*VLOOKUP(N266,'Selector Sheet '!$B$13:$D$43,2,FALSE)</f>
        <v>0</v>
      </c>
      <c r="R266" s="60" t="str">
        <v>Utilities</v>
      </c>
      <c r="S266" s="62">
        <f>P266*VLOOKUP(N266,'Selector Sheet '!$B$13:$D$43,2,FALSE)</f>
        <v>0</v>
      </c>
      <c r="T266" s="60"/>
      <c r="X266" s="60" t="str">
        <v>INE182A01018</v>
      </c>
      <c r="Z266" s="58" t="s">
        <v>876</v>
      </c>
      <c r="AB266" t="s">
        <v>1434</v>
      </c>
      <c r="AC266" t="s">
        <v>1435</v>
      </c>
      <c r="AD266" t="s">
        <v>855</v>
      </c>
      <c r="AE266">
        <v>33.4167709637046</v>
      </c>
      <c r="AF266">
        <v>19.6494281929361</v>
      </c>
      <c r="AG266">
        <v>7676</v>
      </c>
      <c r="AH266">
        <v>167.79</v>
      </c>
      <c r="AI266">
        <v>256507533324</v>
      </c>
    </row>
    <row r="267" spans="1:35">
      <c r="A267" s="63" t="s">
        <v>879</v>
      </c>
      <c r="B267" s="73" t="s">
        <v>22</v>
      </c>
      <c r="C267" s="60" t="str">
        <v>Axis Bank Ltd</v>
      </c>
      <c r="D267" s="64">
        <v>0.0378721444480625</v>
      </c>
      <c r="E267" s="62">
        <f t="shared" si="8"/>
        <v>0</v>
      </c>
      <c r="F267" s="60" t="str">
        <v>Financials</v>
      </c>
      <c r="G267" s="62">
        <f t="shared" si="9"/>
        <v>0</v>
      </c>
      <c r="H267" s="60"/>
      <c r="J267" s="6"/>
      <c r="M267" s="63" t="s">
        <v>1064</v>
      </c>
      <c r="N267" s="69" t="s">
        <v>46</v>
      </c>
      <c r="O267" s="60" t="str">
        <v>Punjab National Bank</v>
      </c>
      <c r="P267" s="70">
        <v>0.000822019488966746</v>
      </c>
      <c r="Q267" s="62">
        <f>P267*VLOOKUP(N267,'Selector Sheet '!$B$13:$D$43,2,FALSE)</f>
        <v>0</v>
      </c>
      <c r="R267" s="60" t="str">
        <v>Financials</v>
      </c>
      <c r="S267" s="62">
        <f>P267*VLOOKUP(N267,'Selector Sheet '!$B$13:$D$43,2,FALSE)</f>
        <v>0</v>
      </c>
      <c r="T267" s="60"/>
      <c r="X267" s="60" t="str">
        <v>INE572E01012</v>
      </c>
      <c r="Z267" s="63" t="s">
        <v>879</v>
      </c>
      <c r="AB267" t="s">
        <v>1436</v>
      </c>
      <c r="AC267" t="s">
        <v>1437</v>
      </c>
      <c r="AD267" t="s">
        <v>867</v>
      </c>
      <c r="AE267">
        <v>10.3690286125474</v>
      </c>
      <c r="AF267">
        <v>12.1626116566057</v>
      </c>
      <c r="AG267">
        <v>19361.4</v>
      </c>
      <c r="AH267">
        <v>74.52</v>
      </c>
      <c r="AI267">
        <v>201251478301.4</v>
      </c>
    </row>
    <row r="268" spans="1:35">
      <c r="A268" s="58" t="s">
        <v>875</v>
      </c>
      <c r="B268" s="73" t="s">
        <v>22</v>
      </c>
      <c r="C268" s="60" t="str">
        <v>Bajaj Auto Ltd</v>
      </c>
      <c r="D268" s="61">
        <v>0.00323162950072398</v>
      </c>
      <c r="E268" s="62">
        <f t="shared" si="8"/>
        <v>0</v>
      </c>
      <c r="F268" s="60" t="str">
        <v>Consumer Discretionary</v>
      </c>
      <c r="G268" s="62">
        <f t="shared" si="9"/>
        <v>0</v>
      </c>
      <c r="H268" s="60"/>
      <c r="J268" s="6"/>
      <c r="M268" s="58" t="s">
        <v>1438</v>
      </c>
      <c r="N268" s="67" t="s">
        <v>46</v>
      </c>
      <c r="O268" s="60" t="str">
        <v>Rainbow Children's Medicare Lt</v>
      </c>
      <c r="P268" s="68">
        <v>0.000215871349981292</v>
      </c>
      <c r="Q268" s="62">
        <f>P268*VLOOKUP(N268,'Selector Sheet '!$B$13:$D$43,2,FALSE)</f>
        <v>0</v>
      </c>
      <c r="R268" s="60" t="str">
        <v>Health Care</v>
      </c>
      <c r="S268" s="62">
        <f>P268*VLOOKUP(N268,'Selector Sheet '!$B$13:$D$43,2,FALSE)</f>
        <v>0</v>
      </c>
      <c r="T268" s="60"/>
      <c r="X268" s="60" t="str">
        <v>INE570L01029</v>
      </c>
      <c r="Z268" s="58" t="s">
        <v>875</v>
      </c>
      <c r="AB268" t="s">
        <v>1439</v>
      </c>
      <c r="AC268" t="s">
        <v>1440</v>
      </c>
      <c r="AD268" t="s">
        <v>855</v>
      </c>
      <c r="AE268">
        <v>102.389578209053</v>
      </c>
      <c r="AF268">
        <v>10.965253901649</v>
      </c>
      <c r="AG268">
        <v>1701.32</v>
      </c>
      <c r="AH268">
        <v>8.83</v>
      </c>
      <c r="AI268">
        <v>188491775809.9</v>
      </c>
    </row>
    <row r="269" spans="1:35">
      <c r="A269" s="63" t="s">
        <v>1293</v>
      </c>
      <c r="B269" s="73" t="s">
        <v>22</v>
      </c>
      <c r="C269" s="60" t="str">
        <v>Bank of Baroda</v>
      </c>
      <c r="D269" s="64">
        <v>0.00507204486808137</v>
      </c>
      <c r="E269" s="62">
        <f t="shared" si="8"/>
        <v>0</v>
      </c>
      <c r="F269" s="60" t="str">
        <v>Financials</v>
      </c>
      <c r="G269" s="62">
        <f t="shared" si="9"/>
        <v>0</v>
      </c>
      <c r="H269" s="60"/>
      <c r="J269" s="6"/>
      <c r="M269" s="63" t="s">
        <v>1256</v>
      </c>
      <c r="N269" s="69" t="s">
        <v>46</v>
      </c>
      <c r="O269" s="60" t="str">
        <v>Ratnamani Metals &amp; Tubes Ltd</v>
      </c>
      <c r="P269" s="70">
        <v>0.00437269207237186</v>
      </c>
      <c r="Q269" s="62">
        <f>P269*VLOOKUP(N269,'Selector Sheet '!$B$13:$D$43,2,FALSE)</f>
        <v>0</v>
      </c>
      <c r="R269" s="60" t="str">
        <v>Materials</v>
      </c>
      <c r="S269" s="62">
        <f>P269*VLOOKUP(N269,'Selector Sheet '!$B$13:$D$43,2,FALSE)</f>
        <v>0</v>
      </c>
      <c r="T269" s="60"/>
      <c r="X269" s="60" t="str">
        <v>INE0UOS01011</v>
      </c>
      <c r="Z269" s="63" t="s">
        <v>1293</v>
      </c>
      <c r="AB269" t="s">
        <v>1441</v>
      </c>
      <c r="AC269" t="s">
        <v>1442</v>
      </c>
      <c r="AD269" t="s">
        <v>855</v>
      </c>
      <c r="AE269" t="s">
        <v>860</v>
      </c>
      <c r="AF269" t="s">
        <v>860</v>
      </c>
      <c r="AG269">
        <v>1810</v>
      </c>
      <c r="AH269" t="s">
        <v>860</v>
      </c>
      <c r="AI269">
        <v>120685065404.4</v>
      </c>
    </row>
    <row r="270" spans="1:35">
      <c r="A270" s="58" t="s">
        <v>889</v>
      </c>
      <c r="B270" s="73" t="s">
        <v>22</v>
      </c>
      <c r="C270" s="60" t="str">
        <v>Bharat Petroleum Corp Ltd</v>
      </c>
      <c r="D270" s="61">
        <v>0.00917110920972832</v>
      </c>
      <c r="E270" s="62">
        <f t="shared" si="8"/>
        <v>0</v>
      </c>
      <c r="F270" s="60" t="str">
        <v>Energy</v>
      </c>
      <c r="G270" s="62">
        <f t="shared" si="9"/>
        <v>0</v>
      </c>
      <c r="H270" s="60"/>
      <c r="J270" s="6"/>
      <c r="M270" s="58" t="s">
        <v>1070</v>
      </c>
      <c r="N270" s="67" t="s">
        <v>46</v>
      </c>
      <c r="O270" s="60" t="str">
        <v>Reliance Industries Ltd</v>
      </c>
      <c r="P270" s="68">
        <v>0.0388364407648656</v>
      </c>
      <c r="Q270" s="62">
        <f>P270*VLOOKUP(N270,'Selector Sheet '!$B$13:$D$43,2,FALSE)</f>
        <v>0</v>
      </c>
      <c r="R270" s="60" t="str">
        <v>Energy</v>
      </c>
      <c r="S270" s="62">
        <f>P270*VLOOKUP(N270,'Selector Sheet '!$B$13:$D$43,2,FALSE)</f>
        <v>0</v>
      </c>
      <c r="T270" s="60"/>
      <c r="X270" s="60" t="str">
        <v>INE058A01010</v>
      </c>
      <c r="Z270" s="58" t="s">
        <v>889</v>
      </c>
      <c r="AB270" t="s">
        <v>1443</v>
      </c>
      <c r="AC270" t="s">
        <v>1444</v>
      </c>
      <c r="AD270" t="s">
        <v>855</v>
      </c>
      <c r="AE270">
        <v>37.809265105352</v>
      </c>
      <c r="AF270">
        <v>44.0665316131784</v>
      </c>
      <c r="AG270">
        <v>4133</v>
      </c>
      <c r="AH270">
        <v>179.46</v>
      </c>
      <c r="AI270">
        <v>118607703300</v>
      </c>
    </row>
    <row r="271" spans="1:35">
      <c r="A271" s="63" t="s">
        <v>891</v>
      </c>
      <c r="B271" s="73" t="s">
        <v>22</v>
      </c>
      <c r="C271" s="60" t="str">
        <v>Bharti Airtel Ltd</v>
      </c>
      <c r="D271" s="64">
        <v>0.0449387532872666</v>
      </c>
      <c r="E271" s="62">
        <f t="shared" si="8"/>
        <v>0</v>
      </c>
      <c r="F271" s="60" t="str">
        <v>Communication Services</v>
      </c>
      <c r="G271" s="62">
        <f t="shared" si="9"/>
        <v>0</v>
      </c>
      <c r="H271" s="60"/>
      <c r="J271" s="6"/>
      <c r="M271" s="63" t="s">
        <v>1055</v>
      </c>
      <c r="N271" s="69" t="s">
        <v>46</v>
      </c>
      <c r="O271" s="60" t="str">
        <v>Samvardhana Motherson Internat</v>
      </c>
      <c r="P271" s="70">
        <v>0.00471764260639685</v>
      </c>
      <c r="Q271" s="62">
        <f>P271*VLOOKUP(N271,'Selector Sheet '!$B$13:$D$43,2,FALSE)</f>
        <v>0</v>
      </c>
      <c r="R271" s="60" t="str">
        <v>Consumer Discretionary</v>
      </c>
      <c r="S271" s="62">
        <f>P271*VLOOKUP(N271,'Selector Sheet '!$B$13:$D$43,2,FALSE)</f>
        <v>0</v>
      </c>
      <c r="T271" s="60"/>
      <c r="X271" s="60" t="str">
        <v>INE953O01021</v>
      </c>
      <c r="Z271" s="63" t="s">
        <v>891</v>
      </c>
      <c r="AB271" t="s">
        <v>1445</v>
      </c>
      <c r="AC271" t="s">
        <v>1446</v>
      </c>
      <c r="AD271" t="s">
        <v>874</v>
      </c>
      <c r="AE271">
        <v>36.9118150815859</v>
      </c>
      <c r="AF271">
        <v>10.5017114503914</v>
      </c>
      <c r="AG271">
        <v>2151.64</v>
      </c>
      <c r="AH271">
        <v>34.747681</v>
      </c>
      <c r="AI271">
        <v>79644007667.4</v>
      </c>
    </row>
    <row r="272" spans="1:35">
      <c r="A272" s="58" t="s">
        <v>1297</v>
      </c>
      <c r="B272" s="73" t="s">
        <v>22</v>
      </c>
      <c r="C272" s="60" t="str">
        <v>Birla Corp Ltd</v>
      </c>
      <c r="D272" s="61">
        <v>0.000376524610963056</v>
      </c>
      <c r="E272" s="62">
        <f t="shared" si="8"/>
        <v>0</v>
      </c>
      <c r="F272" s="60" t="str">
        <v>Materials</v>
      </c>
      <c r="G272" s="62">
        <f t="shared" si="9"/>
        <v>0</v>
      </c>
      <c r="H272" s="60"/>
      <c r="J272" s="6"/>
      <c r="M272" s="58" t="s">
        <v>1445</v>
      </c>
      <c r="N272" s="67" t="s">
        <v>46</v>
      </c>
      <c r="O272" s="60" t="str">
        <v>Sansera Engineering Ltd</v>
      </c>
      <c r="P272" s="68">
        <v>0.00382954680057282</v>
      </c>
      <c r="Q272" s="62">
        <f>P272*VLOOKUP(N272,'Selector Sheet '!$B$13:$D$43,2,FALSE)</f>
        <v>0</v>
      </c>
      <c r="R272" s="60" t="str">
        <v>Consumer Discretionary</v>
      </c>
      <c r="S272" s="62">
        <f>P272*VLOOKUP(N272,'Selector Sheet '!$B$13:$D$43,2,FALSE)</f>
        <v>0</v>
      </c>
      <c r="T272" s="60"/>
      <c r="X272" s="60" t="str">
        <v>INE806T01020</v>
      </c>
      <c r="Z272" s="58" t="s">
        <v>1297</v>
      </c>
      <c r="AB272" t="s">
        <v>1447</v>
      </c>
      <c r="AC272" t="s">
        <v>1448</v>
      </c>
      <c r="AD272" t="s">
        <v>874</v>
      </c>
      <c r="AE272">
        <v>517.5</v>
      </c>
      <c r="AF272">
        <v>1.4067629546333</v>
      </c>
      <c r="AG272">
        <v>192.53</v>
      </c>
      <c r="AH272">
        <v>0.6</v>
      </c>
      <c r="AI272">
        <v>99789392002.5</v>
      </c>
    </row>
    <row r="273" spans="1:35">
      <c r="A273" s="63" t="s">
        <v>914</v>
      </c>
      <c r="B273" s="73" t="s">
        <v>22</v>
      </c>
      <c r="C273" s="60" t="str">
        <v>Cipla Ltd/India</v>
      </c>
      <c r="D273" s="64">
        <v>0.00149169768236907</v>
      </c>
      <c r="E273" s="62">
        <f t="shared" si="8"/>
        <v>0</v>
      </c>
      <c r="F273" s="60" t="str">
        <v>Health Care</v>
      </c>
      <c r="G273" s="62">
        <f t="shared" si="9"/>
        <v>0</v>
      </c>
      <c r="H273" s="60"/>
      <c r="J273" s="6"/>
      <c r="M273" s="63" t="s">
        <v>1058</v>
      </c>
      <c r="N273" s="69" t="s">
        <v>46</v>
      </c>
      <c r="O273" s="60" t="str">
        <v>Schaeffler India Ltd</v>
      </c>
      <c r="P273" s="70">
        <v>0.00716825969721412</v>
      </c>
      <c r="Q273" s="62">
        <f>P273*VLOOKUP(N273,'Selector Sheet '!$B$13:$D$43,2,FALSE)</f>
        <v>0</v>
      </c>
      <c r="R273" s="60" t="str">
        <v>Industrials</v>
      </c>
      <c r="S273" s="62">
        <f>P273*VLOOKUP(N273,'Selector Sheet '!$B$13:$D$43,2,FALSE)</f>
        <v>0</v>
      </c>
      <c r="T273" s="60"/>
      <c r="X273" s="60" t="str">
        <v>INE839M01018</v>
      </c>
      <c r="Z273" s="63" t="s">
        <v>914</v>
      </c>
      <c r="AB273" t="s">
        <v>1449</v>
      </c>
      <c r="AC273" t="s">
        <v>1450</v>
      </c>
      <c r="AD273" t="s">
        <v>849</v>
      </c>
      <c r="AE273">
        <v>76.9642857142857</v>
      </c>
      <c r="AF273">
        <v>69.2642819283027</v>
      </c>
      <c r="AG273">
        <v>2678.9</v>
      </c>
      <c r="AH273">
        <v>11.2</v>
      </c>
      <c r="AI273">
        <v>206107678170</v>
      </c>
    </row>
    <row r="274" spans="1:35">
      <c r="A274" s="58" t="s">
        <v>916</v>
      </c>
      <c r="B274" s="73" t="s">
        <v>22</v>
      </c>
      <c r="C274" s="60" t="str">
        <v>Coal India Ltd</v>
      </c>
      <c r="D274" s="61">
        <v>0</v>
      </c>
      <c r="E274" s="62">
        <f t="shared" si="8"/>
        <v>0</v>
      </c>
      <c r="F274" s="60" t="str">
        <v>Energy</v>
      </c>
      <c r="G274" s="62">
        <f t="shared" si="9"/>
        <v>0</v>
      </c>
      <c r="H274" s="60"/>
      <c r="J274" s="6"/>
      <c r="M274" s="58" t="s">
        <v>1347</v>
      </c>
      <c r="N274" s="67" t="s">
        <v>46</v>
      </c>
      <c r="O274" s="60" t="str">
        <v>Shriram Finance Ltd</v>
      </c>
      <c r="P274" s="68">
        <v>0.00418210968211287</v>
      </c>
      <c r="Q274" s="62">
        <f>P274*VLOOKUP(N274,'Selector Sheet '!$B$13:$D$43,2,FALSE)</f>
        <v>0</v>
      </c>
      <c r="R274" s="60" t="str">
        <v>Financials</v>
      </c>
      <c r="S274" s="62">
        <f>P274*VLOOKUP(N274,'Selector Sheet '!$B$13:$D$43,2,FALSE)</f>
        <v>0</v>
      </c>
      <c r="T274" s="60"/>
      <c r="X274" s="60" t="str">
        <v>INE916U01025</v>
      </c>
      <c r="Z274" s="58" t="s">
        <v>916</v>
      </c>
      <c r="AB274" t="s">
        <v>1451</v>
      </c>
      <c r="AC274" t="s">
        <v>1452</v>
      </c>
      <c r="AD274" t="s">
        <v>874</v>
      </c>
      <c r="AE274">
        <v>76.565873189889</v>
      </c>
      <c r="AF274">
        <v>3.22699269065502</v>
      </c>
      <c r="AG274">
        <v>960.9</v>
      </c>
      <c r="AH274">
        <v>8.8401</v>
      </c>
      <c r="AI274">
        <v>73580890089.3</v>
      </c>
    </row>
    <row r="275" spans="1:35">
      <c r="A275" s="63" t="s">
        <v>933</v>
      </c>
      <c r="B275" s="73" t="s">
        <v>22</v>
      </c>
      <c r="C275" s="60" t="str">
        <v>Cummins India Ltd</v>
      </c>
      <c r="D275" s="64">
        <v>0.0116534171377551</v>
      </c>
      <c r="E275" s="62">
        <f t="shared" si="8"/>
        <v>0</v>
      </c>
      <c r="F275" s="60" t="str">
        <v>Industrials</v>
      </c>
      <c r="G275" s="62">
        <f t="shared" si="9"/>
        <v>0</v>
      </c>
      <c r="H275" s="60"/>
      <c r="J275" s="6"/>
      <c r="M275" s="63" t="s">
        <v>1069</v>
      </c>
      <c r="N275" s="69" t="s">
        <v>46</v>
      </c>
      <c r="O275" s="60" t="str">
        <v>Solar Industries India Ltd</v>
      </c>
      <c r="P275" s="70">
        <v>0.0124125513047276</v>
      </c>
      <c r="Q275" s="62">
        <f>P275*VLOOKUP(N275,'Selector Sheet '!$B$13:$D$43,2,FALSE)</f>
        <v>0</v>
      </c>
      <c r="R275" s="60" t="str">
        <v>Materials</v>
      </c>
      <c r="S275" s="62">
        <f>P275*VLOOKUP(N275,'Selector Sheet '!$B$13:$D$43,2,FALSE)</f>
        <v>0</v>
      </c>
      <c r="T275" s="60"/>
      <c r="X275" s="60" t="str">
        <v>INE498B01024</v>
      </c>
      <c r="Z275" s="63" t="s">
        <v>933</v>
      </c>
      <c r="AB275" t="s">
        <v>1453</v>
      </c>
      <c r="AC275" t="s">
        <v>1454</v>
      </c>
      <c r="AD275" t="s">
        <v>874</v>
      </c>
      <c r="AE275">
        <v>316.257668711656</v>
      </c>
      <c r="AF275" t="s">
        <v>860</v>
      </c>
      <c r="AG275">
        <v>108.9</v>
      </c>
      <c r="AH275">
        <v>0.99</v>
      </c>
      <c r="AI275">
        <v>56735456255.5</v>
      </c>
    </row>
    <row r="276" spans="1:35">
      <c r="A276" s="58" t="s">
        <v>1301</v>
      </c>
      <c r="B276" s="73" t="s">
        <v>22</v>
      </c>
      <c r="C276" s="60" t="str">
        <v>DLF Ltd</v>
      </c>
      <c r="D276" s="61">
        <v>0.0118665743173754</v>
      </c>
      <c r="E276" s="62">
        <f t="shared" si="8"/>
        <v>0</v>
      </c>
      <c r="F276" s="60" t="str">
        <v>Real Estate</v>
      </c>
      <c r="G276" s="62">
        <f t="shared" si="9"/>
        <v>0</v>
      </c>
      <c r="H276" s="60"/>
      <c r="J276" s="6"/>
      <c r="M276" s="58" t="s">
        <v>1075</v>
      </c>
      <c r="N276" s="67" t="s">
        <v>46</v>
      </c>
      <c r="O276" s="60" t="str">
        <v>SRF Ltd</v>
      </c>
      <c r="P276" s="68">
        <v>0.00324890430236253</v>
      </c>
      <c r="Q276" s="62">
        <f>P276*VLOOKUP(N276,'Selector Sheet '!$B$13:$D$43,2,FALSE)</f>
        <v>0</v>
      </c>
      <c r="R276" s="60" t="str">
        <v>Materials</v>
      </c>
      <c r="S276" s="62">
        <f>P276*VLOOKUP(N276,'Selector Sheet '!$B$13:$D$43,2,FALSE)</f>
        <v>0</v>
      </c>
      <c r="T276" s="60"/>
      <c r="X276" s="60" t="str">
        <v>INE985S01024</v>
      </c>
      <c r="Z276" s="58" t="s">
        <v>1301</v>
      </c>
      <c r="AB276" t="s">
        <v>1455</v>
      </c>
      <c r="AC276" t="s">
        <v>1456</v>
      </c>
      <c r="AD276" t="s">
        <v>849</v>
      </c>
      <c r="AE276">
        <v>26.8640151775218</v>
      </c>
      <c r="AF276">
        <v>12.7583698941886</v>
      </c>
      <c r="AG276">
        <v>1087.6</v>
      </c>
      <c r="AH276">
        <v>64.86</v>
      </c>
      <c r="AI276">
        <v>29218131360</v>
      </c>
    </row>
    <row r="277" spans="1:35">
      <c r="A277" s="63" t="s">
        <v>931</v>
      </c>
      <c r="B277" s="73" t="s">
        <v>22</v>
      </c>
      <c r="C277" s="60" t="str">
        <v>Dr Reddy's Laboratories Ltd</v>
      </c>
      <c r="D277" s="64">
        <v>0.00646873624986659</v>
      </c>
      <c r="E277" s="62">
        <f t="shared" si="8"/>
        <v>0</v>
      </c>
      <c r="F277" s="60" t="str">
        <v>Health Care</v>
      </c>
      <c r="G277" s="62">
        <f t="shared" si="9"/>
        <v>0</v>
      </c>
      <c r="H277" s="60"/>
      <c r="J277" s="6"/>
      <c r="M277" s="63" t="s">
        <v>1077</v>
      </c>
      <c r="N277" s="69" t="s">
        <v>46</v>
      </c>
      <c r="O277" s="60" t="str">
        <v>State Bank of India</v>
      </c>
      <c r="P277" s="70">
        <v>0.0260122125660972</v>
      </c>
      <c r="Q277" s="62">
        <f>P277*VLOOKUP(N277,'Selector Sheet '!$B$13:$D$43,2,FALSE)</f>
        <v>0</v>
      </c>
      <c r="R277" s="60" t="str">
        <v>Financials</v>
      </c>
      <c r="S277" s="62">
        <f>P277*VLOOKUP(N277,'Selector Sheet '!$B$13:$D$43,2,FALSE)</f>
        <v>0</v>
      </c>
      <c r="T277" s="60"/>
      <c r="X277" s="60" t="str">
        <v>INE325A01013</v>
      </c>
      <c r="Z277" s="63" t="s">
        <v>931</v>
      </c>
      <c r="AB277" t="s">
        <v>1457</v>
      </c>
      <c r="AC277" t="s">
        <v>1458</v>
      </c>
      <c r="AD277" t="s">
        <v>849</v>
      </c>
      <c r="AE277">
        <v>47.9505732625462</v>
      </c>
      <c r="AF277">
        <v>17.0039921104177</v>
      </c>
      <c r="AG277">
        <v>4473.86</v>
      </c>
      <c r="AH277">
        <v>59.48</v>
      </c>
      <c r="AI277">
        <v>214531351241.4</v>
      </c>
    </row>
    <row r="278" spans="1:35">
      <c r="A278" s="58" t="s">
        <v>1303</v>
      </c>
      <c r="B278" s="73" t="s">
        <v>22</v>
      </c>
      <c r="C278" s="60" t="str">
        <v>Gillette India Ltd</v>
      </c>
      <c r="D278" s="61">
        <v>0.000893481023764145</v>
      </c>
      <c r="E278" s="62">
        <f t="shared" si="8"/>
        <v>0</v>
      </c>
      <c r="F278" s="60" t="str">
        <v>Consumer Staples</v>
      </c>
      <c r="G278" s="62">
        <f t="shared" si="9"/>
        <v>0</v>
      </c>
      <c r="H278" s="60"/>
      <c r="J278" s="6"/>
      <c r="M278" s="58" t="s">
        <v>1459</v>
      </c>
      <c r="N278" s="67" t="s">
        <v>46</v>
      </c>
      <c r="O278" s="60" t="str">
        <v>Steel Authority of India Ltd</v>
      </c>
      <c r="P278" s="68">
        <v>3.66133958008843e-5</v>
      </c>
      <c r="Q278" s="62">
        <f>P278*VLOOKUP(N278,'Selector Sheet '!$B$13:$D$43,2,FALSE)</f>
        <v>0</v>
      </c>
      <c r="R278" s="60" t="str">
        <v>Materials</v>
      </c>
      <c r="S278" s="62">
        <f>P278*VLOOKUP(N278,'Selector Sheet '!$B$13:$D$43,2,FALSE)</f>
        <v>0</v>
      </c>
      <c r="T278" s="60"/>
      <c r="X278" s="60" t="str">
        <v>INE152M01016</v>
      </c>
      <c r="Z278" s="58" t="s">
        <v>1303</v>
      </c>
      <c r="AB278" t="s">
        <v>1460</v>
      </c>
      <c r="AC278" t="s">
        <v>1461</v>
      </c>
      <c r="AD278" t="s">
        <v>849</v>
      </c>
      <c r="AE278">
        <v>45.1019503546099</v>
      </c>
      <c r="AF278">
        <v>32.8278349160602</v>
      </c>
      <c r="AG278">
        <v>3572</v>
      </c>
      <c r="AH278">
        <v>11.28</v>
      </c>
      <c r="AI278">
        <v>161719879488.75</v>
      </c>
    </row>
    <row r="279" spans="1:35">
      <c r="A279" s="63" t="s">
        <v>1305</v>
      </c>
      <c r="B279" s="73" t="s">
        <v>22</v>
      </c>
      <c r="C279" s="60" t="str">
        <v>Gujarat Pipavav Port Ltd</v>
      </c>
      <c r="D279" s="64">
        <v>0.000570465452349604</v>
      </c>
      <c r="E279" s="62">
        <f t="shared" si="8"/>
        <v>0</v>
      </c>
      <c r="F279" s="60" t="str">
        <v>Industrials</v>
      </c>
      <c r="G279" s="62">
        <f t="shared" si="9"/>
        <v>0</v>
      </c>
      <c r="H279" s="60"/>
      <c r="J279" s="6"/>
      <c r="M279" s="63" t="s">
        <v>1080</v>
      </c>
      <c r="N279" s="69" t="s">
        <v>46</v>
      </c>
      <c r="O279" s="60" t="str">
        <v>Sun Pharmaceutical Industries</v>
      </c>
      <c r="P279" s="70">
        <v>0.00973086667956375</v>
      </c>
      <c r="Q279" s="62">
        <f>P279*VLOOKUP(N279,'Selector Sheet '!$B$13:$D$43,2,FALSE)</f>
        <v>0</v>
      </c>
      <c r="R279" s="60" t="str">
        <v>Health Care</v>
      </c>
      <c r="S279" s="62">
        <f>P279*VLOOKUP(N279,'Selector Sheet '!$B$13:$D$43,2,FALSE)</f>
        <v>0</v>
      </c>
      <c r="T279" s="60"/>
      <c r="X279" s="60" t="str">
        <v>INE094J01016</v>
      </c>
      <c r="Z279" s="63" t="s">
        <v>1305</v>
      </c>
      <c r="AB279" t="s">
        <v>1462</v>
      </c>
      <c r="AC279" t="s">
        <v>1463</v>
      </c>
      <c r="AD279" t="s">
        <v>867</v>
      </c>
      <c r="AE279">
        <v>23.4270869770987</v>
      </c>
      <c r="AF279">
        <v>16.2783038287361</v>
      </c>
      <c r="AG279">
        <v>7314.9</v>
      </c>
      <c r="AH279">
        <v>57.326803</v>
      </c>
      <c r="AI279">
        <v>172043547101</v>
      </c>
    </row>
    <row r="280" spans="1:35">
      <c r="A280" s="58" t="s">
        <v>955</v>
      </c>
      <c r="B280" s="73" t="s">
        <v>22</v>
      </c>
      <c r="C280" s="60" t="str">
        <v>HCL Technologies Ltd</v>
      </c>
      <c r="D280" s="61">
        <v>0.0061882947230651</v>
      </c>
      <c r="E280" s="62">
        <f t="shared" si="8"/>
        <v>0</v>
      </c>
      <c r="F280" s="60" t="str">
        <v>Information Technology</v>
      </c>
      <c r="G280" s="62">
        <f t="shared" si="9"/>
        <v>0</v>
      </c>
      <c r="H280" s="60"/>
      <c r="J280" s="6"/>
      <c r="M280" s="58" t="s">
        <v>1082</v>
      </c>
      <c r="N280" s="67" t="s">
        <v>46</v>
      </c>
      <c r="O280" s="60" t="str">
        <v>Suzlon Energy Ltd</v>
      </c>
      <c r="P280" s="68">
        <v>0.000702502781913867</v>
      </c>
      <c r="Q280" s="62">
        <f>P280*VLOOKUP(N280,'Selector Sheet '!$B$13:$D$43,2,FALSE)</f>
        <v>0</v>
      </c>
      <c r="R280" s="60" t="str">
        <v>Industrials</v>
      </c>
      <c r="S280" s="62">
        <f>P280*VLOOKUP(N280,'Selector Sheet '!$B$13:$D$43,2,FALSE)</f>
        <v>0</v>
      </c>
      <c r="T280" s="60"/>
      <c r="X280" s="60" t="str">
        <v>INE764D01017</v>
      </c>
      <c r="Z280" s="58" t="s">
        <v>955</v>
      </c>
      <c r="AB280" t="s">
        <v>1464</v>
      </c>
      <c r="AC280" t="s">
        <v>1465</v>
      </c>
      <c r="AD280" t="s">
        <v>849</v>
      </c>
      <c r="AE280">
        <v>49.0009293680297</v>
      </c>
      <c r="AF280">
        <v>9.65681134208436</v>
      </c>
      <c r="AG280">
        <v>929.7</v>
      </c>
      <c r="AH280">
        <v>107.6</v>
      </c>
      <c r="AI280">
        <v>45572105055</v>
      </c>
    </row>
    <row r="281" spans="1:35">
      <c r="A281" s="63" t="s">
        <v>962</v>
      </c>
      <c r="B281" s="73" t="s">
        <v>22</v>
      </c>
      <c r="C281" s="60" t="str">
        <v>HDFC Asset Management Co Ltd</v>
      </c>
      <c r="D281" s="64">
        <v>0.0121399505837549</v>
      </c>
      <c r="E281" s="62">
        <f t="shared" si="8"/>
        <v>0</v>
      </c>
      <c r="F281" s="60" t="str">
        <v>Financials</v>
      </c>
      <c r="G281" s="62">
        <f t="shared" si="9"/>
        <v>0</v>
      </c>
      <c r="H281" s="60"/>
      <c r="J281" s="6"/>
      <c r="M281" s="63" t="s">
        <v>1271</v>
      </c>
      <c r="N281" s="69" t="s">
        <v>46</v>
      </c>
      <c r="O281" s="60" t="str">
        <v>Tata Communications Ltd</v>
      </c>
      <c r="P281" s="70">
        <v>0.00157351499735954</v>
      </c>
      <c r="Q281" s="62">
        <f>P281*VLOOKUP(N281,'Selector Sheet '!$B$13:$D$43,2,FALSE)</f>
        <v>0</v>
      </c>
      <c r="R281" s="60" t="str">
        <v>Communication Services</v>
      </c>
      <c r="S281" s="62">
        <f>P281*VLOOKUP(N281,'Selector Sheet '!$B$13:$D$43,2,FALSE)</f>
        <v>0</v>
      </c>
      <c r="T281" s="60"/>
      <c r="X281" s="60" t="str">
        <v>INE386A01023</v>
      </c>
      <c r="Z281" s="63" t="s">
        <v>962</v>
      </c>
      <c r="AB281" t="s">
        <v>1466</v>
      </c>
      <c r="AC281" t="s">
        <v>1467</v>
      </c>
      <c r="AD281" t="s">
        <v>849</v>
      </c>
      <c r="AE281">
        <v>39.4843839166683</v>
      </c>
      <c r="AF281">
        <v>20.1575139167775</v>
      </c>
      <c r="AG281">
        <v>2645.2</v>
      </c>
      <c r="AH281">
        <v>13.033</v>
      </c>
      <c r="AI281">
        <v>104443627680</v>
      </c>
    </row>
    <row r="282" spans="1:35">
      <c r="A282" s="58" t="s">
        <v>960</v>
      </c>
      <c r="B282" s="73" t="s">
        <v>22</v>
      </c>
      <c r="C282" s="60" t="str">
        <v>HDFC Bank Ltd</v>
      </c>
      <c r="D282" s="61">
        <v>0.0990611931179268</v>
      </c>
      <c r="E282" s="62">
        <f t="shared" si="8"/>
        <v>0</v>
      </c>
      <c r="F282" s="60" t="str">
        <v>Financials</v>
      </c>
      <c r="G282" s="62">
        <f t="shared" si="9"/>
        <v>0</v>
      </c>
      <c r="H282" s="60"/>
      <c r="J282" s="6"/>
      <c r="M282" s="58" t="s">
        <v>1087</v>
      </c>
      <c r="N282" s="67" t="s">
        <v>46</v>
      </c>
      <c r="O282" s="60" t="str">
        <v>Tata Consultancy Services Ltd</v>
      </c>
      <c r="P282" s="68">
        <v>0.0101355413543174</v>
      </c>
      <c r="Q282" s="62">
        <f>P282*VLOOKUP(N282,'Selector Sheet '!$B$13:$D$43,2,FALSE)</f>
        <v>0</v>
      </c>
      <c r="R282" s="60" t="str">
        <v>Information Technology</v>
      </c>
      <c r="S282" s="62">
        <f>P282*VLOOKUP(N282,'Selector Sheet '!$B$13:$D$43,2,FALSE)</f>
        <v>0</v>
      </c>
      <c r="T282" s="60"/>
      <c r="X282" s="60" t="str">
        <v>INE043W01024</v>
      </c>
      <c r="Z282" s="58" t="s">
        <v>960</v>
      </c>
      <c r="AB282" t="s">
        <v>1468</v>
      </c>
      <c r="AC282" t="s">
        <v>1469</v>
      </c>
      <c r="AD282" t="s">
        <v>855</v>
      </c>
      <c r="AE282">
        <v>71.7952251759812</v>
      </c>
      <c r="AF282" t="s">
        <v>860</v>
      </c>
      <c r="AG282">
        <v>1430.753</v>
      </c>
      <c r="AH282">
        <v>13.95</v>
      </c>
      <c r="AI282">
        <v>108046087684.8</v>
      </c>
    </row>
    <row r="283" spans="1:35">
      <c r="A283" s="63" t="s">
        <v>963</v>
      </c>
      <c r="B283" s="73" t="s">
        <v>22</v>
      </c>
      <c r="C283" s="60" t="str">
        <v>HDFC Life Insurance Co Ltd</v>
      </c>
      <c r="D283" s="64">
        <v>0.011191646928057</v>
      </c>
      <c r="E283" s="62">
        <f t="shared" si="8"/>
        <v>0</v>
      </c>
      <c r="F283" s="60" t="str">
        <v>Financials</v>
      </c>
      <c r="G283" s="62">
        <f t="shared" si="9"/>
        <v>0</v>
      </c>
      <c r="H283" s="60"/>
      <c r="J283" s="6"/>
      <c r="M283" s="63" t="s">
        <v>1090</v>
      </c>
      <c r="N283" s="69" t="s">
        <v>46</v>
      </c>
      <c r="O283" s="60" t="str">
        <v>Tata Motors Ltd</v>
      </c>
      <c r="P283" s="70">
        <v>0.0022784012708549</v>
      </c>
      <c r="Q283" s="62">
        <f>P283*VLOOKUP(N283,'Selector Sheet '!$B$13:$D$43,2,FALSE)</f>
        <v>0</v>
      </c>
      <c r="R283" s="60" t="str">
        <v>Consumer Discretionary</v>
      </c>
      <c r="S283" s="62">
        <f>P283*VLOOKUP(N283,'Selector Sheet '!$B$13:$D$43,2,FALSE)</f>
        <v>0</v>
      </c>
      <c r="T283" s="60"/>
      <c r="X283" s="60" t="str">
        <v>INE226A01021</v>
      </c>
      <c r="Z283" s="63" t="s">
        <v>963</v>
      </c>
      <c r="AB283" t="s">
        <v>1284</v>
      </c>
      <c r="AC283" t="s">
        <v>1470</v>
      </c>
      <c r="AD283" t="s">
        <v>849</v>
      </c>
      <c r="AE283">
        <v>53.2874548008627</v>
      </c>
      <c r="AF283">
        <v>13.6433769129421</v>
      </c>
      <c r="AG283">
        <v>8413.7</v>
      </c>
      <c r="AH283">
        <v>25.43</v>
      </c>
      <c r="AI283">
        <v>448381911174</v>
      </c>
    </row>
    <row r="284" spans="1:35">
      <c r="A284" s="58" t="s">
        <v>965</v>
      </c>
      <c r="B284" s="73" t="s">
        <v>22</v>
      </c>
      <c r="C284" s="60" t="str">
        <v>Hero MotoCorp Ltd</v>
      </c>
      <c r="D284" s="61">
        <v>0.0187306559064309</v>
      </c>
      <c r="E284" s="62">
        <f t="shared" si="8"/>
        <v>0</v>
      </c>
      <c r="F284" s="60" t="str">
        <v>Consumer Discretionary</v>
      </c>
      <c r="G284" s="62">
        <f t="shared" si="9"/>
        <v>0</v>
      </c>
      <c r="H284" s="60"/>
      <c r="J284" s="6"/>
      <c r="M284" s="58" t="s">
        <v>1095</v>
      </c>
      <c r="N284" s="67" t="s">
        <v>46</v>
      </c>
      <c r="O284" s="60" t="str">
        <v>Tech Mahindra Ltd</v>
      </c>
      <c r="P284" s="68">
        <v>0.00794103556585125</v>
      </c>
      <c r="Q284" s="62">
        <f>P284*VLOOKUP(N284,'Selector Sheet '!$B$13:$D$43,2,FALSE)</f>
        <v>0</v>
      </c>
      <c r="R284" s="60" t="str">
        <v>Information Technology</v>
      </c>
      <c r="S284" s="62">
        <f>P284*VLOOKUP(N284,'Selector Sheet '!$B$13:$D$43,2,FALSE)</f>
        <v>0</v>
      </c>
      <c r="T284" s="60"/>
      <c r="X284" s="60" t="str">
        <v>INE366I01010</v>
      </c>
      <c r="Z284" s="58" t="s">
        <v>965</v>
      </c>
      <c r="AB284" t="s">
        <v>1471</v>
      </c>
      <c r="AC284" t="s">
        <v>1472</v>
      </c>
      <c r="AD284" t="s">
        <v>849</v>
      </c>
      <c r="AE284">
        <v>27.1257777239135</v>
      </c>
      <c r="AF284">
        <v>18.0198753325726</v>
      </c>
      <c r="AG284">
        <v>1829.329</v>
      </c>
      <c r="AH284">
        <v>10.455</v>
      </c>
      <c r="AI284">
        <v>49612130364</v>
      </c>
    </row>
    <row r="285" spans="1:35">
      <c r="A285" s="63" t="s">
        <v>967</v>
      </c>
      <c r="B285" s="73" t="s">
        <v>22</v>
      </c>
      <c r="C285" s="60" t="str">
        <v>Hindalco Industries Ltd</v>
      </c>
      <c r="D285" s="64">
        <v>0.0042328877847622</v>
      </c>
      <c r="E285" s="62">
        <f t="shared" si="8"/>
        <v>0</v>
      </c>
      <c r="F285" s="60" t="str">
        <v>Materials</v>
      </c>
      <c r="G285" s="62">
        <f t="shared" si="9"/>
        <v>0</v>
      </c>
      <c r="H285" s="60"/>
      <c r="J285" s="6"/>
      <c r="M285" s="63" t="s">
        <v>1473</v>
      </c>
      <c r="N285" s="69" t="s">
        <v>46</v>
      </c>
      <c r="O285" s="60" t="str">
        <v>Techno Electric &amp; Engineering</v>
      </c>
      <c r="P285" s="70">
        <v>0.00130453398089492</v>
      </c>
      <c r="Q285" s="62">
        <f>P285*VLOOKUP(N285,'Selector Sheet '!$B$13:$D$43,2,FALSE)</f>
        <v>0</v>
      </c>
      <c r="R285" s="60" t="str">
        <v>Industrials</v>
      </c>
      <c r="S285" s="62">
        <f>P285*VLOOKUP(N285,'Selector Sheet '!$B$13:$D$43,2,FALSE)</f>
        <v>0</v>
      </c>
      <c r="T285" s="60"/>
      <c r="X285" s="60" t="str">
        <v>INE716A01013</v>
      </c>
      <c r="Z285" s="63" t="s">
        <v>967</v>
      </c>
      <c r="AB285" t="s">
        <v>1474</v>
      </c>
      <c r="AC285" t="s">
        <v>1475</v>
      </c>
      <c r="AD285" t="s">
        <v>874</v>
      </c>
      <c r="AE285">
        <v>46.2897526501767</v>
      </c>
      <c r="AF285">
        <v>9.39989893144882</v>
      </c>
      <c r="AG285">
        <v>3590</v>
      </c>
      <c r="AH285">
        <v>28.3</v>
      </c>
      <c r="AI285">
        <v>166202097300</v>
      </c>
    </row>
    <row r="286" spans="1:35">
      <c r="A286" s="58" t="s">
        <v>1307</v>
      </c>
      <c r="B286" s="73" t="s">
        <v>22</v>
      </c>
      <c r="C286" s="60" t="str">
        <v>Hindustan Aeronautics Ltd</v>
      </c>
      <c r="D286" s="61">
        <v>0.0037716483053915</v>
      </c>
      <c r="E286" s="62">
        <f t="shared" si="8"/>
        <v>0</v>
      </c>
      <c r="F286" s="60" t="str">
        <v>Industrials</v>
      </c>
      <c r="G286" s="62">
        <f t="shared" si="9"/>
        <v>0</v>
      </c>
      <c r="H286" s="60"/>
      <c r="J286" s="6"/>
      <c r="M286" s="58" t="s">
        <v>1097</v>
      </c>
      <c r="N286" s="67" t="s">
        <v>46</v>
      </c>
      <c r="O286" s="60" t="str">
        <v>Federal Bank Ltd</v>
      </c>
      <c r="P286" s="68">
        <v>0</v>
      </c>
      <c r="Q286" s="62">
        <f>P286*VLOOKUP(N286,'Selector Sheet '!$B$13:$D$43,2,FALSE)</f>
        <v>0</v>
      </c>
      <c r="R286" s="60" t="str">
        <v>Financials</v>
      </c>
      <c r="S286" s="62">
        <f>P286*VLOOKUP(N286,'Selector Sheet '!$B$13:$D$43,2,FALSE)</f>
        <v>0</v>
      </c>
      <c r="T286" s="60"/>
      <c r="X286" s="60" t="str">
        <v>INE118A01012</v>
      </c>
      <c r="Z286" s="58" t="s">
        <v>1307</v>
      </c>
      <c r="AB286" t="s">
        <v>1476</v>
      </c>
      <c r="AC286" t="s">
        <v>1477</v>
      </c>
      <c r="AD286" t="s">
        <v>867</v>
      </c>
      <c r="AE286">
        <v>24.901603702637</v>
      </c>
      <c r="AF286">
        <v>11.1526346332742</v>
      </c>
      <c r="AG286">
        <v>65206.7</v>
      </c>
      <c r="AH286">
        <v>585.9</v>
      </c>
      <c r="AI286">
        <v>1623755616873.5</v>
      </c>
    </row>
    <row r="287" spans="1:35">
      <c r="A287" s="63" t="s">
        <v>1309</v>
      </c>
      <c r="B287" s="73" t="s">
        <v>22</v>
      </c>
      <c r="C287" s="60" t="str">
        <v>Hyundai Motor India Ltd</v>
      </c>
      <c r="D287" s="64">
        <v>0.00524113889358718</v>
      </c>
      <c r="E287" s="62">
        <f t="shared" si="8"/>
        <v>0</v>
      </c>
      <c r="F287" s="60" t="str">
        <v>Consumer Discretionary</v>
      </c>
      <c r="G287" s="62">
        <f t="shared" si="9"/>
        <v>0</v>
      </c>
      <c r="H287" s="60"/>
      <c r="J287" s="6"/>
      <c r="M287" s="63" t="s">
        <v>1117</v>
      </c>
      <c r="N287" s="69" t="s">
        <v>46</v>
      </c>
      <c r="O287" s="60" t="str">
        <v>Titan Co Ltd</v>
      </c>
      <c r="P287" s="70">
        <v>0.00312641108189927</v>
      </c>
      <c r="Q287" s="62">
        <f>P287*VLOOKUP(N287,'Selector Sheet '!$B$13:$D$43,2,FALSE)</f>
        <v>0</v>
      </c>
      <c r="R287" s="60" t="str">
        <v>Consumer Discretionary</v>
      </c>
      <c r="S287" s="62">
        <f>P287*VLOOKUP(N287,'Selector Sheet '!$B$13:$D$43,2,FALSE)</f>
        <v>0</v>
      </c>
      <c r="T287" s="60"/>
      <c r="X287" s="60" t="str">
        <v>INE545U01014</v>
      </c>
      <c r="Z287" s="63" t="s">
        <v>1309</v>
      </c>
      <c r="AB287" t="s">
        <v>1478</v>
      </c>
      <c r="AC287" t="s">
        <v>1479</v>
      </c>
      <c r="AD287" t="s">
        <v>867</v>
      </c>
      <c r="AE287">
        <v>13.0616458105626</v>
      </c>
      <c r="AF287">
        <v>8.55570506144553</v>
      </c>
      <c r="AG287">
        <v>27452.955</v>
      </c>
      <c r="AH287">
        <v>17.04</v>
      </c>
      <c r="AI287">
        <v>268355616644.9</v>
      </c>
    </row>
    <row r="288" spans="1:35">
      <c r="A288" s="58" t="s">
        <v>972</v>
      </c>
      <c r="B288" s="73" t="s">
        <v>22</v>
      </c>
      <c r="C288" s="60" t="str">
        <v>ICICI Bank Ltd</v>
      </c>
      <c r="D288" s="61">
        <v>0.0903119239739699</v>
      </c>
      <c r="E288" s="62">
        <f t="shared" si="8"/>
        <v>0</v>
      </c>
      <c r="F288" s="60" t="str">
        <v>Financials</v>
      </c>
      <c r="G288" s="62">
        <f t="shared" si="9"/>
        <v>0</v>
      </c>
      <c r="H288" s="60"/>
      <c r="J288" s="6"/>
      <c r="M288" s="58" t="s">
        <v>1107</v>
      </c>
      <c r="N288" s="67" t="s">
        <v>46</v>
      </c>
      <c r="O288" s="60" t="str">
        <v>UltraTech Cement Ltd</v>
      </c>
      <c r="P288" s="68">
        <v>0.00932806800655729</v>
      </c>
      <c r="Q288" s="62">
        <f>P288*VLOOKUP(N288,'Selector Sheet '!$B$13:$D$43,2,FALSE)</f>
        <v>0</v>
      </c>
      <c r="R288" s="60" t="str">
        <v>Materials</v>
      </c>
      <c r="S288" s="62">
        <f>P288*VLOOKUP(N288,'Selector Sheet '!$B$13:$D$43,2,FALSE)</f>
        <v>0</v>
      </c>
      <c r="T288" s="60"/>
      <c r="X288" s="60" t="str">
        <v>INE257A01026</v>
      </c>
      <c r="Z288" s="58" t="s">
        <v>972</v>
      </c>
      <c r="AB288" t="s">
        <v>1480</v>
      </c>
      <c r="AC288" t="s">
        <v>1481</v>
      </c>
      <c r="AD288" t="s">
        <v>849</v>
      </c>
      <c r="AE288">
        <v>145.130720948861</v>
      </c>
      <c r="AF288">
        <v>2.17205534245672</v>
      </c>
      <c r="AG288">
        <v>5339</v>
      </c>
      <c r="AH288">
        <v>1.53</v>
      </c>
      <c r="AI288">
        <v>773192167977.75</v>
      </c>
    </row>
    <row r="289" spans="1:35">
      <c r="A289" s="63" t="s">
        <v>1188</v>
      </c>
      <c r="B289" s="73" t="s">
        <v>22</v>
      </c>
      <c r="C289" s="60" t="str">
        <v>ICICI Prudential Life Insuranc</v>
      </c>
      <c r="D289" s="64">
        <v>0.014453058618809</v>
      </c>
      <c r="E289" s="62">
        <f t="shared" si="8"/>
        <v>0</v>
      </c>
      <c r="F289" s="60" t="str">
        <v>Financials</v>
      </c>
      <c r="G289" s="62">
        <f t="shared" si="9"/>
        <v>0</v>
      </c>
      <c r="H289" s="60"/>
      <c r="J289" s="6"/>
      <c r="M289" s="63" t="s">
        <v>1126</v>
      </c>
      <c r="N289" s="69" t="s">
        <v>46</v>
      </c>
      <c r="O289" s="60" t="str">
        <v>United Breweries Ltd</v>
      </c>
      <c r="P289" s="70">
        <v>0</v>
      </c>
      <c r="Q289" s="62">
        <f>P289*VLOOKUP(N289,'Selector Sheet '!$B$13:$D$43,2,FALSE)</f>
        <v>0</v>
      </c>
      <c r="R289" s="60" t="str">
        <v>Consumer Staples</v>
      </c>
      <c r="S289" s="62">
        <f>P289*VLOOKUP(N289,'Selector Sheet '!$B$13:$D$43,2,FALSE)</f>
        <v>0</v>
      </c>
      <c r="T289" s="60"/>
      <c r="X289" s="60" t="str">
        <v>INE126A01031</v>
      </c>
      <c r="Z289" s="63" t="s">
        <v>1188</v>
      </c>
      <c r="AB289" t="s">
        <v>1482</v>
      </c>
      <c r="AC289" t="s">
        <v>1483</v>
      </c>
      <c r="AD289" t="s">
        <v>859</v>
      </c>
      <c r="AE289">
        <v>23.4485546796038</v>
      </c>
      <c r="AF289">
        <v>11.7160353688614</v>
      </c>
      <c r="AG289">
        <v>8783.5</v>
      </c>
      <c r="AH289">
        <v>49.47</v>
      </c>
      <c r="AI289">
        <v>206243457440</v>
      </c>
    </row>
    <row r="290" spans="1:35">
      <c r="A290" s="58" t="s">
        <v>1311</v>
      </c>
      <c r="B290" s="73" t="s">
        <v>22</v>
      </c>
      <c r="C290" s="60" t="str">
        <v>Indian Oil Corp Ltd</v>
      </c>
      <c r="D290" s="61">
        <v>0.000797684896157571</v>
      </c>
      <c r="E290" s="62">
        <f t="shared" si="8"/>
        <v>0</v>
      </c>
      <c r="F290" s="60" t="str">
        <v>Energy</v>
      </c>
      <c r="G290" s="62">
        <f t="shared" si="9"/>
        <v>0</v>
      </c>
      <c r="H290" s="60"/>
      <c r="J290" s="6"/>
      <c r="M290" s="58" t="s">
        <v>1112</v>
      </c>
      <c r="N290" s="67" t="s">
        <v>46</v>
      </c>
      <c r="O290" s="60" t="str">
        <v>United Spirits Ltd</v>
      </c>
      <c r="P290" s="68">
        <v>0.00579855033647118</v>
      </c>
      <c r="Q290" s="62">
        <f>P290*VLOOKUP(N290,'Selector Sheet '!$B$13:$D$43,2,FALSE)</f>
        <v>0</v>
      </c>
      <c r="R290" s="60" t="str">
        <v>Consumer Staples</v>
      </c>
      <c r="S290" s="62">
        <f>P290*VLOOKUP(N290,'Selector Sheet '!$B$13:$D$43,2,FALSE)</f>
        <v>0</v>
      </c>
      <c r="T290" s="60"/>
      <c r="X290" s="60" t="str">
        <v>INE129A01019</v>
      </c>
      <c r="Z290" s="58" t="s">
        <v>1311</v>
      </c>
      <c r="AB290" t="s">
        <v>942</v>
      </c>
      <c r="AC290" t="s">
        <v>1484</v>
      </c>
      <c r="AD290" t="s">
        <v>1030</v>
      </c>
      <c r="AE290">
        <v>9.15478093247532</v>
      </c>
      <c r="AF290">
        <v>15.3706234764551</v>
      </c>
      <c r="AG290">
        <v>124498</v>
      </c>
      <c r="AH290">
        <v>18.93</v>
      </c>
      <c r="AI290">
        <v>1139464768131.9</v>
      </c>
    </row>
    <row r="291" spans="1:35">
      <c r="A291" s="63" t="s">
        <v>1155</v>
      </c>
      <c r="B291" s="73" t="s">
        <v>22</v>
      </c>
      <c r="C291" s="60" t="str">
        <v>Info Edge India Ltd</v>
      </c>
      <c r="D291" s="64">
        <v>0.000875145057097207</v>
      </c>
      <c r="E291" s="62">
        <f t="shared" si="8"/>
        <v>0</v>
      </c>
      <c r="F291" s="60" t="str">
        <v>Communication Services</v>
      </c>
      <c r="G291" s="62">
        <f t="shared" si="9"/>
        <v>0</v>
      </c>
      <c r="H291" s="60"/>
      <c r="J291" s="6"/>
      <c r="M291" s="63" t="s">
        <v>1279</v>
      </c>
      <c r="N291" s="69" t="s">
        <v>46</v>
      </c>
      <c r="O291" s="60" t="str">
        <v>V-Guard Industries Ltd</v>
      </c>
      <c r="P291" s="70">
        <v>0.00641408418632538</v>
      </c>
      <c r="Q291" s="62">
        <f>P291*VLOOKUP(N291,'Selector Sheet '!$B$13:$D$43,2,FALSE)</f>
        <v>0</v>
      </c>
      <c r="R291" s="60" t="str">
        <v>Industrials</v>
      </c>
      <c r="S291" s="62">
        <f>P291*VLOOKUP(N291,'Selector Sheet '!$B$13:$D$43,2,FALSE)</f>
        <v>0</v>
      </c>
      <c r="T291" s="60"/>
      <c r="X291" s="60" t="str">
        <v>INE776C01039</v>
      </c>
      <c r="Z291" s="63" t="s">
        <v>1155</v>
      </c>
      <c r="AB291" t="s">
        <v>1485</v>
      </c>
      <c r="AC291" t="s">
        <v>1486</v>
      </c>
      <c r="AD291" t="s">
        <v>849</v>
      </c>
      <c r="AE291" t="s">
        <v>860</v>
      </c>
      <c r="AF291" t="s">
        <v>860</v>
      </c>
      <c r="AG291">
        <v>-3928.5</v>
      </c>
      <c r="AH291">
        <v>-0.372052</v>
      </c>
      <c r="AI291">
        <v>955692913415.52</v>
      </c>
    </row>
    <row r="292" spans="1:35">
      <c r="A292" s="58" t="s">
        <v>991</v>
      </c>
      <c r="B292" s="73" t="s">
        <v>22</v>
      </c>
      <c r="C292" s="60" t="str">
        <v>Infosys Ltd</v>
      </c>
      <c r="D292" s="61">
        <v>0.0343007472422815</v>
      </c>
      <c r="E292" s="62">
        <f t="shared" si="8"/>
        <v>0</v>
      </c>
      <c r="F292" s="60" t="str">
        <v>Information Technology</v>
      </c>
      <c r="G292" s="62">
        <f t="shared" si="9"/>
        <v>0</v>
      </c>
      <c r="H292" s="60"/>
      <c r="J292" s="6"/>
      <c r="M292" s="58" t="s">
        <v>1281</v>
      </c>
      <c r="N292" s="67" t="s">
        <v>46</v>
      </c>
      <c r="O292" s="60" t="str">
        <v>Vedanta Ltd</v>
      </c>
      <c r="P292" s="68">
        <v>0.00836237757527641</v>
      </c>
      <c r="Q292" s="62">
        <f>P292*VLOOKUP(N292,'Selector Sheet '!$B$13:$D$43,2,FALSE)</f>
        <v>0</v>
      </c>
      <c r="R292" s="60" t="str">
        <v>Materials</v>
      </c>
      <c r="S292" s="62">
        <f>P292*VLOOKUP(N292,'Selector Sheet '!$B$13:$D$43,2,FALSE)</f>
        <v>0</v>
      </c>
      <c r="T292" s="60"/>
      <c r="X292" s="60" t="str">
        <v>INE484J01027</v>
      </c>
      <c r="Z292" s="58" t="s">
        <v>991</v>
      </c>
      <c r="AB292" t="s">
        <v>1351</v>
      </c>
      <c r="AC292" t="s">
        <v>1487</v>
      </c>
      <c r="AD292" t="s">
        <v>1034</v>
      </c>
      <c r="AE292">
        <v>39.5750595710882</v>
      </c>
      <c r="AF292">
        <v>10.4127683690948</v>
      </c>
      <c r="AG292">
        <v>13998.9</v>
      </c>
      <c r="AH292">
        <v>49.02</v>
      </c>
      <c r="AI292">
        <v>600303809118</v>
      </c>
    </row>
    <row r="293" spans="1:35">
      <c r="A293" s="63" t="s">
        <v>994</v>
      </c>
      <c r="B293" s="73" t="s">
        <v>22</v>
      </c>
      <c r="C293" s="60" t="str">
        <v>InterGlobe Aviation Ltd</v>
      </c>
      <c r="D293" s="64">
        <v>0.0177858221962597</v>
      </c>
      <c r="E293" s="62">
        <f t="shared" si="8"/>
        <v>0</v>
      </c>
      <c r="F293" s="60" t="str">
        <v>Industrials</v>
      </c>
      <c r="G293" s="62">
        <f t="shared" si="9"/>
        <v>0</v>
      </c>
      <c r="H293" s="60"/>
      <c r="J293" s="6"/>
      <c r="M293" s="63" t="s">
        <v>1323</v>
      </c>
      <c r="N293" s="69" t="s">
        <v>46</v>
      </c>
      <c r="O293" s="60" t="str">
        <v>Wipro Ltd</v>
      </c>
      <c r="P293" s="70">
        <v>0.00447578093433794</v>
      </c>
      <c r="Q293" s="62">
        <f>P293*VLOOKUP(N293,'Selector Sheet '!$B$13:$D$43,2,FALSE)</f>
        <v>0</v>
      </c>
      <c r="R293" s="60" t="str">
        <v>Information Technology</v>
      </c>
      <c r="S293" s="62">
        <f>P293*VLOOKUP(N293,'Selector Sheet '!$B$13:$D$43,2,FALSE)</f>
        <v>0</v>
      </c>
      <c r="T293" s="60"/>
      <c r="X293" s="60" t="str">
        <v>INE531E01026</v>
      </c>
      <c r="Z293" s="63" t="s">
        <v>994</v>
      </c>
      <c r="AB293" t="s">
        <v>1364</v>
      </c>
      <c r="AC293" t="s">
        <v>1488</v>
      </c>
      <c r="AD293" t="s">
        <v>859</v>
      </c>
      <c r="AE293">
        <v>50.2577973998262</v>
      </c>
      <c r="AF293">
        <v>18.8081419699309</v>
      </c>
      <c r="AG293">
        <v>4651.2</v>
      </c>
      <c r="AH293">
        <v>4.81</v>
      </c>
      <c r="AI293">
        <v>233768386594.8</v>
      </c>
    </row>
    <row r="294" spans="1:35">
      <c r="A294" s="58" t="s">
        <v>997</v>
      </c>
      <c r="B294" s="73" t="s">
        <v>22</v>
      </c>
      <c r="C294" s="60" t="str">
        <v>ITC Ltd</v>
      </c>
      <c r="D294" s="61">
        <v>0.0133176411803461</v>
      </c>
      <c r="E294" s="62">
        <f t="shared" si="8"/>
        <v>0</v>
      </c>
      <c r="F294" s="60" t="str">
        <v>Consumer Staples</v>
      </c>
      <c r="G294" s="62">
        <f t="shared" si="9"/>
        <v>0</v>
      </c>
      <c r="H294" s="60"/>
      <c r="J294" s="6"/>
      <c r="M294" s="58" t="s">
        <v>1489</v>
      </c>
      <c r="N294" s="67" t="s">
        <v>46</v>
      </c>
      <c r="O294" s="60" t="str">
        <v>Yatharth Hospital &amp; Trauma Car</v>
      </c>
      <c r="P294" s="68">
        <v>0.00569389338793833</v>
      </c>
      <c r="Q294" s="62">
        <f>P294*VLOOKUP(N294,'Selector Sheet '!$B$13:$D$43,2,FALSE)</f>
        <v>0</v>
      </c>
      <c r="R294" s="60" t="str">
        <v>Health Care</v>
      </c>
      <c r="S294" s="62">
        <f>P294*VLOOKUP(N294,'Selector Sheet '!$B$13:$D$43,2,FALSE)</f>
        <v>0</v>
      </c>
      <c r="T294" s="60"/>
      <c r="X294" s="60" t="str">
        <v>INE725G01011</v>
      </c>
      <c r="Z294" s="58" t="s">
        <v>997</v>
      </c>
      <c r="AB294" t="s">
        <v>1490</v>
      </c>
      <c r="AC294" t="s">
        <v>1491</v>
      </c>
      <c r="AD294" t="s">
        <v>867</v>
      </c>
      <c r="AE294">
        <v>34.7507497312284</v>
      </c>
      <c r="AF294">
        <v>16.7520093798238</v>
      </c>
      <c r="AG294">
        <v>1700.093</v>
      </c>
      <c r="AH294">
        <v>176.73</v>
      </c>
      <c r="AI294">
        <v>59273035186.5</v>
      </c>
    </row>
    <row r="295" spans="1:35">
      <c r="A295" s="63" t="s">
        <v>1011</v>
      </c>
      <c r="B295" s="73" t="s">
        <v>22</v>
      </c>
      <c r="C295" s="60" t="str">
        <v>Larsen &amp; Toubro Ltd</v>
      </c>
      <c r="D295" s="64">
        <v>0.0624888782844091</v>
      </c>
      <c r="E295" s="62">
        <f t="shared" si="8"/>
        <v>0</v>
      </c>
      <c r="F295" s="60" t="str">
        <v>Industrials</v>
      </c>
      <c r="G295" s="62">
        <f t="shared" si="9"/>
        <v>0</v>
      </c>
      <c r="H295" s="60"/>
      <c r="J295" s="6"/>
      <c r="M295" s="63" t="s">
        <v>1492</v>
      </c>
      <c r="N295" s="69" t="s">
        <v>46</v>
      </c>
      <c r="O295" s="60" t="str">
        <v>Zen Technologies Ltd</v>
      </c>
      <c r="P295" s="70">
        <v>0.00175879440395635</v>
      </c>
      <c r="Q295" s="62">
        <f>P295*VLOOKUP(N295,'Selector Sheet '!$B$13:$D$43,2,FALSE)</f>
        <v>0</v>
      </c>
      <c r="R295" s="60" t="str">
        <v>Industrials</v>
      </c>
      <c r="S295" s="62">
        <f>P295*VLOOKUP(N295,'Selector Sheet '!$B$13:$D$43,2,FALSE)</f>
        <v>0</v>
      </c>
      <c r="T295" s="60"/>
      <c r="X295" s="60" t="str">
        <v>INE530B01024</v>
      </c>
      <c r="Z295" s="63" t="s">
        <v>1011</v>
      </c>
      <c r="AB295" t="s">
        <v>1493</v>
      </c>
      <c r="AC295" t="s">
        <v>1494</v>
      </c>
      <c r="AD295" t="s">
        <v>867</v>
      </c>
      <c r="AE295">
        <v>49.3109151047409</v>
      </c>
      <c r="AF295">
        <v>3.28662451332325</v>
      </c>
      <c r="AG295">
        <v>3787.7</v>
      </c>
      <c r="AH295">
        <v>9.07</v>
      </c>
      <c r="AI295">
        <v>190050151365.75</v>
      </c>
    </row>
    <row r="296" spans="1:35">
      <c r="A296" s="58" t="s">
        <v>1313</v>
      </c>
      <c r="B296" s="73" t="s">
        <v>22</v>
      </c>
      <c r="C296" s="60" t="str">
        <v>Life Insurance Corp of India</v>
      </c>
      <c r="D296" s="61">
        <v>0.000924345569341852</v>
      </c>
      <c r="E296" s="62">
        <f t="shared" si="8"/>
        <v>0</v>
      </c>
      <c r="F296" s="60" t="str">
        <v>Financials</v>
      </c>
      <c r="G296" s="62">
        <f t="shared" si="9"/>
        <v>0</v>
      </c>
      <c r="H296" s="60"/>
      <c r="J296" s="6"/>
      <c r="M296" s="58" t="s">
        <v>1142</v>
      </c>
      <c r="N296" s="67" t="s">
        <v>46</v>
      </c>
      <c r="O296" s="60" t="str">
        <v>ZF Commercial Vehicle Control</v>
      </c>
      <c r="P296" s="68">
        <v>0.00152203614090566</v>
      </c>
      <c r="Q296" s="62">
        <f>P296*VLOOKUP(N296,'Selector Sheet '!$B$13:$D$43,2,FALSE)</f>
        <v>0</v>
      </c>
      <c r="R296" s="60" t="str">
        <v>Consumer Discretionary</v>
      </c>
      <c r="S296" s="62">
        <f>P296*VLOOKUP(N296,'Selector Sheet '!$B$13:$D$43,2,FALSE)</f>
        <v>0</v>
      </c>
      <c r="T296" s="60"/>
      <c r="X296" s="60" t="str">
        <v>INE022Q01020</v>
      </c>
      <c r="Z296" s="58" t="s">
        <v>1313</v>
      </c>
      <c r="AB296" t="s">
        <v>982</v>
      </c>
      <c r="AC296" t="s">
        <v>1495</v>
      </c>
      <c r="AD296" t="s">
        <v>867</v>
      </c>
      <c r="AE296">
        <v>29.0600415342343</v>
      </c>
      <c r="AF296">
        <v>40.7089694804926</v>
      </c>
      <c r="AG296">
        <v>4291.691</v>
      </c>
      <c r="AH296">
        <v>4.83</v>
      </c>
      <c r="AI296">
        <v>125157992284.6</v>
      </c>
    </row>
    <row r="297" spans="1:35">
      <c r="A297" s="63" t="s">
        <v>999</v>
      </c>
      <c r="B297" s="73" t="s">
        <v>22</v>
      </c>
      <c r="C297" s="60" t="str">
        <v>LTIMindtree Ltd</v>
      </c>
      <c r="D297" s="64">
        <v>0.00050389431757691</v>
      </c>
      <c r="E297" s="62">
        <f t="shared" si="8"/>
        <v>0</v>
      </c>
      <c r="F297" s="60" t="str">
        <v>Information Technology</v>
      </c>
      <c r="G297" s="62">
        <f t="shared" si="9"/>
        <v>0</v>
      </c>
      <c r="H297" s="60"/>
      <c r="J297" s="6"/>
      <c r="M297" s="63" t="s">
        <v>1123</v>
      </c>
      <c r="N297" s="69" t="s">
        <v>46</v>
      </c>
      <c r="O297" s="60" t="str">
        <v>Zydus Lifesciences Ltd</v>
      </c>
      <c r="P297" s="70">
        <v>0.000442947391248792</v>
      </c>
      <c r="Q297" s="62">
        <f>P297*VLOOKUP(N297,'Selector Sheet '!$B$13:$D$43,2,FALSE)</f>
        <v>0</v>
      </c>
      <c r="R297" s="60" t="str">
        <v>Health Care</v>
      </c>
      <c r="S297" s="62">
        <f>P297*VLOOKUP(N297,'Selector Sheet '!$B$13:$D$43,2,FALSE)</f>
        <v>0</v>
      </c>
      <c r="T297" s="60"/>
      <c r="X297" s="60" t="str">
        <v>INE121J01017</v>
      </c>
      <c r="Z297" s="63" t="s">
        <v>999</v>
      </c>
      <c r="AB297" t="s">
        <v>988</v>
      </c>
      <c r="AC297" t="s">
        <v>1496</v>
      </c>
      <c r="AD297" t="s">
        <v>893</v>
      </c>
      <c r="AE297">
        <v>9.00132679185102</v>
      </c>
      <c r="AF297">
        <v>30.8086597279645</v>
      </c>
      <c r="AG297">
        <v>99317</v>
      </c>
      <c r="AH297">
        <v>37.31</v>
      </c>
      <c r="AI297">
        <v>877452932978.2</v>
      </c>
    </row>
    <row r="298" spans="1:35">
      <c r="A298" s="58" t="s">
        <v>1014</v>
      </c>
      <c r="B298" s="73" t="s">
        <v>22</v>
      </c>
      <c r="C298" s="60" t="str">
        <v>Lupin Ltd</v>
      </c>
      <c r="D298" s="61">
        <v>0.00532168174800352</v>
      </c>
      <c r="E298" s="62">
        <f t="shared" si="8"/>
        <v>0</v>
      </c>
      <c r="F298" s="60" t="str">
        <v>Health Care</v>
      </c>
      <c r="G298" s="62">
        <f t="shared" si="9"/>
        <v>0</v>
      </c>
      <c r="H298" s="60"/>
      <c r="J298" s="6"/>
      <c r="M298" s="58" t="s">
        <v>851</v>
      </c>
      <c r="N298" s="67" t="s">
        <v>45</v>
      </c>
      <c r="O298" s="60" t="str">
        <v>Aarti Industries Ltd</v>
      </c>
      <c r="P298" s="68">
        <v>0</v>
      </c>
      <c r="Q298" s="62">
        <f>P298*VLOOKUP(N298,'Selector Sheet '!$B$13:$D$43,2,FALSE)</f>
        <v>0</v>
      </c>
      <c r="R298" s="60" t="str">
        <v>Materials</v>
      </c>
      <c r="S298" s="62">
        <f>P298*VLOOKUP(N298,'Selector Sheet '!$B$13:$D$43,2,FALSE)</f>
        <v>0</v>
      </c>
      <c r="T298" s="60"/>
      <c r="X298" s="60" t="str">
        <v>INE571A01038</v>
      </c>
      <c r="Z298" s="58" t="s">
        <v>1014</v>
      </c>
      <c r="AB298" t="s">
        <v>1497</v>
      </c>
      <c r="AC298" t="s">
        <v>1498</v>
      </c>
      <c r="AD298" t="s">
        <v>855</v>
      </c>
      <c r="AE298">
        <v>46.7709757766829</v>
      </c>
      <c r="AF298">
        <v>11.1091031757506</v>
      </c>
      <c r="AG298">
        <v>7376.8</v>
      </c>
      <c r="AH298">
        <v>29.08</v>
      </c>
      <c r="AI298">
        <v>344999182201.8</v>
      </c>
    </row>
    <row r="299" spans="1:35">
      <c r="A299" s="63" t="s">
        <v>1002</v>
      </c>
      <c r="B299" s="73" t="s">
        <v>22</v>
      </c>
      <c r="C299" s="60" t="str">
        <v>Mahindra &amp; Mahindra Ltd</v>
      </c>
      <c r="D299" s="64">
        <v>0.0222798836288492</v>
      </c>
      <c r="E299" s="62">
        <f t="shared" si="8"/>
        <v>0</v>
      </c>
      <c r="F299" s="60" t="str">
        <v>Consumer Discretionary</v>
      </c>
      <c r="G299" s="62">
        <f t="shared" si="9"/>
        <v>0</v>
      </c>
      <c r="H299" s="60"/>
      <c r="J299" s="6"/>
      <c r="M299" s="63" t="s">
        <v>850</v>
      </c>
      <c r="N299" s="69" t="s">
        <v>45</v>
      </c>
      <c r="O299" s="60" t="str">
        <v>ABB India Ltd</v>
      </c>
      <c r="P299" s="70">
        <v>0.00190881964129707</v>
      </c>
      <c r="Q299" s="62">
        <f>P299*VLOOKUP(N299,'Selector Sheet '!$B$13:$D$43,2,FALSE)</f>
        <v>0</v>
      </c>
      <c r="R299" s="60" t="str">
        <v>Industrials</v>
      </c>
      <c r="S299" s="62">
        <f>P299*VLOOKUP(N299,'Selector Sheet '!$B$13:$D$43,2,FALSE)</f>
        <v>0</v>
      </c>
      <c r="T299" s="60"/>
      <c r="X299" s="60" t="str">
        <v>INE749A01030</v>
      </c>
      <c r="Z299" s="63" t="s">
        <v>1002</v>
      </c>
      <c r="AB299" t="s">
        <v>1383</v>
      </c>
      <c r="AC299" t="s">
        <v>1499</v>
      </c>
      <c r="AD299" t="s">
        <v>859</v>
      </c>
      <c r="AE299">
        <v>35.8828061546423</v>
      </c>
      <c r="AF299">
        <v>6.14667245313133</v>
      </c>
      <c r="AG299">
        <v>28121.3</v>
      </c>
      <c r="AH299">
        <v>27.567521</v>
      </c>
      <c r="AI299">
        <v>1009071145552.4</v>
      </c>
    </row>
    <row r="300" spans="1:35">
      <c r="A300" s="58" t="s">
        <v>1026</v>
      </c>
      <c r="B300" s="73" t="s">
        <v>22</v>
      </c>
      <c r="C300" s="60" t="str">
        <v>Maruti Suzuki India Ltd</v>
      </c>
      <c r="D300" s="61">
        <v>0.0414228557080102</v>
      </c>
      <c r="E300" s="62">
        <f t="shared" si="8"/>
        <v>0</v>
      </c>
      <c r="F300" s="60" t="str">
        <v>Consumer Discretionary</v>
      </c>
      <c r="G300" s="62">
        <f t="shared" si="9"/>
        <v>0</v>
      </c>
      <c r="H300" s="60"/>
      <c r="J300" s="6"/>
      <c r="M300" s="58" t="s">
        <v>1128</v>
      </c>
      <c r="N300" s="67" t="s">
        <v>45</v>
      </c>
      <c r="O300" s="60" t="str">
        <v>ACC Ltd</v>
      </c>
      <c r="P300" s="68">
        <v>4.45620207371164e-6</v>
      </c>
      <c r="Q300" s="62">
        <f>P300*VLOOKUP(N300,'Selector Sheet '!$B$13:$D$43,2,FALSE)</f>
        <v>0</v>
      </c>
      <c r="R300" s="60" t="str">
        <v>Materials</v>
      </c>
      <c r="S300" s="62">
        <f>P300*VLOOKUP(N300,'Selector Sheet '!$B$13:$D$43,2,FALSE)</f>
        <v>0</v>
      </c>
      <c r="T300" s="60"/>
      <c r="X300" s="60" t="str">
        <v>INE758E01017</v>
      </c>
      <c r="Z300" s="58" t="s">
        <v>1026</v>
      </c>
      <c r="AB300" t="s">
        <v>1500</v>
      </c>
      <c r="AC300" t="s">
        <v>1501</v>
      </c>
      <c r="AD300" t="s">
        <v>867</v>
      </c>
      <c r="AE300">
        <v>130.059057521069</v>
      </c>
      <c r="AF300">
        <v>1.22796553116083</v>
      </c>
      <c r="AG300">
        <v>16125.9</v>
      </c>
      <c r="AH300">
        <v>2.54</v>
      </c>
      <c r="AI300">
        <v>2098760335158.05</v>
      </c>
    </row>
    <row r="301" spans="1:35">
      <c r="A301" s="63" t="s">
        <v>1217</v>
      </c>
      <c r="B301" s="73" t="s">
        <v>22</v>
      </c>
      <c r="C301" s="60" t="str">
        <v>Max Financial Services Ltd</v>
      </c>
      <c r="D301" s="64">
        <v>0</v>
      </c>
      <c r="E301" s="62">
        <f t="shared" si="8"/>
        <v>0</v>
      </c>
      <c r="F301" s="60" t="str">
        <v>Financials</v>
      </c>
      <c r="G301" s="62">
        <f t="shared" si="9"/>
        <v>0</v>
      </c>
      <c r="H301" s="60"/>
      <c r="J301" s="6"/>
      <c r="M301" s="63" t="s">
        <v>1502</v>
      </c>
      <c r="N301" s="69" t="s">
        <v>45</v>
      </c>
      <c r="O301" s="60" t="str">
        <v>Adani Energy Solutions Ltd</v>
      </c>
      <c r="P301" s="70">
        <v>0.000733369237920633</v>
      </c>
      <c r="Q301" s="62">
        <f>P301*VLOOKUP(N301,'Selector Sheet '!$B$13:$D$43,2,FALSE)</f>
        <v>0</v>
      </c>
      <c r="R301" s="60" t="str">
        <v>Utilities</v>
      </c>
      <c r="S301" s="62">
        <f>P301*VLOOKUP(N301,'Selector Sheet '!$B$13:$D$43,2,FALSE)</f>
        <v>0</v>
      </c>
      <c r="T301" s="60"/>
      <c r="X301" s="60" t="str">
        <v>INE019A01038</v>
      </c>
      <c r="Z301" s="63" t="s">
        <v>1217</v>
      </c>
      <c r="AB301" t="s">
        <v>1503</v>
      </c>
      <c r="AC301" t="s">
        <v>1504</v>
      </c>
      <c r="AD301" t="s">
        <v>859</v>
      </c>
      <c r="AE301">
        <v>74.4498590240904</v>
      </c>
      <c r="AF301">
        <v>4.45900804886584</v>
      </c>
      <c r="AG301">
        <v>35040</v>
      </c>
      <c r="AH301">
        <v>14.36</v>
      </c>
      <c r="AI301">
        <v>2614434835050.6</v>
      </c>
    </row>
    <row r="302" spans="1:35">
      <c r="A302" s="58" t="s">
        <v>1317</v>
      </c>
      <c r="B302" s="73" t="s">
        <v>22</v>
      </c>
      <c r="C302" s="60" t="str">
        <v>NHPC Ltd</v>
      </c>
      <c r="D302" s="61">
        <v>0.00298366839136327</v>
      </c>
      <c r="E302" s="62">
        <f t="shared" si="8"/>
        <v>0</v>
      </c>
      <c r="F302" s="60" t="str">
        <v>Utilities</v>
      </c>
      <c r="G302" s="62">
        <f t="shared" si="9"/>
        <v>0</v>
      </c>
      <c r="H302" s="60"/>
      <c r="J302" s="6"/>
      <c r="M302" s="58" t="s">
        <v>1130</v>
      </c>
      <c r="N302" s="67" t="s">
        <v>45</v>
      </c>
      <c r="O302" s="60" t="str">
        <v>Adani Ports &amp; Special Economic</v>
      </c>
      <c r="P302" s="68">
        <v>0.0110891442154116</v>
      </c>
      <c r="Q302" s="62">
        <f>P302*VLOOKUP(N302,'Selector Sheet '!$B$13:$D$43,2,FALSE)</f>
        <v>0</v>
      </c>
      <c r="R302" s="60" t="str">
        <v>Industrials</v>
      </c>
      <c r="S302" s="62">
        <f>P302*VLOOKUP(N302,'Selector Sheet '!$B$13:$D$43,2,FALSE)</f>
        <v>0</v>
      </c>
      <c r="T302" s="60"/>
      <c r="X302" s="60" t="str">
        <v>INE002S01010</v>
      </c>
      <c r="Z302" s="58" t="s">
        <v>1317</v>
      </c>
      <c r="AB302" t="s">
        <v>1505</v>
      </c>
      <c r="AC302" t="s">
        <v>1506</v>
      </c>
      <c r="AD302" t="s">
        <v>1030</v>
      </c>
      <c r="AE302">
        <v>12.4608373682711</v>
      </c>
      <c r="AF302">
        <v>18.8875346119603</v>
      </c>
      <c r="AG302">
        <v>10405.7</v>
      </c>
      <c r="AH302">
        <v>105.33</v>
      </c>
      <c r="AI302">
        <v>129645833625</v>
      </c>
    </row>
    <row r="303" spans="1:35">
      <c r="A303" s="63" t="s">
        <v>1028</v>
      </c>
      <c r="B303" s="73" t="s">
        <v>22</v>
      </c>
      <c r="C303" s="60" t="str">
        <v>NTPC Ltd</v>
      </c>
      <c r="D303" s="64">
        <v>0.0232879104658035</v>
      </c>
      <c r="E303" s="62">
        <f t="shared" si="8"/>
        <v>0</v>
      </c>
      <c r="F303" s="60" t="str">
        <v>Utilities</v>
      </c>
      <c r="G303" s="62">
        <f t="shared" si="9"/>
        <v>0</v>
      </c>
      <c r="H303" s="60"/>
      <c r="J303" s="6"/>
      <c r="M303" s="63" t="s">
        <v>1185</v>
      </c>
      <c r="N303" s="69" t="s">
        <v>45</v>
      </c>
      <c r="O303" s="60" t="str">
        <v>Alkem Laboratories Ltd</v>
      </c>
      <c r="P303" s="70">
        <v>0.00521378633363909</v>
      </c>
      <c r="Q303" s="62">
        <f>P303*VLOOKUP(N303,'Selector Sheet '!$B$13:$D$43,2,FALSE)</f>
        <v>0</v>
      </c>
      <c r="R303" s="60" t="str">
        <v>Health Care</v>
      </c>
      <c r="S303" s="62">
        <f>P303*VLOOKUP(N303,'Selector Sheet '!$B$13:$D$43,2,FALSE)</f>
        <v>0</v>
      </c>
      <c r="T303" s="60"/>
      <c r="X303" s="60" t="str">
        <v>INE288A01013</v>
      </c>
      <c r="Z303" s="63" t="s">
        <v>1028</v>
      </c>
      <c r="AB303" t="s">
        <v>1507</v>
      </c>
      <c r="AC303" t="s">
        <v>1508</v>
      </c>
      <c r="AD303" t="s">
        <v>867</v>
      </c>
      <c r="AE303">
        <v>86.1031460304504</v>
      </c>
      <c r="AF303">
        <v>0.740675599118791</v>
      </c>
      <c r="AG303">
        <v>2143.5</v>
      </c>
      <c r="AH303">
        <v>187.6</v>
      </c>
      <c r="AI303">
        <v>184605087475.6</v>
      </c>
    </row>
    <row r="304" spans="1:35">
      <c r="A304" s="58" t="s">
        <v>1227</v>
      </c>
      <c r="B304" s="73" t="s">
        <v>22</v>
      </c>
      <c r="C304" s="60" t="str">
        <v>Oil &amp; Natural Gas Corp Ltd</v>
      </c>
      <c r="D304" s="61">
        <v>0.012266818812894</v>
      </c>
      <c r="E304" s="62">
        <f t="shared" si="8"/>
        <v>0</v>
      </c>
      <c r="F304" s="60" t="str">
        <v>Energy</v>
      </c>
      <c r="G304" s="62">
        <f t="shared" si="9"/>
        <v>0</v>
      </c>
      <c r="H304" s="60"/>
      <c r="J304" s="6"/>
      <c r="M304" s="58" t="s">
        <v>1133</v>
      </c>
      <c r="N304" s="67" t="s">
        <v>45</v>
      </c>
      <c r="O304" s="60" t="str">
        <v>Ambuja Cements Ltd</v>
      </c>
      <c r="P304" s="68">
        <v>0.0120064838181382</v>
      </c>
      <c r="Q304" s="62">
        <f>P304*VLOOKUP(N304,'Selector Sheet '!$B$13:$D$43,2,FALSE)</f>
        <v>0</v>
      </c>
      <c r="R304" s="60" t="str">
        <v>Materials</v>
      </c>
      <c r="S304" s="62">
        <f>P304*VLOOKUP(N304,'Selector Sheet '!$B$13:$D$43,2,FALSE)</f>
        <v>0</v>
      </c>
      <c r="T304" s="60"/>
      <c r="X304" s="60" t="str">
        <v>INE338I01027</v>
      </c>
      <c r="Z304" s="58" t="s">
        <v>1227</v>
      </c>
      <c r="AB304" t="s">
        <v>1509</v>
      </c>
      <c r="AC304" t="s">
        <v>1510</v>
      </c>
      <c r="AD304" t="s">
        <v>867</v>
      </c>
      <c r="AE304">
        <v>22.4324641545766</v>
      </c>
      <c r="AF304">
        <v>25.2549328406802</v>
      </c>
      <c r="AG304">
        <v>25016.4</v>
      </c>
      <c r="AH304">
        <v>41.83</v>
      </c>
      <c r="AI304">
        <v>562550848454.7</v>
      </c>
    </row>
    <row r="305" spans="1:35">
      <c r="A305" s="63" t="s">
        <v>1035</v>
      </c>
      <c r="B305" s="73" t="s">
        <v>22</v>
      </c>
      <c r="C305" s="60" t="str">
        <v>Oil India Ltd</v>
      </c>
      <c r="D305" s="64">
        <v>0.00135525401944826</v>
      </c>
      <c r="E305" s="62">
        <f t="shared" si="8"/>
        <v>0</v>
      </c>
      <c r="F305" s="60" t="str">
        <v>Energy</v>
      </c>
      <c r="G305" s="62">
        <f t="shared" si="9"/>
        <v>0</v>
      </c>
      <c r="H305" s="60"/>
      <c r="J305" s="6"/>
      <c r="M305" s="63" t="s">
        <v>865</v>
      </c>
      <c r="N305" s="69" t="s">
        <v>45</v>
      </c>
      <c r="O305" s="60" t="str">
        <v>Apollo Hospitals Enterprise Lt</v>
      </c>
      <c r="P305" s="70">
        <v>0.0146189447452669</v>
      </c>
      <c r="Q305" s="62">
        <f>P305*VLOOKUP(N305,'Selector Sheet '!$B$13:$D$43,2,FALSE)</f>
        <v>0</v>
      </c>
      <c r="R305" s="60" t="str">
        <v>Health Care</v>
      </c>
      <c r="S305" s="62">
        <f>P305*VLOOKUP(N305,'Selector Sheet '!$B$13:$D$43,2,FALSE)</f>
        <v>0</v>
      </c>
      <c r="T305" s="60"/>
      <c r="X305" s="60" t="str">
        <v>INE317F01035</v>
      </c>
      <c r="Z305" s="63" t="s">
        <v>1035</v>
      </c>
      <c r="AB305" t="s">
        <v>1511</v>
      </c>
      <c r="AC305" t="s">
        <v>1512</v>
      </c>
      <c r="AD305" t="s">
        <v>1034</v>
      </c>
      <c r="AE305">
        <v>25.6338028169014</v>
      </c>
      <c r="AF305">
        <v>15.2344226351923</v>
      </c>
      <c r="AG305">
        <v>3752.198</v>
      </c>
      <c r="AH305">
        <v>53.25</v>
      </c>
      <c r="AI305">
        <v>96177845400</v>
      </c>
    </row>
    <row r="306" spans="1:35">
      <c r="A306" s="58" t="s">
        <v>1044</v>
      </c>
      <c r="B306" s="73" t="s">
        <v>22</v>
      </c>
      <c r="C306" s="60" t="str">
        <v>Page Industries Ltd</v>
      </c>
      <c r="D306" s="61">
        <v>0.00230754720705637</v>
      </c>
      <c r="E306" s="62">
        <f t="shared" si="8"/>
        <v>0</v>
      </c>
      <c r="F306" s="60" t="str">
        <v>Consumer Discretionary</v>
      </c>
      <c r="G306" s="62">
        <f t="shared" si="9"/>
        <v>0</v>
      </c>
      <c r="H306" s="60"/>
      <c r="J306" s="6"/>
      <c r="M306" s="58" t="s">
        <v>879</v>
      </c>
      <c r="N306" s="67" t="s">
        <v>45</v>
      </c>
      <c r="O306" s="60" t="str">
        <v>Axis Bank Ltd</v>
      </c>
      <c r="P306" s="68">
        <v>0.0186204048556847</v>
      </c>
      <c r="Q306" s="62">
        <f>P306*VLOOKUP(N306,'Selector Sheet '!$B$13:$D$43,2,FALSE)</f>
        <v>0</v>
      </c>
      <c r="R306" s="60" t="str">
        <v>Financials</v>
      </c>
      <c r="S306" s="62">
        <f>P306*VLOOKUP(N306,'Selector Sheet '!$B$13:$D$43,2,FALSE)</f>
        <v>0</v>
      </c>
      <c r="T306" s="60"/>
      <c r="X306" s="60" t="str">
        <v>INE455K01017</v>
      </c>
      <c r="Z306" s="58" t="s">
        <v>1044</v>
      </c>
      <c r="AB306" t="s">
        <v>1232</v>
      </c>
      <c r="AC306" t="s">
        <v>1513</v>
      </c>
      <c r="AD306" t="s">
        <v>849</v>
      </c>
      <c r="AE306">
        <v>48.3683138353624</v>
      </c>
      <c r="AF306" t="s">
        <v>860</v>
      </c>
      <c r="AG306">
        <v>20199.9</v>
      </c>
      <c r="AH306">
        <v>134.34</v>
      </c>
      <c r="AI306">
        <v>1075519316391.5</v>
      </c>
    </row>
    <row r="307" spans="1:35">
      <c r="A307" s="63" t="s">
        <v>1059</v>
      </c>
      <c r="B307" s="73" t="s">
        <v>22</v>
      </c>
      <c r="C307" s="60" t="str">
        <v>Power Grid Corp of India Ltd</v>
      </c>
      <c r="D307" s="64">
        <v>0.0120618747199157</v>
      </c>
      <c r="E307" s="62">
        <f t="shared" si="8"/>
        <v>0</v>
      </c>
      <c r="F307" s="60" t="str">
        <v>Utilities</v>
      </c>
      <c r="G307" s="62">
        <f t="shared" si="9"/>
        <v>0</v>
      </c>
      <c r="H307" s="60"/>
      <c r="J307" s="6"/>
      <c r="M307" s="63" t="s">
        <v>875</v>
      </c>
      <c r="N307" s="69" t="s">
        <v>45</v>
      </c>
      <c r="O307" s="60" t="str">
        <v>Bajaj Auto Ltd</v>
      </c>
      <c r="P307" s="70">
        <v>0.0025965601613399</v>
      </c>
      <c r="Q307" s="62">
        <f>P307*VLOOKUP(N307,'Selector Sheet '!$B$13:$D$43,2,FALSE)</f>
        <v>0</v>
      </c>
      <c r="R307" s="60" t="str">
        <v>Consumer Discretionary</v>
      </c>
      <c r="S307" s="62">
        <f>P307*VLOOKUP(N307,'Selector Sheet '!$B$13:$D$43,2,FALSE)</f>
        <v>0</v>
      </c>
      <c r="T307" s="60"/>
      <c r="X307" s="60" t="str">
        <v>INE160A01022</v>
      </c>
      <c r="Z307" s="63" t="s">
        <v>1059</v>
      </c>
      <c r="AB307" t="s">
        <v>1064</v>
      </c>
      <c r="AC307" t="s">
        <v>1514</v>
      </c>
      <c r="AD307" t="s">
        <v>867</v>
      </c>
      <c r="AE307">
        <v>7.32740922407671</v>
      </c>
      <c r="AF307">
        <v>15.1773440302911</v>
      </c>
      <c r="AG307">
        <v>184802.9</v>
      </c>
      <c r="AH307">
        <v>16.42</v>
      </c>
      <c r="AI307">
        <v>1232043518329.6</v>
      </c>
    </row>
    <row r="308" spans="1:35">
      <c r="A308" s="58" t="s">
        <v>1250</v>
      </c>
      <c r="B308" s="73" t="s">
        <v>22</v>
      </c>
      <c r="C308" s="60" t="str">
        <v>Procter &amp; Gamble Hygiene &amp; Hea</v>
      </c>
      <c r="D308" s="61">
        <v>0.00907948091713409</v>
      </c>
      <c r="E308" s="62">
        <f t="shared" si="8"/>
        <v>0</v>
      </c>
      <c r="F308" s="60" t="str">
        <v>Consumer Staples</v>
      </c>
      <c r="G308" s="62">
        <f t="shared" si="9"/>
        <v>0</v>
      </c>
      <c r="H308" s="60"/>
      <c r="J308" s="6"/>
      <c r="M308" s="58" t="s">
        <v>878</v>
      </c>
      <c r="N308" s="67" t="s">
        <v>45</v>
      </c>
      <c r="O308" s="60" t="str">
        <v>Bajaj Finance Ltd</v>
      </c>
      <c r="P308" s="68">
        <v>0.0110735923692483</v>
      </c>
      <c r="Q308" s="62">
        <f>P308*VLOOKUP(N308,'Selector Sheet '!$B$13:$D$43,2,FALSE)</f>
        <v>0</v>
      </c>
      <c r="R308" s="60" t="str">
        <v>Financials</v>
      </c>
      <c r="S308" s="62">
        <f>P308*VLOOKUP(N308,'Selector Sheet '!$B$13:$D$43,2,FALSE)</f>
        <v>0</v>
      </c>
      <c r="T308" s="60"/>
      <c r="X308" s="60" t="str">
        <v>INE976G01028</v>
      </c>
      <c r="Z308" s="58" t="s">
        <v>1250</v>
      </c>
      <c r="AB308" t="s">
        <v>1515</v>
      </c>
      <c r="AC308" t="s">
        <v>1516</v>
      </c>
      <c r="AD308" t="s">
        <v>867</v>
      </c>
      <c r="AE308">
        <v>26.670156748507</v>
      </c>
      <c r="AF308">
        <v>3.7209734825408</v>
      </c>
      <c r="AG308">
        <v>7170.6</v>
      </c>
      <c r="AH308">
        <v>11.81</v>
      </c>
      <c r="AI308">
        <v>155509003909.8</v>
      </c>
    </row>
    <row r="309" spans="1:35">
      <c r="A309" s="63" t="s">
        <v>1070</v>
      </c>
      <c r="B309" s="73" t="s">
        <v>22</v>
      </c>
      <c r="C309" s="60" t="str">
        <v>Reliance Industries Ltd</v>
      </c>
      <c r="D309" s="64">
        <v>0.0671126538308069</v>
      </c>
      <c r="E309" s="62">
        <f t="shared" si="8"/>
        <v>0</v>
      </c>
      <c r="F309" s="60" t="str">
        <v>Energy</v>
      </c>
      <c r="G309" s="62">
        <f t="shared" si="9"/>
        <v>0</v>
      </c>
      <c r="H309" s="60"/>
      <c r="J309" s="6"/>
      <c r="M309" s="63" t="s">
        <v>884</v>
      </c>
      <c r="N309" s="69" t="s">
        <v>45</v>
      </c>
      <c r="O309" s="60" t="str">
        <v>Bajaj Finserv Ltd</v>
      </c>
      <c r="P309" s="70">
        <v>0.0140014168229984</v>
      </c>
      <c r="Q309" s="62">
        <f>P309*VLOOKUP(N309,'Selector Sheet '!$B$13:$D$43,2,FALSE)</f>
        <v>0</v>
      </c>
      <c r="R309" s="60" t="str">
        <v>Financials</v>
      </c>
      <c r="S309" s="62">
        <f>P309*VLOOKUP(N309,'Selector Sheet '!$B$13:$D$43,2,FALSE)</f>
        <v>0</v>
      </c>
      <c r="T309" s="60"/>
      <c r="X309" s="60" t="str">
        <v>INE114A01011</v>
      </c>
      <c r="Z309" s="63" t="s">
        <v>1070</v>
      </c>
      <c r="AB309" t="s">
        <v>1459</v>
      </c>
      <c r="AC309" t="s">
        <v>1517</v>
      </c>
      <c r="AD309" t="s">
        <v>859</v>
      </c>
      <c r="AE309">
        <v>21.2752618025404</v>
      </c>
      <c r="AF309">
        <v>4.08910265400661</v>
      </c>
      <c r="AG309">
        <v>23718.2</v>
      </c>
      <c r="AH309">
        <v>5.74</v>
      </c>
      <c r="AI309">
        <v>504366853846.48</v>
      </c>
    </row>
    <row r="310" spans="1:35">
      <c r="A310" s="58" t="s">
        <v>1055</v>
      </c>
      <c r="B310" s="73" t="s">
        <v>22</v>
      </c>
      <c r="C310" s="60" t="str">
        <v>Samvardhana Motherson Internat</v>
      </c>
      <c r="D310" s="61">
        <v>0</v>
      </c>
      <c r="E310" s="62">
        <f t="shared" si="8"/>
        <v>0</v>
      </c>
      <c r="F310" s="60" t="str">
        <v>Consumer Discretionary</v>
      </c>
      <c r="G310" s="62">
        <f t="shared" si="9"/>
        <v>0</v>
      </c>
      <c r="H310" s="60"/>
      <c r="J310" s="6"/>
      <c r="M310" s="58" t="s">
        <v>889</v>
      </c>
      <c r="N310" s="67" t="s">
        <v>45</v>
      </c>
      <c r="O310" s="60" t="str">
        <v>Bharat Petroleum Corp Ltd</v>
      </c>
      <c r="P310" s="68">
        <v>0.00855597776545144</v>
      </c>
      <c r="Q310" s="62">
        <f>P310*VLOOKUP(N310,'Selector Sheet '!$B$13:$D$43,2,FALSE)</f>
        <v>0</v>
      </c>
      <c r="R310" s="60" t="str">
        <v>Energy</v>
      </c>
      <c r="S310" s="62">
        <f>P310*VLOOKUP(N310,'Selector Sheet '!$B$13:$D$43,2,FALSE)</f>
        <v>0</v>
      </c>
      <c r="T310" s="60"/>
      <c r="X310" s="60" t="str">
        <v>INE277A01016</v>
      </c>
      <c r="Z310" s="58" t="s">
        <v>1055</v>
      </c>
      <c r="AB310" t="s">
        <v>1518</v>
      </c>
      <c r="AC310" t="s">
        <v>1519</v>
      </c>
      <c r="AD310" t="s">
        <v>849</v>
      </c>
      <c r="AE310">
        <v>29.6399297423888</v>
      </c>
      <c r="AF310">
        <v>42.1403296535204</v>
      </c>
      <c r="AG310">
        <v>1659.837</v>
      </c>
      <c r="AH310">
        <v>136.64</v>
      </c>
      <c r="AI310">
        <v>49197237300</v>
      </c>
    </row>
    <row r="311" spans="1:35">
      <c r="A311" s="63" t="s">
        <v>1174</v>
      </c>
      <c r="B311" s="73" t="s">
        <v>22</v>
      </c>
      <c r="C311" s="60" t="str">
        <v>SBI Life Insurance Co Ltd</v>
      </c>
      <c r="D311" s="64">
        <v>0.0130085987215682</v>
      </c>
      <c r="E311" s="62">
        <f t="shared" si="8"/>
        <v>0</v>
      </c>
      <c r="F311" s="60" t="str">
        <v>Financials</v>
      </c>
      <c r="G311" s="62">
        <f t="shared" si="9"/>
        <v>0</v>
      </c>
      <c r="H311" s="60"/>
      <c r="J311" s="6"/>
      <c r="M311" s="63" t="s">
        <v>891</v>
      </c>
      <c r="N311" s="69" t="s">
        <v>45</v>
      </c>
      <c r="O311" s="60" t="str">
        <v>Bharti Airtel Ltd</v>
      </c>
      <c r="P311" s="70">
        <v>0.0226034818864069</v>
      </c>
      <c r="Q311" s="62">
        <f>P311*VLOOKUP(N311,'Selector Sheet '!$B$13:$D$43,2,FALSE)</f>
        <v>0</v>
      </c>
      <c r="R311" s="60" t="str">
        <v>Communication Services</v>
      </c>
      <c r="S311" s="62">
        <f>P311*VLOOKUP(N311,'Selector Sheet '!$B$13:$D$43,2,FALSE)</f>
        <v>0</v>
      </c>
      <c r="T311" s="60"/>
      <c r="X311" s="60" t="str">
        <v>INE768C01010</v>
      </c>
      <c r="Z311" s="63" t="s">
        <v>1174</v>
      </c>
      <c r="AB311" t="s">
        <v>1520</v>
      </c>
      <c r="AC311" t="s">
        <v>1521</v>
      </c>
      <c r="AD311" t="s">
        <v>1016</v>
      </c>
      <c r="AE311">
        <v>36.3132804260478</v>
      </c>
      <c r="AF311">
        <v>6.29063114850713</v>
      </c>
      <c r="AG311">
        <v>3469</v>
      </c>
      <c r="AH311">
        <v>54.52</v>
      </c>
      <c r="AI311">
        <v>125978918691.2</v>
      </c>
    </row>
    <row r="312" spans="1:35">
      <c r="A312" s="58" t="s">
        <v>1061</v>
      </c>
      <c r="B312" s="73" t="s">
        <v>22</v>
      </c>
      <c r="C312" s="60" t="str">
        <v>Shree Cement Ltd</v>
      </c>
      <c r="D312" s="61">
        <v>0.00626716041392701</v>
      </c>
      <c r="E312" s="62">
        <f t="shared" si="8"/>
        <v>0</v>
      </c>
      <c r="F312" s="60" t="str">
        <v>Materials</v>
      </c>
      <c r="G312" s="62">
        <f t="shared" si="9"/>
        <v>0</v>
      </c>
      <c r="H312" s="60"/>
      <c r="J312" s="6"/>
      <c r="M312" s="58" t="s">
        <v>925</v>
      </c>
      <c r="N312" s="67" t="s">
        <v>45</v>
      </c>
      <c r="O312" s="60" t="str">
        <v>Craftsman Automation Ltd</v>
      </c>
      <c r="P312" s="68">
        <v>0</v>
      </c>
      <c r="Q312" s="62">
        <f>P312*VLOOKUP(N312,'Selector Sheet '!$B$13:$D$43,2,FALSE)</f>
        <v>0</v>
      </c>
      <c r="R312" s="60" t="str">
        <v>Industrials</v>
      </c>
      <c r="S312" s="62">
        <f>P312*VLOOKUP(N312,'Selector Sheet '!$B$13:$D$43,2,FALSE)</f>
        <v>0</v>
      </c>
      <c r="T312" s="60"/>
      <c r="X312" s="60" t="str">
        <v>INE365D01021</v>
      </c>
      <c r="Z312" s="58" t="s">
        <v>1061</v>
      </c>
      <c r="AB312" t="s">
        <v>1522</v>
      </c>
      <c r="AC312" t="s">
        <v>1523</v>
      </c>
      <c r="AD312" t="s">
        <v>1034</v>
      </c>
      <c r="AE312">
        <v>84.4196255968441</v>
      </c>
      <c r="AF312">
        <v>2.02937817090339</v>
      </c>
      <c r="AG312">
        <v>182.4</v>
      </c>
      <c r="AH312">
        <v>1.86</v>
      </c>
      <c r="AI312">
        <v>31419044055.35</v>
      </c>
    </row>
    <row r="313" spans="1:35">
      <c r="A313" s="63" t="s">
        <v>1063</v>
      </c>
      <c r="B313" s="73" t="s">
        <v>22</v>
      </c>
      <c r="C313" s="60" t="str">
        <v>Siemens Energy India Ltd</v>
      </c>
      <c r="D313" s="64">
        <v>0</v>
      </c>
      <c r="E313" s="62">
        <f t="shared" si="8"/>
        <v>0</v>
      </c>
      <c r="F313" s="60" t="str">
        <v>Industrials</v>
      </c>
      <c r="G313" s="62">
        <f t="shared" si="9"/>
        <v>0</v>
      </c>
      <c r="H313" s="60"/>
      <c r="J313" s="6"/>
      <c r="M313" s="63" t="s">
        <v>933</v>
      </c>
      <c r="N313" s="69" t="s">
        <v>45</v>
      </c>
      <c r="O313" s="60" t="str">
        <v>Cummins India Ltd</v>
      </c>
      <c r="P313" s="70">
        <v>0.0114328699230168</v>
      </c>
      <c r="Q313" s="62">
        <f>P313*VLOOKUP(N313,'Selector Sheet '!$B$13:$D$43,2,FALSE)</f>
        <v>0</v>
      </c>
      <c r="R313" s="60" t="str">
        <v>Industrials</v>
      </c>
      <c r="S313" s="62">
        <f>P313*VLOOKUP(N313,'Selector Sheet '!$B$13:$D$43,2,FALSE)</f>
        <v>0</v>
      </c>
      <c r="T313" s="60"/>
      <c r="X313" s="60" t="str">
        <v>INE914M01019</v>
      </c>
      <c r="Z313" s="63" t="s">
        <v>1063</v>
      </c>
      <c r="AB313" t="s">
        <v>1524</v>
      </c>
      <c r="AC313" t="s">
        <v>1525</v>
      </c>
      <c r="AD313" t="s">
        <v>855</v>
      </c>
      <c r="AE313">
        <v>94.9601631500994</v>
      </c>
      <c r="AF313" t="s">
        <v>860</v>
      </c>
      <c r="AG313">
        <v>53778.3</v>
      </c>
      <c r="AH313">
        <v>107.98</v>
      </c>
      <c r="AI313">
        <v>319266178069.8</v>
      </c>
    </row>
    <row r="314" spans="1:35">
      <c r="A314" s="58" t="s">
        <v>1066</v>
      </c>
      <c r="B314" s="73" t="s">
        <v>22</v>
      </c>
      <c r="C314" s="60" t="str">
        <v>Siemens Ltd</v>
      </c>
      <c r="D314" s="61">
        <v>0.00374116126091284</v>
      </c>
      <c r="E314" s="62">
        <f t="shared" si="8"/>
        <v>0</v>
      </c>
      <c r="F314" s="60" t="str">
        <v>Industrials</v>
      </c>
      <c r="G314" s="62">
        <f t="shared" si="9"/>
        <v>0</v>
      </c>
      <c r="H314" s="60"/>
      <c r="J314" s="6"/>
      <c r="M314" s="58" t="s">
        <v>1197</v>
      </c>
      <c r="N314" s="67" t="s">
        <v>45</v>
      </c>
      <c r="O314" s="60" t="str">
        <v>Dabur India Ltd</v>
      </c>
      <c r="P314" s="68">
        <v>0.00449281869612046</v>
      </c>
      <c r="Q314" s="62">
        <f>P314*VLOOKUP(N314,'Selector Sheet '!$B$13:$D$43,2,FALSE)</f>
        <v>0</v>
      </c>
      <c r="R314" s="60" t="str">
        <v>Consumer Staples</v>
      </c>
      <c r="S314" s="62">
        <f>P314*VLOOKUP(N314,'Selector Sheet '!$B$13:$D$43,2,FALSE)</f>
        <v>0</v>
      </c>
      <c r="T314" s="60"/>
      <c r="X314" s="60" t="str">
        <v>INE449A01011</v>
      </c>
      <c r="Z314" s="58" t="s">
        <v>1066</v>
      </c>
      <c r="AB314" t="s">
        <v>1526</v>
      </c>
      <c r="AC314" t="s">
        <v>1527</v>
      </c>
      <c r="AD314" t="s">
        <v>874</v>
      </c>
      <c r="AE314">
        <v>16.0425570888645</v>
      </c>
      <c r="AF314">
        <v>16.7434575264013</v>
      </c>
      <c r="AG314">
        <v>1555.35</v>
      </c>
      <c r="AH314">
        <v>102.92</v>
      </c>
      <c r="AI314">
        <v>24951381922.5</v>
      </c>
    </row>
    <row r="315" spans="1:35">
      <c r="A315" s="63" t="s">
        <v>1080</v>
      </c>
      <c r="B315" s="73" t="s">
        <v>22</v>
      </c>
      <c r="C315" s="60" t="str">
        <v>Sun Pharmaceutical Industries</v>
      </c>
      <c r="D315" s="64">
        <v>0.0275081108704546</v>
      </c>
      <c r="E315" s="62">
        <f t="shared" si="8"/>
        <v>0</v>
      </c>
      <c r="F315" s="60" t="str">
        <v>Health Care</v>
      </c>
      <c r="G315" s="62">
        <f t="shared" si="9"/>
        <v>0</v>
      </c>
      <c r="H315" s="60"/>
      <c r="J315" s="6"/>
      <c r="M315" s="63" t="s">
        <v>1392</v>
      </c>
      <c r="N315" s="69" t="s">
        <v>45</v>
      </c>
      <c r="O315" s="60" t="str">
        <v>Delhivery Ltd</v>
      </c>
      <c r="P315" s="70">
        <v>0.00532041617117917</v>
      </c>
      <c r="Q315" s="62">
        <f>P315*VLOOKUP(N315,'Selector Sheet '!$B$13:$D$43,2,FALSE)</f>
        <v>0</v>
      </c>
      <c r="R315" s="60" t="str">
        <v>Industrials</v>
      </c>
      <c r="S315" s="62">
        <f>P315*VLOOKUP(N315,'Selector Sheet '!$B$13:$D$43,2,FALSE)</f>
        <v>0</v>
      </c>
      <c r="T315" s="60"/>
      <c r="X315" s="60" t="str">
        <v>INE084A01016</v>
      </c>
      <c r="Z315" s="63" t="s">
        <v>1080</v>
      </c>
      <c r="AB315" t="s">
        <v>1528</v>
      </c>
      <c r="AC315" t="s">
        <v>1529</v>
      </c>
      <c r="AD315" t="s">
        <v>867</v>
      </c>
      <c r="AE315">
        <v>5.48489211560439</v>
      </c>
      <c r="AF315">
        <v>12.5095408098833</v>
      </c>
      <c r="AG315">
        <v>95482.8</v>
      </c>
      <c r="AH315">
        <v>20.972933</v>
      </c>
      <c r="AI315">
        <v>520643097155.76</v>
      </c>
    </row>
    <row r="316" spans="1:35">
      <c r="A316" s="58" t="s">
        <v>1087</v>
      </c>
      <c r="B316" s="73" t="s">
        <v>22</v>
      </c>
      <c r="C316" s="60" t="str">
        <v>Tata Consultancy Services Ltd</v>
      </c>
      <c r="D316" s="61">
        <v>0.00531803489236772</v>
      </c>
      <c r="E316" s="62">
        <f t="shared" si="8"/>
        <v>0</v>
      </c>
      <c r="F316" s="60" t="str">
        <v>Information Technology</v>
      </c>
      <c r="G316" s="62">
        <f t="shared" si="9"/>
        <v>0</v>
      </c>
      <c r="H316" s="60"/>
      <c r="J316" s="6"/>
      <c r="M316" s="58" t="s">
        <v>1301</v>
      </c>
      <c r="N316" s="67" t="s">
        <v>45</v>
      </c>
      <c r="O316" s="60" t="str">
        <v>DLF Ltd</v>
      </c>
      <c r="P316" s="68">
        <v>0.00431589650774874</v>
      </c>
      <c r="Q316" s="62">
        <f>P316*VLOOKUP(N316,'Selector Sheet '!$B$13:$D$43,2,FALSE)</f>
        <v>0</v>
      </c>
      <c r="R316" s="60" t="str">
        <v>Real Estate</v>
      </c>
      <c r="S316" s="62">
        <f>P316*VLOOKUP(N316,'Selector Sheet '!$B$13:$D$43,2,FALSE)</f>
        <v>0</v>
      </c>
      <c r="T316" s="60"/>
      <c r="X316" s="60" t="str">
        <v>INE131C01011</v>
      </c>
      <c r="Z316" s="58" t="s">
        <v>1087</v>
      </c>
      <c r="AB316" t="s">
        <v>1530</v>
      </c>
      <c r="AC316" t="s">
        <v>1531</v>
      </c>
      <c r="AD316" t="s">
        <v>849</v>
      </c>
      <c r="AE316">
        <v>40.0553879495405</v>
      </c>
      <c r="AF316">
        <v>19.673794287498</v>
      </c>
      <c r="AG316">
        <v>504.2</v>
      </c>
      <c r="AH316">
        <v>346.718654</v>
      </c>
      <c r="AI316">
        <v>20195926329.75</v>
      </c>
    </row>
    <row r="317" spans="1:35">
      <c r="A317" s="63" t="s">
        <v>1090</v>
      </c>
      <c r="B317" s="73" t="s">
        <v>22</v>
      </c>
      <c r="C317" s="60" t="str">
        <v>Tata Motors Ltd</v>
      </c>
      <c r="D317" s="64">
        <v>0.00711894079967996</v>
      </c>
      <c r="E317" s="62">
        <f t="shared" si="8"/>
        <v>0</v>
      </c>
      <c r="F317" s="60" t="str">
        <v>Consumer Discretionary</v>
      </c>
      <c r="G317" s="62">
        <f t="shared" si="9"/>
        <v>0</v>
      </c>
      <c r="H317" s="60"/>
      <c r="J317" s="6"/>
      <c r="M317" s="63" t="s">
        <v>947</v>
      </c>
      <c r="N317" s="69" t="s">
        <v>45</v>
      </c>
      <c r="O317" s="60" t="str">
        <v>Dr Lal PathLabs Ltd</v>
      </c>
      <c r="P317" s="70">
        <v>0.00913491517714418</v>
      </c>
      <c r="Q317" s="62">
        <f>P317*VLOOKUP(N317,'Selector Sheet '!$B$13:$D$43,2,FALSE)</f>
        <v>0</v>
      </c>
      <c r="R317" s="60" t="str">
        <v>Health Care</v>
      </c>
      <c r="S317" s="62">
        <f>P317*VLOOKUP(N317,'Selector Sheet '!$B$13:$D$43,2,FALSE)</f>
        <v>0</v>
      </c>
      <c r="T317" s="60"/>
      <c r="X317" s="60" t="str">
        <v>INE063P01018</v>
      </c>
      <c r="Z317" s="63" t="s">
        <v>1090</v>
      </c>
      <c r="AB317" t="s">
        <v>1532</v>
      </c>
      <c r="AC317" t="s">
        <v>1533</v>
      </c>
      <c r="AD317" t="s">
        <v>867</v>
      </c>
      <c r="AE317">
        <v>41.64844835554</v>
      </c>
      <c r="AF317" t="s">
        <v>860</v>
      </c>
      <c r="AG317">
        <v>1470.499</v>
      </c>
      <c r="AH317">
        <v>1.295723</v>
      </c>
      <c r="AI317">
        <v>61262107876.84</v>
      </c>
    </row>
    <row r="318" spans="1:35">
      <c r="A318" s="58" t="s">
        <v>1099</v>
      </c>
      <c r="B318" s="73" t="s">
        <v>22</v>
      </c>
      <c r="C318" s="60" t="str">
        <v>Tata Power Co Ltd/The</v>
      </c>
      <c r="D318" s="61">
        <v>0.00109826074357016</v>
      </c>
      <c r="E318" s="62">
        <f t="shared" si="8"/>
        <v>0</v>
      </c>
      <c r="F318" s="60" t="str">
        <v>Utilities</v>
      </c>
      <c r="G318" s="62">
        <f t="shared" si="9"/>
        <v>0</v>
      </c>
      <c r="H318" s="60"/>
      <c r="J318" s="6"/>
      <c r="M318" s="58" t="s">
        <v>1401</v>
      </c>
      <c r="N318" s="67" t="s">
        <v>45</v>
      </c>
      <c r="O318" s="60" t="str">
        <v>Exide Industries Ltd</v>
      </c>
      <c r="P318" s="68">
        <v>0.00402039149238193</v>
      </c>
      <c r="Q318" s="62">
        <f>P318*VLOOKUP(N318,'Selector Sheet '!$B$13:$D$43,2,FALSE)</f>
        <v>0</v>
      </c>
      <c r="R318" s="60" t="str">
        <v>Consumer Discretionary</v>
      </c>
      <c r="S318" s="62">
        <f>P318*VLOOKUP(N318,'Selector Sheet '!$B$13:$D$43,2,FALSE)</f>
        <v>0</v>
      </c>
      <c r="T318" s="60"/>
      <c r="X318" s="60" t="str">
        <v>INE079J01017</v>
      </c>
      <c r="Z318" s="58" t="s">
        <v>1099</v>
      </c>
      <c r="AB318" t="s">
        <v>1534</v>
      </c>
      <c r="AC318" t="s">
        <v>1535</v>
      </c>
      <c r="AD318" t="s">
        <v>849</v>
      </c>
      <c r="AE318">
        <v>9.14420464610796</v>
      </c>
      <c r="AF318">
        <v>17.9330031177393</v>
      </c>
      <c r="AG318">
        <v>3708.64</v>
      </c>
      <c r="AH318">
        <v>7.42</v>
      </c>
      <c r="AI318">
        <v>33900834272.6</v>
      </c>
    </row>
    <row r="319" spans="1:35">
      <c r="A319" s="63" t="s">
        <v>1092</v>
      </c>
      <c r="B319" s="73" t="s">
        <v>22</v>
      </c>
      <c r="C319" s="60" t="str">
        <v>Tata Steel Ltd</v>
      </c>
      <c r="D319" s="64">
        <v>0.00366952938262415</v>
      </c>
      <c r="E319" s="62">
        <f t="shared" si="8"/>
        <v>0</v>
      </c>
      <c r="F319" s="60" t="str">
        <v>Materials</v>
      </c>
      <c r="G319" s="62">
        <f t="shared" si="9"/>
        <v>0</v>
      </c>
      <c r="H319" s="60"/>
      <c r="J319" s="6"/>
      <c r="M319" s="63" t="s">
        <v>942</v>
      </c>
      <c r="N319" s="69" t="s">
        <v>45</v>
      </c>
      <c r="O319" s="60" t="str">
        <v>GAIL India Ltd</v>
      </c>
      <c r="P319" s="70">
        <v>0</v>
      </c>
      <c r="Q319" s="62">
        <f>P319*VLOOKUP(N319,'Selector Sheet '!$B$13:$D$43,2,FALSE)</f>
        <v>0</v>
      </c>
      <c r="R319" s="60" t="str">
        <v>Utilities</v>
      </c>
      <c r="S319" s="62">
        <f>P319*VLOOKUP(N319,'Selector Sheet '!$B$13:$D$43,2,FALSE)</f>
        <v>0</v>
      </c>
      <c r="T319" s="60"/>
      <c r="X319" s="60" t="str">
        <v>INE201P01022</v>
      </c>
      <c r="Z319" s="63" t="s">
        <v>1092</v>
      </c>
      <c r="AB319" t="s">
        <v>1536</v>
      </c>
      <c r="AC319" t="s">
        <v>1537</v>
      </c>
      <c r="AD319" t="s">
        <v>849</v>
      </c>
      <c r="AE319">
        <v>11.3208931910092</v>
      </c>
      <c r="AF319">
        <v>12.6135042639653</v>
      </c>
      <c r="AG319">
        <v>10143.356</v>
      </c>
      <c r="AH319">
        <v>111.784466</v>
      </c>
      <c r="AI319">
        <v>122424858508.5</v>
      </c>
    </row>
    <row r="320" spans="1:35">
      <c r="A320" s="58" t="s">
        <v>1095</v>
      </c>
      <c r="B320" s="73" t="s">
        <v>22</v>
      </c>
      <c r="C320" s="60" t="str">
        <v>Tech Mahindra Ltd</v>
      </c>
      <c r="D320" s="61">
        <v>0.0056393858371647</v>
      </c>
      <c r="E320" s="62">
        <f t="shared" ref="E320:E383" si="10">_xlfn.IFNA(D320*VLOOKUP($B320,$AK$1:$AM$34,3,FALSE),0)</f>
        <v>0</v>
      </c>
      <c r="F320" s="60" t="str">
        <v>Information Technology</v>
      </c>
      <c r="G320" s="62">
        <f t="shared" ref="G320:G383" si="11">_xlfn.IFNA(D320*VLOOKUP($B320,$AK$1:$AM$34,3,FALSE),0)</f>
        <v>0</v>
      </c>
      <c r="H320" s="60"/>
      <c r="J320" s="6"/>
      <c r="M320" s="58" t="s">
        <v>1351</v>
      </c>
      <c r="N320" s="67" t="s">
        <v>45</v>
      </c>
      <c r="O320" s="60" t="str">
        <v>Godrej Properties Ltd</v>
      </c>
      <c r="P320" s="68">
        <v>0.0161584877932431</v>
      </c>
      <c r="Q320" s="62">
        <f>P320*VLOOKUP(N320,'Selector Sheet '!$B$13:$D$43,2,FALSE)</f>
        <v>0</v>
      </c>
      <c r="R320" s="60" t="str">
        <v>Real Estate</v>
      </c>
      <c r="S320" s="62">
        <f>P320*VLOOKUP(N320,'Selector Sheet '!$B$13:$D$43,2,FALSE)</f>
        <v>0</v>
      </c>
      <c r="T320" s="60"/>
      <c r="X320" s="60" t="str">
        <v>INE461C01038</v>
      </c>
      <c r="Z320" s="58" t="s">
        <v>1095</v>
      </c>
      <c r="AB320" t="s">
        <v>1538</v>
      </c>
      <c r="AC320" t="s">
        <v>1539</v>
      </c>
      <c r="AD320" t="s">
        <v>859</v>
      </c>
      <c r="AE320">
        <v>41.6644105407963</v>
      </c>
      <c r="AF320">
        <v>12.0722807787688</v>
      </c>
      <c r="AG320">
        <v>916.321</v>
      </c>
      <c r="AH320">
        <v>7.39</v>
      </c>
      <c r="AI320">
        <v>38450642830.5</v>
      </c>
    </row>
    <row r="321" spans="1:35">
      <c r="A321" s="63" t="s">
        <v>1105</v>
      </c>
      <c r="B321" s="73" t="s">
        <v>22</v>
      </c>
      <c r="C321" s="60" t="str">
        <v>TVS Motor Co Ltd</v>
      </c>
      <c r="D321" s="64">
        <v>0.00148445969081688</v>
      </c>
      <c r="E321" s="62">
        <f t="shared" si="10"/>
        <v>0</v>
      </c>
      <c r="F321" s="60" t="str">
        <v>Consumer Discretionary</v>
      </c>
      <c r="G321" s="62">
        <f t="shared" si="11"/>
        <v>0</v>
      </c>
      <c r="H321" s="60"/>
      <c r="J321" s="6"/>
      <c r="M321" s="63" t="s">
        <v>1170</v>
      </c>
      <c r="N321" s="69" t="s">
        <v>45</v>
      </c>
      <c r="O321" s="60" t="str">
        <v>Grasim Industries Ltd</v>
      </c>
      <c r="P321" s="70">
        <v>0.00196445736785945</v>
      </c>
      <c r="Q321" s="62">
        <f>P321*VLOOKUP(N321,'Selector Sheet '!$B$13:$D$43,2,FALSE)</f>
        <v>0</v>
      </c>
      <c r="R321" s="60" t="str">
        <v>Materials</v>
      </c>
      <c r="S321" s="62">
        <f>P321*VLOOKUP(N321,'Selector Sheet '!$B$13:$D$43,2,FALSE)</f>
        <v>0</v>
      </c>
      <c r="T321" s="60"/>
      <c r="X321" s="60" t="str">
        <v>INE536A01023</v>
      </c>
      <c r="Z321" s="63" t="s">
        <v>1105</v>
      </c>
      <c r="AB321" t="s">
        <v>1540</v>
      </c>
      <c r="AC321" t="s">
        <v>1541</v>
      </c>
      <c r="AD321" t="s">
        <v>849</v>
      </c>
      <c r="AE321">
        <v>44.3153138490053</v>
      </c>
      <c r="AF321">
        <v>17.1069725537103</v>
      </c>
      <c r="AG321">
        <v>3687.213</v>
      </c>
      <c r="AH321">
        <v>33.3</v>
      </c>
      <c r="AI321">
        <v>163389504000</v>
      </c>
    </row>
    <row r="322" spans="1:35">
      <c r="A322" s="58" t="s">
        <v>1107</v>
      </c>
      <c r="B322" s="73" t="s">
        <v>22</v>
      </c>
      <c r="C322" s="60" t="str">
        <v>UltraTech Cement Ltd</v>
      </c>
      <c r="D322" s="61">
        <v>0.0399350402970915</v>
      </c>
      <c r="E322" s="62">
        <f t="shared" si="10"/>
        <v>0</v>
      </c>
      <c r="F322" s="60" t="str">
        <v>Materials</v>
      </c>
      <c r="G322" s="62">
        <f t="shared" si="11"/>
        <v>0</v>
      </c>
      <c r="H322" s="60"/>
      <c r="J322" s="6"/>
      <c r="M322" s="58" t="s">
        <v>955</v>
      </c>
      <c r="N322" s="67" t="s">
        <v>45</v>
      </c>
      <c r="O322" s="60" t="str">
        <v>HCL Technologies Ltd</v>
      </c>
      <c r="P322" s="68">
        <v>0.00392329214518294</v>
      </c>
      <c r="Q322" s="62">
        <f>P322*VLOOKUP(N322,'Selector Sheet '!$B$13:$D$43,2,FALSE)</f>
        <v>0</v>
      </c>
      <c r="R322" s="60" t="str">
        <v>Information Technology</v>
      </c>
      <c r="S322" s="62">
        <f>P322*VLOOKUP(N322,'Selector Sheet '!$B$13:$D$43,2,FALSE)</f>
        <v>0</v>
      </c>
      <c r="T322" s="60"/>
      <c r="X322" s="60" t="str">
        <v>INE177A01018</v>
      </c>
      <c r="Z322" s="58" t="s">
        <v>1107</v>
      </c>
      <c r="AB322" t="s">
        <v>1542</v>
      </c>
      <c r="AC322" t="s">
        <v>1543</v>
      </c>
      <c r="AD322" t="s">
        <v>849</v>
      </c>
      <c r="AE322">
        <v>41.8078101263194</v>
      </c>
      <c r="AF322">
        <v>44.9776902048735</v>
      </c>
      <c r="AG322">
        <v>2675.3</v>
      </c>
      <c r="AH322">
        <v>84.749714</v>
      </c>
      <c r="AI322">
        <v>111851737600</v>
      </c>
    </row>
    <row r="323" spans="1:35">
      <c r="A323" s="63" t="s">
        <v>1109</v>
      </c>
      <c r="B323" s="73" t="s">
        <v>22</v>
      </c>
      <c r="C323" s="60" t="str">
        <v>Union Bank of India Ltd</v>
      </c>
      <c r="D323" s="64">
        <v>0.00424091421034413</v>
      </c>
      <c r="E323" s="62">
        <f t="shared" si="10"/>
        <v>0</v>
      </c>
      <c r="F323" s="60" t="str">
        <v>Financials</v>
      </c>
      <c r="G323" s="62">
        <f t="shared" si="11"/>
        <v>0</v>
      </c>
      <c r="H323" s="60"/>
      <c r="J323" s="6"/>
      <c r="M323" s="63" t="s">
        <v>958</v>
      </c>
      <c r="N323" s="69" t="s">
        <v>45</v>
      </c>
      <c r="O323" s="60" t="str">
        <v>HDB Financial Services Ltd</v>
      </c>
      <c r="P323" s="70">
        <v>0.00277968314991262</v>
      </c>
      <c r="Q323" s="62">
        <f>P323*VLOOKUP(N323,'Selector Sheet '!$B$13:$D$43,2,FALSE)</f>
        <v>0</v>
      </c>
      <c r="R323" s="60" t="str">
        <v>Financials</v>
      </c>
      <c r="S323" s="62">
        <f>P323*VLOOKUP(N323,'Selector Sheet '!$B$13:$D$43,2,FALSE)</f>
        <v>0</v>
      </c>
      <c r="T323" s="60"/>
      <c r="X323" s="60" t="str">
        <v>INE136S01016</v>
      </c>
      <c r="Z323" s="63" t="s">
        <v>1109</v>
      </c>
      <c r="AB323" t="s">
        <v>1544</v>
      </c>
      <c r="AC323" t="s">
        <v>1545</v>
      </c>
      <c r="AD323" t="s">
        <v>859</v>
      </c>
      <c r="AE323">
        <v>107.121212121212</v>
      </c>
      <c r="AF323">
        <v>4.49512157348614</v>
      </c>
      <c r="AG323">
        <v>348.3</v>
      </c>
      <c r="AH323">
        <v>13.2</v>
      </c>
      <c r="AI323">
        <v>37303687036</v>
      </c>
    </row>
    <row r="324" spans="1:35">
      <c r="A324" s="58" t="s">
        <v>1126</v>
      </c>
      <c r="B324" s="73" t="s">
        <v>22</v>
      </c>
      <c r="C324" s="60" t="str">
        <v>United Breweries Ltd</v>
      </c>
      <c r="D324" s="61">
        <v>0.00634105590581699</v>
      </c>
      <c r="E324" s="62">
        <f t="shared" si="10"/>
        <v>0</v>
      </c>
      <c r="F324" s="60" t="str">
        <v>Consumer Staples</v>
      </c>
      <c r="G324" s="62">
        <f t="shared" si="11"/>
        <v>0</v>
      </c>
      <c r="H324" s="60"/>
      <c r="J324" s="6"/>
      <c r="M324" s="58" t="s">
        <v>960</v>
      </c>
      <c r="N324" s="67" t="s">
        <v>45</v>
      </c>
      <c r="O324" s="60" t="str">
        <v>HDFC Bank Ltd</v>
      </c>
      <c r="P324" s="68">
        <v>0.0477081990924784</v>
      </c>
      <c r="Q324" s="62">
        <f>P324*VLOOKUP(N324,'Selector Sheet '!$B$13:$D$43,2,FALSE)</f>
        <v>0</v>
      </c>
      <c r="R324" s="60" t="str">
        <v>Financials</v>
      </c>
      <c r="S324" s="62">
        <f>P324*VLOOKUP(N324,'Selector Sheet '!$B$13:$D$43,2,FALSE)</f>
        <v>0</v>
      </c>
      <c r="T324" s="60"/>
      <c r="X324" s="60" t="str">
        <v>INE0NNS01018</v>
      </c>
      <c r="Z324" s="58" t="s">
        <v>1126</v>
      </c>
      <c r="AB324" t="s">
        <v>1546</v>
      </c>
      <c r="AC324" t="s">
        <v>1547</v>
      </c>
      <c r="AD324" t="s">
        <v>859</v>
      </c>
      <c r="AE324" t="s">
        <v>860</v>
      </c>
      <c r="AF324">
        <v>-16.5982699559553</v>
      </c>
      <c r="AG324">
        <v>-23737.8</v>
      </c>
      <c r="AH324">
        <v>-8.1</v>
      </c>
      <c r="AI324">
        <v>118249946047.5</v>
      </c>
    </row>
    <row r="325" spans="1:35">
      <c r="A325" s="63" t="s">
        <v>1112</v>
      </c>
      <c r="B325" s="73" t="s">
        <v>22</v>
      </c>
      <c r="C325" s="60" t="str">
        <v>United Spirits Ltd</v>
      </c>
      <c r="D325" s="64">
        <v>0.00579252591400862</v>
      </c>
      <c r="E325" s="62">
        <f t="shared" si="10"/>
        <v>0</v>
      </c>
      <c r="F325" s="60" t="str">
        <v>Consumer Staples</v>
      </c>
      <c r="G325" s="62">
        <f t="shared" si="11"/>
        <v>0</v>
      </c>
      <c r="H325" s="60"/>
      <c r="J325" s="6"/>
      <c r="M325" s="63" t="s">
        <v>963</v>
      </c>
      <c r="N325" s="69" t="s">
        <v>45</v>
      </c>
      <c r="O325" s="60" t="str">
        <v>HDFC Life Insurance Co Ltd</v>
      </c>
      <c r="P325" s="70">
        <v>0.00925415596686155</v>
      </c>
      <c r="Q325" s="62">
        <f>P325*VLOOKUP(N325,'Selector Sheet '!$B$13:$D$43,2,FALSE)</f>
        <v>0</v>
      </c>
      <c r="R325" s="60" t="str">
        <v>Financials</v>
      </c>
      <c r="S325" s="62">
        <f>P325*VLOOKUP(N325,'Selector Sheet '!$B$13:$D$43,2,FALSE)</f>
        <v>0</v>
      </c>
      <c r="T325" s="60"/>
      <c r="X325" s="60" t="str">
        <v>INE347G01014</v>
      </c>
      <c r="Z325" s="63" t="s">
        <v>1112</v>
      </c>
      <c r="AB325" t="s">
        <v>1548</v>
      </c>
      <c r="AC325" t="s">
        <v>1549</v>
      </c>
      <c r="AD325" t="s">
        <v>1037</v>
      </c>
      <c r="AE325">
        <v>10.2341389728097</v>
      </c>
      <c r="AF325">
        <v>21.3082941156909</v>
      </c>
      <c r="AG325">
        <v>39726.8</v>
      </c>
      <c r="AH325">
        <v>26.48</v>
      </c>
      <c r="AI325">
        <v>406500023848</v>
      </c>
    </row>
    <row r="326" spans="1:35">
      <c r="A326" s="58" t="s">
        <v>1281</v>
      </c>
      <c r="B326" s="73" t="s">
        <v>22</v>
      </c>
      <c r="C326" s="60" t="str">
        <v>Vedanta Ltd</v>
      </c>
      <c r="D326" s="61">
        <v>0.00285921004008892</v>
      </c>
      <c r="E326" s="62">
        <f t="shared" si="10"/>
        <v>0</v>
      </c>
      <c r="F326" s="60" t="str">
        <v>Materials</v>
      </c>
      <c r="G326" s="62">
        <f t="shared" si="11"/>
        <v>0</v>
      </c>
      <c r="H326" s="60"/>
      <c r="J326" s="6"/>
      <c r="M326" s="58" t="s">
        <v>967</v>
      </c>
      <c r="N326" s="67" t="s">
        <v>45</v>
      </c>
      <c r="O326" s="60" t="str">
        <v>Hindalco Industries Ltd</v>
      </c>
      <c r="P326" s="68">
        <v>0.00553605846884462</v>
      </c>
      <c r="Q326" s="62">
        <f>P326*VLOOKUP(N326,'Selector Sheet '!$B$13:$D$43,2,FALSE)</f>
        <v>0</v>
      </c>
      <c r="R326" s="60" t="str">
        <v>Materials</v>
      </c>
      <c r="S326" s="62">
        <f>P326*VLOOKUP(N326,'Selector Sheet '!$B$13:$D$43,2,FALSE)</f>
        <v>0</v>
      </c>
      <c r="T326" s="60"/>
      <c r="X326" s="60" t="str">
        <v>INE010A01011</v>
      </c>
      <c r="Z326" s="58" t="s">
        <v>1281</v>
      </c>
      <c r="AB326" t="s">
        <v>1550</v>
      </c>
      <c r="AC326" t="s">
        <v>1551</v>
      </c>
      <c r="AD326" t="s">
        <v>859</v>
      </c>
      <c r="AE326">
        <v>91.8113180676346</v>
      </c>
      <c r="AF326">
        <v>5.57592161759628</v>
      </c>
      <c r="AG326">
        <v>799.3</v>
      </c>
      <c r="AH326">
        <v>1.59</v>
      </c>
      <c r="AI326">
        <v>73479993548.4</v>
      </c>
    </row>
    <row r="327" spans="1:35">
      <c r="A327" s="63" t="s">
        <v>1323</v>
      </c>
      <c r="B327" s="73" t="s">
        <v>22</v>
      </c>
      <c r="C327" s="60" t="str">
        <v>Wipro Ltd</v>
      </c>
      <c r="D327" s="64">
        <v>0.003910221854587</v>
      </c>
      <c r="E327" s="62">
        <f t="shared" si="10"/>
        <v>0</v>
      </c>
      <c r="F327" s="60" t="str">
        <v>Information Technology</v>
      </c>
      <c r="G327" s="62">
        <f t="shared" si="11"/>
        <v>0</v>
      </c>
      <c r="H327" s="60"/>
      <c r="J327" s="6"/>
      <c r="M327" s="63" t="s">
        <v>970</v>
      </c>
      <c r="N327" s="69" t="s">
        <v>45</v>
      </c>
      <c r="O327" s="60" t="str">
        <v>Hindustan Unilever Ltd</v>
      </c>
      <c r="P327" s="70">
        <v>0.0144923666742827</v>
      </c>
      <c r="Q327" s="62">
        <f>P327*VLOOKUP(N327,'Selector Sheet '!$B$13:$D$43,2,FALSE)</f>
        <v>0</v>
      </c>
      <c r="R327" s="60" t="str">
        <v>Consumer Staples</v>
      </c>
      <c r="S327" s="62">
        <f>P327*VLOOKUP(N327,'Selector Sheet '!$B$13:$D$43,2,FALSE)</f>
        <v>0</v>
      </c>
      <c r="T327" s="60"/>
      <c r="X327" s="60" t="str">
        <v>INE613A01020</v>
      </c>
      <c r="Z327" s="63" t="s">
        <v>1323</v>
      </c>
      <c r="AB327" t="s">
        <v>1552</v>
      </c>
      <c r="AC327" t="s">
        <v>1553</v>
      </c>
      <c r="AD327" t="s">
        <v>859</v>
      </c>
      <c r="AE327">
        <v>59.05132382691</v>
      </c>
      <c r="AF327">
        <v>6.70266274566521</v>
      </c>
      <c r="AG327">
        <v>1251.3</v>
      </c>
      <c r="AH327">
        <v>6.43</v>
      </c>
      <c r="AI327">
        <v>73839837533</v>
      </c>
    </row>
    <row r="328" spans="1:35">
      <c r="A328" s="58" t="s">
        <v>1123</v>
      </c>
      <c r="B328" s="73" t="s">
        <v>22</v>
      </c>
      <c r="C328" s="60" t="str">
        <v>Zydus Lifesciences Ltd</v>
      </c>
      <c r="D328" s="61">
        <v>0.00593323213546478</v>
      </c>
      <c r="E328" s="62">
        <f t="shared" si="10"/>
        <v>0</v>
      </c>
      <c r="F328" s="60" t="str">
        <v>Health Care</v>
      </c>
      <c r="G328" s="62">
        <f t="shared" si="11"/>
        <v>0</v>
      </c>
      <c r="H328" s="60"/>
      <c r="J328" s="6"/>
      <c r="M328" s="58" t="s">
        <v>972</v>
      </c>
      <c r="N328" s="67" t="s">
        <v>45</v>
      </c>
      <c r="O328" s="60" t="str">
        <v>ICICI Bank Ltd</v>
      </c>
      <c r="P328" s="68">
        <v>0.0318422455132196</v>
      </c>
      <c r="Q328" s="62">
        <f>P328*VLOOKUP(N328,'Selector Sheet '!$B$13:$D$43,2,FALSE)</f>
        <v>0</v>
      </c>
      <c r="R328" s="60" t="str">
        <v>Financials</v>
      </c>
      <c r="S328" s="62">
        <f>P328*VLOOKUP(N328,'Selector Sheet '!$B$13:$D$43,2,FALSE)</f>
        <v>0</v>
      </c>
      <c r="T328" s="60"/>
      <c r="X328" s="60" t="str">
        <v>INE142Q01026</v>
      </c>
      <c r="Z328" s="58" t="s">
        <v>1123</v>
      </c>
      <c r="AB328" t="s">
        <v>1554</v>
      </c>
      <c r="AC328" t="s">
        <v>1555</v>
      </c>
      <c r="AD328" t="s">
        <v>1016</v>
      </c>
      <c r="AE328">
        <v>30.0120188639714</v>
      </c>
      <c r="AF328">
        <v>12.3562181523758</v>
      </c>
      <c r="AG328">
        <v>702</v>
      </c>
      <c r="AH328">
        <v>8.32</v>
      </c>
      <c r="AI328">
        <v>21080979681.3</v>
      </c>
    </row>
    <row r="329" spans="1:35">
      <c r="A329" s="63" t="s">
        <v>1130</v>
      </c>
      <c r="B329" s="59" t="s">
        <v>23</v>
      </c>
      <c r="C329" s="60" t="str">
        <v>Adani Ports &amp; Special Economic</v>
      </c>
      <c r="D329" s="64">
        <v>0</v>
      </c>
      <c r="E329" s="62">
        <f t="shared" si="10"/>
        <v>0</v>
      </c>
      <c r="F329" s="60" t="str">
        <v>Industrials</v>
      </c>
      <c r="G329" s="62">
        <f t="shared" si="11"/>
        <v>0</v>
      </c>
      <c r="H329" s="60"/>
      <c r="J329" s="6"/>
      <c r="M329" s="63" t="s">
        <v>1153</v>
      </c>
      <c r="N329" s="69" t="s">
        <v>45</v>
      </c>
      <c r="O329" s="60" t="str">
        <v>ICICI Lombard General Insuranc</v>
      </c>
      <c r="P329" s="70">
        <v>0.007569292879448</v>
      </c>
      <c r="Q329" s="62">
        <f>P329*VLOOKUP(N329,'Selector Sheet '!$B$13:$D$43,2,FALSE)</f>
        <v>0</v>
      </c>
      <c r="R329" s="60" t="str">
        <v>Financials</v>
      </c>
      <c r="S329" s="62">
        <f>P329*VLOOKUP(N329,'Selector Sheet '!$B$13:$D$43,2,FALSE)</f>
        <v>0</v>
      </c>
      <c r="T329" s="60"/>
      <c r="X329" s="60" t="str">
        <v>INE331A01037</v>
      </c>
      <c r="Z329" s="63" t="s">
        <v>1130</v>
      </c>
      <c r="AB329" t="s">
        <v>1556</v>
      </c>
      <c r="AC329" t="s">
        <v>1557</v>
      </c>
      <c r="AD329" t="s">
        <v>859</v>
      </c>
      <c r="AE329">
        <v>93.9115393606353</v>
      </c>
      <c r="AF329">
        <v>3.71469152664761</v>
      </c>
      <c r="AG329">
        <v>2726.5</v>
      </c>
      <c r="AH329">
        <v>11.53</v>
      </c>
      <c r="AI329">
        <v>255857389064</v>
      </c>
    </row>
    <row r="330" spans="1:35">
      <c r="A330" s="58" t="s">
        <v>862</v>
      </c>
      <c r="B330" s="59" t="s">
        <v>23</v>
      </c>
      <c r="C330" s="60" t="str">
        <v>Anthem Biosciences Ltd</v>
      </c>
      <c r="D330" s="61">
        <v>0.00449755049261707</v>
      </c>
      <c r="E330" s="62">
        <f t="shared" si="10"/>
        <v>0</v>
      </c>
      <c r="F330" s="60" t="str">
        <v>Health Care</v>
      </c>
      <c r="G330" s="62">
        <f t="shared" si="11"/>
        <v>0</v>
      </c>
      <c r="H330" s="60"/>
      <c r="J330" s="6"/>
      <c r="M330" s="58" t="s">
        <v>1188</v>
      </c>
      <c r="N330" s="67" t="s">
        <v>45</v>
      </c>
      <c r="O330" s="60" t="str">
        <v>ICICI Prudential Life Insuranc</v>
      </c>
      <c r="P330" s="68">
        <v>0</v>
      </c>
      <c r="Q330" s="62">
        <f>P330*VLOOKUP(N330,'Selector Sheet '!$B$13:$D$43,2,FALSE)</f>
        <v>0</v>
      </c>
      <c r="R330" s="60" t="str">
        <v>Financials</v>
      </c>
      <c r="S330" s="62">
        <f>P330*VLOOKUP(N330,'Selector Sheet '!$B$13:$D$43,2,FALSE)</f>
        <v>0</v>
      </c>
      <c r="T330" s="60"/>
      <c r="X330" s="60" t="str">
        <v>INE274C01019</v>
      </c>
      <c r="Z330" s="58" t="s">
        <v>862</v>
      </c>
      <c r="AB330" t="s">
        <v>1558</v>
      </c>
      <c r="AC330" t="s">
        <v>1559</v>
      </c>
      <c r="AD330" t="s">
        <v>849</v>
      </c>
      <c r="AE330">
        <v>50.6585612968592</v>
      </c>
      <c r="AF330">
        <v>17.3233874506362</v>
      </c>
      <c r="AG330">
        <v>394.8</v>
      </c>
      <c r="AH330">
        <v>197.4</v>
      </c>
      <c r="AI330">
        <v>20000000000</v>
      </c>
    </row>
    <row r="331" spans="1:35">
      <c r="A331" s="63" t="s">
        <v>865</v>
      </c>
      <c r="B331" s="59" t="s">
        <v>23</v>
      </c>
      <c r="C331" s="60" t="str">
        <v>Apollo Hospitals Enterprise Lt</v>
      </c>
      <c r="D331" s="64">
        <v>0.00896050466611811</v>
      </c>
      <c r="E331" s="62">
        <f t="shared" si="10"/>
        <v>0</v>
      </c>
      <c r="F331" s="60" t="str">
        <v>Health Care</v>
      </c>
      <c r="G331" s="62">
        <f t="shared" si="11"/>
        <v>0</v>
      </c>
      <c r="H331" s="60"/>
      <c r="J331" s="6"/>
      <c r="M331" s="63" t="s">
        <v>988</v>
      </c>
      <c r="N331" s="69" t="s">
        <v>45</v>
      </c>
      <c r="O331" s="60" t="str">
        <v>Indus Towers Ltd</v>
      </c>
      <c r="P331" s="70">
        <v>0.00388275765383683</v>
      </c>
      <c r="Q331" s="62">
        <f>P331*VLOOKUP(N331,'Selector Sheet '!$B$13:$D$43,2,FALSE)</f>
        <v>0</v>
      </c>
      <c r="R331" s="60" t="str">
        <v>Communication Services</v>
      </c>
      <c r="S331" s="62">
        <f>P331*VLOOKUP(N331,'Selector Sheet '!$B$13:$D$43,2,FALSE)</f>
        <v>0</v>
      </c>
      <c r="T331" s="60"/>
      <c r="X331" s="60" t="str">
        <v>INE00FF01025</v>
      </c>
      <c r="Z331" s="63" t="s">
        <v>865</v>
      </c>
      <c r="AB331" t="s">
        <v>1286</v>
      </c>
      <c r="AC331" t="s">
        <v>1560</v>
      </c>
      <c r="AD331" t="s">
        <v>855</v>
      </c>
      <c r="AE331">
        <v>135.487127713276</v>
      </c>
      <c r="AF331">
        <v>16.0023706080496</v>
      </c>
      <c r="AG331">
        <v>1587.136</v>
      </c>
      <c r="AH331">
        <v>9.905</v>
      </c>
      <c r="AI331">
        <v>109868093324</v>
      </c>
    </row>
    <row r="332" spans="1:35">
      <c r="A332" s="58" t="s">
        <v>1296</v>
      </c>
      <c r="B332" s="59" t="s">
        <v>23</v>
      </c>
      <c r="C332" s="60" t="str">
        <v>Apollo Tyres Ltd</v>
      </c>
      <c r="D332" s="61">
        <v>0.00983786654536619</v>
      </c>
      <c r="E332" s="62">
        <f t="shared" si="10"/>
        <v>0</v>
      </c>
      <c r="F332" s="60" t="str">
        <v>Consumer Discretionary</v>
      </c>
      <c r="G332" s="62">
        <f t="shared" si="11"/>
        <v>0</v>
      </c>
      <c r="H332" s="60"/>
      <c r="J332" s="6"/>
      <c r="M332" s="58" t="s">
        <v>1191</v>
      </c>
      <c r="N332" s="67" t="s">
        <v>45</v>
      </c>
      <c r="O332" s="60" t="str">
        <v>IndusInd Bank Ltd</v>
      </c>
      <c r="P332" s="68">
        <v>0.00420079290787609</v>
      </c>
      <c r="Q332" s="62">
        <f>P332*VLOOKUP(N332,'Selector Sheet '!$B$13:$D$43,2,FALSE)</f>
        <v>0</v>
      </c>
      <c r="R332" s="60" t="str">
        <v>Financials</v>
      </c>
      <c r="S332" s="62">
        <f>P332*VLOOKUP(N332,'Selector Sheet '!$B$13:$D$43,2,FALSE)</f>
        <v>0</v>
      </c>
      <c r="T332" s="60"/>
      <c r="X332" s="60" t="str">
        <v>INE674K01013</v>
      </c>
      <c r="Z332" s="58" t="s">
        <v>1296</v>
      </c>
      <c r="AB332" t="s">
        <v>857</v>
      </c>
      <c r="AC332" t="s">
        <v>1561</v>
      </c>
      <c r="AD332" t="s">
        <v>867</v>
      </c>
      <c r="AE332">
        <v>22.1972682579518</v>
      </c>
      <c r="AF332">
        <v>11.6502505507291</v>
      </c>
      <c r="AG332">
        <v>33323.2</v>
      </c>
      <c r="AH332">
        <v>12.796017</v>
      </c>
      <c r="AI332">
        <v>735393984379.75</v>
      </c>
    </row>
    <row r="333" spans="1:35">
      <c r="A333" s="63" t="s">
        <v>1329</v>
      </c>
      <c r="B333" s="59" t="s">
        <v>23</v>
      </c>
      <c r="C333" s="60" t="str">
        <v>Astra Microwave Products Ltd</v>
      </c>
      <c r="D333" s="64">
        <v>0.00356295674840316</v>
      </c>
      <c r="E333" s="62">
        <f t="shared" si="10"/>
        <v>0</v>
      </c>
      <c r="F333" s="60" t="str">
        <v>Information Technology</v>
      </c>
      <c r="G333" s="62">
        <f t="shared" si="11"/>
        <v>0</v>
      </c>
      <c r="H333" s="60"/>
      <c r="J333" s="6"/>
      <c r="M333" s="63" t="s">
        <v>991</v>
      </c>
      <c r="N333" s="69" t="s">
        <v>45</v>
      </c>
      <c r="O333" s="60" t="str">
        <v>Infosys Ltd</v>
      </c>
      <c r="P333" s="70">
        <v>0.0196091035063836</v>
      </c>
      <c r="Q333" s="62">
        <f>P333*VLOOKUP(N333,'Selector Sheet '!$B$13:$D$43,2,FALSE)</f>
        <v>0</v>
      </c>
      <c r="R333" s="60" t="str">
        <v>Information Technology</v>
      </c>
      <c r="S333" s="62">
        <f>P333*VLOOKUP(N333,'Selector Sheet '!$B$13:$D$43,2,FALSE)</f>
        <v>0</v>
      </c>
      <c r="T333" s="60"/>
      <c r="X333" s="60" t="str">
        <v>INE472A01039</v>
      </c>
      <c r="Z333" s="63" t="s">
        <v>1329</v>
      </c>
      <c r="AB333" t="s">
        <v>1562</v>
      </c>
      <c r="AC333" t="s">
        <v>1563</v>
      </c>
      <c r="AD333" t="s">
        <v>849</v>
      </c>
      <c r="AE333">
        <v>66.2534214996385</v>
      </c>
      <c r="AF333">
        <v>20.8362848231749</v>
      </c>
      <c r="AG333">
        <v>5912.4</v>
      </c>
      <c r="AH333">
        <v>28.754741</v>
      </c>
      <c r="AI333">
        <v>391716732618.8</v>
      </c>
    </row>
    <row r="334" spans="1:35">
      <c r="A334" s="58" t="s">
        <v>876</v>
      </c>
      <c r="B334" s="59" t="s">
        <v>23</v>
      </c>
      <c r="C334" s="60" t="str">
        <v>Avenue Supermarts Ltd</v>
      </c>
      <c r="D334" s="61">
        <v>0.00586311884153732</v>
      </c>
      <c r="E334" s="62">
        <f t="shared" si="10"/>
        <v>0</v>
      </c>
      <c r="F334" s="60" t="str">
        <v>Consumer Staples</v>
      </c>
      <c r="G334" s="62">
        <f t="shared" si="11"/>
        <v>0</v>
      </c>
      <c r="H334" s="60"/>
      <c r="J334" s="6"/>
      <c r="M334" s="58" t="s">
        <v>1564</v>
      </c>
      <c r="N334" s="67" t="s">
        <v>45</v>
      </c>
      <c r="O334" s="60" t="str">
        <v>Inventurus Knowledge Solutions</v>
      </c>
      <c r="P334" s="68">
        <v>0.00647939756823397</v>
      </c>
      <c r="Q334" s="62">
        <f>P334*VLOOKUP(N334,'Selector Sheet '!$B$13:$D$43,2,FALSE)</f>
        <v>0</v>
      </c>
      <c r="R334" s="60" t="str">
        <v>Health Care</v>
      </c>
      <c r="S334" s="62">
        <f>P334*VLOOKUP(N334,'Selector Sheet '!$B$13:$D$43,2,FALSE)</f>
        <v>0</v>
      </c>
      <c r="T334" s="60"/>
      <c r="X334" s="60" t="str">
        <v>INE149A01033</v>
      </c>
      <c r="Z334" s="58" t="s">
        <v>876</v>
      </c>
      <c r="AB334" t="s">
        <v>909</v>
      </c>
      <c r="AC334" t="s">
        <v>1565</v>
      </c>
      <c r="AD334" t="s">
        <v>867</v>
      </c>
      <c r="AE334">
        <v>16.4651002073255</v>
      </c>
      <c r="AF334">
        <v>19.1032125925154</v>
      </c>
      <c r="AG334">
        <v>21736.6</v>
      </c>
      <c r="AH334">
        <v>115.76</v>
      </c>
      <c r="AI334">
        <v>357903842572</v>
      </c>
    </row>
    <row r="335" spans="1:35">
      <c r="A335" s="63" t="s">
        <v>879</v>
      </c>
      <c r="B335" s="59" t="s">
        <v>23</v>
      </c>
      <c r="C335" s="60" t="str">
        <v>Axis Bank Ltd</v>
      </c>
      <c r="D335" s="64">
        <v>0.0279118519437663</v>
      </c>
      <c r="E335" s="62">
        <f t="shared" si="10"/>
        <v>0</v>
      </c>
      <c r="F335" s="60" t="str">
        <v>Financials</v>
      </c>
      <c r="G335" s="62">
        <f t="shared" si="11"/>
        <v>0</v>
      </c>
      <c r="H335" s="60"/>
      <c r="J335" s="6"/>
      <c r="M335" s="63" t="s">
        <v>997</v>
      </c>
      <c r="N335" s="69" t="s">
        <v>45</v>
      </c>
      <c r="O335" s="60" t="str">
        <v>ITC Ltd</v>
      </c>
      <c r="P335" s="70">
        <v>0.00732896701056441</v>
      </c>
      <c r="Q335" s="62">
        <f>P335*VLOOKUP(N335,'Selector Sheet '!$B$13:$D$43,2,FALSE)</f>
        <v>0</v>
      </c>
      <c r="R335" s="60" t="str">
        <v>Consumer Staples</v>
      </c>
      <c r="S335" s="62">
        <f>P335*VLOOKUP(N335,'Selector Sheet '!$B$13:$D$43,2,FALSE)</f>
        <v>0</v>
      </c>
      <c r="T335" s="60"/>
      <c r="X335" s="60" t="str">
        <v>INE183A01024</v>
      </c>
      <c r="Z335" s="63" t="s">
        <v>879</v>
      </c>
      <c r="AB335" t="s">
        <v>1566</v>
      </c>
      <c r="AC335" t="s">
        <v>1567</v>
      </c>
      <c r="AD335" t="s">
        <v>859</v>
      </c>
      <c r="AE335">
        <v>15.01545618638</v>
      </c>
      <c r="AF335">
        <v>13.6394246424474</v>
      </c>
      <c r="AG335">
        <v>8000.3</v>
      </c>
      <c r="AH335">
        <v>12.94</v>
      </c>
      <c r="AI335">
        <v>120558662641.5</v>
      </c>
    </row>
    <row r="336" spans="1:35">
      <c r="A336" s="58" t="s">
        <v>878</v>
      </c>
      <c r="B336" s="59" t="s">
        <v>23</v>
      </c>
      <c r="C336" s="60" t="str">
        <v>Bajaj Finance Ltd</v>
      </c>
      <c r="D336" s="61">
        <v>0.0207787252401236</v>
      </c>
      <c r="E336" s="62">
        <f t="shared" si="10"/>
        <v>0</v>
      </c>
      <c r="F336" s="60" t="str">
        <v>Financials</v>
      </c>
      <c r="G336" s="62">
        <f t="shared" si="11"/>
        <v>0</v>
      </c>
      <c r="H336" s="60"/>
      <c r="J336" s="6"/>
      <c r="M336" s="58" t="s">
        <v>1416</v>
      </c>
      <c r="N336" s="67" t="s">
        <v>45</v>
      </c>
      <c r="O336" s="60" t="str">
        <v>KEC International Ltd</v>
      </c>
      <c r="P336" s="68">
        <v>0.00878093123255055</v>
      </c>
      <c r="Q336" s="62">
        <f>P336*VLOOKUP(N336,'Selector Sheet '!$B$13:$D$43,2,FALSE)</f>
        <v>0</v>
      </c>
      <c r="R336" s="60" t="str">
        <v>Industrials</v>
      </c>
      <c r="S336" s="62">
        <f>P336*VLOOKUP(N336,'Selector Sheet '!$B$13:$D$43,2,FALSE)</f>
        <v>0</v>
      </c>
      <c r="T336" s="60"/>
      <c r="X336" s="60" t="str">
        <v>INE845D01014</v>
      </c>
      <c r="Z336" s="58" t="s">
        <v>878</v>
      </c>
      <c r="AB336" t="s">
        <v>1568</v>
      </c>
      <c r="AC336" t="s">
        <v>1569</v>
      </c>
      <c r="AD336" t="s">
        <v>874</v>
      </c>
      <c r="AE336">
        <v>32.839110456339</v>
      </c>
      <c r="AF336">
        <v>9.3626437960365</v>
      </c>
      <c r="AG336">
        <v>1031.197</v>
      </c>
      <c r="AH336">
        <v>40.683197</v>
      </c>
      <c r="AI336">
        <v>34010530624</v>
      </c>
    </row>
    <row r="337" spans="1:35">
      <c r="A337" s="63" t="s">
        <v>1332</v>
      </c>
      <c r="B337" s="59" t="s">
        <v>23</v>
      </c>
      <c r="C337" s="60" t="str">
        <v>Bayer CropScience Ltd/India</v>
      </c>
      <c r="D337" s="64">
        <v>0.0022914598328758</v>
      </c>
      <c r="E337" s="62">
        <f t="shared" si="10"/>
        <v>0</v>
      </c>
      <c r="F337" s="60" t="str">
        <v>Materials</v>
      </c>
      <c r="G337" s="62">
        <f t="shared" si="11"/>
        <v>0</v>
      </c>
      <c r="H337" s="60"/>
      <c r="J337" s="6"/>
      <c r="M337" s="63" t="s">
        <v>1008</v>
      </c>
      <c r="N337" s="69" t="s">
        <v>45</v>
      </c>
      <c r="O337" s="60" t="str">
        <v>Kotak Mahindra Bank Ltd</v>
      </c>
      <c r="P337" s="70">
        <v>0.0168295599243212</v>
      </c>
      <c r="Q337" s="62">
        <f>P337*VLOOKUP(N337,'Selector Sheet '!$B$13:$D$43,2,FALSE)</f>
        <v>0</v>
      </c>
      <c r="R337" s="60" t="str">
        <v>Financials</v>
      </c>
      <c r="S337" s="62">
        <f>P337*VLOOKUP(N337,'Selector Sheet '!$B$13:$D$43,2,FALSE)</f>
        <v>0</v>
      </c>
      <c r="T337" s="60"/>
      <c r="X337" s="60" t="str">
        <v>INE052E01015</v>
      </c>
      <c r="Z337" s="63" t="s">
        <v>1332</v>
      </c>
      <c r="AB337" t="s">
        <v>1570</v>
      </c>
      <c r="AC337" t="s">
        <v>1571</v>
      </c>
      <c r="AD337" t="s">
        <v>1016</v>
      </c>
      <c r="AE337" t="s">
        <v>860</v>
      </c>
      <c r="AF337" t="s">
        <v>860</v>
      </c>
      <c r="AG337">
        <v>-7.265</v>
      </c>
      <c r="AH337">
        <v>-0.09</v>
      </c>
      <c r="AI337">
        <v>854063459.28</v>
      </c>
    </row>
    <row r="338" spans="1:35">
      <c r="A338" s="58" t="s">
        <v>886</v>
      </c>
      <c r="B338" s="59" t="s">
        <v>23</v>
      </c>
      <c r="C338" s="60" t="str">
        <v>Bharat Electronics Ltd</v>
      </c>
      <c r="D338" s="61">
        <v>0.00510517131139011</v>
      </c>
      <c r="E338" s="62">
        <f t="shared" si="10"/>
        <v>0</v>
      </c>
      <c r="F338" s="60" t="str">
        <v>Industrials</v>
      </c>
      <c r="G338" s="62">
        <f t="shared" si="11"/>
        <v>0</v>
      </c>
      <c r="H338" s="60"/>
      <c r="J338" s="6"/>
      <c r="M338" s="58" t="s">
        <v>1011</v>
      </c>
      <c r="N338" s="67" t="s">
        <v>45</v>
      </c>
      <c r="O338" s="60" t="str">
        <v>Larsen &amp; Toubro Ltd</v>
      </c>
      <c r="P338" s="68">
        <v>0.0217848167537599</v>
      </c>
      <c r="Q338" s="62">
        <f>P338*VLOOKUP(N338,'Selector Sheet '!$B$13:$D$43,2,FALSE)</f>
        <v>0</v>
      </c>
      <c r="R338" s="60" t="str">
        <v>Industrials</v>
      </c>
      <c r="S338" s="62">
        <f>P338*VLOOKUP(N338,'Selector Sheet '!$B$13:$D$43,2,FALSE)</f>
        <v>0</v>
      </c>
      <c r="T338" s="60"/>
      <c r="X338" s="60" t="str">
        <v>INE473B01035</v>
      </c>
      <c r="Z338" s="58" t="s">
        <v>886</v>
      </c>
      <c r="AB338" t="s">
        <v>1572</v>
      </c>
      <c r="AC338" t="s">
        <v>1573</v>
      </c>
      <c r="AD338" t="s">
        <v>1016</v>
      </c>
      <c r="AE338">
        <v>71.8185461396508</v>
      </c>
      <c r="AF338">
        <v>16.9498975230632</v>
      </c>
      <c r="AG338">
        <v>2788.1</v>
      </c>
      <c r="AH338">
        <v>12.51</v>
      </c>
      <c r="AI338">
        <v>200128181384.6</v>
      </c>
    </row>
    <row r="339" spans="1:35">
      <c r="A339" s="63" t="s">
        <v>888</v>
      </c>
      <c r="B339" s="59" t="s">
        <v>23</v>
      </c>
      <c r="C339" s="60" t="str">
        <v>Bharat Forge Ltd</v>
      </c>
      <c r="D339" s="64">
        <v>0.00435213572369983</v>
      </c>
      <c r="E339" s="62">
        <f t="shared" si="10"/>
        <v>0</v>
      </c>
      <c r="F339" s="60" t="str">
        <v>Consumer Discretionary</v>
      </c>
      <c r="G339" s="62">
        <f t="shared" si="11"/>
        <v>0</v>
      </c>
      <c r="H339" s="60"/>
      <c r="J339" s="6"/>
      <c r="M339" s="63" t="s">
        <v>1002</v>
      </c>
      <c r="N339" s="69" t="s">
        <v>45</v>
      </c>
      <c r="O339" s="60" t="str">
        <v>Mahindra &amp; Mahindra Ltd</v>
      </c>
      <c r="P339" s="70">
        <v>0.0138290106514934</v>
      </c>
      <c r="Q339" s="62">
        <f>P339*VLOOKUP(N339,'Selector Sheet '!$B$13:$D$43,2,FALSE)</f>
        <v>0</v>
      </c>
      <c r="R339" s="60" t="str">
        <v>Consumer Discretionary</v>
      </c>
      <c r="S339" s="62">
        <f>P339*VLOOKUP(N339,'Selector Sheet '!$B$13:$D$43,2,FALSE)</f>
        <v>0</v>
      </c>
      <c r="T339" s="60"/>
      <c r="X339" s="60">
        <v>0</v>
      </c>
      <c r="Z339" s="63" t="s">
        <v>888</v>
      </c>
      <c r="AB339">
        <v>0</v>
      </c>
      <c r="AC339" t="s">
        <v>1574</v>
      </c>
      <c r="AD339" t="s">
        <v>1574</v>
      </c>
      <c r="AE339" t="s">
        <v>1574</v>
      </c>
      <c r="AF339" t="s">
        <v>1574</v>
      </c>
      <c r="AG339" t="s">
        <v>1574</v>
      </c>
      <c r="AH339" t="s">
        <v>1574</v>
      </c>
      <c r="AI339" t="s">
        <v>1574</v>
      </c>
    </row>
    <row r="340" spans="1:35">
      <c r="A340" s="58" t="s">
        <v>889</v>
      </c>
      <c r="B340" s="59" t="s">
        <v>23</v>
      </c>
      <c r="C340" s="60" t="str">
        <v>Bharat Petroleum Corp Ltd</v>
      </c>
      <c r="D340" s="61">
        <v>0.0132138503975294</v>
      </c>
      <c r="E340" s="62">
        <f t="shared" si="10"/>
        <v>0</v>
      </c>
      <c r="F340" s="60" t="str">
        <v>Energy</v>
      </c>
      <c r="G340" s="62">
        <f t="shared" si="11"/>
        <v>0</v>
      </c>
      <c r="H340" s="60"/>
      <c r="J340" s="6"/>
      <c r="M340" s="58" t="s">
        <v>1007</v>
      </c>
      <c r="N340" s="67" t="s">
        <v>45</v>
      </c>
      <c r="O340" s="60" t="str">
        <v>Max Healthcare Institute Ltd</v>
      </c>
      <c r="P340" s="68">
        <v>0.00835969552243285</v>
      </c>
      <c r="Q340" s="62">
        <f>P340*VLOOKUP(N340,'Selector Sheet '!$B$13:$D$43,2,FALSE)</f>
        <v>0</v>
      </c>
      <c r="R340" s="60" t="str">
        <v>Health Care</v>
      </c>
      <c r="S340" s="62">
        <f>P340*VLOOKUP(N340,'Selector Sheet '!$B$13:$D$43,2,FALSE)</f>
        <v>0</v>
      </c>
      <c r="T340" s="60"/>
      <c r="X340" s="60" t="str">
        <v>INE947Q01028</v>
      </c>
      <c r="Z340" s="58" t="s">
        <v>889</v>
      </c>
      <c r="AB340" t="s">
        <v>1575</v>
      </c>
      <c r="AC340" t="s">
        <v>1576</v>
      </c>
      <c r="AD340" t="s">
        <v>855</v>
      </c>
      <c r="AE340">
        <v>130.586469836701</v>
      </c>
      <c r="AF340">
        <v>8.34903203934055</v>
      </c>
      <c r="AG340">
        <v>3583.2</v>
      </c>
      <c r="AH340">
        <v>6.65</v>
      </c>
      <c r="AI340">
        <v>468783942291.6</v>
      </c>
    </row>
    <row r="341" spans="1:35">
      <c r="A341" s="63" t="s">
        <v>891</v>
      </c>
      <c r="B341" s="59" t="s">
        <v>23</v>
      </c>
      <c r="C341" s="60" t="str">
        <v>Bharti Airtel Ltd</v>
      </c>
      <c r="D341" s="64">
        <v>0.0367056793184026</v>
      </c>
      <c r="E341" s="62">
        <f t="shared" si="10"/>
        <v>0</v>
      </c>
      <c r="F341" s="60" t="str">
        <v>Communication Services</v>
      </c>
      <c r="G341" s="62">
        <f t="shared" si="11"/>
        <v>0</v>
      </c>
      <c r="H341" s="60"/>
      <c r="J341" s="6"/>
      <c r="M341" s="63" t="s">
        <v>1411</v>
      </c>
      <c r="N341" s="69" t="s">
        <v>45</v>
      </c>
      <c r="O341" s="60" t="str">
        <v>Metropolis Healthcare Ltd</v>
      </c>
      <c r="P341" s="70">
        <v>3.49717156030882e-5</v>
      </c>
      <c r="Q341" s="62">
        <f>P341*VLOOKUP(N341,'Selector Sheet '!$B$13:$D$43,2,FALSE)</f>
        <v>0</v>
      </c>
      <c r="R341" s="60" t="str">
        <v>Health Care</v>
      </c>
      <c r="S341" s="62">
        <f>P341*VLOOKUP(N341,'Selector Sheet '!$B$13:$D$43,2,FALSE)</f>
        <v>0</v>
      </c>
      <c r="T341" s="60"/>
      <c r="X341" s="60" t="str">
        <v>INE970X01018</v>
      </c>
      <c r="Z341" s="63" t="s">
        <v>891</v>
      </c>
      <c r="AB341" t="s">
        <v>1577</v>
      </c>
      <c r="AC341" t="s">
        <v>1578</v>
      </c>
      <c r="AD341" t="s">
        <v>874</v>
      </c>
      <c r="AE341">
        <v>61.5887118924049</v>
      </c>
      <c r="AF341">
        <v>18.4547833816441</v>
      </c>
      <c r="AG341">
        <v>1965.811</v>
      </c>
      <c r="AH341">
        <v>2.48</v>
      </c>
      <c r="AI341">
        <v>121007724911.36</v>
      </c>
    </row>
    <row r="342" spans="1:35">
      <c r="A342" s="58" t="s">
        <v>1319</v>
      </c>
      <c r="B342" s="59" t="s">
        <v>23</v>
      </c>
      <c r="C342" s="60" t="str">
        <v>Bosch Ltd</v>
      </c>
      <c r="D342" s="61">
        <v>0.00863958464614584</v>
      </c>
      <c r="E342" s="62">
        <f t="shared" si="10"/>
        <v>0</v>
      </c>
      <c r="F342" s="60" t="str">
        <v>Consumer Discretionary</v>
      </c>
      <c r="G342" s="62">
        <f t="shared" si="11"/>
        <v>0</v>
      </c>
      <c r="H342" s="60"/>
      <c r="J342" s="6"/>
      <c r="M342" s="58" t="s">
        <v>1017</v>
      </c>
      <c r="N342" s="67" t="s">
        <v>45</v>
      </c>
      <c r="O342" s="60" t="str">
        <v>Multi Commodity Exchange of In</v>
      </c>
      <c r="P342" s="68">
        <v>0.00385763544080382</v>
      </c>
      <c r="Q342" s="62">
        <f>P342*VLOOKUP(N342,'Selector Sheet '!$B$13:$D$43,2,FALSE)</f>
        <v>0</v>
      </c>
      <c r="R342" s="60" t="str">
        <v>Financials</v>
      </c>
      <c r="S342" s="62">
        <f>P342*VLOOKUP(N342,'Selector Sheet '!$B$13:$D$43,2,FALSE)</f>
        <v>0</v>
      </c>
      <c r="T342" s="60"/>
      <c r="X342" s="60" t="str">
        <v>INE122R01018</v>
      </c>
      <c r="Z342" s="58" t="s">
        <v>1319</v>
      </c>
      <c r="AB342" t="s">
        <v>1579</v>
      </c>
      <c r="AC342" t="s">
        <v>1580</v>
      </c>
      <c r="AD342" t="s">
        <v>1016</v>
      </c>
      <c r="AE342" t="s">
        <v>860</v>
      </c>
      <c r="AF342">
        <v>-34.4497631022254</v>
      </c>
      <c r="AG342">
        <v>-1904.607</v>
      </c>
      <c r="AH342">
        <v>-16.64</v>
      </c>
      <c r="AI342" t="s">
        <v>860</v>
      </c>
    </row>
    <row r="343" spans="1:35">
      <c r="A343" s="63" t="s">
        <v>1335</v>
      </c>
      <c r="B343" s="59" t="s">
        <v>23</v>
      </c>
      <c r="C343" s="60" t="str">
        <v>BrainBees Solutions Ltd</v>
      </c>
      <c r="D343" s="64">
        <v>0.00427339960671778</v>
      </c>
      <c r="E343" s="62">
        <f t="shared" si="10"/>
        <v>0</v>
      </c>
      <c r="F343" s="60" t="str">
        <v>Consumer Discretionary</v>
      </c>
      <c r="G343" s="62">
        <f t="shared" si="11"/>
        <v>0</v>
      </c>
      <c r="H343" s="60"/>
      <c r="J343" s="6"/>
      <c r="M343" s="63" t="s">
        <v>1427</v>
      </c>
      <c r="N343" s="69" t="s">
        <v>45</v>
      </c>
      <c r="O343" s="60" t="str">
        <v>Niva Bupa Health Insurance Co</v>
      </c>
      <c r="P343" s="70">
        <v>0.0103017323120736</v>
      </c>
      <c r="Q343" s="62">
        <f>P343*VLOOKUP(N343,'Selector Sheet '!$B$13:$D$43,2,FALSE)</f>
        <v>0</v>
      </c>
      <c r="R343" s="60" t="str">
        <v>Financials</v>
      </c>
      <c r="S343" s="62">
        <f>P343*VLOOKUP(N343,'Selector Sheet '!$B$13:$D$43,2,FALSE)</f>
        <v>0</v>
      </c>
      <c r="T343" s="60"/>
      <c r="X343" s="60" t="str">
        <v>INE414G01012</v>
      </c>
      <c r="Z343" s="63" t="s">
        <v>1335</v>
      </c>
      <c r="AB343" t="s">
        <v>1039</v>
      </c>
      <c r="AC343" t="s">
        <v>1581</v>
      </c>
      <c r="AD343" t="s">
        <v>867</v>
      </c>
      <c r="AE343">
        <v>18.1385982611555</v>
      </c>
      <c r="AF343">
        <v>19.0995468603373</v>
      </c>
      <c r="AG343">
        <v>53329</v>
      </c>
      <c r="AH343">
        <v>132.84</v>
      </c>
      <c r="AI343">
        <v>1116363391213.2</v>
      </c>
    </row>
    <row r="344" spans="1:35">
      <c r="A344" s="58" t="s">
        <v>900</v>
      </c>
      <c r="B344" s="59" t="s">
        <v>23</v>
      </c>
      <c r="C344" s="60" t="str">
        <v>Britannia Industries Ltd</v>
      </c>
      <c r="D344" s="61">
        <v>0.0033340969727863</v>
      </c>
      <c r="E344" s="62">
        <f t="shared" si="10"/>
        <v>0</v>
      </c>
      <c r="F344" s="60" t="str">
        <v>Consumer Staples</v>
      </c>
      <c r="G344" s="62">
        <f t="shared" si="11"/>
        <v>0</v>
      </c>
      <c r="H344" s="60"/>
      <c r="J344" s="6"/>
      <c r="M344" s="58" t="s">
        <v>1028</v>
      </c>
      <c r="N344" s="67" t="s">
        <v>45</v>
      </c>
      <c r="O344" s="60" t="str">
        <v>NTPC Ltd</v>
      </c>
      <c r="P344" s="68">
        <v>0.0102770686791197</v>
      </c>
      <c r="Q344" s="62">
        <f>P344*VLOOKUP(N344,'Selector Sheet '!$B$13:$D$43,2,FALSE)</f>
        <v>0</v>
      </c>
      <c r="R344" s="60" t="str">
        <v>Utilities</v>
      </c>
      <c r="S344" s="62">
        <f>P344*VLOOKUP(N344,'Selector Sheet '!$B$13:$D$43,2,FALSE)</f>
        <v>0</v>
      </c>
      <c r="T344" s="60"/>
      <c r="X344" s="60" t="str">
        <v>INE703F01010</v>
      </c>
      <c r="Z344" s="58" t="s">
        <v>900</v>
      </c>
      <c r="AB344" t="s">
        <v>1582</v>
      </c>
      <c r="AC344" t="s">
        <v>1574</v>
      </c>
      <c r="AD344" t="s">
        <v>1574</v>
      </c>
      <c r="AE344" t="s">
        <v>1574</v>
      </c>
      <c r="AF344" t="s">
        <v>1574</v>
      </c>
      <c r="AG344" t="s">
        <v>1574</v>
      </c>
      <c r="AH344" t="s">
        <v>1574</v>
      </c>
      <c r="AI344" t="s">
        <v>1574</v>
      </c>
    </row>
    <row r="345" spans="1:35">
      <c r="A345" s="63" t="s">
        <v>922</v>
      </c>
      <c r="B345" s="59" t="s">
        <v>23</v>
      </c>
      <c r="C345" s="60" t="str">
        <v>Coromandel International Ltd</v>
      </c>
      <c r="D345" s="64">
        <v>0.0171746841541229</v>
      </c>
      <c r="E345" s="62">
        <f t="shared" si="10"/>
        <v>0</v>
      </c>
      <c r="F345" s="60" t="str">
        <v>Materials</v>
      </c>
      <c r="G345" s="62">
        <f t="shared" si="11"/>
        <v>0</v>
      </c>
      <c r="H345" s="60"/>
      <c r="J345" s="6"/>
      <c r="M345" s="63" t="s">
        <v>1038</v>
      </c>
      <c r="N345" s="69" t="s">
        <v>45</v>
      </c>
      <c r="O345" s="60" t="str">
        <v>PB Fintech Ltd</v>
      </c>
      <c r="P345" s="70">
        <v>0.0081505730371974</v>
      </c>
      <c r="Q345" s="62">
        <f>P345*VLOOKUP(N345,'Selector Sheet '!$B$13:$D$43,2,FALSE)</f>
        <v>0</v>
      </c>
      <c r="R345" s="60" t="str">
        <v>Financials</v>
      </c>
      <c r="S345" s="62">
        <f>P345*VLOOKUP(N345,'Selector Sheet '!$B$13:$D$43,2,FALSE)</f>
        <v>0</v>
      </c>
      <c r="T345" s="60"/>
      <c r="X345" s="60" t="str">
        <v>INE114B01019</v>
      </c>
      <c r="Z345" s="63" t="s">
        <v>922</v>
      </c>
      <c r="AB345" t="s">
        <v>1583</v>
      </c>
      <c r="AC345" t="s">
        <v>1584</v>
      </c>
      <c r="AD345" t="s">
        <v>860</v>
      </c>
      <c r="AE345" t="s">
        <v>860</v>
      </c>
      <c r="AF345" t="s">
        <v>860</v>
      </c>
      <c r="AG345" t="s">
        <v>860</v>
      </c>
      <c r="AH345" t="s">
        <v>860</v>
      </c>
      <c r="AI345" t="s">
        <v>860</v>
      </c>
    </row>
    <row r="346" spans="1:35">
      <c r="A346" s="58" t="s">
        <v>933</v>
      </c>
      <c r="B346" s="59" t="s">
        <v>23</v>
      </c>
      <c r="C346" s="60" t="str">
        <v>Cummins India Ltd</v>
      </c>
      <c r="D346" s="61">
        <v>0.0087981398280532</v>
      </c>
      <c r="E346" s="62">
        <f t="shared" si="10"/>
        <v>0</v>
      </c>
      <c r="F346" s="60" t="str">
        <v>Industrials</v>
      </c>
      <c r="G346" s="62">
        <f t="shared" si="11"/>
        <v>0</v>
      </c>
      <c r="H346" s="60"/>
      <c r="J346" s="6"/>
      <c r="M346" s="58" t="s">
        <v>1043</v>
      </c>
      <c r="N346" s="67" t="s">
        <v>45</v>
      </c>
      <c r="O346" s="60" t="str">
        <v>PI Industries Ltd</v>
      </c>
      <c r="P346" s="68">
        <v>0.00825629568371129</v>
      </c>
      <c r="Q346" s="62">
        <f>P346*VLOOKUP(N346,'Selector Sheet '!$B$13:$D$43,2,FALSE)</f>
        <v>0</v>
      </c>
      <c r="R346" s="60" t="str">
        <v>Materials</v>
      </c>
      <c r="S346" s="62">
        <f>P346*VLOOKUP(N346,'Selector Sheet '!$B$13:$D$43,2,FALSE)</f>
        <v>0</v>
      </c>
      <c r="T346" s="60"/>
      <c r="X346" s="60" t="str">
        <v>INE131B01039</v>
      </c>
      <c r="Z346" s="58" t="s">
        <v>933</v>
      </c>
      <c r="AB346" t="s">
        <v>1585</v>
      </c>
      <c r="AC346" t="s">
        <v>1586</v>
      </c>
      <c r="AD346" t="s">
        <v>874</v>
      </c>
      <c r="AE346">
        <v>66.2792406584087</v>
      </c>
      <c r="AF346">
        <v>8.31044257632014</v>
      </c>
      <c r="AG346">
        <v>1703.3</v>
      </c>
      <c r="AH346">
        <v>6.84</v>
      </c>
      <c r="AI346">
        <v>112856307963.1</v>
      </c>
    </row>
    <row r="347" spans="1:35">
      <c r="A347" s="63" t="s">
        <v>937</v>
      </c>
      <c r="B347" s="59" t="s">
        <v>23</v>
      </c>
      <c r="C347" s="60" t="str">
        <v>Eternal Ltd</v>
      </c>
      <c r="D347" s="64">
        <v>0.0165529366661972</v>
      </c>
      <c r="E347" s="62">
        <f t="shared" si="10"/>
        <v>0</v>
      </c>
      <c r="F347" s="60" t="str">
        <v>Consumer Discretionary</v>
      </c>
      <c r="G347" s="62">
        <f t="shared" si="11"/>
        <v>0</v>
      </c>
      <c r="H347" s="60"/>
      <c r="J347" s="6"/>
      <c r="M347" s="63" t="s">
        <v>1436</v>
      </c>
      <c r="N347" s="69" t="s">
        <v>45</v>
      </c>
      <c r="O347" s="60" t="str">
        <v>PNB Housing Finance Ltd</v>
      </c>
      <c r="P347" s="70">
        <v>0.00393265316027738</v>
      </c>
      <c r="Q347" s="62">
        <f>P347*VLOOKUP(N347,'Selector Sheet '!$B$13:$D$43,2,FALSE)</f>
        <v>0</v>
      </c>
      <c r="R347" s="60" t="str">
        <v>Financials</v>
      </c>
      <c r="S347" s="62">
        <f>P347*VLOOKUP(N347,'Selector Sheet '!$B$13:$D$43,2,FALSE)</f>
        <v>0</v>
      </c>
      <c r="T347" s="60"/>
      <c r="X347" s="60" t="str">
        <v>INE387A01021</v>
      </c>
      <c r="Z347" s="63" t="s">
        <v>937</v>
      </c>
      <c r="AB347" t="s">
        <v>1587</v>
      </c>
      <c r="AC347" t="s">
        <v>1588</v>
      </c>
      <c r="AD347" t="s">
        <v>874</v>
      </c>
      <c r="AE347">
        <v>37.5350749966509</v>
      </c>
      <c r="AF347">
        <v>14.9107182369341</v>
      </c>
      <c r="AG347">
        <v>5391</v>
      </c>
      <c r="AH347">
        <v>25.66</v>
      </c>
      <c r="AI347">
        <v>202385139565.5</v>
      </c>
    </row>
    <row r="348" spans="1:35">
      <c r="A348" s="58" t="s">
        <v>1339</v>
      </c>
      <c r="B348" s="59" t="s">
        <v>23</v>
      </c>
      <c r="C348" s="60" t="str">
        <v>Godrej Consumer Products Ltd</v>
      </c>
      <c r="D348" s="61">
        <v>0.0132695448631829</v>
      </c>
      <c r="E348" s="62">
        <f t="shared" si="10"/>
        <v>0</v>
      </c>
      <c r="F348" s="60" t="str">
        <v>Consumer Staples</v>
      </c>
      <c r="G348" s="62">
        <f t="shared" si="11"/>
        <v>0</v>
      </c>
      <c r="H348" s="60"/>
      <c r="J348" s="6"/>
      <c r="M348" s="58" t="s">
        <v>1232</v>
      </c>
      <c r="N348" s="67" t="s">
        <v>45</v>
      </c>
      <c r="O348" s="60" t="str">
        <v>Polycab India Ltd</v>
      </c>
      <c r="P348" s="68">
        <v>0.00492146147143003</v>
      </c>
      <c r="Q348" s="62">
        <f>P348*VLOOKUP(N348,'Selector Sheet '!$B$13:$D$43,2,FALSE)</f>
        <v>0</v>
      </c>
      <c r="R348" s="60" t="str">
        <v>Industrials</v>
      </c>
      <c r="S348" s="62">
        <f>P348*VLOOKUP(N348,'Selector Sheet '!$B$13:$D$43,2,FALSE)</f>
        <v>0</v>
      </c>
      <c r="T348" s="60"/>
      <c r="X348" s="60" t="str">
        <v>INE011K01018</v>
      </c>
      <c r="Z348" s="58" t="s">
        <v>1339</v>
      </c>
      <c r="AB348" t="s">
        <v>1589</v>
      </c>
      <c r="AC348" t="s">
        <v>1590</v>
      </c>
      <c r="AD348" t="s">
        <v>849</v>
      </c>
      <c r="AE348">
        <v>60.9857031639586</v>
      </c>
      <c r="AF348">
        <v>15.4621711091821</v>
      </c>
      <c r="AG348">
        <v>2001.2</v>
      </c>
      <c r="AH348">
        <v>30.08</v>
      </c>
      <c r="AI348">
        <v>122056033299.4</v>
      </c>
    </row>
    <row r="349" spans="1:35">
      <c r="A349" s="63" t="s">
        <v>1341</v>
      </c>
      <c r="B349" s="59" t="s">
        <v>23</v>
      </c>
      <c r="C349" s="60" t="str">
        <v>Gujarat State Petronet Ltd</v>
      </c>
      <c r="D349" s="64">
        <v>0.00624883202372213</v>
      </c>
      <c r="E349" s="62">
        <f t="shared" si="10"/>
        <v>0</v>
      </c>
      <c r="F349" s="60" t="str">
        <v>Utilities</v>
      </c>
      <c r="G349" s="62">
        <f t="shared" si="11"/>
        <v>0</v>
      </c>
      <c r="H349" s="60"/>
      <c r="J349" s="6"/>
      <c r="M349" s="63" t="s">
        <v>1059</v>
      </c>
      <c r="N349" s="69" t="s">
        <v>45</v>
      </c>
      <c r="O349" s="60" t="str">
        <v>Power Grid Corp of India Ltd</v>
      </c>
      <c r="P349" s="70">
        <v>0.0122233722573232</v>
      </c>
      <c r="Q349" s="62">
        <f>P349*VLOOKUP(N349,'Selector Sheet '!$B$13:$D$43,2,FALSE)</f>
        <v>0</v>
      </c>
      <c r="R349" s="60" t="str">
        <v>Utilities</v>
      </c>
      <c r="S349" s="62">
        <f>P349*VLOOKUP(N349,'Selector Sheet '!$B$13:$D$43,2,FALSE)</f>
        <v>0</v>
      </c>
      <c r="T349" s="60"/>
      <c r="X349" s="60" t="str">
        <v>INE00WC01027</v>
      </c>
      <c r="Z349" s="63" t="s">
        <v>1341</v>
      </c>
      <c r="AB349" t="s">
        <v>1591</v>
      </c>
      <c r="AC349" t="s">
        <v>1592</v>
      </c>
      <c r="AD349" t="s">
        <v>893</v>
      </c>
      <c r="AE349">
        <v>71.9794344473008</v>
      </c>
      <c r="AF349">
        <v>14.0277054060274</v>
      </c>
      <c r="AG349">
        <v>3818.69</v>
      </c>
      <c r="AH349">
        <v>27.23</v>
      </c>
      <c r="AI349">
        <v>275654823360</v>
      </c>
    </row>
    <row r="350" spans="1:35">
      <c r="A350" s="58" t="s">
        <v>955</v>
      </c>
      <c r="B350" s="59" t="s">
        <v>23</v>
      </c>
      <c r="C350" s="60" t="str">
        <v>HCL Technologies Ltd</v>
      </c>
      <c r="D350" s="61">
        <v>0.0107564577998828</v>
      </c>
      <c r="E350" s="62">
        <f t="shared" si="10"/>
        <v>0</v>
      </c>
      <c r="F350" s="60" t="str">
        <v>Information Technology</v>
      </c>
      <c r="G350" s="62">
        <f t="shared" si="11"/>
        <v>0</v>
      </c>
      <c r="H350" s="60"/>
      <c r="J350" s="6"/>
      <c r="M350" s="58" t="s">
        <v>1359</v>
      </c>
      <c r="N350" s="67" t="s">
        <v>45</v>
      </c>
      <c r="O350" s="60" t="str">
        <v>PVR Inox Ltd</v>
      </c>
      <c r="P350" s="68">
        <v>0.00229096638423127</v>
      </c>
      <c r="Q350" s="62">
        <f>P350*VLOOKUP(N350,'Selector Sheet '!$B$13:$D$43,2,FALSE)</f>
        <v>0</v>
      </c>
      <c r="R350" s="60" t="str">
        <v>Communication Services</v>
      </c>
      <c r="S350" s="62">
        <f>P350*VLOOKUP(N350,'Selector Sheet '!$B$13:$D$43,2,FALSE)</f>
        <v>0</v>
      </c>
      <c r="T350" s="60"/>
      <c r="X350" s="60" t="str">
        <v>INE006I01046</v>
      </c>
      <c r="Z350" s="58" t="s">
        <v>955</v>
      </c>
      <c r="AB350" t="s">
        <v>1299</v>
      </c>
      <c r="AC350" t="s">
        <v>1593</v>
      </c>
      <c r="AD350" t="s">
        <v>849</v>
      </c>
      <c r="AE350">
        <v>67.0615359575321</v>
      </c>
      <c r="AF350">
        <v>15.3943366004908</v>
      </c>
      <c r="AG350">
        <v>5238</v>
      </c>
      <c r="AH350">
        <v>19.5</v>
      </c>
      <c r="AI350">
        <v>351293632497.9</v>
      </c>
    </row>
    <row r="351" spans="1:35">
      <c r="A351" s="63" t="s">
        <v>960</v>
      </c>
      <c r="B351" s="59" t="s">
        <v>23</v>
      </c>
      <c r="C351" s="60" t="str">
        <v>HDFC Bank Ltd</v>
      </c>
      <c r="D351" s="64">
        <v>0.0802868500909101</v>
      </c>
      <c r="E351" s="62">
        <f t="shared" si="10"/>
        <v>0</v>
      </c>
      <c r="F351" s="60" t="str">
        <v>Financials</v>
      </c>
      <c r="G351" s="62">
        <f t="shared" si="11"/>
        <v>0</v>
      </c>
      <c r="H351" s="60"/>
      <c r="J351" s="6"/>
      <c r="M351" s="63" t="s">
        <v>1070</v>
      </c>
      <c r="N351" s="69" t="s">
        <v>45</v>
      </c>
      <c r="O351" s="60" t="str">
        <v>Reliance Industries Ltd</v>
      </c>
      <c r="P351" s="70">
        <v>0.04234436735076</v>
      </c>
      <c r="Q351" s="62">
        <f>P351*VLOOKUP(N351,'Selector Sheet '!$B$13:$D$43,2,FALSE)</f>
        <v>0</v>
      </c>
      <c r="R351" s="60" t="str">
        <v>Energy</v>
      </c>
      <c r="S351" s="62">
        <f>P351*VLOOKUP(N351,'Selector Sheet '!$B$13:$D$43,2,FALSE)</f>
        <v>0</v>
      </c>
      <c r="T351" s="60"/>
      <c r="X351" s="60" t="str">
        <v>INE382M01027</v>
      </c>
      <c r="Z351" s="63" t="s">
        <v>960</v>
      </c>
      <c r="AB351" t="s">
        <v>1594</v>
      </c>
      <c r="AC351" t="s">
        <v>1595</v>
      </c>
      <c r="AD351" t="s">
        <v>874</v>
      </c>
      <c r="AE351" t="s">
        <v>860</v>
      </c>
      <c r="AF351">
        <v>-7.35385584483986</v>
      </c>
      <c r="AG351">
        <v>-277.85</v>
      </c>
      <c r="AH351">
        <v>-7.11</v>
      </c>
      <c r="AI351">
        <v>10145366074.8</v>
      </c>
    </row>
    <row r="352" spans="1:35">
      <c r="A352" s="58" t="s">
        <v>963</v>
      </c>
      <c r="B352" s="59" t="s">
        <v>23</v>
      </c>
      <c r="C352" s="60" t="str">
        <v>HDFC Life Insurance Co Ltd</v>
      </c>
      <c r="D352" s="61">
        <v>0.00797712991856705</v>
      </c>
      <c r="E352" s="62">
        <f t="shared" si="10"/>
        <v>0</v>
      </c>
      <c r="F352" s="60" t="str">
        <v>Financials</v>
      </c>
      <c r="G352" s="62">
        <f t="shared" si="11"/>
        <v>0</v>
      </c>
      <c r="H352" s="60"/>
      <c r="J352" s="6"/>
      <c r="M352" s="58" t="s">
        <v>1174</v>
      </c>
      <c r="N352" s="67" t="s">
        <v>45</v>
      </c>
      <c r="O352" s="60" t="str">
        <v>SBI Life Insurance Co Ltd</v>
      </c>
      <c r="P352" s="68">
        <v>0.00471141185690407</v>
      </c>
      <c r="Q352" s="62">
        <f>P352*VLOOKUP(N352,'Selector Sheet '!$B$13:$D$43,2,FALSE)</f>
        <v>0</v>
      </c>
      <c r="R352" s="60" t="str">
        <v>Financials</v>
      </c>
      <c r="S352" s="62">
        <f>P352*VLOOKUP(N352,'Selector Sheet '!$B$13:$D$43,2,FALSE)</f>
        <v>0</v>
      </c>
      <c r="T352" s="60"/>
      <c r="X352" s="60" t="str">
        <v>INE227W01023</v>
      </c>
      <c r="Z352" s="58" t="s">
        <v>963</v>
      </c>
      <c r="AB352" t="s">
        <v>1596</v>
      </c>
      <c r="AC352" t="s">
        <v>1597</v>
      </c>
      <c r="AD352" t="s">
        <v>859</v>
      </c>
      <c r="AE352">
        <v>47.6406772037028</v>
      </c>
      <c r="AF352">
        <v>20.186816135863</v>
      </c>
      <c r="AG352">
        <v>2644.05</v>
      </c>
      <c r="AH352">
        <v>24.88</v>
      </c>
      <c r="AI352">
        <v>125958582092.7</v>
      </c>
    </row>
    <row r="353" spans="1:35">
      <c r="A353" s="63" t="s">
        <v>965</v>
      </c>
      <c r="B353" s="59" t="s">
        <v>23</v>
      </c>
      <c r="C353" s="60" t="str">
        <v>Hero MotoCorp Ltd</v>
      </c>
      <c r="D353" s="64">
        <v>0.00818329613326572</v>
      </c>
      <c r="E353" s="62">
        <f t="shared" si="10"/>
        <v>0</v>
      </c>
      <c r="F353" s="60" t="str">
        <v>Consumer Discretionary</v>
      </c>
      <c r="G353" s="62">
        <f t="shared" si="11"/>
        <v>0</v>
      </c>
      <c r="H353" s="60"/>
      <c r="J353" s="6"/>
      <c r="M353" s="63" t="s">
        <v>1061</v>
      </c>
      <c r="N353" s="69" t="s">
        <v>45</v>
      </c>
      <c r="O353" s="60" t="str">
        <v>Shree Cement Ltd</v>
      </c>
      <c r="P353" s="70">
        <v>0.016031022469497</v>
      </c>
      <c r="Q353" s="62">
        <f>P353*VLOOKUP(N353,'Selector Sheet '!$B$13:$D$43,2,FALSE)</f>
        <v>0</v>
      </c>
      <c r="R353" s="60" t="str">
        <v>Materials</v>
      </c>
      <c r="S353" s="62">
        <f>P353*VLOOKUP(N353,'Selector Sheet '!$B$13:$D$43,2,FALSE)</f>
        <v>0</v>
      </c>
      <c r="T353" s="60"/>
      <c r="X353" s="60" t="str">
        <v>INE03QK01018</v>
      </c>
      <c r="Z353" s="63" t="s">
        <v>965</v>
      </c>
      <c r="AB353" t="s">
        <v>1598</v>
      </c>
      <c r="AC353" t="s">
        <v>1599</v>
      </c>
      <c r="AD353" t="s">
        <v>855</v>
      </c>
      <c r="AE353">
        <v>84.676804923286</v>
      </c>
      <c r="AF353">
        <v>14.2969091813756</v>
      </c>
      <c r="AG353">
        <v>2678.7</v>
      </c>
      <c r="AH353">
        <v>10.52</v>
      </c>
      <c r="AI353">
        <v>340790808312</v>
      </c>
    </row>
    <row r="354" spans="1:35">
      <c r="A354" s="58" t="s">
        <v>967</v>
      </c>
      <c r="B354" s="59" t="s">
        <v>23</v>
      </c>
      <c r="C354" s="60" t="str">
        <v>Hindalco Industries Ltd</v>
      </c>
      <c r="D354" s="61">
        <v>0.00701004773605526</v>
      </c>
      <c r="E354" s="62">
        <f t="shared" si="10"/>
        <v>0</v>
      </c>
      <c r="F354" s="60" t="str">
        <v>Materials</v>
      </c>
      <c r="G354" s="62">
        <f t="shared" si="11"/>
        <v>0</v>
      </c>
      <c r="H354" s="60"/>
      <c r="J354" s="6"/>
      <c r="M354" s="58" t="s">
        <v>1347</v>
      </c>
      <c r="N354" s="67" t="s">
        <v>45</v>
      </c>
      <c r="O354" s="60" t="str">
        <v>Shriram Finance Ltd</v>
      </c>
      <c r="P354" s="68">
        <v>0.0100561427414116</v>
      </c>
      <c r="Q354" s="62">
        <f>P354*VLOOKUP(N354,'Selector Sheet '!$B$13:$D$43,2,FALSE)</f>
        <v>0</v>
      </c>
      <c r="R354" s="60" t="str">
        <v>Financials</v>
      </c>
      <c r="S354" s="62">
        <f>P354*VLOOKUP(N354,'Selector Sheet '!$B$13:$D$43,2,FALSE)</f>
        <v>0</v>
      </c>
      <c r="T354" s="60"/>
      <c r="X354" s="60" t="str">
        <v>INE406M01024</v>
      </c>
      <c r="Z354" s="58" t="s">
        <v>967</v>
      </c>
      <c r="AB354" t="s">
        <v>1600</v>
      </c>
      <c r="AC354" t="s">
        <v>1601</v>
      </c>
      <c r="AD354" t="s">
        <v>855</v>
      </c>
      <c r="AE354">
        <v>69.3887795424323</v>
      </c>
      <c r="AF354">
        <v>12.934010226926</v>
      </c>
      <c r="AG354">
        <v>3518.4</v>
      </c>
      <c r="AH354">
        <v>25.85</v>
      </c>
      <c r="AI354">
        <v>244314124604.1</v>
      </c>
    </row>
    <row r="355" spans="1:35">
      <c r="A355" s="63" t="s">
        <v>1307</v>
      </c>
      <c r="B355" s="59" t="s">
        <v>23</v>
      </c>
      <c r="C355" s="60" t="str">
        <v>Hindustan Aeronautics Ltd</v>
      </c>
      <c r="D355" s="64">
        <v>0.0062925753852875</v>
      </c>
      <c r="E355" s="62">
        <f t="shared" si="10"/>
        <v>0</v>
      </c>
      <c r="F355" s="60" t="str">
        <v>Industrials</v>
      </c>
      <c r="G355" s="62">
        <f t="shared" si="11"/>
        <v>0</v>
      </c>
      <c r="H355" s="60"/>
      <c r="J355" s="6"/>
      <c r="M355" s="63" t="s">
        <v>1063</v>
      </c>
      <c r="N355" s="69" t="s">
        <v>45</v>
      </c>
      <c r="O355" s="60" t="str">
        <v>Siemens Energy India Ltd</v>
      </c>
      <c r="P355" s="70">
        <v>0</v>
      </c>
      <c r="Q355" s="62">
        <f>P355*VLOOKUP(N355,'Selector Sheet '!$B$13:$D$43,2,FALSE)</f>
        <v>0</v>
      </c>
      <c r="R355" s="60" t="str">
        <v>Industrials</v>
      </c>
      <c r="S355" s="62">
        <f>P355*VLOOKUP(N355,'Selector Sheet '!$B$13:$D$43,2,FALSE)</f>
        <v>0</v>
      </c>
      <c r="T355" s="60"/>
      <c r="X355" s="60" t="str">
        <v>INE196A01026</v>
      </c>
      <c r="Z355" s="63" t="s">
        <v>1307</v>
      </c>
      <c r="AB355" t="s">
        <v>1023</v>
      </c>
      <c r="AC355" t="s">
        <v>1602</v>
      </c>
      <c r="AD355" t="s">
        <v>1016</v>
      </c>
      <c r="AE355">
        <v>56.0977482999176</v>
      </c>
      <c r="AF355" t="s">
        <v>860</v>
      </c>
      <c r="AG355">
        <v>16290</v>
      </c>
      <c r="AH355">
        <v>12.59</v>
      </c>
      <c r="AI355">
        <v>938457517092.9</v>
      </c>
    </row>
    <row r="356" spans="1:35">
      <c r="A356" s="58" t="s">
        <v>970</v>
      </c>
      <c r="B356" s="59" t="s">
        <v>23</v>
      </c>
      <c r="C356" s="60" t="str">
        <v>Hindustan Unilever Ltd</v>
      </c>
      <c r="D356" s="61">
        <v>0.0116071134093157</v>
      </c>
      <c r="E356" s="62">
        <f t="shared" si="10"/>
        <v>0</v>
      </c>
      <c r="F356" s="60" t="str">
        <v>Consumer Staples</v>
      </c>
      <c r="G356" s="62">
        <f t="shared" si="11"/>
        <v>0</v>
      </c>
      <c r="H356" s="60"/>
      <c r="J356" s="6"/>
      <c r="M356" s="58" t="s">
        <v>1066</v>
      </c>
      <c r="N356" s="67" t="s">
        <v>45</v>
      </c>
      <c r="O356" s="60" t="str">
        <v>Siemens Ltd</v>
      </c>
      <c r="P356" s="68">
        <v>0.00369815923370502</v>
      </c>
      <c r="Q356" s="62">
        <f>P356*VLOOKUP(N356,'Selector Sheet '!$B$13:$D$43,2,FALSE)</f>
        <v>0</v>
      </c>
      <c r="R356" s="60" t="str">
        <v>Industrials</v>
      </c>
      <c r="S356" s="62">
        <f>P356*VLOOKUP(N356,'Selector Sheet '!$B$13:$D$43,2,FALSE)</f>
        <v>0</v>
      </c>
      <c r="T356" s="60"/>
      <c r="X356" s="60" t="str">
        <v>INE317I01021</v>
      </c>
      <c r="Z356" s="58" t="s">
        <v>970</v>
      </c>
      <c r="AB356" t="s">
        <v>1603</v>
      </c>
      <c r="AC356" t="s">
        <v>1604</v>
      </c>
      <c r="AD356" t="s">
        <v>874</v>
      </c>
      <c r="AE356">
        <v>89.363849838174</v>
      </c>
      <c r="AF356">
        <v>19.6265135103364</v>
      </c>
      <c r="AG356">
        <v>3506.1</v>
      </c>
      <c r="AH356">
        <v>12.89</v>
      </c>
      <c r="AI356">
        <v>313651483393.1</v>
      </c>
    </row>
    <row r="357" spans="1:35">
      <c r="A357" s="63" t="s">
        <v>972</v>
      </c>
      <c r="B357" s="59" t="s">
        <v>23</v>
      </c>
      <c r="C357" s="60" t="str">
        <v>ICICI Bank Ltd</v>
      </c>
      <c r="D357" s="64">
        <v>0.0772588599573007</v>
      </c>
      <c r="E357" s="62">
        <f t="shared" si="10"/>
        <v>0</v>
      </c>
      <c r="F357" s="60" t="str">
        <v>Financials</v>
      </c>
      <c r="G357" s="62">
        <f t="shared" si="11"/>
        <v>0</v>
      </c>
      <c r="H357" s="60"/>
      <c r="J357" s="6"/>
      <c r="M357" s="63" t="s">
        <v>1077</v>
      </c>
      <c r="N357" s="69" t="s">
        <v>45</v>
      </c>
      <c r="O357" s="60" t="str">
        <v>State Bank of India</v>
      </c>
      <c r="P357" s="70">
        <v>0.0216905984857539</v>
      </c>
      <c r="Q357" s="62">
        <f>P357*VLOOKUP(N357,'Selector Sheet '!$B$13:$D$43,2,FALSE)</f>
        <v>0</v>
      </c>
      <c r="R357" s="60" t="str">
        <v>Financials</v>
      </c>
      <c r="S357" s="62">
        <f>P357*VLOOKUP(N357,'Selector Sheet '!$B$13:$D$43,2,FALSE)</f>
        <v>0</v>
      </c>
      <c r="T357" s="60"/>
      <c r="X357" s="60" t="str">
        <v>INE864A01011</v>
      </c>
      <c r="Z357" s="63" t="s">
        <v>972</v>
      </c>
      <c r="AB357" t="s">
        <v>1605</v>
      </c>
      <c r="AC357" t="s">
        <v>1606</v>
      </c>
      <c r="AD357" t="s">
        <v>860</v>
      </c>
      <c r="AE357" t="s">
        <v>860</v>
      </c>
      <c r="AF357" t="s">
        <v>860</v>
      </c>
      <c r="AG357">
        <v>-195.801</v>
      </c>
      <c r="AH357">
        <v>-2.19</v>
      </c>
      <c r="AI357" t="s">
        <v>860</v>
      </c>
    </row>
    <row r="358" spans="1:35">
      <c r="A358" s="58" t="s">
        <v>991</v>
      </c>
      <c r="B358" s="59" t="s">
        <v>23</v>
      </c>
      <c r="C358" s="60" t="str">
        <v>Infosys Ltd</v>
      </c>
      <c r="D358" s="61">
        <v>0.0406382694058687</v>
      </c>
      <c r="E358" s="62">
        <f t="shared" si="10"/>
        <v>0</v>
      </c>
      <c r="F358" s="60" t="str">
        <v>Information Technology</v>
      </c>
      <c r="G358" s="62">
        <f t="shared" si="11"/>
        <v>0</v>
      </c>
      <c r="H358" s="60"/>
      <c r="J358" s="6"/>
      <c r="M358" s="58" t="s">
        <v>1080</v>
      </c>
      <c r="N358" s="67" t="s">
        <v>45</v>
      </c>
      <c r="O358" s="60" t="str">
        <v>Sun Pharmaceutical Industries</v>
      </c>
      <c r="P358" s="68">
        <v>0.00962159823986572</v>
      </c>
      <c r="Q358" s="62">
        <f>P358*VLOOKUP(N358,'Selector Sheet '!$B$13:$D$43,2,FALSE)</f>
        <v>0</v>
      </c>
      <c r="R358" s="60" t="str">
        <v>Health Care</v>
      </c>
      <c r="S358" s="62">
        <f>P358*VLOOKUP(N358,'Selector Sheet '!$B$13:$D$43,2,FALSE)</f>
        <v>0</v>
      </c>
      <c r="T358" s="60"/>
      <c r="X358" s="60" t="str">
        <v>INE348C01011</v>
      </c>
      <c r="Z358" s="58" t="s">
        <v>991</v>
      </c>
      <c r="AB358" t="s">
        <v>1607</v>
      </c>
      <c r="AC358" t="s">
        <v>1608</v>
      </c>
      <c r="AD358" t="s">
        <v>860</v>
      </c>
      <c r="AE358" t="s">
        <v>860</v>
      </c>
      <c r="AF358" t="s">
        <v>860</v>
      </c>
      <c r="AG358" t="s">
        <v>860</v>
      </c>
      <c r="AH358" t="s">
        <v>860</v>
      </c>
      <c r="AI358" t="s">
        <v>860</v>
      </c>
    </row>
    <row r="359" spans="1:35">
      <c r="A359" s="63" t="s">
        <v>994</v>
      </c>
      <c r="B359" s="59" t="s">
        <v>23</v>
      </c>
      <c r="C359" s="60" t="str">
        <v>InterGlobe Aviation Ltd</v>
      </c>
      <c r="D359" s="64">
        <v>0.0229284542609249</v>
      </c>
      <c r="E359" s="62">
        <f t="shared" si="10"/>
        <v>0</v>
      </c>
      <c r="F359" s="60" t="str">
        <v>Industrials</v>
      </c>
      <c r="G359" s="62">
        <f t="shared" si="11"/>
        <v>0</v>
      </c>
      <c r="H359" s="60"/>
      <c r="J359" s="6"/>
      <c r="M359" s="63" t="s">
        <v>1089</v>
      </c>
      <c r="N359" s="69" t="s">
        <v>45</v>
      </c>
      <c r="O359" s="60" t="str">
        <v>Tata Chemicals Ltd</v>
      </c>
      <c r="P359" s="70">
        <v>0.00444406963987784</v>
      </c>
      <c r="Q359" s="62">
        <f>P359*VLOOKUP(N359,'Selector Sheet '!$B$13:$D$43,2,FALSE)</f>
        <v>0</v>
      </c>
      <c r="R359" s="60" t="str">
        <v>Materials</v>
      </c>
      <c r="S359" s="62">
        <f>P359*VLOOKUP(N359,'Selector Sheet '!$B$13:$D$43,2,FALSE)</f>
        <v>0</v>
      </c>
      <c r="T359" s="60"/>
      <c r="X359" s="60" t="str">
        <v>INE205C01021</v>
      </c>
      <c r="Z359" s="63" t="s">
        <v>994</v>
      </c>
      <c r="AB359" t="s">
        <v>1609</v>
      </c>
      <c r="AC359" t="s">
        <v>1610</v>
      </c>
      <c r="AD359" t="s">
        <v>855</v>
      </c>
      <c r="AE359">
        <v>55.8084719635476</v>
      </c>
      <c r="AF359" t="s">
        <v>860</v>
      </c>
      <c r="AG359">
        <v>3385.572</v>
      </c>
      <c r="AH359">
        <v>33.412734</v>
      </c>
      <c r="AI359">
        <v>193086282504</v>
      </c>
    </row>
    <row r="360" spans="1:35">
      <c r="A360" s="58" t="s">
        <v>997</v>
      </c>
      <c r="B360" s="59" t="s">
        <v>23</v>
      </c>
      <c r="C360" s="60" t="str">
        <v>ITC Ltd</v>
      </c>
      <c r="D360" s="61">
        <v>0.0287162115286248</v>
      </c>
      <c r="E360" s="62">
        <f t="shared" si="10"/>
        <v>0</v>
      </c>
      <c r="F360" s="60" t="str">
        <v>Consumer Staples</v>
      </c>
      <c r="G360" s="62">
        <f t="shared" si="11"/>
        <v>0</v>
      </c>
      <c r="H360" s="60"/>
      <c r="J360" s="6"/>
      <c r="M360" s="58" t="s">
        <v>1087</v>
      </c>
      <c r="N360" s="67" t="s">
        <v>45</v>
      </c>
      <c r="O360" s="60" t="str">
        <v>Tata Consultancy Services Ltd</v>
      </c>
      <c r="P360" s="68">
        <v>0.013859735516798</v>
      </c>
      <c r="Q360" s="62">
        <f>P360*VLOOKUP(N360,'Selector Sheet '!$B$13:$D$43,2,FALSE)</f>
        <v>0</v>
      </c>
      <c r="R360" s="60" t="str">
        <v>Information Technology</v>
      </c>
      <c r="S360" s="62">
        <f>P360*VLOOKUP(N360,'Selector Sheet '!$B$13:$D$43,2,FALSE)</f>
        <v>0</v>
      </c>
      <c r="T360" s="60"/>
      <c r="X360" s="60" t="str">
        <v>INE02A801020</v>
      </c>
      <c r="Z360" s="58" t="s">
        <v>997</v>
      </c>
      <c r="AB360" t="s">
        <v>1611</v>
      </c>
      <c r="AC360" t="s">
        <v>1612</v>
      </c>
      <c r="AD360" t="s">
        <v>859</v>
      </c>
      <c r="AE360">
        <v>25.6711268366978</v>
      </c>
      <c r="AF360">
        <v>12.2138101905939</v>
      </c>
      <c r="AG360">
        <v>1363.78</v>
      </c>
      <c r="AH360">
        <v>24.66</v>
      </c>
      <c r="AI360">
        <v>35050057826.3</v>
      </c>
    </row>
    <row r="361" spans="1:35">
      <c r="A361" s="63" t="s">
        <v>1008</v>
      </c>
      <c r="B361" s="59" t="s">
        <v>23</v>
      </c>
      <c r="C361" s="60" t="str">
        <v>Kotak Mahindra Bank Ltd</v>
      </c>
      <c r="D361" s="64">
        <v>0.0155921201110714</v>
      </c>
      <c r="E361" s="62">
        <f t="shared" si="10"/>
        <v>0</v>
      </c>
      <c r="F361" s="60" t="str">
        <v>Financials</v>
      </c>
      <c r="G361" s="62">
        <f t="shared" si="11"/>
        <v>0</v>
      </c>
      <c r="H361" s="60"/>
      <c r="J361" s="6"/>
      <c r="M361" s="63" t="s">
        <v>1090</v>
      </c>
      <c r="N361" s="69" t="s">
        <v>45</v>
      </c>
      <c r="O361" s="60" t="str">
        <v>Tata Motors Ltd</v>
      </c>
      <c r="P361" s="70">
        <v>0.00665487423244308</v>
      </c>
      <c r="Q361" s="62">
        <f>P361*VLOOKUP(N361,'Selector Sheet '!$B$13:$D$43,2,FALSE)</f>
        <v>0</v>
      </c>
      <c r="R361" s="60" t="str">
        <v>Consumer Discretionary</v>
      </c>
      <c r="S361" s="62">
        <f>P361*VLOOKUP(N361,'Selector Sheet '!$B$13:$D$43,2,FALSE)</f>
        <v>0</v>
      </c>
      <c r="T361" s="60"/>
      <c r="X361" s="60" t="str">
        <v>INE645A01014</v>
      </c>
      <c r="Z361" s="63" t="s">
        <v>1008</v>
      </c>
      <c r="AB361" t="s">
        <v>1613</v>
      </c>
      <c r="AC361" t="s">
        <v>1614</v>
      </c>
      <c r="AD361" t="s">
        <v>860</v>
      </c>
      <c r="AE361" t="s">
        <v>860</v>
      </c>
      <c r="AF361" t="s">
        <v>860</v>
      </c>
      <c r="AG361">
        <v>-9.36400032043457</v>
      </c>
      <c r="AH361">
        <v>-0.0500000007450581</v>
      </c>
      <c r="AI361" t="s">
        <v>860</v>
      </c>
    </row>
    <row r="362" spans="1:35">
      <c r="A362" s="58" t="s">
        <v>1011</v>
      </c>
      <c r="B362" s="59" t="s">
        <v>23</v>
      </c>
      <c r="C362" s="60" t="str">
        <v>Larsen &amp; Toubro Ltd</v>
      </c>
      <c r="D362" s="61">
        <v>0.0373991140925012</v>
      </c>
      <c r="E362" s="62">
        <f t="shared" si="10"/>
        <v>0</v>
      </c>
      <c r="F362" s="60" t="str">
        <v>Industrials</v>
      </c>
      <c r="G362" s="62">
        <f t="shared" si="11"/>
        <v>0</v>
      </c>
      <c r="H362" s="60"/>
      <c r="J362" s="6"/>
      <c r="M362" s="58" t="s">
        <v>1099</v>
      </c>
      <c r="N362" s="67" t="s">
        <v>45</v>
      </c>
      <c r="O362" s="60" t="str">
        <v>Tata Power Co Ltd/The</v>
      </c>
      <c r="P362" s="68">
        <v>0.00859878521892911</v>
      </c>
      <c r="Q362" s="62">
        <f>P362*VLOOKUP(N362,'Selector Sheet '!$B$13:$D$43,2,FALSE)</f>
        <v>0</v>
      </c>
      <c r="R362" s="60" t="str">
        <v>Utilities</v>
      </c>
      <c r="S362" s="62">
        <f>P362*VLOOKUP(N362,'Selector Sheet '!$B$13:$D$43,2,FALSE)</f>
        <v>0</v>
      </c>
      <c r="T362" s="60"/>
      <c r="X362" s="60" t="str">
        <v>INE258G01013</v>
      </c>
      <c r="Z362" s="58" t="s">
        <v>1011</v>
      </c>
      <c r="AB362" t="s">
        <v>1615</v>
      </c>
      <c r="AC362" t="s">
        <v>1616</v>
      </c>
      <c r="AD362" t="s">
        <v>859</v>
      </c>
      <c r="AE362">
        <v>58.5587376314937</v>
      </c>
      <c r="AF362">
        <v>18.9228242136204</v>
      </c>
      <c r="AG362">
        <v>5054.96</v>
      </c>
      <c r="AH362">
        <v>10.13</v>
      </c>
      <c r="AI362">
        <v>296093250595.2</v>
      </c>
    </row>
    <row r="363" spans="1:35">
      <c r="A363" s="63" t="s">
        <v>999</v>
      </c>
      <c r="B363" s="59" t="s">
        <v>23</v>
      </c>
      <c r="C363" s="60" t="str">
        <v>LTIMindtree Ltd</v>
      </c>
      <c r="D363" s="64">
        <v>0</v>
      </c>
      <c r="E363" s="62">
        <f t="shared" si="10"/>
        <v>0</v>
      </c>
      <c r="F363" s="60" t="str">
        <v>Information Technology</v>
      </c>
      <c r="G363" s="62">
        <f t="shared" si="11"/>
        <v>0</v>
      </c>
      <c r="H363" s="60"/>
      <c r="J363" s="6"/>
      <c r="M363" s="63" t="s">
        <v>1092</v>
      </c>
      <c r="N363" s="69" t="s">
        <v>45</v>
      </c>
      <c r="O363" s="60" t="str">
        <v>Tata Steel Ltd</v>
      </c>
      <c r="P363" s="70">
        <v>0.00518019035827352</v>
      </c>
      <c r="Q363" s="62">
        <f>P363*VLOOKUP(N363,'Selector Sheet '!$B$13:$D$43,2,FALSE)</f>
        <v>0</v>
      </c>
      <c r="R363" s="60" t="str">
        <v>Materials</v>
      </c>
      <c r="S363" s="62">
        <f>P363*VLOOKUP(N363,'Selector Sheet '!$B$13:$D$43,2,FALSE)</f>
        <v>0</v>
      </c>
      <c r="T363" s="60"/>
      <c r="X363" s="60" t="str">
        <v>INE284S01014</v>
      </c>
      <c r="Z363" s="63" t="s">
        <v>999</v>
      </c>
      <c r="AB363" t="s">
        <v>1617</v>
      </c>
      <c r="AC363" t="s">
        <v>1618</v>
      </c>
      <c r="AD363" t="s">
        <v>874</v>
      </c>
      <c r="AE363">
        <v>32.4246443370736</v>
      </c>
      <c r="AF363">
        <v>19.1922079762681</v>
      </c>
      <c r="AG363">
        <v>1178.13</v>
      </c>
      <c r="AH363">
        <v>37.82</v>
      </c>
      <c r="AI363">
        <v>38453584525.2</v>
      </c>
    </row>
    <row r="364" spans="1:35">
      <c r="A364" s="58" t="s">
        <v>1002</v>
      </c>
      <c r="B364" s="59" t="s">
        <v>23</v>
      </c>
      <c r="C364" s="60" t="str">
        <v>Mahindra &amp; Mahindra Ltd</v>
      </c>
      <c r="D364" s="61">
        <v>0.0306670552258103</v>
      </c>
      <c r="E364" s="62">
        <f t="shared" si="10"/>
        <v>0</v>
      </c>
      <c r="F364" s="60" t="str">
        <v>Consumer Discretionary</v>
      </c>
      <c r="G364" s="62">
        <f t="shared" si="11"/>
        <v>0</v>
      </c>
      <c r="H364" s="60"/>
      <c r="J364" s="6"/>
      <c r="M364" s="58" t="s">
        <v>1095</v>
      </c>
      <c r="N364" s="67" t="s">
        <v>45</v>
      </c>
      <c r="O364" s="60" t="str">
        <v>Tech Mahindra Ltd</v>
      </c>
      <c r="P364" s="68">
        <v>0.00861792595266854</v>
      </c>
      <c r="Q364" s="62">
        <f>P364*VLOOKUP(N364,'Selector Sheet '!$B$13:$D$43,2,FALSE)</f>
        <v>0</v>
      </c>
      <c r="R364" s="60" t="str">
        <v>Information Technology</v>
      </c>
      <c r="S364" s="62">
        <f>P364*VLOOKUP(N364,'Selector Sheet '!$B$13:$D$43,2,FALSE)</f>
        <v>0</v>
      </c>
      <c r="T364" s="60"/>
      <c r="X364" s="60" t="str">
        <v>INE524A01029</v>
      </c>
      <c r="Z364" s="58" t="s">
        <v>1002</v>
      </c>
      <c r="AB364" t="s">
        <v>1619</v>
      </c>
      <c r="AC364" t="s">
        <v>1620</v>
      </c>
      <c r="AD364" t="s">
        <v>874</v>
      </c>
      <c r="AE364">
        <v>67.9765395894428</v>
      </c>
      <c r="AF364">
        <v>22.4194062789273</v>
      </c>
      <c r="AG364">
        <v>2449.81</v>
      </c>
      <c r="AH364">
        <v>17.05</v>
      </c>
      <c r="AI364">
        <v>166483326460</v>
      </c>
    </row>
    <row r="365" spans="1:35">
      <c r="A365" s="63" t="s">
        <v>1343</v>
      </c>
      <c r="B365" s="59" t="s">
        <v>23</v>
      </c>
      <c r="C365" s="60" t="str">
        <v>Mahindra Lifespace Developers</v>
      </c>
      <c r="D365" s="64">
        <v>0.00321951721271787</v>
      </c>
      <c r="E365" s="62">
        <f t="shared" si="10"/>
        <v>0</v>
      </c>
      <c r="F365" s="60" t="str">
        <v>Real Estate</v>
      </c>
      <c r="G365" s="62">
        <f t="shared" si="11"/>
        <v>0</v>
      </c>
      <c r="H365" s="60"/>
      <c r="J365" s="6"/>
      <c r="M365" s="63" t="s">
        <v>1097</v>
      </c>
      <c r="N365" s="69" t="s">
        <v>45</v>
      </c>
      <c r="O365" s="60" t="str">
        <v>Federal Bank Ltd</v>
      </c>
      <c r="P365" s="70">
        <v>0.00593224174985441</v>
      </c>
      <c r="Q365" s="62">
        <f>P365*VLOOKUP(N365,'Selector Sheet '!$B$13:$D$43,2,FALSE)</f>
        <v>0</v>
      </c>
      <c r="R365" s="60" t="str">
        <v>Financials</v>
      </c>
      <c r="S365" s="62">
        <f>P365*VLOOKUP(N365,'Selector Sheet '!$B$13:$D$43,2,FALSE)</f>
        <v>0</v>
      </c>
      <c r="T365" s="60"/>
      <c r="X365" s="60" t="str">
        <v>INE526E01018</v>
      </c>
      <c r="Z365" s="63" t="s">
        <v>1343</v>
      </c>
      <c r="AB365" t="s">
        <v>1621</v>
      </c>
      <c r="AC365" t="s">
        <v>1622</v>
      </c>
      <c r="AD365" t="s">
        <v>874</v>
      </c>
      <c r="AE365">
        <v>21.4875673795862</v>
      </c>
      <c r="AF365">
        <v>23.4611414989982</v>
      </c>
      <c r="AG365">
        <v>5066.83</v>
      </c>
      <c r="AH365">
        <v>115.02</v>
      </c>
      <c r="AI365">
        <v>108869140016</v>
      </c>
    </row>
    <row r="366" spans="1:35">
      <c r="A366" s="58" t="s">
        <v>1026</v>
      </c>
      <c r="B366" s="59" t="s">
        <v>23</v>
      </c>
      <c r="C366" s="60" t="str">
        <v>Maruti Suzuki India Ltd</v>
      </c>
      <c r="D366" s="61">
        <v>0.020127177345402</v>
      </c>
      <c r="E366" s="62">
        <f t="shared" si="10"/>
        <v>0</v>
      </c>
      <c r="F366" s="60" t="str">
        <v>Consumer Discretionary</v>
      </c>
      <c r="G366" s="62">
        <f t="shared" si="11"/>
        <v>0</v>
      </c>
      <c r="H366" s="60"/>
      <c r="J366" s="6"/>
      <c r="M366" s="58" t="s">
        <v>1105</v>
      </c>
      <c r="N366" s="67" t="s">
        <v>45</v>
      </c>
      <c r="O366" s="60" t="str">
        <v>TVS Motor Co Ltd</v>
      </c>
      <c r="P366" s="68">
        <v>0.00818251413662507</v>
      </c>
      <c r="Q366" s="62">
        <f>P366*VLOOKUP(N366,'Selector Sheet '!$B$13:$D$43,2,FALSE)</f>
        <v>0</v>
      </c>
      <c r="R366" s="60" t="str">
        <v>Consumer Discretionary</v>
      </c>
      <c r="S366" s="62">
        <f>P366*VLOOKUP(N366,'Selector Sheet '!$B$13:$D$43,2,FALSE)</f>
        <v>0</v>
      </c>
      <c r="T366" s="60"/>
      <c r="X366" s="60" t="str">
        <v>INE481N01025</v>
      </c>
      <c r="Z366" s="58" t="s">
        <v>1026</v>
      </c>
      <c r="AB366" t="s">
        <v>1623</v>
      </c>
      <c r="AC366" t="s">
        <v>1624</v>
      </c>
      <c r="AD366" t="s">
        <v>867</v>
      </c>
      <c r="AE366">
        <v>29.7151517901442</v>
      </c>
      <c r="AF366">
        <v>16.4586333968515</v>
      </c>
      <c r="AG366">
        <v>3820.68</v>
      </c>
      <c r="AH366">
        <v>42.83</v>
      </c>
      <c r="AI366">
        <v>131429943401.9</v>
      </c>
    </row>
    <row r="367" spans="1:35">
      <c r="A367" s="63" t="s">
        <v>1010</v>
      </c>
      <c r="B367" s="59" t="s">
        <v>23</v>
      </c>
      <c r="C367" s="60" t="str">
        <v>Mphasis Ltd</v>
      </c>
      <c r="D367" s="64">
        <v>0.00806497440128619</v>
      </c>
      <c r="E367" s="62">
        <f t="shared" si="10"/>
        <v>0</v>
      </c>
      <c r="F367" s="60" t="str">
        <v>Information Technology</v>
      </c>
      <c r="G367" s="62">
        <f t="shared" si="11"/>
        <v>0</v>
      </c>
      <c r="H367" s="60"/>
      <c r="J367" s="6"/>
      <c r="M367" s="63" t="s">
        <v>1107</v>
      </c>
      <c r="N367" s="69" t="s">
        <v>45</v>
      </c>
      <c r="O367" s="60" t="str">
        <v>UltraTech Cement Ltd</v>
      </c>
      <c r="P367" s="70">
        <v>0.00244223799556572</v>
      </c>
      <c r="Q367" s="62">
        <f>P367*VLOOKUP(N367,'Selector Sheet '!$B$13:$D$43,2,FALSE)</f>
        <v>0</v>
      </c>
      <c r="R367" s="60" t="str">
        <v>Materials</v>
      </c>
      <c r="S367" s="62">
        <f>P367*VLOOKUP(N367,'Selector Sheet '!$B$13:$D$43,2,FALSE)</f>
        <v>0</v>
      </c>
      <c r="T367" s="60"/>
      <c r="X367" s="60" t="str">
        <v>INE883F01010</v>
      </c>
      <c r="Z367" s="63" t="s">
        <v>1010</v>
      </c>
      <c r="AB367" t="s">
        <v>1625</v>
      </c>
      <c r="AC367" t="s">
        <v>1626</v>
      </c>
      <c r="AD367" t="s">
        <v>867</v>
      </c>
      <c r="AE367">
        <v>23.4997669670329</v>
      </c>
      <c r="AF367">
        <v>18.4019215922606</v>
      </c>
      <c r="AG367">
        <v>9118.3</v>
      </c>
      <c r="AH367">
        <v>21.43</v>
      </c>
      <c r="AI367">
        <v>217585087652.8</v>
      </c>
    </row>
    <row r="368" spans="1:35">
      <c r="A368" s="58" t="s">
        <v>1166</v>
      </c>
      <c r="B368" s="59" t="s">
        <v>23</v>
      </c>
      <c r="C368" s="60" t="str">
        <v>NTPC Green Energy Ltd</v>
      </c>
      <c r="D368" s="61">
        <v>0</v>
      </c>
      <c r="E368" s="62">
        <f t="shared" si="10"/>
        <v>0</v>
      </c>
      <c r="F368" s="60" t="str">
        <v>Utilities</v>
      </c>
      <c r="G368" s="62">
        <f t="shared" si="11"/>
        <v>0</v>
      </c>
      <c r="H368" s="60"/>
      <c r="J368" s="6"/>
      <c r="M368" s="58" t="s">
        <v>1112</v>
      </c>
      <c r="N368" s="67" t="s">
        <v>45</v>
      </c>
      <c r="O368" s="60" t="str">
        <v>United Spirits Ltd</v>
      </c>
      <c r="P368" s="68">
        <v>4.00759112669369e-6</v>
      </c>
      <c r="Q368" s="62">
        <f>P368*VLOOKUP(N368,'Selector Sheet '!$B$13:$D$43,2,FALSE)</f>
        <v>0</v>
      </c>
      <c r="R368" s="60" t="str">
        <v>Consumer Staples</v>
      </c>
      <c r="S368" s="62">
        <f>P368*VLOOKUP(N368,'Selector Sheet '!$B$13:$D$43,2,FALSE)</f>
        <v>0</v>
      </c>
      <c r="T368" s="60"/>
      <c r="X368" s="60" t="str">
        <v>INE659A01023</v>
      </c>
      <c r="Z368" s="58" t="s">
        <v>1166</v>
      </c>
      <c r="AB368" t="s">
        <v>1627</v>
      </c>
      <c r="AC368" t="s">
        <v>1628</v>
      </c>
      <c r="AD368" t="s">
        <v>859</v>
      </c>
      <c r="AE368">
        <v>203.692086130494</v>
      </c>
      <c r="AF368">
        <v>2.42980793347348</v>
      </c>
      <c r="AG368">
        <v>557.53</v>
      </c>
      <c r="AH368">
        <v>7.095514</v>
      </c>
      <c r="AI368">
        <v>113561390690.5</v>
      </c>
    </row>
    <row r="369" spans="1:35">
      <c r="A369" s="63" t="s">
        <v>1028</v>
      </c>
      <c r="B369" s="59" t="s">
        <v>23</v>
      </c>
      <c r="C369" s="60" t="str">
        <v>NTPC Ltd</v>
      </c>
      <c r="D369" s="64">
        <v>0.0241473121710673</v>
      </c>
      <c r="E369" s="62">
        <f t="shared" si="10"/>
        <v>0</v>
      </c>
      <c r="F369" s="60" t="str">
        <v>Utilities</v>
      </c>
      <c r="G369" s="62">
        <f t="shared" si="11"/>
        <v>0</v>
      </c>
      <c r="H369" s="60"/>
      <c r="J369" s="6"/>
      <c r="M369" s="63" t="s">
        <v>1277</v>
      </c>
      <c r="N369" s="69" t="s">
        <v>45</v>
      </c>
      <c r="O369" s="60" t="str">
        <v>UPL Ltd</v>
      </c>
      <c r="P369" s="70">
        <v>0.00125493429405586</v>
      </c>
      <c r="Q369" s="62">
        <f>P369*VLOOKUP(N369,'Selector Sheet '!$B$13:$D$43,2,FALSE)</f>
        <v>0</v>
      </c>
      <c r="R369" s="60" t="str">
        <v>Materials</v>
      </c>
      <c r="S369" s="62">
        <f>P369*VLOOKUP(N369,'Selector Sheet '!$B$13:$D$43,2,FALSE)</f>
        <v>0</v>
      </c>
      <c r="T369" s="60"/>
      <c r="X369" s="60" t="str">
        <v>INE0BWX01014</v>
      </c>
      <c r="Z369" s="63" t="s">
        <v>1028</v>
      </c>
      <c r="AB369" t="s">
        <v>1629</v>
      </c>
      <c r="AC369" t="s">
        <v>1630</v>
      </c>
      <c r="AD369" t="s">
        <v>855</v>
      </c>
      <c r="AE369">
        <v>56.5634459527238</v>
      </c>
      <c r="AF369" t="s">
        <v>860</v>
      </c>
      <c r="AG369">
        <v>1584.18</v>
      </c>
      <c r="AH369">
        <v>11.95</v>
      </c>
      <c r="AI369">
        <v>99296831484.9</v>
      </c>
    </row>
    <row r="370" spans="1:35">
      <c r="A370" s="58" t="s">
        <v>1031</v>
      </c>
      <c r="B370" s="59" t="s">
        <v>23</v>
      </c>
      <c r="C370" s="60" t="str">
        <v>Oberoi Realty Ltd</v>
      </c>
      <c r="D370" s="61">
        <v>0.00575303524926904</v>
      </c>
      <c r="E370" s="62">
        <f t="shared" si="10"/>
        <v>0</v>
      </c>
      <c r="F370" s="60" t="str">
        <v>Real Estate</v>
      </c>
      <c r="G370" s="62">
        <f t="shared" si="11"/>
        <v>0</v>
      </c>
      <c r="H370" s="60"/>
      <c r="J370" s="6"/>
      <c r="M370" s="58" t="s">
        <v>1118</v>
      </c>
      <c r="N370" s="67" t="s">
        <v>45</v>
      </c>
      <c r="O370" s="60" t="str">
        <v>Varun Beverages Ltd</v>
      </c>
      <c r="P370" s="68">
        <v>0.00498489505933837</v>
      </c>
      <c r="Q370" s="62">
        <f>P370*VLOOKUP(N370,'Selector Sheet '!$B$13:$D$43,2,FALSE)</f>
        <v>0</v>
      </c>
      <c r="R370" s="60" t="str">
        <v>Consumer Staples</v>
      </c>
      <c r="S370" s="62">
        <f>P370*VLOOKUP(N370,'Selector Sheet '!$B$13:$D$43,2,FALSE)</f>
        <v>0</v>
      </c>
      <c r="T370" s="60"/>
      <c r="X370" s="60" t="str">
        <v>INE052I01032</v>
      </c>
      <c r="Z370" s="58" t="s">
        <v>1031</v>
      </c>
      <c r="AB370" t="s">
        <v>1631</v>
      </c>
      <c r="AC370" t="s">
        <v>1632</v>
      </c>
      <c r="AD370" t="s">
        <v>859</v>
      </c>
      <c r="AE370">
        <v>69.7404854850373</v>
      </c>
      <c r="AF370">
        <v>-15.7432095287665</v>
      </c>
      <c r="AG370">
        <v>-1390.459</v>
      </c>
      <c r="AH370">
        <v>-8.03</v>
      </c>
      <c r="AI370">
        <v>37875479968.6</v>
      </c>
    </row>
    <row r="371" spans="1:35">
      <c r="A371" s="63" t="s">
        <v>1041</v>
      </c>
      <c r="B371" s="59" t="s">
        <v>23</v>
      </c>
      <c r="C371" s="60" t="str">
        <v>Persistent Systems Ltd</v>
      </c>
      <c r="D371" s="64">
        <v>0.00722539966991553</v>
      </c>
      <c r="E371" s="62">
        <f t="shared" si="10"/>
        <v>0</v>
      </c>
      <c r="F371" s="60" t="str">
        <v>Information Technology</v>
      </c>
      <c r="G371" s="62">
        <f t="shared" si="11"/>
        <v>0</v>
      </c>
      <c r="H371" s="60"/>
      <c r="J371" s="6"/>
      <c r="M371" s="63" t="s">
        <v>1121</v>
      </c>
      <c r="N371" s="69" t="s">
        <v>45</v>
      </c>
      <c r="O371" s="60" t="str">
        <v>Vishal Mega Mart Ltd</v>
      </c>
      <c r="P371" s="70">
        <v>0.00742548814809836</v>
      </c>
      <c r="Q371" s="62">
        <f>P371*VLOOKUP(N371,'Selector Sheet '!$B$13:$D$43,2,FALSE)</f>
        <v>0</v>
      </c>
      <c r="R371" s="60" t="str">
        <v>Consumer Discretionary</v>
      </c>
      <c r="S371" s="62">
        <f>P371*VLOOKUP(N371,'Selector Sheet '!$B$13:$D$43,2,FALSE)</f>
        <v>0</v>
      </c>
      <c r="T371" s="60"/>
      <c r="X371" s="60" t="str">
        <v>INE0BY001018</v>
      </c>
      <c r="Z371" s="63" t="s">
        <v>1041</v>
      </c>
      <c r="AB371" t="s">
        <v>1633</v>
      </c>
      <c r="AC371" t="s">
        <v>1634</v>
      </c>
      <c r="AD371" t="s">
        <v>859</v>
      </c>
      <c r="AE371">
        <v>43.7916913521672</v>
      </c>
      <c r="AF371">
        <v>8.86812977685445</v>
      </c>
      <c r="AG371">
        <v>2511.7</v>
      </c>
      <c r="AH371">
        <v>15.89</v>
      </c>
      <c r="AI371">
        <v>110835780573.15</v>
      </c>
    </row>
    <row r="372" spans="1:35">
      <c r="A372" s="58" t="s">
        <v>1345</v>
      </c>
      <c r="B372" s="59" t="s">
        <v>23</v>
      </c>
      <c r="C372" s="60" t="str">
        <v>Poonawalla Fincorp Ltd</v>
      </c>
      <c r="D372" s="61">
        <v>0.00673664205709365</v>
      </c>
      <c r="E372" s="62">
        <f t="shared" si="10"/>
        <v>0</v>
      </c>
      <c r="F372" s="60" t="str">
        <v>Financials</v>
      </c>
      <c r="G372" s="62">
        <f t="shared" si="11"/>
        <v>0</v>
      </c>
      <c r="H372" s="60"/>
      <c r="J372" s="6"/>
      <c r="M372" s="58" t="s">
        <v>1635</v>
      </c>
      <c r="N372" s="67" t="s">
        <v>45</v>
      </c>
      <c r="O372" s="60" t="str">
        <v>Yatra Online Ltd</v>
      </c>
      <c r="P372" s="68">
        <v>0.000191606720037445</v>
      </c>
      <c r="Q372" s="62">
        <f>P372*VLOOKUP(N372,'Selector Sheet '!$B$13:$D$43,2,FALSE)</f>
        <v>0</v>
      </c>
      <c r="R372" s="60" t="str">
        <v>Consumer Discretionary</v>
      </c>
      <c r="S372" s="62">
        <f>P372*VLOOKUP(N372,'Selector Sheet '!$B$13:$D$43,2,FALSE)</f>
        <v>0</v>
      </c>
      <c r="T372" s="60"/>
      <c r="X372" s="60" t="str">
        <v>INE945H01013</v>
      </c>
      <c r="Z372" s="58" t="s">
        <v>1345</v>
      </c>
      <c r="AB372" t="s">
        <v>1636</v>
      </c>
      <c r="AC372" t="s">
        <v>1637</v>
      </c>
      <c r="AD372" t="s">
        <v>874</v>
      </c>
      <c r="AE372">
        <v>85.017613696319</v>
      </c>
      <c r="AF372">
        <v>23.1878979784018</v>
      </c>
      <c r="AG372">
        <v>720</v>
      </c>
      <c r="AH372">
        <v>20.815686</v>
      </c>
      <c r="AI372">
        <v>61212756767.7</v>
      </c>
    </row>
    <row r="373" spans="1:35">
      <c r="A373" s="63" t="s">
        <v>1056</v>
      </c>
      <c r="B373" s="59" t="s">
        <v>23</v>
      </c>
      <c r="C373" s="60" t="str">
        <v>Power Finance Corp Ltd</v>
      </c>
      <c r="D373" s="64">
        <v>0.00924475916286848</v>
      </c>
      <c r="E373" s="62">
        <f t="shared" si="10"/>
        <v>0</v>
      </c>
      <c r="F373" s="60" t="str">
        <v>Financials</v>
      </c>
      <c r="G373" s="62">
        <f t="shared" si="11"/>
        <v>0</v>
      </c>
      <c r="H373" s="60"/>
      <c r="J373" s="6"/>
      <c r="M373" s="63"/>
      <c r="N373" s="69"/>
      <c r="O373" s="60" t="str">
        <v>#N/A Invalid Security</v>
      </c>
      <c r="P373" s="64"/>
      <c r="Q373" s="62" t="e">
        <f>P373*VLOOKUP(N373,'Selector Sheet '!$B$13:$D$43,2,FALSE)</f>
        <v>#N/A</v>
      </c>
      <c r="R373" s="60" t="str">
        <v>#N/A Invalid Security</v>
      </c>
      <c r="S373" s="62" t="e">
        <f>P373*VLOOKUP(N373,'Selector Sheet '!$B$13:$D$43,2,FALSE)</f>
        <v>#N/A</v>
      </c>
      <c r="T373" s="60"/>
      <c r="X373" s="60" t="str">
        <v>INE0KCE01017</v>
      </c>
      <c r="Z373" s="63" t="s">
        <v>1056</v>
      </c>
      <c r="AB373" t="s">
        <v>1638</v>
      </c>
      <c r="AC373" t="s">
        <v>1639</v>
      </c>
      <c r="AD373" t="s">
        <v>874</v>
      </c>
      <c r="AE373">
        <v>65.9875467728985</v>
      </c>
      <c r="AF373">
        <v>3.80806337157953</v>
      </c>
      <c r="AG373">
        <v>1644.004</v>
      </c>
      <c r="AH373">
        <v>8.497058</v>
      </c>
      <c r="AI373">
        <v>108441449543.7</v>
      </c>
    </row>
    <row r="374" spans="1:35">
      <c r="A374" s="58" t="s">
        <v>1070</v>
      </c>
      <c r="B374" s="59" t="s">
        <v>23</v>
      </c>
      <c r="C374" s="60" t="str">
        <v>Reliance Industries Ltd</v>
      </c>
      <c r="D374" s="61">
        <v>0.0662117756723228</v>
      </c>
      <c r="E374" s="62">
        <f t="shared" si="10"/>
        <v>0</v>
      </c>
      <c r="F374" s="60" t="str">
        <v>Energy</v>
      </c>
      <c r="G374" s="62">
        <f t="shared" si="11"/>
        <v>0</v>
      </c>
      <c r="H374" s="60"/>
      <c r="J374" s="6"/>
      <c r="M374" s="58"/>
      <c r="N374" s="67"/>
      <c r="O374" s="60" t="str">
        <v>#N/A Invalid Security</v>
      </c>
      <c r="P374" s="61"/>
      <c r="Q374" s="62" t="e">
        <f>P374*VLOOKUP(N374,'Selector Sheet '!$B$13:$D$43,2,FALSE)</f>
        <v>#N/A</v>
      </c>
      <c r="R374" s="60" t="str">
        <v>#N/A Invalid Security</v>
      </c>
      <c r="S374" s="62" t="e">
        <f>P374*VLOOKUP(N374,'Selector Sheet '!$B$13:$D$43,2,FALSE)</f>
        <v>#N/A</v>
      </c>
      <c r="T374" s="60"/>
      <c r="X374" s="60" t="str">
        <v>INE0LCL01028</v>
      </c>
      <c r="Z374" s="58" t="s">
        <v>1070</v>
      </c>
      <c r="AB374" t="s">
        <v>1640</v>
      </c>
      <c r="AC374" t="s">
        <v>1641</v>
      </c>
      <c r="AD374" t="s">
        <v>920</v>
      </c>
      <c r="AE374">
        <v>88.487525987526</v>
      </c>
      <c r="AF374">
        <v>10.9482538433395</v>
      </c>
      <c r="AG374">
        <v>634.39</v>
      </c>
      <c r="AH374">
        <v>9.62</v>
      </c>
      <c r="AI374">
        <v>56604419508.75</v>
      </c>
    </row>
    <row r="375" spans="1:35">
      <c r="A375" s="63" t="s">
        <v>1055</v>
      </c>
      <c r="B375" s="59" t="s">
        <v>23</v>
      </c>
      <c r="C375" s="60" t="str">
        <v>Samvardhana Motherson Internat</v>
      </c>
      <c r="D375" s="64">
        <v>0.00536812460886362</v>
      </c>
      <c r="E375" s="62">
        <f t="shared" si="10"/>
        <v>0</v>
      </c>
      <c r="F375" s="60" t="str">
        <v>Consumer Discretionary</v>
      </c>
      <c r="G375" s="62">
        <f t="shared" si="11"/>
        <v>0</v>
      </c>
      <c r="H375" s="60"/>
      <c r="J375" s="6"/>
      <c r="M375" s="63"/>
      <c r="N375" s="69"/>
      <c r="O375" s="60" t="str">
        <v>#N/A Invalid Security</v>
      </c>
      <c r="P375" s="64"/>
      <c r="Q375" s="62" t="e">
        <f>P375*VLOOKUP(N375,'Selector Sheet '!$B$13:$D$43,2,FALSE)</f>
        <v>#N/A</v>
      </c>
      <c r="R375" s="60" t="str">
        <v>#N/A Invalid Security</v>
      </c>
      <c r="S375" s="62" t="e">
        <f>P375*VLOOKUP(N375,'Selector Sheet '!$B$13:$D$43,2,FALSE)</f>
        <v>#N/A</v>
      </c>
      <c r="T375" s="60"/>
      <c r="X375" s="60" t="str">
        <v>INE457L01029</v>
      </c>
      <c r="Z375" s="63" t="s">
        <v>1055</v>
      </c>
      <c r="AB375" t="s">
        <v>1051</v>
      </c>
      <c r="AC375" t="s">
        <v>1642</v>
      </c>
      <c r="AD375" t="s">
        <v>920</v>
      </c>
      <c r="AE375">
        <v>51.6569596783647</v>
      </c>
      <c r="AF375">
        <v>14.8874715376258</v>
      </c>
      <c r="AG375">
        <v>2877.963</v>
      </c>
      <c r="AH375">
        <v>10.166104</v>
      </c>
      <c r="AI375">
        <v>148812101048.7</v>
      </c>
    </row>
    <row r="376" spans="1:35">
      <c r="A376" s="58" t="s">
        <v>1058</v>
      </c>
      <c r="B376" s="59" t="s">
        <v>23</v>
      </c>
      <c r="C376" s="60" t="str">
        <v>Schaeffler India Ltd</v>
      </c>
      <c r="D376" s="61">
        <v>0.00637655219678069</v>
      </c>
      <c r="E376" s="62">
        <f t="shared" si="10"/>
        <v>0</v>
      </c>
      <c r="F376" s="60" t="str">
        <v>Industrials</v>
      </c>
      <c r="G376" s="62">
        <f t="shared" si="11"/>
        <v>0</v>
      </c>
      <c r="H376" s="60"/>
      <c r="J376" s="6"/>
      <c r="M376" s="58"/>
      <c r="N376" s="67"/>
      <c r="O376" s="60" t="str">
        <v>#N/A Invalid Security</v>
      </c>
      <c r="P376" s="61"/>
      <c r="Q376" s="62" t="e">
        <f>P376*VLOOKUP(N376,'Selector Sheet '!$B$13:$D$43,2,FALSE)</f>
        <v>#N/A</v>
      </c>
      <c r="R376" s="60" t="str">
        <v>#N/A Invalid Security</v>
      </c>
      <c r="S376" s="62" t="e">
        <f>P376*VLOOKUP(N376,'Selector Sheet '!$B$13:$D$43,2,FALSE)</f>
        <v>#N/A</v>
      </c>
      <c r="T376" s="60"/>
      <c r="X376" s="60" t="str">
        <v>INE00E101023</v>
      </c>
      <c r="Z376" s="58" t="s">
        <v>1058</v>
      </c>
      <c r="AB376" t="s">
        <v>1643</v>
      </c>
      <c r="AC376" t="s">
        <v>1644</v>
      </c>
      <c r="AD376" t="s">
        <v>1016</v>
      </c>
      <c r="AE376">
        <v>94.6446368819163</v>
      </c>
      <c r="AF376">
        <v>15.4404609449439</v>
      </c>
      <c r="AG376">
        <v>2008.451</v>
      </c>
      <c r="AH376">
        <v>8.02</v>
      </c>
      <c r="AI376">
        <v>190212396525.5</v>
      </c>
    </row>
    <row r="377" spans="1:35">
      <c r="A377" s="63" t="s">
        <v>1347</v>
      </c>
      <c r="B377" s="59" t="s">
        <v>23</v>
      </c>
      <c r="C377" s="60" t="str">
        <v>Shriram Finance Ltd</v>
      </c>
      <c r="D377" s="64">
        <v>0.01309078109912</v>
      </c>
      <c r="E377" s="62">
        <f t="shared" si="10"/>
        <v>0</v>
      </c>
      <c r="F377" s="60" t="str">
        <v>Financials</v>
      </c>
      <c r="G377" s="62">
        <f t="shared" si="11"/>
        <v>0</v>
      </c>
      <c r="H377" s="60"/>
      <c r="J377" s="6"/>
      <c r="M377" s="63"/>
      <c r="N377" s="69"/>
      <c r="O377" s="60" t="str">
        <v>#N/A Invalid Security</v>
      </c>
      <c r="P377" s="64"/>
      <c r="Q377" s="62" t="e">
        <f>P377*VLOOKUP(N377,'Selector Sheet '!$B$13:$D$43,2,FALSE)</f>
        <v>#N/A</v>
      </c>
      <c r="R377" s="60" t="str">
        <v>#N/A Invalid Security</v>
      </c>
      <c r="S377" s="62" t="e">
        <f>P377*VLOOKUP(N377,'Selector Sheet '!$B$13:$D$43,2,FALSE)</f>
        <v>#N/A</v>
      </c>
      <c r="T377" s="60"/>
      <c r="X377" s="60" t="str">
        <v>INE0DYJ01015</v>
      </c>
      <c r="Z377" s="63" t="s">
        <v>1347</v>
      </c>
      <c r="AB377" t="s">
        <v>1645</v>
      </c>
      <c r="AC377" t="s">
        <v>1646</v>
      </c>
      <c r="AD377" t="s">
        <v>920</v>
      </c>
      <c r="AE377">
        <v>74.6073298429319</v>
      </c>
      <c r="AF377">
        <v>10.1036349556233</v>
      </c>
      <c r="AG377">
        <v>1698.71</v>
      </c>
      <c r="AH377">
        <v>9.55</v>
      </c>
      <c r="AI377">
        <v>126937583550</v>
      </c>
    </row>
    <row r="378" spans="1:35">
      <c r="A378" s="58" t="s">
        <v>1069</v>
      </c>
      <c r="B378" s="59" t="s">
        <v>23</v>
      </c>
      <c r="C378" s="60" t="str">
        <v>Solar Industries India Ltd</v>
      </c>
      <c r="D378" s="61">
        <v>0.0158120068894441</v>
      </c>
      <c r="E378" s="62">
        <f t="shared" si="10"/>
        <v>0</v>
      </c>
      <c r="F378" s="60" t="str">
        <v>Materials</v>
      </c>
      <c r="G378" s="62">
        <f t="shared" si="11"/>
        <v>0</v>
      </c>
      <c r="H378" s="60"/>
      <c r="J378" s="6"/>
      <c r="O378" s="60"/>
      <c r="P378" s="2"/>
      <c r="Q378" s="62"/>
      <c r="R378" s="60"/>
      <c r="S378" s="62"/>
      <c r="T378" s="60"/>
      <c r="X378" s="60" t="str">
        <v>INE893J01029</v>
      </c>
      <c r="Z378" s="58" t="s">
        <v>1069</v>
      </c>
      <c r="AB378" t="s">
        <v>1647</v>
      </c>
      <c r="AC378" t="s">
        <v>1648</v>
      </c>
      <c r="AD378" t="s">
        <v>859</v>
      </c>
      <c r="AE378">
        <v>43.7815593966537</v>
      </c>
      <c r="AF378">
        <v>15.8359504000836</v>
      </c>
      <c r="AG378">
        <v>605.523</v>
      </c>
      <c r="AH378">
        <v>18.22</v>
      </c>
      <c r="AI378">
        <v>26506704697.8</v>
      </c>
    </row>
    <row r="379" spans="1:35">
      <c r="A379" s="63" t="s">
        <v>1077</v>
      </c>
      <c r="B379" s="59" t="s">
        <v>23</v>
      </c>
      <c r="C379" s="60" t="str">
        <v>State Bank of India</v>
      </c>
      <c r="D379" s="64">
        <v>0.0296157641715317</v>
      </c>
      <c r="E379" s="62">
        <f t="shared" si="10"/>
        <v>0</v>
      </c>
      <c r="F379" s="60" t="str">
        <v>Financials</v>
      </c>
      <c r="G379" s="62">
        <f t="shared" si="11"/>
        <v>0</v>
      </c>
      <c r="H379" s="60"/>
      <c r="J379" s="6"/>
      <c r="O379" s="60"/>
      <c r="P379" s="2"/>
      <c r="Q379" s="62"/>
      <c r="R379" s="60"/>
      <c r="S379" s="62"/>
      <c r="T379" s="60"/>
      <c r="X379" s="60" t="str">
        <v>INE510A01028</v>
      </c>
      <c r="Z379" s="63" t="s">
        <v>1077</v>
      </c>
      <c r="AB379" t="s">
        <v>1649</v>
      </c>
      <c r="AC379" t="s">
        <v>1650</v>
      </c>
      <c r="AD379" t="s">
        <v>849</v>
      </c>
      <c r="AE379">
        <v>18.5658920642942</v>
      </c>
      <c r="AF379">
        <v>23.5459498829416</v>
      </c>
      <c r="AG379">
        <v>5797.713</v>
      </c>
      <c r="AH379">
        <v>10.32</v>
      </c>
      <c r="AI379">
        <v>107687318666.8</v>
      </c>
    </row>
    <row r="380" spans="1:35">
      <c r="A380" s="58" t="s">
        <v>1080</v>
      </c>
      <c r="B380" s="59" t="s">
        <v>23</v>
      </c>
      <c r="C380" s="60" t="str">
        <v>Sun Pharmaceutical Industries</v>
      </c>
      <c r="D380" s="61">
        <v>0.0267256178404148</v>
      </c>
      <c r="E380" s="62">
        <f t="shared" si="10"/>
        <v>0</v>
      </c>
      <c r="F380" s="60" t="str">
        <v>Health Care</v>
      </c>
      <c r="G380" s="62">
        <f t="shared" si="11"/>
        <v>0</v>
      </c>
      <c r="H380" s="60"/>
      <c r="J380" s="6"/>
      <c r="O380" s="60"/>
      <c r="P380" s="2"/>
      <c r="Q380" s="62"/>
      <c r="R380" s="60"/>
      <c r="S380" s="62"/>
      <c r="T380" s="60"/>
      <c r="X380" s="60" t="str">
        <v>INE037Z01029</v>
      </c>
      <c r="Z380" s="58" t="s">
        <v>1080</v>
      </c>
      <c r="AB380" t="s">
        <v>1651</v>
      </c>
      <c r="AC380" t="s">
        <v>1652</v>
      </c>
      <c r="AD380" t="s">
        <v>849</v>
      </c>
      <c r="AE380">
        <v>19.16452913155</v>
      </c>
      <c r="AF380">
        <v>12.027857033574</v>
      </c>
      <c r="AG380">
        <v>514.93</v>
      </c>
      <c r="AH380">
        <v>23.74</v>
      </c>
      <c r="AI380">
        <v>10824129859</v>
      </c>
    </row>
    <row r="381" spans="1:35">
      <c r="A381" s="63" t="s">
        <v>1084</v>
      </c>
      <c r="B381" s="59" t="s">
        <v>23</v>
      </c>
      <c r="C381" s="60" t="str">
        <v>Swiggy Ltd</v>
      </c>
      <c r="D381" s="64">
        <v>0.00485561949471447</v>
      </c>
      <c r="E381" s="62">
        <f t="shared" si="10"/>
        <v>0</v>
      </c>
      <c r="F381" s="60" t="str">
        <v>Consumer Discretionary</v>
      </c>
      <c r="G381" s="62">
        <f t="shared" si="11"/>
        <v>0</v>
      </c>
      <c r="H381" s="60"/>
      <c r="J381" s="6"/>
      <c r="O381" s="60"/>
      <c r="P381" s="2"/>
      <c r="Q381" s="62"/>
      <c r="R381" s="60"/>
      <c r="S381" s="62"/>
      <c r="T381" s="60"/>
      <c r="X381" s="60" t="str">
        <v>INE864I01014</v>
      </c>
      <c r="Z381" s="63" t="s">
        <v>1084</v>
      </c>
      <c r="AB381" t="s">
        <v>1653</v>
      </c>
      <c r="AC381" t="s">
        <v>1654</v>
      </c>
      <c r="AD381" t="s">
        <v>849</v>
      </c>
      <c r="AE381">
        <v>88.5514805800974</v>
      </c>
      <c r="AF381">
        <v>7.52706995491187</v>
      </c>
      <c r="AG381">
        <v>528.87</v>
      </c>
      <c r="AH381">
        <v>17.19</v>
      </c>
      <c r="AI381">
        <v>46822249420.2</v>
      </c>
    </row>
    <row r="382" spans="1:35">
      <c r="A382" s="58" t="s">
        <v>1087</v>
      </c>
      <c r="B382" s="59" t="s">
        <v>23</v>
      </c>
      <c r="C382" s="60" t="str">
        <v>Tata Consultancy Services Ltd</v>
      </c>
      <c r="D382" s="61">
        <v>0.0168137240677842</v>
      </c>
      <c r="E382" s="62">
        <f t="shared" si="10"/>
        <v>0</v>
      </c>
      <c r="F382" s="60" t="str">
        <v>Information Technology</v>
      </c>
      <c r="G382" s="62">
        <f t="shared" si="11"/>
        <v>0</v>
      </c>
      <c r="H382" s="60"/>
      <c r="J382" s="6"/>
      <c r="O382" s="60"/>
      <c r="P382" s="2"/>
      <c r="Q382" s="62"/>
      <c r="R382" s="60"/>
      <c r="S382" s="62"/>
      <c r="T382" s="60"/>
      <c r="X382" s="60" t="str">
        <v>INE099Z01011</v>
      </c>
      <c r="Z382" s="58" t="s">
        <v>1087</v>
      </c>
      <c r="AB382" t="s">
        <v>1655</v>
      </c>
      <c r="AC382" t="s">
        <v>1656</v>
      </c>
      <c r="AD382" t="s">
        <v>859</v>
      </c>
      <c r="AE382">
        <v>67.0608108108108</v>
      </c>
      <c r="AF382">
        <v>8.10768522570858</v>
      </c>
      <c r="AG382">
        <v>1108.374</v>
      </c>
      <c r="AH382">
        <v>5.92</v>
      </c>
      <c r="AI382">
        <v>74373980000</v>
      </c>
    </row>
    <row r="383" spans="1:35">
      <c r="A383" s="63" t="s">
        <v>1092</v>
      </c>
      <c r="B383" s="59" t="s">
        <v>23</v>
      </c>
      <c r="C383" s="60" t="str">
        <v>Tata Steel Ltd</v>
      </c>
      <c r="D383" s="64">
        <v>0.0146962997708975</v>
      </c>
      <c r="E383" s="62">
        <f t="shared" si="10"/>
        <v>0</v>
      </c>
      <c r="F383" s="60" t="str">
        <v>Materials</v>
      </c>
      <c r="G383" s="62">
        <f t="shared" si="11"/>
        <v>0</v>
      </c>
      <c r="H383" s="60"/>
      <c r="J383" s="6"/>
      <c r="O383" s="60"/>
      <c r="P383" s="2"/>
      <c r="Q383" s="62"/>
      <c r="R383" s="60"/>
      <c r="S383" s="62"/>
      <c r="T383" s="60"/>
      <c r="X383" s="60" t="str">
        <v>INE497S01012</v>
      </c>
      <c r="Z383" s="63" t="s">
        <v>1092</v>
      </c>
      <c r="AB383" t="s">
        <v>1657</v>
      </c>
      <c r="AC383" t="s">
        <v>1658</v>
      </c>
      <c r="AD383" t="s">
        <v>1037</v>
      </c>
      <c r="AE383">
        <v>1124.42028708784</v>
      </c>
      <c r="AF383">
        <v>-3.65098882051711</v>
      </c>
      <c r="AG383">
        <v>-234.146</v>
      </c>
      <c r="AH383">
        <v>-5.11</v>
      </c>
      <c r="AI383">
        <v>13561633905</v>
      </c>
    </row>
    <row r="384" spans="1:35">
      <c r="A384" s="58" t="s">
        <v>1095</v>
      </c>
      <c r="B384" s="59" t="s">
        <v>23</v>
      </c>
      <c r="C384" s="60" t="str">
        <v>Tech Mahindra Ltd</v>
      </c>
      <c r="D384" s="61">
        <v>0.0118157839411332</v>
      </c>
      <c r="E384" s="62">
        <f t="shared" ref="E384:E447" si="12">_xlfn.IFNA(D384*VLOOKUP($B384,$AK$1:$AM$34,3,FALSE),0)</f>
        <v>0</v>
      </c>
      <c r="F384" s="60" t="str">
        <v>Information Technology</v>
      </c>
      <c r="G384" s="62">
        <f t="shared" ref="G384:G447" si="13">_xlfn.IFNA(D384*VLOOKUP($B384,$AK$1:$AM$34,3,FALSE),0)</f>
        <v>0</v>
      </c>
      <c r="H384" s="60"/>
      <c r="J384" s="6"/>
      <c r="O384" s="60"/>
      <c r="P384" s="2"/>
      <c r="Q384" s="62"/>
      <c r="R384" s="60"/>
      <c r="S384" s="62"/>
      <c r="T384" s="60"/>
      <c r="X384" s="60" t="str">
        <v>INE704P01025</v>
      </c>
      <c r="Z384" s="58" t="s">
        <v>1095</v>
      </c>
      <c r="AB384" t="s">
        <v>1659</v>
      </c>
      <c r="AC384" t="s">
        <v>1660</v>
      </c>
      <c r="AD384" t="s">
        <v>849</v>
      </c>
      <c r="AE384">
        <v>54.2559610679153</v>
      </c>
      <c r="AF384">
        <v>15.6356799753406</v>
      </c>
      <c r="AG384">
        <v>8273.305</v>
      </c>
      <c r="AH384">
        <v>31.45</v>
      </c>
      <c r="AI384">
        <v>448907888953</v>
      </c>
    </row>
    <row r="385" spans="1:35">
      <c r="A385" s="63" t="s">
        <v>1349</v>
      </c>
      <c r="B385" s="59" t="s">
        <v>23</v>
      </c>
      <c r="C385" s="60" t="str">
        <v>India Cements Ltd/The</v>
      </c>
      <c r="D385" s="64">
        <v>0.00144868460356568</v>
      </c>
      <c r="E385" s="62">
        <f t="shared" si="12"/>
        <v>0</v>
      </c>
      <c r="F385" s="60" t="str">
        <v>Materials</v>
      </c>
      <c r="G385" s="62">
        <f t="shared" si="13"/>
        <v>0</v>
      </c>
      <c r="H385" s="60"/>
      <c r="J385" s="6"/>
      <c r="P385" s="2"/>
      <c r="X385" s="60" t="str">
        <v>INE807F01027</v>
      </c>
      <c r="Z385" s="63" t="s">
        <v>1349</v>
      </c>
      <c r="AB385" t="s">
        <v>1661</v>
      </c>
      <c r="AC385" t="s">
        <v>1662</v>
      </c>
      <c r="AD385" t="s">
        <v>855</v>
      </c>
      <c r="AE385">
        <v>200.011357394132</v>
      </c>
      <c r="AF385">
        <v>3.21490866502968</v>
      </c>
      <c r="AG385">
        <v>218.78</v>
      </c>
      <c r="AH385">
        <v>0.88</v>
      </c>
      <c r="AI385">
        <v>44061462469.95</v>
      </c>
    </row>
    <row r="386" spans="1:35">
      <c r="A386" s="58" t="s">
        <v>1177</v>
      </c>
      <c r="B386" s="59" t="s">
        <v>23</v>
      </c>
      <c r="C386" s="60" t="str">
        <v>Torrent Pharmaceuticals Ltd</v>
      </c>
      <c r="D386" s="61">
        <v>0.00610918008493155</v>
      </c>
      <c r="E386" s="62">
        <f t="shared" si="12"/>
        <v>0</v>
      </c>
      <c r="F386" s="60" t="str">
        <v>Health Care</v>
      </c>
      <c r="G386" s="62">
        <f t="shared" si="13"/>
        <v>0</v>
      </c>
      <c r="H386" s="60"/>
      <c r="J386" s="6"/>
      <c r="P386" s="2"/>
      <c r="X386" s="60" t="str">
        <v>INE967H01025</v>
      </c>
      <c r="Z386" s="58" t="s">
        <v>1177</v>
      </c>
      <c r="AB386" t="s">
        <v>1396</v>
      </c>
      <c r="AC386" t="s">
        <v>1663</v>
      </c>
      <c r="AD386" t="s">
        <v>855</v>
      </c>
      <c r="AE386">
        <v>77.6795005202914</v>
      </c>
      <c r="AF386">
        <v>19.3890458698433</v>
      </c>
      <c r="AG386">
        <v>3845</v>
      </c>
      <c r="AH386">
        <v>9.61</v>
      </c>
      <c r="AI386">
        <v>298703714977.5</v>
      </c>
    </row>
    <row r="387" spans="1:35">
      <c r="A387" s="63" t="s">
        <v>1107</v>
      </c>
      <c r="B387" s="59" t="s">
        <v>23</v>
      </c>
      <c r="C387" s="60" t="str">
        <v>UltraTech Cement Ltd</v>
      </c>
      <c r="D387" s="64">
        <v>0.0221478615157498</v>
      </c>
      <c r="E387" s="62">
        <f t="shared" si="12"/>
        <v>0</v>
      </c>
      <c r="F387" s="60" t="str">
        <v>Materials</v>
      </c>
      <c r="G387" s="62">
        <f t="shared" si="13"/>
        <v>0</v>
      </c>
      <c r="H387" s="60"/>
      <c r="J387" s="6"/>
      <c r="P387" s="2"/>
      <c r="X387" s="60" t="str">
        <v>INE025R01021</v>
      </c>
      <c r="Z387" s="63" t="s">
        <v>1107</v>
      </c>
      <c r="AB387" t="s">
        <v>1664</v>
      </c>
      <c r="AC387" t="s">
        <v>1665</v>
      </c>
      <c r="AD387" t="s">
        <v>855</v>
      </c>
      <c r="AE387">
        <v>44.5828684659422</v>
      </c>
      <c r="AF387">
        <v>12.8497588856486</v>
      </c>
      <c r="AG387">
        <v>826.258</v>
      </c>
      <c r="AH387">
        <v>5.37</v>
      </c>
      <c r="AI387">
        <v>33253965206.5</v>
      </c>
    </row>
    <row r="388" spans="1:35">
      <c r="A388" s="58" t="s">
        <v>1112</v>
      </c>
      <c r="B388" s="59" t="s">
        <v>23</v>
      </c>
      <c r="C388" s="60" t="str">
        <v>United Spirits Ltd</v>
      </c>
      <c r="D388" s="61">
        <v>0.010717432997213</v>
      </c>
      <c r="E388" s="62">
        <f t="shared" si="12"/>
        <v>0</v>
      </c>
      <c r="F388" s="60" t="str">
        <v>Consumer Staples</v>
      </c>
      <c r="G388" s="62">
        <f t="shared" si="13"/>
        <v>0</v>
      </c>
      <c r="H388" s="60"/>
      <c r="J388" s="6"/>
      <c r="P388" s="2"/>
      <c r="X388" s="60" t="str">
        <v>INE013P01021</v>
      </c>
      <c r="Z388" s="58" t="s">
        <v>1112</v>
      </c>
      <c r="AB388" t="s">
        <v>1666</v>
      </c>
      <c r="AC388" t="s">
        <v>1667</v>
      </c>
      <c r="AD388" t="s">
        <v>855</v>
      </c>
      <c r="AE388" t="s">
        <v>860</v>
      </c>
      <c r="AF388">
        <v>-0.572662967242442</v>
      </c>
      <c r="AG388">
        <v>-179.71</v>
      </c>
      <c r="AH388">
        <v>-1.57048</v>
      </c>
      <c r="AI388">
        <v>213605041788.1</v>
      </c>
    </row>
    <row r="389" spans="1:35">
      <c r="A389" s="63" t="s">
        <v>1279</v>
      </c>
      <c r="B389" s="59" t="s">
        <v>23</v>
      </c>
      <c r="C389" s="60" t="str">
        <v>V-Guard Industries Ltd</v>
      </c>
      <c r="D389" s="64">
        <v>0.00757292926792226</v>
      </c>
      <c r="E389" s="62">
        <f t="shared" si="12"/>
        <v>0</v>
      </c>
      <c r="F389" s="60" t="str">
        <v>Industrials</v>
      </c>
      <c r="G389" s="62">
        <f t="shared" si="13"/>
        <v>0</v>
      </c>
      <c r="H389" s="60"/>
      <c r="J389" s="6"/>
      <c r="P389" s="2"/>
      <c r="X389" s="60" t="str">
        <v>INE0RB801010</v>
      </c>
      <c r="Z389" s="63" t="s">
        <v>1279</v>
      </c>
      <c r="AB389" t="s">
        <v>1668</v>
      </c>
      <c r="AC389" t="s">
        <v>1669</v>
      </c>
      <c r="AD389" t="s">
        <v>855</v>
      </c>
      <c r="AE389">
        <v>54.271822140194</v>
      </c>
      <c r="AF389">
        <v>11.8249519409399</v>
      </c>
      <c r="AG389">
        <v>585.6</v>
      </c>
      <c r="AH389">
        <v>12.715622</v>
      </c>
      <c r="AI389">
        <v>31781581078.8</v>
      </c>
    </row>
    <row r="390" spans="1:35">
      <c r="A390" s="58" t="s">
        <v>1121</v>
      </c>
      <c r="B390" s="59" t="s">
        <v>23</v>
      </c>
      <c r="C390" s="60" t="str">
        <v>Vishal Mega Mart Ltd</v>
      </c>
      <c r="D390" s="61">
        <v>0.00658579321010398</v>
      </c>
      <c r="E390" s="62">
        <f t="shared" si="12"/>
        <v>0</v>
      </c>
      <c r="F390" s="60" t="str">
        <v>Consumer Discretionary</v>
      </c>
      <c r="G390" s="62">
        <f t="shared" si="13"/>
        <v>0</v>
      </c>
      <c r="H390" s="60"/>
      <c r="J390" s="6"/>
      <c r="P390" s="2"/>
      <c r="X390" s="60" t="str">
        <v>INE993A01026</v>
      </c>
      <c r="Z390" s="58" t="s">
        <v>1121</v>
      </c>
      <c r="AB390" t="s">
        <v>1670</v>
      </c>
      <c r="AC390" t="s">
        <v>1671</v>
      </c>
      <c r="AD390" t="s">
        <v>849</v>
      </c>
      <c r="AE390">
        <v>16.6525781910397</v>
      </c>
      <c r="AF390">
        <v>10.170193882061</v>
      </c>
      <c r="AG390">
        <v>1531.7</v>
      </c>
      <c r="AH390">
        <v>23.66</v>
      </c>
      <c r="AI390">
        <v>27475664072</v>
      </c>
    </row>
    <row r="391" spans="1:35">
      <c r="A391" s="63" t="s">
        <v>846</v>
      </c>
      <c r="B391" t="s">
        <v>20</v>
      </c>
      <c r="C391" s="60" t="str">
        <v>3M India Ltd</v>
      </c>
      <c r="D391" s="64">
        <v>0</v>
      </c>
      <c r="E391" s="62">
        <f t="shared" si="12"/>
        <v>0</v>
      </c>
      <c r="F391" s="60" t="str">
        <v>Industrials</v>
      </c>
      <c r="G391" s="62">
        <f t="shared" si="13"/>
        <v>0</v>
      </c>
      <c r="H391" s="60"/>
      <c r="J391" s="6"/>
      <c r="P391" s="2"/>
      <c r="X391" s="60" t="str">
        <v>INE03EI01018</v>
      </c>
      <c r="Z391" s="63" t="s">
        <v>846</v>
      </c>
      <c r="AB391" t="s">
        <v>1672</v>
      </c>
      <c r="AC391" t="s">
        <v>1673</v>
      </c>
      <c r="AD391" t="s">
        <v>1034</v>
      </c>
      <c r="AE391">
        <v>180.292705404481</v>
      </c>
      <c r="AF391">
        <v>2.36623262542526</v>
      </c>
      <c r="AG391">
        <v>408.1</v>
      </c>
      <c r="AH391">
        <v>2.534767</v>
      </c>
      <c r="AI391">
        <v>73589903395</v>
      </c>
    </row>
    <row r="392" spans="1:35">
      <c r="A392" s="58" t="s">
        <v>850</v>
      </c>
      <c r="B392" t="s">
        <v>20</v>
      </c>
      <c r="C392" s="60" t="str">
        <v>ABB India Ltd</v>
      </c>
      <c r="D392" s="61">
        <v>0.0101776044972374</v>
      </c>
      <c r="E392" s="62">
        <f t="shared" si="12"/>
        <v>0.00424066854051558</v>
      </c>
      <c r="F392" s="60" t="str">
        <v>Industrials</v>
      </c>
      <c r="G392" s="62">
        <f t="shared" si="13"/>
        <v>0.00424066854051558</v>
      </c>
      <c r="H392" s="60"/>
      <c r="J392" s="6"/>
      <c r="P392" s="2"/>
      <c r="X392" s="60" t="str">
        <v>INE759A01021</v>
      </c>
      <c r="Z392" s="58" t="s">
        <v>850</v>
      </c>
      <c r="AB392" t="s">
        <v>1674</v>
      </c>
      <c r="AC392" t="s">
        <v>1675</v>
      </c>
      <c r="AD392" t="s">
        <v>920</v>
      </c>
      <c r="AE392">
        <v>20.7291829721116</v>
      </c>
      <c r="AF392">
        <v>16.5253035881092</v>
      </c>
      <c r="AG392">
        <v>3759.3</v>
      </c>
      <c r="AH392">
        <v>121.78</v>
      </c>
      <c r="AI392">
        <v>78129346948</v>
      </c>
    </row>
    <row r="393" spans="1:35">
      <c r="A393" s="63" t="s">
        <v>1137</v>
      </c>
      <c r="B393" t="s">
        <v>20</v>
      </c>
      <c r="C393" s="60" t="str">
        <v>Asian Paints Ltd</v>
      </c>
      <c r="D393" s="64">
        <v>0.0110331009753648</v>
      </c>
      <c r="E393" s="62">
        <f t="shared" si="12"/>
        <v>0.004597125406402</v>
      </c>
      <c r="F393" s="60" t="str">
        <v>Materials</v>
      </c>
      <c r="G393" s="62">
        <f t="shared" si="13"/>
        <v>0.004597125406402</v>
      </c>
      <c r="H393" s="60"/>
      <c r="J393" s="6"/>
      <c r="P393" s="2"/>
      <c r="X393" s="60" t="str">
        <v>INE419U01012</v>
      </c>
      <c r="Z393" s="63" t="s">
        <v>1137</v>
      </c>
      <c r="AB393" t="s">
        <v>1676</v>
      </c>
      <c r="AC393" t="s">
        <v>1677</v>
      </c>
      <c r="AD393" t="s">
        <v>920</v>
      </c>
      <c r="AE393">
        <v>47.5856463633004</v>
      </c>
      <c r="AF393">
        <v>12.0897466953863</v>
      </c>
      <c r="AG393">
        <v>1846.6</v>
      </c>
      <c r="AH393">
        <v>12.26</v>
      </c>
      <c r="AI393">
        <v>88837124737.4</v>
      </c>
    </row>
    <row r="394" spans="1:35">
      <c r="A394" s="58" t="s">
        <v>876</v>
      </c>
      <c r="B394" t="s">
        <v>20</v>
      </c>
      <c r="C394" s="60" t="str">
        <v>Avenue Supermarts Ltd</v>
      </c>
      <c r="D394" s="61">
        <v>0.0204608271294958</v>
      </c>
      <c r="E394" s="62">
        <f t="shared" si="12"/>
        <v>0.00852534463728992</v>
      </c>
      <c r="F394" s="60" t="str">
        <v>Consumer Staples</v>
      </c>
      <c r="G394" s="62">
        <f t="shared" si="13"/>
        <v>0.00852534463728992</v>
      </c>
      <c r="H394" s="60"/>
      <c r="J394" s="6"/>
      <c r="P394" s="2"/>
      <c r="X394" s="60" t="str">
        <v>INE411H01032</v>
      </c>
      <c r="Z394" s="58" t="s">
        <v>876</v>
      </c>
      <c r="AB394" t="s">
        <v>1678</v>
      </c>
      <c r="AC394" t="s">
        <v>1679</v>
      </c>
      <c r="AD394" t="s">
        <v>920</v>
      </c>
      <c r="AE394">
        <v>26.468788249694</v>
      </c>
      <c r="AF394">
        <v>29.8319830385376</v>
      </c>
      <c r="AG394">
        <v>1311.82</v>
      </c>
      <c r="AH394">
        <v>11.09</v>
      </c>
      <c r="AI394">
        <v>51200889267.5</v>
      </c>
    </row>
    <row r="395" spans="1:35">
      <c r="A395" s="63" t="s">
        <v>879</v>
      </c>
      <c r="B395" t="s">
        <v>20</v>
      </c>
      <c r="C395" s="60" t="str">
        <v>Axis Bank Ltd</v>
      </c>
      <c r="D395" s="64">
        <v>0.0398891569479767</v>
      </c>
      <c r="E395" s="62">
        <f t="shared" si="12"/>
        <v>0.016620482061657</v>
      </c>
      <c r="F395" s="60" t="str">
        <v>Financials</v>
      </c>
      <c r="G395" s="62">
        <f t="shared" si="13"/>
        <v>0.016620482061657</v>
      </c>
      <c r="H395" s="60"/>
      <c r="J395" s="6"/>
      <c r="P395" s="2"/>
      <c r="X395" s="60" t="str">
        <v>INE887G01027</v>
      </c>
      <c r="Z395" s="63" t="s">
        <v>879</v>
      </c>
      <c r="AB395" t="s">
        <v>1680</v>
      </c>
      <c r="AC395" t="s">
        <v>1681</v>
      </c>
      <c r="AD395" t="s">
        <v>874</v>
      </c>
      <c r="AE395">
        <v>32.5573732138804</v>
      </c>
      <c r="AF395">
        <v>9.40332158854023</v>
      </c>
      <c r="AG395">
        <v>1585.409</v>
      </c>
      <c r="AH395">
        <v>22.183915</v>
      </c>
      <c r="AI395">
        <v>52889196010.5</v>
      </c>
    </row>
    <row r="396" spans="1:35">
      <c r="A396" s="58" t="s">
        <v>878</v>
      </c>
      <c r="B396" t="s">
        <v>20</v>
      </c>
      <c r="C396" s="60" t="str">
        <v>Bajaj Finance Ltd</v>
      </c>
      <c r="D396" s="61">
        <v>0.0310404127179913</v>
      </c>
      <c r="E396" s="62">
        <f t="shared" si="12"/>
        <v>0.012933505299163</v>
      </c>
      <c r="F396" s="60" t="str">
        <v>Financials</v>
      </c>
      <c r="G396" s="62">
        <f t="shared" si="13"/>
        <v>0.012933505299163</v>
      </c>
      <c r="H396" s="60"/>
      <c r="J396" s="6"/>
      <c r="P396" s="2"/>
      <c r="X396" s="60" t="str">
        <v>INE573A01042</v>
      </c>
      <c r="Z396" s="58" t="s">
        <v>878</v>
      </c>
      <c r="AB396" t="s">
        <v>1682</v>
      </c>
      <c r="AC396" t="s">
        <v>1683</v>
      </c>
      <c r="AD396" t="s">
        <v>874</v>
      </c>
      <c r="AE396">
        <v>17.927504826067</v>
      </c>
      <c r="AF396">
        <v>10.6037319978709</v>
      </c>
      <c r="AG396">
        <v>4950.4</v>
      </c>
      <c r="AH396">
        <v>18.07</v>
      </c>
      <c r="AI396">
        <v>88768787746.65</v>
      </c>
    </row>
    <row r="397" spans="1:35">
      <c r="A397" s="63" t="s">
        <v>1293</v>
      </c>
      <c r="B397" t="s">
        <v>20</v>
      </c>
      <c r="C397" s="60" t="str">
        <v>Bank of Baroda</v>
      </c>
      <c r="D397" s="64">
        <v>0.00377727140717785</v>
      </c>
      <c r="E397" s="62">
        <f t="shared" si="12"/>
        <v>0.0015738630863241</v>
      </c>
      <c r="F397" s="60" t="str">
        <v>Financials</v>
      </c>
      <c r="G397" s="62">
        <f t="shared" si="13"/>
        <v>0.0015738630863241</v>
      </c>
      <c r="H397" s="60"/>
      <c r="J397" s="6"/>
      <c r="P397" s="2"/>
      <c r="X397" s="60" t="str">
        <v>INE811A01020</v>
      </c>
      <c r="Z397" s="63" t="s">
        <v>1293</v>
      </c>
      <c r="AB397" t="s">
        <v>1684</v>
      </c>
      <c r="AC397" t="s">
        <v>1685</v>
      </c>
      <c r="AD397" t="s">
        <v>849</v>
      </c>
      <c r="AE397">
        <v>39.2940439279274</v>
      </c>
      <c r="AF397">
        <v>20.900628786413</v>
      </c>
      <c r="AG397">
        <v>2111.88</v>
      </c>
      <c r="AH397">
        <v>32.58</v>
      </c>
      <c r="AI397">
        <v>83102249898</v>
      </c>
    </row>
    <row r="398" spans="1:35">
      <c r="A398" s="58" t="s">
        <v>888</v>
      </c>
      <c r="B398" t="s">
        <v>20</v>
      </c>
      <c r="C398" s="60" t="str">
        <v>Bharat Forge Ltd</v>
      </c>
      <c r="D398" s="61">
        <v>0.00208251764108656</v>
      </c>
      <c r="E398" s="62">
        <f t="shared" si="12"/>
        <v>0.000867715683786067</v>
      </c>
      <c r="F398" s="60" t="str">
        <v>Consumer Discretionary</v>
      </c>
      <c r="G398" s="62">
        <f t="shared" si="13"/>
        <v>0.000867715683786067</v>
      </c>
      <c r="H398" s="60"/>
      <c r="J398" s="6"/>
      <c r="P398" s="2"/>
      <c r="X398" s="60" t="str">
        <v>INE794A01010</v>
      </c>
      <c r="Z398" s="58" t="s">
        <v>888</v>
      </c>
      <c r="AB398" t="s">
        <v>1686</v>
      </c>
      <c r="AC398" t="s">
        <v>1687</v>
      </c>
      <c r="AD398" t="s">
        <v>855</v>
      </c>
      <c r="AE398">
        <v>65.9735129587786</v>
      </c>
      <c r="AF398">
        <v>18.529444104424</v>
      </c>
      <c r="AG398">
        <v>2601.081</v>
      </c>
      <c r="AH398">
        <v>201.626371</v>
      </c>
      <c r="AI398">
        <v>170663183478</v>
      </c>
    </row>
    <row r="399" spans="1:35">
      <c r="A399" s="63" t="s">
        <v>1352</v>
      </c>
      <c r="B399" t="s">
        <v>20</v>
      </c>
      <c r="C399" s="60" t="str">
        <v>Chalet Hotels Ltd</v>
      </c>
      <c r="D399" s="64">
        <v>0.0139459457083743</v>
      </c>
      <c r="E399" s="62">
        <f t="shared" si="12"/>
        <v>0.00581081071182262</v>
      </c>
      <c r="F399" s="60" t="str">
        <v>Consumer Discretionary</v>
      </c>
      <c r="G399" s="62">
        <f t="shared" si="13"/>
        <v>0.00581081071182262</v>
      </c>
      <c r="H399" s="60"/>
      <c r="J399" s="6"/>
      <c r="P399" s="2"/>
      <c r="X399" s="60" t="str">
        <v>INE483B01026</v>
      </c>
      <c r="Z399" s="63" t="s">
        <v>1352</v>
      </c>
      <c r="AB399" t="s">
        <v>1688</v>
      </c>
      <c r="AC399" t="s">
        <v>1689</v>
      </c>
      <c r="AD399" t="s">
        <v>874</v>
      </c>
      <c r="AE399">
        <v>19.9557170775777</v>
      </c>
      <c r="AF399">
        <v>11.2674260391386</v>
      </c>
      <c r="AG399">
        <v>2460.04</v>
      </c>
      <c r="AH399">
        <v>12.42</v>
      </c>
      <c r="AI399">
        <v>49087768169</v>
      </c>
    </row>
    <row r="400" spans="1:35">
      <c r="A400" s="58" t="s">
        <v>912</v>
      </c>
      <c r="B400" t="s">
        <v>20</v>
      </c>
      <c r="C400" s="60" t="str">
        <v>Cholamandalam Investment and F</v>
      </c>
      <c r="D400" s="61">
        <v>0.00653552683884477</v>
      </c>
      <c r="E400" s="62">
        <f t="shared" si="12"/>
        <v>0.00272313618285199</v>
      </c>
      <c r="F400" s="60" t="str">
        <v>Financials</v>
      </c>
      <c r="G400" s="62">
        <f t="shared" si="13"/>
        <v>0.00272313618285199</v>
      </c>
      <c r="H400" s="60"/>
      <c r="J400" s="6"/>
      <c r="P400" s="2"/>
      <c r="X400" s="60" t="str">
        <v>IN9397D01014</v>
      </c>
      <c r="Z400" s="58" t="s">
        <v>912</v>
      </c>
      <c r="AB400" t="s">
        <v>1690</v>
      </c>
      <c r="AC400" t="s">
        <v>892</v>
      </c>
      <c r="AD400" t="s">
        <v>893</v>
      </c>
      <c r="AE400" t="s">
        <v>1369</v>
      </c>
      <c r="AF400">
        <v>33.9797616020359</v>
      </c>
      <c r="AG400">
        <v>335561</v>
      </c>
      <c r="AH400" t="s">
        <v>1369</v>
      </c>
      <c r="AI400">
        <v>11286222346497.9</v>
      </c>
    </row>
    <row r="401" spans="1:35">
      <c r="A401" s="63" t="s">
        <v>914</v>
      </c>
      <c r="B401" t="s">
        <v>20</v>
      </c>
      <c r="C401" s="60" t="str">
        <v>Cipla Ltd/India</v>
      </c>
      <c r="D401" s="64">
        <v>0.00631322745068509</v>
      </c>
      <c r="E401" s="62">
        <f t="shared" si="12"/>
        <v>0.00263051143778545</v>
      </c>
      <c r="F401" s="60" t="str">
        <v>Health Care</v>
      </c>
      <c r="G401" s="62">
        <f t="shared" si="13"/>
        <v>0.00263051143778545</v>
      </c>
      <c r="H401" s="60"/>
      <c r="J401" s="6"/>
      <c r="P401" s="2"/>
      <c r="X401" s="60" t="str">
        <v>INE220G01021</v>
      </c>
      <c r="Z401" s="63" t="s">
        <v>914</v>
      </c>
      <c r="AB401" t="s">
        <v>1691</v>
      </c>
      <c r="AC401" t="s">
        <v>1692</v>
      </c>
      <c r="AD401" t="s">
        <v>859</v>
      </c>
      <c r="AE401">
        <v>24.25049349793</v>
      </c>
      <c r="AF401">
        <v>16.1387161693805</v>
      </c>
      <c r="AG401">
        <v>25052</v>
      </c>
      <c r="AH401">
        <v>30.42</v>
      </c>
      <c r="AI401">
        <v>607694825067.6</v>
      </c>
    </row>
    <row r="402" spans="1:35">
      <c r="A402" s="58" t="s">
        <v>916</v>
      </c>
      <c r="B402" t="s">
        <v>20</v>
      </c>
      <c r="C402" s="60" t="str">
        <v>Coal India Ltd</v>
      </c>
      <c r="D402" s="61">
        <v>0.00490767708710845</v>
      </c>
      <c r="E402" s="62">
        <f t="shared" si="12"/>
        <v>0.00204486545296185</v>
      </c>
      <c r="F402" s="60" t="str">
        <v>Energy</v>
      </c>
      <c r="G402" s="62">
        <f t="shared" si="13"/>
        <v>0.00204486545296185</v>
      </c>
      <c r="H402" s="60"/>
      <c r="J402" s="6"/>
      <c r="P402" s="2"/>
      <c r="X402" s="60" t="str">
        <v>INE499A01024</v>
      </c>
      <c r="Z402" s="58" t="s">
        <v>916</v>
      </c>
      <c r="AB402" t="s">
        <v>1693</v>
      </c>
      <c r="AC402" t="s">
        <v>1694</v>
      </c>
      <c r="AD402" t="s">
        <v>859</v>
      </c>
      <c r="AE402">
        <v>33.1638703377016</v>
      </c>
      <c r="AF402">
        <v>8.93478818562157</v>
      </c>
      <c r="AG402">
        <v>6042.7</v>
      </c>
      <c r="AH402">
        <v>38.75</v>
      </c>
      <c r="AI402">
        <v>200401444589.6</v>
      </c>
    </row>
    <row r="403" spans="1:35">
      <c r="A403" s="63" t="s">
        <v>1160</v>
      </c>
      <c r="B403" t="s">
        <v>20</v>
      </c>
      <c r="C403" s="60" t="str">
        <v>Colgate-Palmolive India Ltd</v>
      </c>
      <c r="D403" s="64">
        <v>0.0030537919372055</v>
      </c>
      <c r="E403" s="62">
        <f t="shared" si="12"/>
        <v>0.00127241330716896</v>
      </c>
      <c r="F403" s="60" t="str">
        <v>Consumer Staples</v>
      </c>
      <c r="G403" s="62">
        <f t="shared" si="13"/>
        <v>0.00127241330716896</v>
      </c>
      <c r="H403" s="60"/>
      <c r="J403" s="6"/>
      <c r="P403" s="2"/>
      <c r="X403" s="60" t="str">
        <v>INE0S4R01014</v>
      </c>
      <c r="Z403" s="63" t="s">
        <v>1160</v>
      </c>
      <c r="AB403" t="s">
        <v>1695</v>
      </c>
      <c r="AC403" t="s">
        <v>1696</v>
      </c>
      <c r="AD403" t="s">
        <v>874</v>
      </c>
      <c r="AE403" t="s">
        <v>860</v>
      </c>
      <c r="AF403">
        <v>36.3041388232781</v>
      </c>
      <c r="AG403">
        <v>1529.33</v>
      </c>
      <c r="AH403" t="s">
        <v>860</v>
      </c>
      <c r="AI403">
        <v>56886810750</v>
      </c>
    </row>
    <row r="404" spans="1:35">
      <c r="A404" s="58" t="s">
        <v>939</v>
      </c>
      <c r="B404" t="s">
        <v>20</v>
      </c>
      <c r="C404" s="60" t="str">
        <v>Devyani International Ltd</v>
      </c>
      <c r="D404" s="61">
        <v>0.0048996729686996</v>
      </c>
      <c r="E404" s="62">
        <f t="shared" si="12"/>
        <v>0.00204153040362483</v>
      </c>
      <c r="F404" s="60" t="str">
        <v>Consumer Discretionary</v>
      </c>
      <c r="G404" s="62">
        <f t="shared" si="13"/>
        <v>0.00204153040362483</v>
      </c>
      <c r="H404" s="60"/>
      <c r="J404" s="6"/>
      <c r="P404" s="2"/>
      <c r="X404" s="60" t="str">
        <v>INE133A01011</v>
      </c>
      <c r="Z404" s="58" t="s">
        <v>939</v>
      </c>
      <c r="AB404" t="s">
        <v>1697</v>
      </c>
      <c r="AC404" t="s">
        <v>1698</v>
      </c>
      <c r="AD404" t="s">
        <v>859</v>
      </c>
      <c r="AE404">
        <v>36.4606096665916</v>
      </c>
      <c r="AF404">
        <v>32.2920190970264</v>
      </c>
      <c r="AG404">
        <v>4295</v>
      </c>
      <c r="AH404">
        <v>94.31</v>
      </c>
      <c r="AI404">
        <v>156594923720.4</v>
      </c>
    </row>
    <row r="405" spans="1:35">
      <c r="A405" s="63" t="s">
        <v>1148</v>
      </c>
      <c r="B405" t="s">
        <v>20</v>
      </c>
      <c r="C405" s="60" t="str">
        <v>Divi's Laboratories Ltd</v>
      </c>
      <c r="D405" s="64">
        <v>0.0119431975415576</v>
      </c>
      <c r="E405" s="62">
        <f t="shared" si="12"/>
        <v>0.00497633230898233</v>
      </c>
      <c r="F405" s="60" t="str">
        <v>Health Care</v>
      </c>
      <c r="G405" s="62">
        <f t="shared" si="13"/>
        <v>0.00497633230898233</v>
      </c>
      <c r="H405" s="60"/>
      <c r="J405" s="6"/>
      <c r="P405" s="2"/>
      <c r="X405" s="60" t="str">
        <v>INE0LRU01027</v>
      </c>
      <c r="Z405" s="63" t="s">
        <v>1148</v>
      </c>
      <c r="AB405" t="s">
        <v>1699</v>
      </c>
      <c r="AC405" t="s">
        <v>1700</v>
      </c>
      <c r="AD405" t="s">
        <v>855</v>
      </c>
      <c r="AE405">
        <v>25.2095804322345</v>
      </c>
      <c r="AF405">
        <v>14.5400990075757</v>
      </c>
      <c r="AG405">
        <v>2724.048</v>
      </c>
      <c r="AH405">
        <v>30.06</v>
      </c>
      <c r="AI405">
        <v>68682918067.2</v>
      </c>
    </row>
    <row r="406" spans="1:35">
      <c r="A406" s="58" t="s">
        <v>931</v>
      </c>
      <c r="B406" t="s">
        <v>20</v>
      </c>
      <c r="C406" s="60" t="str">
        <v>Dr Reddy's Laboratories Ltd</v>
      </c>
      <c r="D406" s="61">
        <v>0.0144027419913043</v>
      </c>
      <c r="E406" s="62">
        <f t="shared" si="12"/>
        <v>0.00600114249637679</v>
      </c>
      <c r="F406" s="60" t="str">
        <v>Health Care</v>
      </c>
      <c r="G406" s="62">
        <f t="shared" si="13"/>
        <v>0.00600114249637679</v>
      </c>
      <c r="H406" s="60"/>
      <c r="J406" s="6"/>
      <c r="P406" s="2"/>
      <c r="X406" s="60" t="str">
        <v>INE092T01019</v>
      </c>
      <c r="Z406" s="58" t="s">
        <v>931</v>
      </c>
      <c r="AB406" t="s">
        <v>1701</v>
      </c>
      <c r="AC406" t="s">
        <v>1702</v>
      </c>
      <c r="AD406" t="s">
        <v>867</v>
      </c>
      <c r="AE406">
        <v>34.2401953304515</v>
      </c>
      <c r="AF406">
        <v>4.23218394073545</v>
      </c>
      <c r="AG406">
        <v>14903.5</v>
      </c>
      <c r="AH406">
        <v>2.04</v>
      </c>
      <c r="AI406">
        <v>512377782970.35</v>
      </c>
    </row>
    <row r="407" spans="1:35">
      <c r="A407" s="63" t="s">
        <v>950</v>
      </c>
      <c r="B407" t="s">
        <v>20</v>
      </c>
      <c r="C407" s="60" t="str">
        <v>EIH Ltd</v>
      </c>
      <c r="D407" s="64">
        <v>0.00912430100685649</v>
      </c>
      <c r="E407" s="62">
        <f t="shared" si="12"/>
        <v>0.0038017920861902</v>
      </c>
      <c r="F407" s="60" t="str">
        <v>Consumer Discretionary</v>
      </c>
      <c r="G407" s="62">
        <f t="shared" si="13"/>
        <v>0.0038017920861902</v>
      </c>
      <c r="H407" s="60"/>
      <c r="J407" s="6"/>
      <c r="P407" s="2"/>
      <c r="X407" s="60" t="str">
        <v>INE385C01021</v>
      </c>
      <c r="Z407" s="63" t="s">
        <v>950</v>
      </c>
      <c r="AB407" t="s">
        <v>1703</v>
      </c>
      <c r="AC407" t="s">
        <v>1704</v>
      </c>
      <c r="AD407" t="s">
        <v>859</v>
      </c>
      <c r="AE407">
        <v>29.2119851165188</v>
      </c>
      <c r="AF407">
        <v>13.7555810426857</v>
      </c>
      <c r="AG407">
        <v>6998.2</v>
      </c>
      <c r="AH407">
        <v>19.86</v>
      </c>
      <c r="AI407">
        <v>204433993790.5</v>
      </c>
    </row>
    <row r="408" spans="1:35">
      <c r="A408" s="58" t="s">
        <v>937</v>
      </c>
      <c r="B408" t="s">
        <v>20</v>
      </c>
      <c r="C408" s="60" t="str">
        <v>Eternal Ltd</v>
      </c>
      <c r="D408" s="61">
        <v>0.0181358628171938</v>
      </c>
      <c r="E408" s="62">
        <f t="shared" si="12"/>
        <v>0.00755660950716408</v>
      </c>
      <c r="F408" s="60" t="str">
        <v>Consumer Discretionary</v>
      </c>
      <c r="G408" s="62">
        <f t="shared" si="13"/>
        <v>0.00755660950716408</v>
      </c>
      <c r="H408" s="60"/>
      <c r="J408" s="6"/>
      <c r="P408" s="2"/>
      <c r="X408" s="60" t="str">
        <v>INE700A01033</v>
      </c>
      <c r="Z408" s="58" t="s">
        <v>937</v>
      </c>
      <c r="AB408" t="s">
        <v>1705</v>
      </c>
      <c r="AC408" t="s">
        <v>1706</v>
      </c>
      <c r="AD408" t="s">
        <v>855</v>
      </c>
      <c r="AE408">
        <v>19.6414427029274</v>
      </c>
      <c r="AF408">
        <v>14.3624666347273</v>
      </c>
      <c r="AG408">
        <v>8394</v>
      </c>
      <c r="AH408">
        <v>52.99</v>
      </c>
      <c r="AI408">
        <v>165779809471.2</v>
      </c>
    </row>
    <row r="409" spans="1:35">
      <c r="A409" s="63" t="s">
        <v>945</v>
      </c>
      <c r="B409" t="s">
        <v>20</v>
      </c>
      <c r="C409" s="60" t="str">
        <v>GE Vernova T&amp;D India Ltd</v>
      </c>
      <c r="D409" s="64">
        <v>0.02963593334395</v>
      </c>
      <c r="E409" s="62">
        <f t="shared" si="12"/>
        <v>0.0123483055599792</v>
      </c>
      <c r="F409" s="60" t="str">
        <v>Industrials</v>
      </c>
      <c r="G409" s="62">
        <f t="shared" si="13"/>
        <v>0.0123483055599792</v>
      </c>
      <c r="H409" s="60"/>
      <c r="J409" s="6"/>
      <c r="P409" s="2"/>
      <c r="X409" s="60" t="str">
        <v>INE294Z01018</v>
      </c>
      <c r="Z409" s="63" t="s">
        <v>945</v>
      </c>
      <c r="AB409" t="s">
        <v>1707</v>
      </c>
      <c r="AC409" t="s">
        <v>1708</v>
      </c>
      <c r="AD409" t="s">
        <v>849</v>
      </c>
      <c r="AE409">
        <v>37.8827012460443</v>
      </c>
      <c r="AF409">
        <v>12.3764922691443</v>
      </c>
      <c r="AG409">
        <v>1183.027</v>
      </c>
      <c r="AH409">
        <v>59.25</v>
      </c>
      <c r="AI409">
        <v>44950404260.3</v>
      </c>
    </row>
    <row r="410" spans="1:35">
      <c r="A410" s="58" t="s">
        <v>1303</v>
      </c>
      <c r="B410" t="s">
        <v>20</v>
      </c>
      <c r="C410" s="60" t="str">
        <v>Gillette India Ltd</v>
      </c>
      <c r="D410" s="61">
        <v>0.00544220954916509</v>
      </c>
      <c r="E410" s="62">
        <f t="shared" si="12"/>
        <v>0.00226758731215212</v>
      </c>
      <c r="F410" s="60" t="str">
        <v>Consumer Staples</v>
      </c>
      <c r="G410" s="62">
        <f t="shared" si="13"/>
        <v>0.00226758731215212</v>
      </c>
      <c r="H410" s="60"/>
      <c r="J410" s="6"/>
      <c r="P410" s="2"/>
      <c r="X410" s="60" t="str">
        <v>INE545H01011</v>
      </c>
      <c r="Z410" s="58" t="s">
        <v>1303</v>
      </c>
      <c r="AB410" t="s">
        <v>1709</v>
      </c>
      <c r="AC410" t="s">
        <v>1710</v>
      </c>
      <c r="AD410" t="s">
        <v>849</v>
      </c>
      <c r="AE410">
        <v>23.766915954416</v>
      </c>
      <c r="AF410">
        <v>14.8631490408805</v>
      </c>
      <c r="AG410">
        <v>2561.904</v>
      </c>
      <c r="AH410">
        <v>112.32</v>
      </c>
      <c r="AI410">
        <v>60525034261</v>
      </c>
    </row>
    <row r="411" spans="1:35">
      <c r="A411" s="63" t="s">
        <v>1206</v>
      </c>
      <c r="B411" t="s">
        <v>20</v>
      </c>
      <c r="C411" s="60" t="str">
        <v>Gland Pharma Ltd</v>
      </c>
      <c r="D411" s="64">
        <v>0.00316041992705267</v>
      </c>
      <c r="E411" s="62">
        <f t="shared" si="12"/>
        <v>0.00131684163627195</v>
      </c>
      <c r="F411" s="60" t="str">
        <v>Health Care</v>
      </c>
      <c r="G411" s="62">
        <f t="shared" si="13"/>
        <v>0.00131684163627195</v>
      </c>
      <c r="H411" s="60"/>
      <c r="J411" s="6"/>
      <c r="P411" s="2"/>
      <c r="X411" s="60" t="str">
        <v>INE482D01024</v>
      </c>
      <c r="Z411" s="63" t="s">
        <v>1206</v>
      </c>
      <c r="AB411" t="s">
        <v>1711</v>
      </c>
      <c r="AC411" t="s">
        <v>1712</v>
      </c>
      <c r="AD411" t="s">
        <v>849</v>
      </c>
      <c r="AE411">
        <v>37.6281689453306</v>
      </c>
      <c r="AF411">
        <v>14.4781012472201</v>
      </c>
      <c r="AG411">
        <v>637.4</v>
      </c>
      <c r="AH411">
        <v>22.431333</v>
      </c>
      <c r="AI411">
        <v>24006981594.3</v>
      </c>
    </row>
    <row r="412" spans="1:35">
      <c r="A412" s="58" t="s">
        <v>1339</v>
      </c>
      <c r="B412" t="s">
        <v>20</v>
      </c>
      <c r="C412" s="60" t="str">
        <v>Godrej Consumer Products Ltd</v>
      </c>
      <c r="D412" s="61">
        <v>0.00427603327160419</v>
      </c>
      <c r="E412" s="62">
        <f t="shared" si="12"/>
        <v>0.00178168052983508</v>
      </c>
      <c r="F412" s="60" t="str">
        <v>Consumer Staples</v>
      </c>
      <c r="G412" s="62">
        <f t="shared" si="13"/>
        <v>0.00178168052983508</v>
      </c>
      <c r="H412" s="60"/>
      <c r="J412" s="6"/>
      <c r="P412" s="2"/>
      <c r="X412" s="60" t="str">
        <v>INE221B01012</v>
      </c>
      <c r="Z412" s="58" t="s">
        <v>1339</v>
      </c>
      <c r="AB412" t="s">
        <v>1713</v>
      </c>
      <c r="AC412" t="s">
        <v>1714</v>
      </c>
      <c r="AD412" t="s">
        <v>874</v>
      </c>
      <c r="AE412">
        <v>105.347846663512</v>
      </c>
      <c r="AF412">
        <v>6.21408564580867</v>
      </c>
      <c r="AG412">
        <v>430.4</v>
      </c>
      <c r="AH412">
        <v>63.39</v>
      </c>
      <c r="AI412">
        <v>45353256354</v>
      </c>
    </row>
    <row r="413" spans="1:35">
      <c r="A413" s="63" t="s">
        <v>1170</v>
      </c>
      <c r="B413" t="s">
        <v>20</v>
      </c>
      <c r="C413" s="60" t="str">
        <v>Grasim Industries Ltd</v>
      </c>
      <c r="D413" s="64">
        <v>0.00250399164758707</v>
      </c>
      <c r="E413" s="62">
        <f t="shared" si="12"/>
        <v>0.00104332985316128</v>
      </c>
      <c r="F413" s="60" t="str">
        <v>Materials</v>
      </c>
      <c r="G413" s="62">
        <f t="shared" si="13"/>
        <v>0.00104332985316128</v>
      </c>
      <c r="H413" s="60"/>
      <c r="J413" s="6"/>
      <c r="P413" s="2"/>
      <c r="X413" s="60" t="str">
        <v>INE570A01022</v>
      </c>
      <c r="Z413" s="63" t="s">
        <v>1170</v>
      </c>
      <c r="AB413" t="s">
        <v>1715</v>
      </c>
      <c r="AC413" t="s">
        <v>1716</v>
      </c>
      <c r="AD413" t="s">
        <v>849</v>
      </c>
      <c r="AE413">
        <v>30.5211341261439</v>
      </c>
      <c r="AF413">
        <v>18.6729483108152</v>
      </c>
      <c r="AG413">
        <v>2078.1</v>
      </c>
      <c r="AH413">
        <v>14.168871</v>
      </c>
      <c r="AI413">
        <v>63425966845.5</v>
      </c>
    </row>
    <row r="414" spans="1:35">
      <c r="A414" s="58" t="s">
        <v>1172</v>
      </c>
      <c r="B414" t="s">
        <v>20</v>
      </c>
      <c r="C414" s="60" t="str">
        <v>Havells India Ltd</v>
      </c>
      <c r="D414" s="61">
        <v>0.00679352663293158</v>
      </c>
      <c r="E414" s="62">
        <f t="shared" si="12"/>
        <v>0.00283063609705482</v>
      </c>
      <c r="F414" s="60" t="str">
        <v>Industrials</v>
      </c>
      <c r="G414" s="62">
        <f t="shared" si="13"/>
        <v>0.00283063609705482</v>
      </c>
      <c r="H414" s="60"/>
      <c r="J414" s="6"/>
      <c r="P414" s="2"/>
      <c r="X414" s="60" t="str">
        <v>INE489L01022</v>
      </c>
      <c r="Z414" s="58" t="s">
        <v>1172</v>
      </c>
      <c r="AB414" t="s">
        <v>1717</v>
      </c>
      <c r="AC414" t="s">
        <v>1718</v>
      </c>
      <c r="AD414" t="s">
        <v>867</v>
      </c>
      <c r="AE414">
        <v>14.0936686903729</v>
      </c>
      <c r="AF414">
        <v>33.1810539867276</v>
      </c>
      <c r="AG414">
        <v>7123.382</v>
      </c>
      <c r="AH414">
        <v>23.06</v>
      </c>
      <c r="AI414">
        <v>100793946175</v>
      </c>
    </row>
    <row r="415" spans="1:35">
      <c r="A415" s="63" t="s">
        <v>955</v>
      </c>
      <c r="B415" t="s">
        <v>20</v>
      </c>
      <c r="C415" s="60" t="str">
        <v>HCL Technologies Ltd</v>
      </c>
      <c r="D415" s="64">
        <v>0.0119683669277621</v>
      </c>
      <c r="E415" s="62">
        <f t="shared" si="12"/>
        <v>0.00498681955323421</v>
      </c>
      <c r="F415" s="60" t="str">
        <v>Information Technology</v>
      </c>
      <c r="G415" s="62">
        <f t="shared" si="13"/>
        <v>0.00498681955323421</v>
      </c>
      <c r="H415" s="60"/>
      <c r="J415" s="6"/>
      <c r="P415" s="2"/>
      <c r="X415" s="60" t="str">
        <v>INE476A01022</v>
      </c>
      <c r="Z415" s="63" t="s">
        <v>955</v>
      </c>
      <c r="AB415" t="s">
        <v>1321</v>
      </c>
      <c r="AC415" t="s">
        <v>1719</v>
      </c>
      <c r="AD415" t="s">
        <v>867</v>
      </c>
      <c r="AE415">
        <v>5.4298480104689</v>
      </c>
      <c r="AF415">
        <v>16.1289576503889</v>
      </c>
      <c r="AG415">
        <v>175396.241</v>
      </c>
      <c r="AH415">
        <v>19.34</v>
      </c>
      <c r="AI415">
        <v>997862345112.6</v>
      </c>
    </row>
    <row r="416" spans="1:35">
      <c r="A416" s="58" t="s">
        <v>958</v>
      </c>
      <c r="B416" t="s">
        <v>20</v>
      </c>
      <c r="C416" s="60" t="str">
        <v>HDB Financial Services Ltd</v>
      </c>
      <c r="D416" s="61">
        <v>0.00541933384668004</v>
      </c>
      <c r="E416" s="62">
        <f t="shared" si="12"/>
        <v>0.00225805576945002</v>
      </c>
      <c r="F416" s="60" t="str">
        <v>Financials</v>
      </c>
      <c r="G416" s="62">
        <f t="shared" si="13"/>
        <v>0.00225805576945002</v>
      </c>
      <c r="H416" s="60"/>
      <c r="J416" s="6"/>
      <c r="P416" s="2"/>
      <c r="X416" s="60" t="str">
        <v>INE926X01010</v>
      </c>
      <c r="Z416" s="58" t="s">
        <v>958</v>
      </c>
      <c r="AB416" t="s">
        <v>1720</v>
      </c>
      <c r="AC416" t="s">
        <v>1721</v>
      </c>
      <c r="AD416" t="s">
        <v>849</v>
      </c>
      <c r="AE416">
        <v>12.50805931657</v>
      </c>
      <c r="AF416">
        <v>18.7046968044086</v>
      </c>
      <c r="AG416">
        <v>5054.66</v>
      </c>
      <c r="AH416">
        <v>77.55</v>
      </c>
      <c r="AI416">
        <v>63215977670</v>
      </c>
    </row>
    <row r="417" spans="1:35">
      <c r="A417" s="63" t="s">
        <v>962</v>
      </c>
      <c r="B417" t="s">
        <v>20</v>
      </c>
      <c r="C417" s="60" t="str">
        <v>HDFC Asset Management Co Ltd</v>
      </c>
      <c r="D417" s="64">
        <v>0.00754668360785014</v>
      </c>
      <c r="E417" s="62">
        <f t="shared" si="12"/>
        <v>0.00314445150327089</v>
      </c>
      <c r="F417" s="60" t="str">
        <v>Financials</v>
      </c>
      <c r="G417" s="62">
        <f t="shared" si="13"/>
        <v>0.00314445150327089</v>
      </c>
      <c r="H417" s="60"/>
      <c r="J417" s="6"/>
      <c r="P417" s="2"/>
      <c r="X417" s="60" t="str">
        <v>INE786A01032</v>
      </c>
      <c r="Z417" s="63" t="s">
        <v>962</v>
      </c>
      <c r="AB417" t="s">
        <v>1722</v>
      </c>
      <c r="AC417" t="s">
        <v>1723</v>
      </c>
      <c r="AD417" t="s">
        <v>859</v>
      </c>
      <c r="AE417">
        <v>36.2760519071962</v>
      </c>
      <c r="AF417">
        <v>8.98933445881503</v>
      </c>
      <c r="AG417">
        <v>2992.5</v>
      </c>
      <c r="AH417">
        <v>25.43</v>
      </c>
      <c r="AI417">
        <v>108550635885</v>
      </c>
    </row>
    <row r="418" spans="1:35">
      <c r="A418" s="58" t="s">
        <v>960</v>
      </c>
      <c r="B418" t="s">
        <v>20</v>
      </c>
      <c r="C418" s="60" t="str">
        <v>HDFC Bank Ltd</v>
      </c>
      <c r="D418" s="61">
        <v>0.089293738922563</v>
      </c>
      <c r="E418" s="62">
        <f t="shared" si="12"/>
        <v>0.0372057245510679</v>
      </c>
      <c r="F418" s="60" t="str">
        <v>Financials</v>
      </c>
      <c r="G418" s="62">
        <f t="shared" si="13"/>
        <v>0.0372057245510679</v>
      </c>
      <c r="H418" s="60"/>
      <c r="J418" s="6"/>
      <c r="P418" s="2"/>
      <c r="X418" s="60" t="str">
        <v>INE049A01027</v>
      </c>
      <c r="Z418" s="58" t="s">
        <v>960</v>
      </c>
      <c r="AB418" t="s">
        <v>1724</v>
      </c>
      <c r="AC418" t="s">
        <v>1725</v>
      </c>
      <c r="AD418" t="s">
        <v>874</v>
      </c>
      <c r="AE418">
        <v>18.3670518026187</v>
      </c>
      <c r="AF418">
        <v>4.23424197483732</v>
      </c>
      <c r="AG418">
        <v>760.403</v>
      </c>
      <c r="AH418">
        <v>6.92</v>
      </c>
      <c r="AI418">
        <v>15981844931.9</v>
      </c>
    </row>
    <row r="419" spans="1:35">
      <c r="A419" s="63" t="s">
        <v>963</v>
      </c>
      <c r="B419" t="s">
        <v>20</v>
      </c>
      <c r="C419" s="60" t="str">
        <v>HDFC Life Insurance Co Ltd</v>
      </c>
      <c r="D419" s="64">
        <v>0.00940851853419822</v>
      </c>
      <c r="E419" s="62">
        <f t="shared" si="12"/>
        <v>0.00392021605591592</v>
      </c>
      <c r="F419" s="60" t="str">
        <v>Financials</v>
      </c>
      <c r="G419" s="62">
        <f t="shared" si="13"/>
        <v>0.00392021605591592</v>
      </c>
      <c r="H419" s="60"/>
      <c r="J419" s="6"/>
      <c r="P419" s="2"/>
      <c r="X419" s="60" t="str">
        <v>INE065X01017</v>
      </c>
      <c r="Z419" s="63" t="s">
        <v>963</v>
      </c>
      <c r="AB419" t="s">
        <v>1726</v>
      </c>
      <c r="AC419" t="s">
        <v>1727</v>
      </c>
      <c r="AD419" t="s">
        <v>855</v>
      </c>
      <c r="AE419">
        <v>34.1749256901421</v>
      </c>
      <c r="AF419">
        <v>20.1102677578065</v>
      </c>
      <c r="AG419">
        <v>4067</v>
      </c>
      <c r="AH419">
        <v>17.15</v>
      </c>
      <c r="AI419">
        <v>140704828312.1</v>
      </c>
    </row>
    <row r="420" spans="1:35">
      <c r="A420" s="58" t="s">
        <v>967</v>
      </c>
      <c r="B420" t="s">
        <v>20</v>
      </c>
      <c r="C420" s="60" t="str">
        <v>Hindalco Industries Ltd</v>
      </c>
      <c r="D420" s="61">
        <v>0.0038679975798863</v>
      </c>
      <c r="E420" s="62">
        <f t="shared" si="12"/>
        <v>0.00161166565828596</v>
      </c>
      <c r="F420" s="60" t="str">
        <v>Materials</v>
      </c>
      <c r="G420" s="62">
        <f t="shared" si="13"/>
        <v>0.00161166565828596</v>
      </c>
      <c r="H420" s="60"/>
      <c r="J420" s="6"/>
      <c r="P420" s="2"/>
      <c r="X420" s="60" t="str">
        <v>INE979A01025</v>
      </c>
      <c r="Z420" s="58" t="s">
        <v>967</v>
      </c>
      <c r="AB420" t="s">
        <v>1728</v>
      </c>
      <c r="AC420" t="s">
        <v>1729</v>
      </c>
      <c r="AD420" t="s">
        <v>893</v>
      </c>
      <c r="AE420">
        <v>45.4048975712835</v>
      </c>
      <c r="AF420">
        <v>13.3831167454823</v>
      </c>
      <c r="AG420">
        <v>2042.6</v>
      </c>
      <c r="AH420">
        <v>10.62</v>
      </c>
      <c r="AI420">
        <v>92972736078</v>
      </c>
    </row>
    <row r="421" spans="1:35">
      <c r="A421" s="63" t="s">
        <v>970</v>
      </c>
      <c r="B421" t="s">
        <v>20</v>
      </c>
      <c r="C421" s="60" t="str">
        <v>Hindustan Unilever Ltd</v>
      </c>
      <c r="D421" s="64">
        <v>0.026463761967239</v>
      </c>
      <c r="E421" s="62">
        <f t="shared" si="12"/>
        <v>0.0110265674863496</v>
      </c>
      <c r="F421" s="60" t="str">
        <v>Consumer Staples</v>
      </c>
      <c r="G421" s="62">
        <f t="shared" si="13"/>
        <v>0.0110265674863496</v>
      </c>
      <c r="H421" s="60"/>
      <c r="J421" s="6"/>
      <c r="P421" s="2"/>
      <c r="X421" s="60" t="str">
        <v>INE076B01028</v>
      </c>
      <c r="Z421" s="63" t="s">
        <v>970</v>
      </c>
      <c r="AB421" t="s">
        <v>1730</v>
      </c>
      <c r="AC421" t="s">
        <v>1731</v>
      </c>
      <c r="AD421" t="s">
        <v>874</v>
      </c>
      <c r="AE421">
        <v>13.5304953835227</v>
      </c>
      <c r="AF421">
        <v>16.2896681080809</v>
      </c>
      <c r="AG421">
        <v>1971.169</v>
      </c>
      <c r="AH421">
        <v>43.45</v>
      </c>
      <c r="AI421">
        <v>26673074735.2</v>
      </c>
    </row>
    <row r="422" spans="1:35">
      <c r="A422" s="58" t="s">
        <v>1215</v>
      </c>
      <c r="B422" t="s">
        <v>20</v>
      </c>
      <c r="C422" s="60" t="str">
        <v>Honeywell Automation India Ltd</v>
      </c>
      <c r="D422" s="61">
        <v>0.00351534767045948</v>
      </c>
      <c r="E422" s="62">
        <f t="shared" si="12"/>
        <v>0.00146472819602478</v>
      </c>
      <c r="F422" s="60" t="str">
        <v>Information Technology</v>
      </c>
      <c r="G422" s="62">
        <f t="shared" si="13"/>
        <v>0.00146472819602478</v>
      </c>
      <c r="H422" s="60"/>
      <c r="J422" s="6"/>
      <c r="P422" s="2"/>
      <c r="X422" s="60" t="str">
        <v>INE843D01027</v>
      </c>
      <c r="Z422" s="58" t="s">
        <v>1215</v>
      </c>
      <c r="AB422" t="s">
        <v>1732</v>
      </c>
      <c r="AC422" t="s">
        <v>1733</v>
      </c>
      <c r="AD422" t="s">
        <v>1016</v>
      </c>
      <c r="AE422">
        <v>14.0222984562607</v>
      </c>
      <c r="AF422">
        <v>11.8381250384261</v>
      </c>
      <c r="AG422">
        <v>1014.723</v>
      </c>
      <c r="AH422">
        <v>11.66</v>
      </c>
      <c r="AI422">
        <v>14223222247.5</v>
      </c>
    </row>
    <row r="423" spans="1:35">
      <c r="A423" s="63" t="s">
        <v>1309</v>
      </c>
      <c r="B423" t="s">
        <v>20</v>
      </c>
      <c r="C423" s="60" t="str">
        <v>Hyundai Motor India Ltd</v>
      </c>
      <c r="D423" s="64">
        <v>0.00865256747664415</v>
      </c>
      <c r="E423" s="62">
        <f t="shared" si="12"/>
        <v>0.00360523644860173</v>
      </c>
      <c r="F423" s="60" t="str">
        <v>Consumer Discretionary</v>
      </c>
      <c r="G423" s="62">
        <f t="shared" si="13"/>
        <v>0.00360523644860173</v>
      </c>
      <c r="H423" s="60"/>
      <c r="J423" s="6"/>
      <c r="P423" s="2"/>
      <c r="X423" s="60" t="str">
        <v>INE551W01018</v>
      </c>
      <c r="Z423" s="63" t="s">
        <v>1309</v>
      </c>
      <c r="AB423" t="s">
        <v>1734</v>
      </c>
      <c r="AC423" t="s">
        <v>1735</v>
      </c>
      <c r="AD423" t="s">
        <v>867</v>
      </c>
      <c r="AE423">
        <v>15.4615381261805</v>
      </c>
      <c r="AF423">
        <v>8.71788546909811</v>
      </c>
      <c r="AG423">
        <v>7261.031</v>
      </c>
      <c r="AH423">
        <v>3.75</v>
      </c>
      <c r="AI423">
        <v>81703240724.7</v>
      </c>
    </row>
    <row r="424" spans="1:35">
      <c r="A424" s="58" t="s">
        <v>972</v>
      </c>
      <c r="B424" t="s">
        <v>20</v>
      </c>
      <c r="C424" s="60" t="str">
        <v>ICICI Bank Ltd</v>
      </c>
      <c r="D424" s="61">
        <v>0.0553452522431287</v>
      </c>
      <c r="E424" s="62">
        <f t="shared" si="12"/>
        <v>0.0230605217679703</v>
      </c>
      <c r="F424" s="60" t="str">
        <v>Financials</v>
      </c>
      <c r="G424" s="62">
        <f t="shared" si="13"/>
        <v>0.0230605217679703</v>
      </c>
      <c r="H424" s="60"/>
      <c r="J424" s="6"/>
      <c r="P424" s="2"/>
      <c r="X424" s="60" t="str">
        <v>INE895B01021</v>
      </c>
      <c r="Z424" s="58" t="s">
        <v>972</v>
      </c>
      <c r="AB424" t="s">
        <v>1736</v>
      </c>
      <c r="AC424" t="s">
        <v>1737</v>
      </c>
      <c r="AD424" t="s">
        <v>874</v>
      </c>
      <c r="AE424">
        <v>18.8548236544517</v>
      </c>
      <c r="AF424">
        <v>8.43228413317287</v>
      </c>
      <c r="AG424">
        <v>832.921</v>
      </c>
      <c r="AH424">
        <v>10.47</v>
      </c>
      <c r="AI424">
        <v>15698943389.6</v>
      </c>
    </row>
    <row r="425" spans="1:35">
      <c r="A425" s="63" t="s">
        <v>1153</v>
      </c>
      <c r="B425" t="s">
        <v>20</v>
      </c>
      <c r="C425" s="60" t="str">
        <v>ICICI Lombard General Insuranc</v>
      </c>
      <c r="D425" s="64">
        <v>0.00747570847471183</v>
      </c>
      <c r="E425" s="62">
        <f t="shared" si="12"/>
        <v>0.00311487853112993</v>
      </c>
      <c r="F425" s="60" t="str">
        <v>Financials</v>
      </c>
      <c r="G425" s="62">
        <f t="shared" si="13"/>
        <v>0.00311487853112993</v>
      </c>
      <c r="H425" s="60"/>
      <c r="J425" s="6"/>
      <c r="P425" s="2"/>
      <c r="X425" s="60" t="str">
        <v>INE901L01018</v>
      </c>
      <c r="Z425" s="63" t="s">
        <v>1153</v>
      </c>
      <c r="AB425" t="s">
        <v>1738</v>
      </c>
      <c r="AC425" t="s">
        <v>1739</v>
      </c>
      <c r="AD425" t="s">
        <v>855</v>
      </c>
      <c r="AE425">
        <v>32.6128710312342</v>
      </c>
      <c r="AF425">
        <v>11.6577448212334</v>
      </c>
      <c r="AG425">
        <v>5834.2</v>
      </c>
      <c r="AH425">
        <v>29.68</v>
      </c>
      <c r="AI425">
        <v>190263275875.8</v>
      </c>
    </row>
    <row r="426" spans="1:35">
      <c r="A426" s="58" t="s">
        <v>1191</v>
      </c>
      <c r="B426" t="s">
        <v>20</v>
      </c>
      <c r="C426" s="60" t="str">
        <v>IndusInd Bank Ltd</v>
      </c>
      <c r="D426" s="61">
        <v>0</v>
      </c>
      <c r="E426" s="62">
        <f t="shared" si="12"/>
        <v>0</v>
      </c>
      <c r="F426" s="60" t="str">
        <v>Financials</v>
      </c>
      <c r="G426" s="62">
        <f t="shared" si="13"/>
        <v>0</v>
      </c>
      <c r="H426" s="60"/>
      <c r="J426" s="6"/>
      <c r="P426" s="2"/>
      <c r="X426" s="60" t="str">
        <v>INE987B01026</v>
      </c>
      <c r="Z426" s="58" t="s">
        <v>1191</v>
      </c>
      <c r="AB426" t="s">
        <v>1740</v>
      </c>
      <c r="AC426" t="s">
        <v>1741</v>
      </c>
      <c r="AD426" t="s">
        <v>855</v>
      </c>
      <c r="AE426">
        <v>8.38985372296437</v>
      </c>
      <c r="AF426">
        <v>28.01465070839</v>
      </c>
      <c r="AG426">
        <v>18854</v>
      </c>
      <c r="AH426">
        <v>105.329609</v>
      </c>
      <c r="AI426">
        <v>158279392119</v>
      </c>
    </row>
    <row r="427" spans="1:35">
      <c r="A427" s="63" t="s">
        <v>991</v>
      </c>
      <c r="B427" t="s">
        <v>20</v>
      </c>
      <c r="C427" s="60" t="str">
        <v>Infosys Ltd</v>
      </c>
      <c r="D427" s="64">
        <v>0.023235593461145</v>
      </c>
      <c r="E427" s="62">
        <f t="shared" si="12"/>
        <v>0.00968149727547708</v>
      </c>
      <c r="F427" s="60" t="str">
        <v>Information Technology</v>
      </c>
      <c r="G427" s="62">
        <f t="shared" si="13"/>
        <v>0.00968149727547708</v>
      </c>
      <c r="H427" s="60"/>
      <c r="J427" s="6"/>
      <c r="P427" s="2"/>
      <c r="X427" s="60" t="str">
        <v>INE119A01028</v>
      </c>
      <c r="Z427" s="63" t="s">
        <v>991</v>
      </c>
      <c r="AB427" t="s">
        <v>1742</v>
      </c>
      <c r="AC427" t="s">
        <v>1743</v>
      </c>
      <c r="AD427" t="s">
        <v>1016</v>
      </c>
      <c r="AE427">
        <v>25.5796761105297</v>
      </c>
      <c r="AF427">
        <v>12.1426579975241</v>
      </c>
      <c r="AG427">
        <v>4369.212</v>
      </c>
      <c r="AH427">
        <v>21.65</v>
      </c>
      <c r="AI427">
        <v>111813533059.8</v>
      </c>
    </row>
    <row r="428" spans="1:35">
      <c r="A428" s="58" t="s">
        <v>994</v>
      </c>
      <c r="B428" t="s">
        <v>20</v>
      </c>
      <c r="C428" s="60" t="str">
        <v>InterGlobe Aviation Ltd</v>
      </c>
      <c r="D428" s="61">
        <v>0.0152532005165436</v>
      </c>
      <c r="E428" s="62">
        <f t="shared" si="12"/>
        <v>0.0063555002152265</v>
      </c>
      <c r="F428" s="60" t="str">
        <v>Industrials</v>
      </c>
      <c r="G428" s="62">
        <f t="shared" si="13"/>
        <v>0.0063555002152265</v>
      </c>
      <c r="H428" s="60"/>
      <c r="J428" s="6"/>
      <c r="P428" s="2"/>
      <c r="X428" s="60" t="str">
        <v>INE665L01035</v>
      </c>
      <c r="Z428" s="58" t="s">
        <v>994</v>
      </c>
      <c r="AB428" t="s">
        <v>1744</v>
      </c>
      <c r="AC428" t="s">
        <v>1745</v>
      </c>
      <c r="AD428" t="s">
        <v>874</v>
      </c>
      <c r="AE428">
        <v>131.259345532653</v>
      </c>
      <c r="AF428">
        <v>3.99921491812321</v>
      </c>
      <c r="AG428">
        <v>612.3</v>
      </c>
      <c r="AH428">
        <v>4.01</v>
      </c>
      <c r="AI428">
        <v>80419121640</v>
      </c>
    </row>
    <row r="429" spans="1:35">
      <c r="A429" s="63" t="s">
        <v>997</v>
      </c>
      <c r="B429" t="s">
        <v>20</v>
      </c>
      <c r="C429" s="60" t="str">
        <v>ITC Ltd</v>
      </c>
      <c r="D429" s="64">
        <v>0.0329541351627148</v>
      </c>
      <c r="E429" s="62">
        <f t="shared" si="12"/>
        <v>0.0137308896511312</v>
      </c>
      <c r="F429" s="60" t="str">
        <v>Consumer Staples</v>
      </c>
      <c r="G429" s="62">
        <f t="shared" si="13"/>
        <v>0.0137308896511312</v>
      </c>
      <c r="H429" s="60"/>
      <c r="J429" s="6"/>
      <c r="P429" s="2"/>
      <c r="X429" s="60" t="str">
        <v>INE939A01011</v>
      </c>
      <c r="Z429" s="63" t="s">
        <v>997</v>
      </c>
      <c r="AB429" t="s">
        <v>1746</v>
      </c>
      <c r="AC429" t="s">
        <v>1747</v>
      </c>
      <c r="AD429" t="s">
        <v>855</v>
      </c>
      <c r="AE429">
        <v>20.4858121319878</v>
      </c>
      <c r="AF429">
        <v>153.651946510409</v>
      </c>
      <c r="AG429">
        <v>35934.55</v>
      </c>
      <c r="AH429">
        <v>390.55</v>
      </c>
      <c r="AI429">
        <v>83176657113.6</v>
      </c>
    </row>
    <row r="430" spans="1:35">
      <c r="A430" s="58" t="s">
        <v>1008</v>
      </c>
      <c r="B430" t="s">
        <v>20</v>
      </c>
      <c r="C430" s="60" t="str">
        <v>Kotak Mahindra Bank Ltd</v>
      </c>
      <c r="D430" s="61">
        <v>0.00489048917682794</v>
      </c>
      <c r="E430" s="62">
        <f t="shared" si="12"/>
        <v>0.00203770382367831</v>
      </c>
      <c r="F430" s="60" t="str">
        <v>Financials</v>
      </c>
      <c r="G430" s="62">
        <f t="shared" si="13"/>
        <v>0.00203770382367831</v>
      </c>
      <c r="H430" s="60"/>
      <c r="J430" s="6"/>
      <c r="P430" s="2"/>
      <c r="X430" s="60" t="str">
        <v>INE805D01034</v>
      </c>
      <c r="Z430" s="58" t="s">
        <v>1008</v>
      </c>
      <c r="AB430" t="s">
        <v>1748</v>
      </c>
      <c r="AC430" t="s">
        <v>1749</v>
      </c>
      <c r="AD430" t="s">
        <v>1034</v>
      </c>
      <c r="AE430">
        <v>36.9883040935673</v>
      </c>
      <c r="AF430">
        <v>4.70898378342361</v>
      </c>
      <c r="AG430">
        <v>1503.161</v>
      </c>
      <c r="AH430">
        <v>10.26</v>
      </c>
      <c r="AI430">
        <v>55592607378</v>
      </c>
    </row>
    <row r="431" spans="1:35">
      <c r="A431" s="63" t="s">
        <v>1011</v>
      </c>
      <c r="B431" t="s">
        <v>20</v>
      </c>
      <c r="C431" s="60" t="str">
        <v>Larsen &amp; Toubro Ltd</v>
      </c>
      <c r="D431" s="64">
        <v>0.0362336907882683</v>
      </c>
      <c r="E431" s="62">
        <f t="shared" si="12"/>
        <v>0.0150973711617785</v>
      </c>
      <c r="F431" s="60" t="str">
        <v>Industrials</v>
      </c>
      <c r="G431" s="62">
        <f t="shared" si="13"/>
        <v>0.0150973711617785</v>
      </c>
      <c r="H431" s="60"/>
      <c r="J431" s="6"/>
      <c r="P431" s="2"/>
      <c r="X431" s="60" t="str">
        <v>INE935A01035</v>
      </c>
      <c r="Z431" s="63" t="s">
        <v>1011</v>
      </c>
      <c r="AB431" t="s">
        <v>951</v>
      </c>
      <c r="AC431" t="s">
        <v>1750</v>
      </c>
      <c r="AD431" t="s">
        <v>855</v>
      </c>
      <c r="AE431">
        <v>54.9205059441104</v>
      </c>
      <c r="AF431">
        <v>12.5420605211552</v>
      </c>
      <c r="AG431">
        <v>10470.97</v>
      </c>
      <c r="AH431">
        <v>37.11</v>
      </c>
      <c r="AI431">
        <v>575153468822.9</v>
      </c>
    </row>
    <row r="432" spans="1:35">
      <c r="A432" s="58" t="s">
        <v>996</v>
      </c>
      <c r="B432" t="s">
        <v>20</v>
      </c>
      <c r="C432" s="60" t="str">
        <v>Linde India Ltd</v>
      </c>
      <c r="D432" s="61">
        <v>0.00322141198860268</v>
      </c>
      <c r="E432" s="62">
        <f t="shared" si="12"/>
        <v>0.00134225499525112</v>
      </c>
      <c r="F432" s="60" t="str">
        <v>Materials</v>
      </c>
      <c r="G432" s="62">
        <f t="shared" si="13"/>
        <v>0.00134225499525112</v>
      </c>
      <c r="H432" s="60"/>
      <c r="J432" s="6"/>
      <c r="P432" s="2"/>
      <c r="X432" s="60" t="str">
        <v>INE278Y01022</v>
      </c>
      <c r="Z432" s="58" t="s">
        <v>996</v>
      </c>
      <c r="AB432" t="s">
        <v>1751</v>
      </c>
      <c r="AC432" t="s">
        <v>1752</v>
      </c>
      <c r="AD432" t="s">
        <v>874</v>
      </c>
      <c r="AE432">
        <v>68.9027535891013</v>
      </c>
      <c r="AF432">
        <v>17.210990150337</v>
      </c>
      <c r="AG432">
        <v>1211.8</v>
      </c>
      <c r="AH432">
        <v>3.967911</v>
      </c>
      <c r="AI432">
        <v>83516097839.6</v>
      </c>
    </row>
    <row r="433" spans="1:35">
      <c r="A433" s="63" t="s">
        <v>1002</v>
      </c>
      <c r="B433" t="s">
        <v>20</v>
      </c>
      <c r="C433" s="60" t="str">
        <v>Mahindra &amp; Mahindra Ltd</v>
      </c>
      <c r="D433" s="64">
        <v>0.0200520781995038</v>
      </c>
      <c r="E433" s="62">
        <f t="shared" si="12"/>
        <v>0.00835503258312658</v>
      </c>
      <c r="F433" s="60" t="str">
        <v>Consumer Discretionary</v>
      </c>
      <c r="G433" s="62">
        <f t="shared" si="13"/>
        <v>0.00835503258312658</v>
      </c>
      <c r="H433" s="60"/>
      <c r="J433" s="6"/>
      <c r="P433" s="2"/>
      <c r="X433" s="60" t="str">
        <v>INE399G01023</v>
      </c>
      <c r="Z433" s="63" t="s">
        <v>1002</v>
      </c>
      <c r="AB433" t="s">
        <v>1753</v>
      </c>
      <c r="AC433" t="s">
        <v>1754</v>
      </c>
      <c r="AD433" t="s">
        <v>859</v>
      </c>
      <c r="AE433">
        <v>31.3028583989245</v>
      </c>
      <c r="AF433">
        <v>14.5076356740745</v>
      </c>
      <c r="AG433">
        <v>4150.252</v>
      </c>
      <c r="AH433">
        <v>22.95</v>
      </c>
      <c r="AI433">
        <v>103784845273.2</v>
      </c>
    </row>
    <row r="434" spans="1:35">
      <c r="A434" s="58" t="s">
        <v>1026</v>
      </c>
      <c r="B434" t="s">
        <v>20</v>
      </c>
      <c r="C434" s="60" t="str">
        <v>Maruti Suzuki India Ltd</v>
      </c>
      <c r="D434" s="61">
        <v>0.0167409951779886</v>
      </c>
      <c r="E434" s="62">
        <f t="shared" si="12"/>
        <v>0.00697541465749525</v>
      </c>
      <c r="F434" s="60" t="str">
        <v>Consumer Discretionary</v>
      </c>
      <c r="G434" s="62">
        <f t="shared" si="13"/>
        <v>0.00697541465749525</v>
      </c>
      <c r="H434" s="60"/>
      <c r="J434" s="6"/>
      <c r="P434" s="2"/>
      <c r="X434" s="60" t="str">
        <v>INE522D01027</v>
      </c>
      <c r="Z434" s="58" t="s">
        <v>1026</v>
      </c>
      <c r="AB434" t="s">
        <v>1755</v>
      </c>
      <c r="AC434" t="s">
        <v>1756</v>
      </c>
      <c r="AD434" t="s">
        <v>867</v>
      </c>
      <c r="AE434">
        <v>18.7327601632784</v>
      </c>
      <c r="AF434">
        <v>10.1428890261868</v>
      </c>
      <c r="AG434">
        <v>12161.47</v>
      </c>
      <c r="AH434">
        <v>14.367877</v>
      </c>
      <c r="AI434">
        <v>227817907310.35</v>
      </c>
    </row>
    <row r="435" spans="1:35">
      <c r="A435" s="63" t="s">
        <v>1217</v>
      </c>
      <c r="B435" t="s">
        <v>20</v>
      </c>
      <c r="C435" s="60" t="str">
        <v>Max Financial Services Ltd</v>
      </c>
      <c r="D435" s="64">
        <v>0.00790419938727996</v>
      </c>
      <c r="E435" s="62">
        <f t="shared" si="12"/>
        <v>0.00329341641136665</v>
      </c>
      <c r="F435" s="60" t="str">
        <v>Financials</v>
      </c>
      <c r="G435" s="62">
        <f t="shared" si="13"/>
        <v>0.00329341641136665</v>
      </c>
      <c r="H435" s="60"/>
      <c r="J435" s="6"/>
      <c r="P435" s="2"/>
      <c r="X435" s="60" t="str">
        <v>INE501A01019</v>
      </c>
      <c r="Z435" s="63" t="s">
        <v>1217</v>
      </c>
      <c r="AB435" t="s">
        <v>1757</v>
      </c>
      <c r="AC435" t="s">
        <v>1758</v>
      </c>
      <c r="AD435" t="s">
        <v>859</v>
      </c>
      <c r="AE435">
        <v>19.7065591457488</v>
      </c>
      <c r="AF435">
        <v>16.0343842986385</v>
      </c>
      <c r="AG435">
        <v>9335.9</v>
      </c>
      <c r="AH435">
        <v>73.95</v>
      </c>
      <c r="AI435">
        <v>183966382372.5</v>
      </c>
    </row>
    <row r="436" spans="1:35">
      <c r="A436" s="58" t="s">
        <v>1166</v>
      </c>
      <c r="B436" t="s">
        <v>20</v>
      </c>
      <c r="C436" s="60" t="str">
        <v>NTPC Green Energy Ltd</v>
      </c>
      <c r="D436" s="61">
        <v>0.00817030292670914</v>
      </c>
      <c r="E436" s="62">
        <f t="shared" si="12"/>
        <v>0.00340429288612881</v>
      </c>
      <c r="F436" s="60" t="str">
        <v>Utilities</v>
      </c>
      <c r="G436" s="62">
        <f t="shared" si="13"/>
        <v>0.00340429288612881</v>
      </c>
      <c r="H436" s="60"/>
      <c r="J436" s="6"/>
      <c r="P436" s="2"/>
      <c r="X436" s="60" t="str">
        <v>INE085A01013</v>
      </c>
      <c r="Z436" s="58" t="s">
        <v>1166</v>
      </c>
      <c r="AB436" t="s">
        <v>1759</v>
      </c>
      <c r="AC436" t="s">
        <v>1760</v>
      </c>
      <c r="AD436" t="s">
        <v>859</v>
      </c>
      <c r="AE436">
        <v>12.8515903712883</v>
      </c>
      <c r="AF436">
        <v>20.6168519714003</v>
      </c>
      <c r="AG436">
        <v>16495.1</v>
      </c>
      <c r="AH436">
        <v>41.17</v>
      </c>
      <c r="AI436">
        <v>211984188544.7</v>
      </c>
    </row>
    <row r="437" spans="1:35">
      <c r="A437" s="63" t="s">
        <v>1028</v>
      </c>
      <c r="B437" t="s">
        <v>20</v>
      </c>
      <c r="C437" s="60" t="str">
        <v>NTPC Ltd</v>
      </c>
      <c r="D437" s="64">
        <v>0.024156325202491</v>
      </c>
      <c r="E437" s="62">
        <f t="shared" si="12"/>
        <v>0.0100651355010379</v>
      </c>
      <c r="F437" s="60" t="str">
        <v>Utilities</v>
      </c>
      <c r="G437" s="62">
        <f t="shared" si="13"/>
        <v>0.0100651355010379</v>
      </c>
      <c r="H437" s="60"/>
      <c r="J437" s="6"/>
      <c r="P437" s="2"/>
      <c r="X437" s="60" t="str">
        <v>INE0NAZ01010</v>
      </c>
      <c r="Z437" s="63" t="s">
        <v>1028</v>
      </c>
      <c r="AB437" t="s">
        <v>1761</v>
      </c>
      <c r="AC437" t="s">
        <v>1762</v>
      </c>
      <c r="AD437" t="s">
        <v>1034</v>
      </c>
      <c r="AE437" t="s">
        <v>860</v>
      </c>
      <c r="AF437">
        <v>-80.0301479529793</v>
      </c>
      <c r="AG437">
        <v>-631.79</v>
      </c>
      <c r="AH437">
        <v>-6.18</v>
      </c>
      <c r="AI437">
        <v>52449050863.3</v>
      </c>
    </row>
    <row r="438" spans="1:35">
      <c r="A438" s="58" t="s">
        <v>1357</v>
      </c>
      <c r="B438" t="s">
        <v>20</v>
      </c>
      <c r="C438" s="60" t="str">
        <v>One 97 Communications Ltd</v>
      </c>
      <c r="D438" s="61">
        <v>0.00493311818313162</v>
      </c>
      <c r="E438" s="62">
        <f t="shared" si="12"/>
        <v>0.00205546590963817</v>
      </c>
      <c r="F438" s="60" t="str">
        <v>Financials</v>
      </c>
      <c r="G438" s="62">
        <f t="shared" si="13"/>
        <v>0.00205546590963817</v>
      </c>
      <c r="H438" s="60"/>
      <c r="J438" s="6"/>
      <c r="P438" s="2"/>
      <c r="X438" s="60" t="str">
        <v>INE438K01021</v>
      </c>
      <c r="Z438" s="58" t="s">
        <v>1357</v>
      </c>
      <c r="AB438" t="s">
        <v>1763</v>
      </c>
      <c r="AC438" t="s">
        <v>1764</v>
      </c>
      <c r="AD438" t="s">
        <v>874</v>
      </c>
      <c r="AE438">
        <v>30.215201953605</v>
      </c>
      <c r="AF438">
        <v>7.78140263906102</v>
      </c>
      <c r="AG438">
        <v>853.9</v>
      </c>
      <c r="AH438">
        <v>5.567727</v>
      </c>
      <c r="AI438">
        <v>25800781021.76</v>
      </c>
    </row>
    <row r="439" spans="1:35">
      <c r="A439" s="63" t="s">
        <v>1038</v>
      </c>
      <c r="B439" t="s">
        <v>20</v>
      </c>
      <c r="C439" s="60" t="str">
        <v>PB Fintech Ltd</v>
      </c>
      <c r="D439" s="64">
        <v>0.00211963773081634</v>
      </c>
      <c r="E439" s="62">
        <f t="shared" si="12"/>
        <v>0.000883182387840142</v>
      </c>
      <c r="F439" s="60" t="str">
        <v>Financials</v>
      </c>
      <c r="G439" s="62">
        <f t="shared" si="13"/>
        <v>0.000883182387840142</v>
      </c>
      <c r="H439" s="60"/>
      <c r="J439" s="6"/>
      <c r="P439" s="2"/>
      <c r="X439" s="60" t="str">
        <v>INE371P01015</v>
      </c>
      <c r="Z439" s="63" t="s">
        <v>1038</v>
      </c>
      <c r="AB439" t="s">
        <v>1765</v>
      </c>
      <c r="AC439" t="s">
        <v>1766</v>
      </c>
      <c r="AD439" t="s">
        <v>874</v>
      </c>
      <c r="AE439">
        <v>103.509646037445</v>
      </c>
      <c r="AF439">
        <v>11.1976802644322</v>
      </c>
      <c r="AG439">
        <v>2435.58</v>
      </c>
      <c r="AH439">
        <v>71.969138</v>
      </c>
      <c r="AI439">
        <v>252471607909.5</v>
      </c>
    </row>
    <row r="440" spans="1:35">
      <c r="A440" s="58" t="s">
        <v>1056</v>
      </c>
      <c r="B440" t="s">
        <v>20</v>
      </c>
      <c r="C440" s="60" t="str">
        <v>Power Finance Corp Ltd</v>
      </c>
      <c r="D440" s="61">
        <v>0.00348862500979151</v>
      </c>
      <c r="E440" s="62">
        <f t="shared" si="12"/>
        <v>0.0014535937540798</v>
      </c>
      <c r="F440" s="60" t="str">
        <v>Financials</v>
      </c>
      <c r="G440" s="62">
        <f t="shared" si="13"/>
        <v>0.0014535937540798</v>
      </c>
      <c r="H440" s="60"/>
      <c r="J440" s="6"/>
      <c r="P440" s="2"/>
      <c r="X440" s="60" t="str">
        <v>INE024L01027</v>
      </c>
      <c r="Z440" s="58" t="s">
        <v>1056</v>
      </c>
      <c r="AB440" t="s">
        <v>1767</v>
      </c>
      <c r="AC440" t="s">
        <v>1768</v>
      </c>
      <c r="AD440" t="s">
        <v>859</v>
      </c>
      <c r="AE440">
        <v>41.7677905509729</v>
      </c>
      <c r="AF440">
        <v>21.4899683900238</v>
      </c>
      <c r="AG440">
        <v>3123.9</v>
      </c>
      <c r="AH440">
        <v>42.329268</v>
      </c>
      <c r="AI440">
        <v>130493341368</v>
      </c>
    </row>
    <row r="441" spans="1:35">
      <c r="A441" s="63" t="s">
        <v>1359</v>
      </c>
      <c r="B441" t="s">
        <v>20</v>
      </c>
      <c r="C441" s="60" t="str">
        <v>PVR Inox Ltd</v>
      </c>
      <c r="D441" s="64">
        <v>0.00216339659711606</v>
      </c>
      <c r="E441" s="62">
        <f t="shared" si="12"/>
        <v>0.000901415248798358</v>
      </c>
      <c r="F441" s="60" t="str">
        <v>Communication Services</v>
      </c>
      <c r="G441" s="62">
        <f t="shared" si="13"/>
        <v>0.000901415248798358</v>
      </c>
      <c r="H441" s="60"/>
      <c r="J441" s="6"/>
      <c r="P441" s="2"/>
      <c r="X441" s="60" t="str">
        <v>INE372A01015</v>
      </c>
      <c r="Z441" s="63" t="s">
        <v>1359</v>
      </c>
      <c r="AB441" t="s">
        <v>1769</v>
      </c>
      <c r="AC441" t="s">
        <v>1770</v>
      </c>
      <c r="AD441" t="s">
        <v>849</v>
      </c>
      <c r="AE441">
        <v>41.8618868293637</v>
      </c>
      <c r="AF441">
        <v>19.601502153349</v>
      </c>
      <c r="AG441">
        <v>8213</v>
      </c>
      <c r="AH441">
        <v>204.47</v>
      </c>
      <c r="AI441">
        <v>343820692242.5</v>
      </c>
    </row>
    <row r="442" spans="1:35">
      <c r="A442" s="58" t="s">
        <v>1067</v>
      </c>
      <c r="B442" t="s">
        <v>20</v>
      </c>
      <c r="C442" s="60" t="str">
        <v>REC Ltd</v>
      </c>
      <c r="D442" s="61">
        <v>0</v>
      </c>
      <c r="E442" s="62">
        <f t="shared" si="12"/>
        <v>0</v>
      </c>
      <c r="F442" s="60" t="str">
        <v>Financials</v>
      </c>
      <c r="G442" s="62">
        <f t="shared" si="13"/>
        <v>0</v>
      </c>
      <c r="H442" s="60"/>
      <c r="J442" s="6"/>
      <c r="P442" s="2"/>
      <c r="X442" s="60" t="str">
        <v>INE660A01013</v>
      </c>
      <c r="Z442" s="58" t="s">
        <v>1067</v>
      </c>
      <c r="AB442" t="s">
        <v>1771</v>
      </c>
      <c r="AC442" t="s">
        <v>1772</v>
      </c>
      <c r="AD442" t="s">
        <v>867</v>
      </c>
      <c r="AE442">
        <v>28.0141995818764</v>
      </c>
      <c r="AF442">
        <v>15.4845407115536</v>
      </c>
      <c r="AG442">
        <v>18794.4</v>
      </c>
      <c r="AH442">
        <v>169.160639</v>
      </c>
      <c r="AI442">
        <v>526510082154</v>
      </c>
    </row>
    <row r="443" spans="1:35">
      <c r="A443" s="63" t="s">
        <v>1070</v>
      </c>
      <c r="B443" t="s">
        <v>20</v>
      </c>
      <c r="C443" s="60" t="str">
        <v>Reliance Industries Ltd</v>
      </c>
      <c r="D443" s="64">
        <v>0.0630687261087567</v>
      </c>
      <c r="E443" s="62">
        <f t="shared" si="12"/>
        <v>0.0262786358786486</v>
      </c>
      <c r="F443" s="60" t="str">
        <v>Energy</v>
      </c>
      <c r="G443" s="62">
        <f t="shared" si="13"/>
        <v>0.0262786358786486</v>
      </c>
      <c r="H443" s="60"/>
      <c r="J443" s="6"/>
      <c r="P443" s="2"/>
      <c r="X443" s="60" t="str">
        <v>INE466L01038</v>
      </c>
      <c r="Z443" s="63" t="s">
        <v>1070</v>
      </c>
      <c r="AB443" t="s">
        <v>847</v>
      </c>
      <c r="AC443" t="s">
        <v>1773</v>
      </c>
      <c r="AD443" t="s">
        <v>867</v>
      </c>
      <c r="AE443">
        <v>40.2868837961449</v>
      </c>
      <c r="AF443">
        <v>19.3117353076839</v>
      </c>
      <c r="AG443">
        <v>10153</v>
      </c>
      <c r="AH443">
        <v>25.829746</v>
      </c>
      <c r="AI443">
        <v>421009140560.8</v>
      </c>
    </row>
    <row r="444" spans="1:35">
      <c r="A444" s="58" t="s">
        <v>1055</v>
      </c>
      <c r="B444" t="s">
        <v>20</v>
      </c>
      <c r="C444" s="60" t="str">
        <v>Samvardhana Motherson Internat</v>
      </c>
      <c r="D444" s="61">
        <v>0.00830188067065735</v>
      </c>
      <c r="E444" s="62">
        <f t="shared" si="12"/>
        <v>0.00345911694610723</v>
      </c>
      <c r="F444" s="60" t="str">
        <v>Consumer Discretionary</v>
      </c>
      <c r="G444" s="62">
        <f t="shared" si="13"/>
        <v>0.00345911694610723</v>
      </c>
      <c r="H444" s="60"/>
      <c r="J444" s="6"/>
      <c r="P444" s="2"/>
      <c r="X444" s="60" t="str">
        <v>INE769A01020</v>
      </c>
      <c r="Z444" s="58" t="s">
        <v>1055</v>
      </c>
      <c r="AB444" t="s">
        <v>851</v>
      </c>
      <c r="AC444" t="s">
        <v>1774</v>
      </c>
      <c r="AD444" t="s">
        <v>859</v>
      </c>
      <c r="AE444">
        <v>41.4731647203159</v>
      </c>
      <c r="AF444">
        <v>6.07385664288488</v>
      </c>
      <c r="AG444">
        <v>3308.7</v>
      </c>
      <c r="AH444">
        <v>9.13</v>
      </c>
      <c r="AI444">
        <v>137280813860.7</v>
      </c>
    </row>
    <row r="445" spans="1:35">
      <c r="A445" s="63" t="s">
        <v>1258</v>
      </c>
      <c r="B445" t="s">
        <v>20</v>
      </c>
      <c r="C445" s="60" t="str">
        <v>SBI Cards &amp; Payment Services L</v>
      </c>
      <c r="D445" s="64">
        <v>0.00811559868321327</v>
      </c>
      <c r="E445" s="62">
        <f t="shared" si="12"/>
        <v>0.00338149945133886</v>
      </c>
      <c r="F445" s="60" t="str">
        <v>Financials</v>
      </c>
      <c r="G445" s="62">
        <f t="shared" si="13"/>
        <v>0.00338149945133886</v>
      </c>
      <c r="H445" s="60"/>
      <c r="J445" s="6"/>
      <c r="P445" s="2"/>
      <c r="X445" s="60" t="str">
        <v>INE852O01025</v>
      </c>
      <c r="Z445" s="63" t="s">
        <v>1258</v>
      </c>
      <c r="AB445" t="s">
        <v>869</v>
      </c>
      <c r="AC445" t="s">
        <v>1775</v>
      </c>
      <c r="AD445" t="s">
        <v>867</v>
      </c>
      <c r="AE445">
        <v>24.0724725926176</v>
      </c>
      <c r="AF445">
        <v>18.584676232108</v>
      </c>
      <c r="AG445">
        <v>7512.461</v>
      </c>
      <c r="AH445">
        <v>15.04</v>
      </c>
      <c r="AI445">
        <v>181003552882.1</v>
      </c>
    </row>
    <row r="446" spans="1:35">
      <c r="A446" s="58" t="s">
        <v>1174</v>
      </c>
      <c r="B446" t="s">
        <v>20</v>
      </c>
      <c r="C446" s="60" t="str">
        <v>SBI Life Insurance Co Ltd</v>
      </c>
      <c r="D446" s="61">
        <v>0.014349262706241</v>
      </c>
      <c r="E446" s="62">
        <f t="shared" si="12"/>
        <v>0.00597885946093375</v>
      </c>
      <c r="F446" s="60" t="str">
        <v>Financials</v>
      </c>
      <c r="G446" s="62">
        <f t="shared" si="13"/>
        <v>0.00597885946093375</v>
      </c>
      <c r="H446" s="60"/>
      <c r="J446" s="6"/>
      <c r="P446" s="2"/>
      <c r="X446" s="60" t="str">
        <v>INE0V7W01012</v>
      </c>
      <c r="Z446" s="58" t="s">
        <v>1174</v>
      </c>
      <c r="AB446" t="s">
        <v>903</v>
      </c>
      <c r="AC446" t="s">
        <v>1776</v>
      </c>
      <c r="AD446" t="s">
        <v>849</v>
      </c>
      <c r="AE446">
        <v>38.0954534357244</v>
      </c>
      <c r="AF446">
        <v>17.6876500649044</v>
      </c>
      <c r="AG446">
        <v>625.43</v>
      </c>
      <c r="AH446">
        <v>11</v>
      </c>
      <c r="AI446">
        <v>23823636998.9</v>
      </c>
    </row>
    <row r="447" spans="1:35">
      <c r="A447" s="63" t="s">
        <v>1061</v>
      </c>
      <c r="B447" t="s">
        <v>20</v>
      </c>
      <c r="C447" s="60" t="str">
        <v>Shree Cement Ltd</v>
      </c>
      <c r="D447" s="64">
        <v>0.00727465905862205</v>
      </c>
      <c r="E447" s="62">
        <f t="shared" si="12"/>
        <v>0.00303110794109252</v>
      </c>
      <c r="F447" s="60" t="str">
        <v>Materials</v>
      </c>
      <c r="G447" s="62">
        <f t="shared" si="13"/>
        <v>0.00303110794109252</v>
      </c>
      <c r="H447" s="60"/>
      <c r="J447" s="6"/>
      <c r="P447" s="2"/>
      <c r="X447" s="60" t="str">
        <v>INE236E01022</v>
      </c>
      <c r="Z447" s="63" t="s">
        <v>1061</v>
      </c>
      <c r="AB447" t="s">
        <v>934</v>
      </c>
      <c r="AC447" t="s">
        <v>1777</v>
      </c>
      <c r="AD447" t="s">
        <v>859</v>
      </c>
      <c r="AE447" t="s">
        <v>860</v>
      </c>
      <c r="AF447">
        <v>18.4420294668597</v>
      </c>
      <c r="AG447">
        <v>832.89</v>
      </c>
      <c r="AH447" t="s">
        <v>860</v>
      </c>
      <c r="AI447">
        <v>70185928800</v>
      </c>
    </row>
    <row r="448" spans="1:35">
      <c r="A448" s="58" t="s">
        <v>1063</v>
      </c>
      <c r="B448" t="s">
        <v>20</v>
      </c>
      <c r="C448" s="60" t="str">
        <v>Siemens Energy India Ltd</v>
      </c>
      <c r="D448" s="61">
        <v>0.0113868467810603</v>
      </c>
      <c r="E448" s="62">
        <f t="shared" ref="E448:E511" si="14">_xlfn.IFNA(D448*VLOOKUP($B448,$AK$1:$AM$34,3,FALSE),0)</f>
        <v>0.00474451949210846</v>
      </c>
      <c r="F448" s="60" t="str">
        <v>Industrials</v>
      </c>
      <c r="G448" s="62">
        <f t="shared" ref="G448:G511" si="15">_xlfn.IFNA(D448*VLOOKUP($B448,$AK$1:$AM$34,3,FALSE),0)</f>
        <v>0.00474451949210846</v>
      </c>
      <c r="H448" s="60"/>
      <c r="J448" s="6"/>
      <c r="P448" s="2"/>
      <c r="X448" s="60" t="str">
        <v>INE061F01013</v>
      </c>
      <c r="Z448" s="58" t="s">
        <v>1063</v>
      </c>
      <c r="AB448" t="s">
        <v>940</v>
      </c>
      <c r="AC448" t="s">
        <v>1778</v>
      </c>
      <c r="AD448" t="s">
        <v>855</v>
      </c>
      <c r="AE448">
        <v>91.7495102910271</v>
      </c>
      <c r="AF448">
        <v>9.33947700908554</v>
      </c>
      <c r="AG448">
        <v>7742.152</v>
      </c>
      <c r="AH448">
        <v>10.26</v>
      </c>
      <c r="AI448">
        <v>710679852619.8</v>
      </c>
    </row>
    <row r="449" spans="1:35">
      <c r="A449" s="63" t="s">
        <v>1066</v>
      </c>
      <c r="B449" t="s">
        <v>20</v>
      </c>
      <c r="C449" s="60" t="str">
        <v>Siemens Ltd</v>
      </c>
      <c r="D449" s="64">
        <v>0.00723348822834533</v>
      </c>
      <c r="E449" s="62">
        <f t="shared" si="14"/>
        <v>0.00301395342847722</v>
      </c>
      <c r="F449" s="60" t="str">
        <v>Industrials</v>
      </c>
      <c r="G449" s="62">
        <f t="shared" si="15"/>
        <v>0.00301395342847722</v>
      </c>
      <c r="H449" s="60"/>
      <c r="J449" s="6"/>
      <c r="P449" s="2"/>
      <c r="X449" s="60" t="str">
        <v>INE159A01016</v>
      </c>
      <c r="Z449" s="63" t="s">
        <v>1066</v>
      </c>
      <c r="AB449" t="s">
        <v>948</v>
      </c>
      <c r="AC449" t="s">
        <v>1779</v>
      </c>
      <c r="AD449" t="s">
        <v>855</v>
      </c>
      <c r="AE449">
        <v>49.4119804387897</v>
      </c>
      <c r="AF449">
        <v>49.750347979957</v>
      </c>
      <c r="AG449">
        <v>9275.829</v>
      </c>
      <c r="AH449">
        <v>54.76</v>
      </c>
      <c r="AI449">
        <v>458378846797.2</v>
      </c>
    </row>
    <row r="450" spans="1:35">
      <c r="A450" s="58" t="s">
        <v>1077</v>
      </c>
      <c r="B450" t="s">
        <v>20</v>
      </c>
      <c r="C450" s="60" t="str">
        <v>State Bank of India</v>
      </c>
      <c r="D450" s="61">
        <v>0.0410391166778589</v>
      </c>
      <c r="E450" s="62">
        <f t="shared" si="14"/>
        <v>0.0170996319491079</v>
      </c>
      <c r="F450" s="60" t="str">
        <v>Financials</v>
      </c>
      <c r="G450" s="62">
        <f t="shared" si="15"/>
        <v>0.0170996319491079</v>
      </c>
      <c r="H450" s="60"/>
      <c r="J450" s="6"/>
      <c r="P450" s="2"/>
      <c r="X450" s="60" t="str">
        <v>INE101D01020</v>
      </c>
      <c r="Z450" s="58" t="s">
        <v>1077</v>
      </c>
      <c r="AB450" t="s">
        <v>953</v>
      </c>
      <c r="AC450" t="s">
        <v>1780</v>
      </c>
      <c r="AD450" t="s">
        <v>855</v>
      </c>
      <c r="AE450">
        <v>22.2426298795085</v>
      </c>
      <c r="AF450">
        <v>14.4505744172196</v>
      </c>
      <c r="AG450">
        <v>5015.16</v>
      </c>
      <c r="AH450">
        <v>20.69</v>
      </c>
      <c r="AI450">
        <v>111664638103.2</v>
      </c>
    </row>
    <row r="451" spans="1:35">
      <c r="A451" s="63" t="s">
        <v>1084</v>
      </c>
      <c r="B451" t="s">
        <v>20</v>
      </c>
      <c r="C451" s="60" t="str">
        <v>Swiggy Ltd</v>
      </c>
      <c r="D451" s="64">
        <v>0.00521981279832038</v>
      </c>
      <c r="E451" s="62">
        <f t="shared" si="14"/>
        <v>0.00217492199930016</v>
      </c>
      <c r="F451" s="60" t="str">
        <v>Consumer Discretionary</v>
      </c>
      <c r="G451" s="62">
        <f t="shared" si="15"/>
        <v>0.00217492199930016</v>
      </c>
      <c r="H451" s="60"/>
      <c r="J451" s="6"/>
      <c r="P451" s="2"/>
      <c r="X451" s="60" t="str">
        <v>INE031A01017</v>
      </c>
      <c r="Z451" s="63" t="s">
        <v>1084</v>
      </c>
      <c r="AB451" t="s">
        <v>975</v>
      </c>
      <c r="AC451" t="s">
        <v>1781</v>
      </c>
      <c r="AD451" t="s">
        <v>867</v>
      </c>
      <c r="AE451">
        <v>15.6393204806737</v>
      </c>
      <c r="AF451">
        <v>15.6685495137304</v>
      </c>
      <c r="AG451">
        <v>27091.4</v>
      </c>
      <c r="AH451">
        <v>13.53</v>
      </c>
      <c r="AI451">
        <v>423602040000</v>
      </c>
    </row>
    <row r="452" spans="1:35">
      <c r="A452" s="58" t="s">
        <v>1087</v>
      </c>
      <c r="B452" t="s">
        <v>20</v>
      </c>
      <c r="C452" s="60" t="str">
        <v>Tata Consultancy Services Ltd</v>
      </c>
      <c r="D452" s="61">
        <v>0.0199406024536416</v>
      </c>
      <c r="E452" s="62">
        <f t="shared" si="14"/>
        <v>0.008308584355684</v>
      </c>
      <c r="F452" s="60" t="str">
        <v>Information Technology</v>
      </c>
      <c r="G452" s="62">
        <f t="shared" si="15"/>
        <v>0.008308584355684</v>
      </c>
      <c r="H452" s="60"/>
      <c r="J452" s="6"/>
      <c r="P452" s="2"/>
      <c r="X452" s="60" t="str">
        <v>INE06ST01018</v>
      </c>
      <c r="Z452" s="58" t="s">
        <v>1087</v>
      </c>
      <c r="AB452" t="s">
        <v>985</v>
      </c>
      <c r="AC452" t="s">
        <v>1782</v>
      </c>
      <c r="AD452" t="s">
        <v>1034</v>
      </c>
      <c r="AE452" t="s">
        <v>860</v>
      </c>
      <c r="AF452" t="s">
        <v>860</v>
      </c>
      <c r="AG452" t="s">
        <v>860</v>
      </c>
      <c r="AH452" t="s">
        <v>860</v>
      </c>
      <c r="AI452">
        <v>44175920497.45</v>
      </c>
    </row>
    <row r="453" spans="1:35">
      <c r="A453" s="63" t="s">
        <v>1094</v>
      </c>
      <c r="B453" t="s">
        <v>20</v>
      </c>
      <c r="C453" s="60" t="str">
        <v>Tata Consumer Products Ltd</v>
      </c>
      <c r="D453" s="64">
        <v>0.00953535720605881</v>
      </c>
      <c r="E453" s="62">
        <f t="shared" si="14"/>
        <v>0.0039730655025245</v>
      </c>
      <c r="F453" s="60" t="str">
        <v>Consumer Staples</v>
      </c>
      <c r="G453" s="62">
        <f t="shared" si="15"/>
        <v>0.0039730655025245</v>
      </c>
      <c r="H453" s="60"/>
      <c r="J453" s="6"/>
      <c r="P453" s="2"/>
      <c r="X453" s="60" t="str">
        <v>INE121E01018</v>
      </c>
      <c r="Z453" s="63" t="s">
        <v>1094</v>
      </c>
      <c r="AB453" t="s">
        <v>1000</v>
      </c>
      <c r="AC453" t="s">
        <v>1783</v>
      </c>
      <c r="AD453" t="s">
        <v>1030</v>
      </c>
      <c r="AE453">
        <v>47.9133176420074</v>
      </c>
      <c r="AF453">
        <v>8.09612648431303</v>
      </c>
      <c r="AG453">
        <v>19508.9</v>
      </c>
      <c r="AH453">
        <v>11.19</v>
      </c>
      <c r="AI453">
        <v>937066055003.65</v>
      </c>
    </row>
    <row r="454" spans="1:35">
      <c r="A454" s="58" t="s">
        <v>1090</v>
      </c>
      <c r="B454" t="s">
        <v>20</v>
      </c>
      <c r="C454" s="60" t="str">
        <v>Tata Motors Ltd</v>
      </c>
      <c r="D454" s="61">
        <v>0.00905843628255801</v>
      </c>
      <c r="E454" s="62">
        <f t="shared" si="14"/>
        <v>0.00377434845106584</v>
      </c>
      <c r="F454" s="60" t="str">
        <v>Consumer Discretionary</v>
      </c>
      <c r="G454" s="62">
        <f t="shared" si="15"/>
        <v>0.00377434845106584</v>
      </c>
      <c r="H454" s="60"/>
      <c r="J454" s="6"/>
      <c r="P454" s="2"/>
      <c r="X454" s="60" t="str">
        <v>INE980O01024</v>
      </c>
      <c r="Z454" s="58" t="s">
        <v>1090</v>
      </c>
      <c r="AB454" t="s">
        <v>1003</v>
      </c>
      <c r="AC454" t="s">
        <v>1784</v>
      </c>
      <c r="AD454" t="s">
        <v>849</v>
      </c>
      <c r="AE454">
        <v>66.5251807343188</v>
      </c>
      <c r="AF454">
        <v>20.7166963421765</v>
      </c>
      <c r="AG454">
        <v>3160.1</v>
      </c>
      <c r="AH454">
        <v>13.9</v>
      </c>
      <c r="AI454">
        <v>210298136871.2</v>
      </c>
    </row>
    <row r="455" spans="1:35">
      <c r="A455" s="63" t="s">
        <v>1099</v>
      </c>
      <c r="B455" t="s">
        <v>20</v>
      </c>
      <c r="C455" s="60" t="str">
        <v>Tata Power Co Ltd/The</v>
      </c>
      <c r="D455" s="64">
        <v>0.0202636088218495</v>
      </c>
      <c r="E455" s="62">
        <f t="shared" si="14"/>
        <v>0.00844317034243729</v>
      </c>
      <c r="F455" s="60" t="str">
        <v>Utilities</v>
      </c>
      <c r="G455" s="62">
        <f t="shared" si="15"/>
        <v>0.00844317034243729</v>
      </c>
      <c r="H455" s="60"/>
      <c r="J455" s="6"/>
      <c r="P455" s="2"/>
      <c r="X455" s="60" t="str">
        <v>INE842C01021</v>
      </c>
      <c r="Z455" s="63" t="s">
        <v>1099</v>
      </c>
      <c r="AB455" t="s">
        <v>1032</v>
      </c>
      <c r="AC455" t="s">
        <v>1785</v>
      </c>
      <c r="AD455" t="s">
        <v>874</v>
      </c>
      <c r="AE455">
        <v>46.5115201747912</v>
      </c>
      <c r="AF455">
        <v>12.211915463326</v>
      </c>
      <c r="AG455">
        <v>2554</v>
      </c>
      <c r="AH455">
        <v>10.85</v>
      </c>
      <c r="AI455">
        <v>120651433340.2</v>
      </c>
    </row>
    <row r="456" spans="1:35">
      <c r="A456" s="58" t="s">
        <v>1092</v>
      </c>
      <c r="B456" t="s">
        <v>20</v>
      </c>
      <c r="C456" s="60" t="str">
        <v>Tata Steel Ltd</v>
      </c>
      <c r="D456" s="61">
        <v>0.00983555353498788</v>
      </c>
      <c r="E456" s="62">
        <f t="shared" si="14"/>
        <v>0.00409814730624495</v>
      </c>
      <c r="F456" s="60" t="str">
        <v>Materials</v>
      </c>
      <c r="G456" s="62">
        <f t="shared" si="15"/>
        <v>0.00409814730624495</v>
      </c>
      <c r="H456" s="60"/>
      <c r="J456" s="6"/>
      <c r="P456" s="2"/>
      <c r="X456" s="60" t="str">
        <v>INE0W2G01015</v>
      </c>
      <c r="Z456" s="58" t="s">
        <v>1092</v>
      </c>
      <c r="AB456" t="s">
        <v>1073</v>
      </c>
      <c r="AC456" t="s">
        <v>1786</v>
      </c>
      <c r="AD456" t="s">
        <v>849</v>
      </c>
      <c r="AE456">
        <v>39.4529913225745</v>
      </c>
      <c r="AF456">
        <v>7.29570824691109</v>
      </c>
      <c r="AG456">
        <v>5391.23</v>
      </c>
      <c r="AH456">
        <v>1.17</v>
      </c>
      <c r="AI456">
        <v>216090119544.08</v>
      </c>
    </row>
    <row r="457" spans="1:35">
      <c r="A457" s="63" t="s">
        <v>1095</v>
      </c>
      <c r="B457" t="s">
        <v>20</v>
      </c>
      <c r="C457" s="60" t="str">
        <v>Tech Mahindra Ltd</v>
      </c>
      <c r="D457" s="64">
        <v>0.00413503625394147</v>
      </c>
      <c r="E457" s="62">
        <f t="shared" si="14"/>
        <v>0.00172293177247561</v>
      </c>
      <c r="F457" s="60" t="str">
        <v>Information Technology</v>
      </c>
      <c r="G457" s="62">
        <f t="shared" si="15"/>
        <v>0.00172293177247561</v>
      </c>
      <c r="H457" s="60"/>
      <c r="J457" s="6"/>
      <c r="P457" s="2"/>
      <c r="X457" s="60" t="str">
        <v>INE002L01015</v>
      </c>
      <c r="Z457" s="63" t="s">
        <v>1095</v>
      </c>
      <c r="AB457" t="s">
        <v>1078</v>
      </c>
      <c r="AC457" t="s">
        <v>1787</v>
      </c>
      <c r="AD457" t="s">
        <v>1030</v>
      </c>
      <c r="AE457">
        <v>44.3509615384615</v>
      </c>
      <c r="AF457">
        <v>5.80300536292678</v>
      </c>
      <c r="AG457">
        <v>8196.6</v>
      </c>
      <c r="AH457">
        <v>2.08</v>
      </c>
      <c r="AI457">
        <v>362523604893.75</v>
      </c>
    </row>
    <row r="458" spans="1:35">
      <c r="A458" s="58" t="s">
        <v>1100</v>
      </c>
      <c r="B458" t="s">
        <v>20</v>
      </c>
      <c r="C458" s="60" t="str">
        <v>Indian Hotels Co Ltd/The</v>
      </c>
      <c r="D458" s="61">
        <v>0.0116620820346459</v>
      </c>
      <c r="E458" s="62">
        <f t="shared" si="14"/>
        <v>0.00485920084776912</v>
      </c>
      <c r="F458" s="60" t="str">
        <v>Consumer Discretionary</v>
      </c>
      <c r="G458" s="62">
        <f t="shared" si="15"/>
        <v>0.00485920084776912</v>
      </c>
      <c r="H458" s="60"/>
      <c r="J458" s="6"/>
      <c r="P458" s="2"/>
      <c r="X458" s="60" t="str">
        <v>INE079A01024</v>
      </c>
      <c r="Z458" s="58" t="s">
        <v>1100</v>
      </c>
      <c r="AB458" t="s">
        <v>1133</v>
      </c>
      <c r="AC458" t="s">
        <v>1788</v>
      </c>
      <c r="AD458" t="s">
        <v>859</v>
      </c>
      <c r="AE458">
        <v>35.261765423943</v>
      </c>
      <c r="AF458">
        <v>8.7832511178416</v>
      </c>
      <c r="AG458">
        <v>41674.3</v>
      </c>
      <c r="AH458">
        <v>17</v>
      </c>
      <c r="AI458">
        <v>1476519368887.1</v>
      </c>
    </row>
    <row r="459" spans="1:35">
      <c r="A459" s="63" t="s">
        <v>1177</v>
      </c>
      <c r="B459" t="s">
        <v>20</v>
      </c>
      <c r="C459" s="60" t="str">
        <v>Torrent Pharmaceuticals Ltd</v>
      </c>
      <c r="D459" s="64">
        <v>0</v>
      </c>
      <c r="E459" s="62">
        <f t="shared" si="14"/>
        <v>0</v>
      </c>
      <c r="F459" s="60" t="str">
        <v>Health Care</v>
      </c>
      <c r="G459" s="62">
        <f t="shared" si="15"/>
        <v>0</v>
      </c>
      <c r="H459" s="60"/>
      <c r="J459" s="6"/>
      <c r="P459" s="2"/>
      <c r="X459" s="60" t="str">
        <v>INE100A01010</v>
      </c>
      <c r="Z459" s="63" t="s">
        <v>1177</v>
      </c>
      <c r="AB459" t="s">
        <v>1140</v>
      </c>
      <c r="AC459" t="s">
        <v>1789</v>
      </c>
      <c r="AD459" t="s">
        <v>859</v>
      </c>
      <c r="AE459">
        <v>38.6871083531058</v>
      </c>
      <c r="AF459">
        <v>9.03453689900671</v>
      </c>
      <c r="AG459">
        <v>4839.3</v>
      </c>
      <c r="AH459">
        <v>164.37</v>
      </c>
      <c r="AI459">
        <v>187220120045</v>
      </c>
    </row>
    <row r="460" spans="1:35">
      <c r="A460" s="58" t="s">
        <v>1107</v>
      </c>
      <c r="B460" t="s">
        <v>20</v>
      </c>
      <c r="C460" s="60" t="str">
        <v>UltraTech Cement Ltd</v>
      </c>
      <c r="D460" s="61">
        <v>0.0158216378354755</v>
      </c>
      <c r="E460" s="62">
        <f t="shared" si="14"/>
        <v>0.00659234909811479</v>
      </c>
      <c r="F460" s="60" t="str">
        <v>Materials</v>
      </c>
      <c r="G460" s="62">
        <f t="shared" si="15"/>
        <v>0.00659234909811479</v>
      </c>
      <c r="H460" s="60"/>
      <c r="J460" s="6"/>
      <c r="P460" s="2"/>
      <c r="X460" s="60" t="str">
        <v>INE02IJ01035</v>
      </c>
      <c r="Z460" s="58" t="s">
        <v>1107</v>
      </c>
      <c r="AB460" t="s">
        <v>1145</v>
      </c>
      <c r="AC460" t="s">
        <v>1790</v>
      </c>
      <c r="AD460" t="s">
        <v>849</v>
      </c>
      <c r="AE460">
        <v>107.162346521146</v>
      </c>
      <c r="AF460">
        <v>8.56540417577922</v>
      </c>
      <c r="AG460">
        <v>873.18</v>
      </c>
      <c r="AH460">
        <v>14.66</v>
      </c>
      <c r="AI460">
        <v>101457918253</v>
      </c>
    </row>
    <row r="461" spans="1:35">
      <c r="A461" s="63" t="s">
        <v>1126</v>
      </c>
      <c r="B461" t="s">
        <v>20</v>
      </c>
      <c r="C461" s="60" t="str">
        <v>United Breweries Ltd</v>
      </c>
      <c r="D461" s="64">
        <v>0.00188409928174108</v>
      </c>
      <c r="E461" s="62">
        <f t="shared" si="14"/>
        <v>0.000785041367392117</v>
      </c>
      <c r="F461" s="60" t="str">
        <v>Consumer Staples</v>
      </c>
      <c r="G461" s="62">
        <f t="shared" si="15"/>
        <v>0.000785041367392117</v>
      </c>
      <c r="H461" s="60"/>
      <c r="J461" s="6"/>
      <c r="P461" s="2"/>
      <c r="X461" s="60" t="str">
        <v>INE925R01014</v>
      </c>
      <c r="Z461" s="63" t="s">
        <v>1126</v>
      </c>
      <c r="AB461" t="s">
        <v>1157</v>
      </c>
      <c r="AC461" t="s">
        <v>1791</v>
      </c>
      <c r="AD461" t="s">
        <v>849</v>
      </c>
      <c r="AE461">
        <v>19.4054409828872</v>
      </c>
      <c r="AF461">
        <v>17.6801740594545</v>
      </c>
      <c r="AG461">
        <v>3724.57</v>
      </c>
      <c r="AH461">
        <v>22.79</v>
      </c>
      <c r="AI461">
        <v>72737981257.25</v>
      </c>
    </row>
    <row r="462" spans="1:35">
      <c r="A462" s="58" t="s">
        <v>1281</v>
      </c>
      <c r="B462" t="s">
        <v>20</v>
      </c>
      <c r="C462" s="60" t="str">
        <v>Vedanta Ltd</v>
      </c>
      <c r="D462" s="61">
        <v>0.0103067798735387</v>
      </c>
      <c r="E462" s="62">
        <f t="shared" si="14"/>
        <v>0.00429449161397446</v>
      </c>
      <c r="F462" s="60" t="str">
        <v>Materials</v>
      </c>
      <c r="G462" s="62">
        <f t="shared" si="15"/>
        <v>0.00429449161397446</v>
      </c>
      <c r="H462" s="60"/>
      <c r="J462" s="6"/>
      <c r="P462" s="2"/>
      <c r="X462" s="60" t="str">
        <v>INE821I01022</v>
      </c>
      <c r="Z462" s="58" t="s">
        <v>1281</v>
      </c>
      <c r="AB462" t="s">
        <v>1199</v>
      </c>
      <c r="AC462" t="s">
        <v>1792</v>
      </c>
      <c r="AD462" t="s">
        <v>849</v>
      </c>
      <c r="AE462">
        <v>4.23112782161034</v>
      </c>
      <c r="AF462">
        <v>38.6087264861629</v>
      </c>
      <c r="AG462">
        <v>64806.84</v>
      </c>
      <c r="AH462">
        <v>10.73</v>
      </c>
      <c r="AI462">
        <v>274170600000</v>
      </c>
    </row>
    <row r="463" spans="1:35">
      <c r="A463" s="63" t="s">
        <v>1121</v>
      </c>
      <c r="B463" t="s">
        <v>20</v>
      </c>
      <c r="C463" s="60" t="str">
        <v>Vishal Mega Mart Ltd</v>
      </c>
      <c r="D463" s="64">
        <v>0.0123909617372647</v>
      </c>
      <c r="E463" s="62">
        <f t="shared" si="14"/>
        <v>0.00516290072386029</v>
      </c>
      <c r="F463" s="60" t="str">
        <v>Consumer Discretionary</v>
      </c>
      <c r="G463" s="62">
        <f t="shared" si="15"/>
        <v>0.00516290072386029</v>
      </c>
      <c r="H463" s="60"/>
      <c r="J463" s="6"/>
      <c r="P463" s="2"/>
      <c r="X463" s="60" t="str">
        <v>INE743M01012</v>
      </c>
      <c r="Z463" s="63" t="s">
        <v>1121</v>
      </c>
      <c r="AB463" t="s">
        <v>1241</v>
      </c>
      <c r="AC463" t="s">
        <v>1793</v>
      </c>
      <c r="AD463" t="s">
        <v>859</v>
      </c>
      <c r="AE463">
        <v>50.1274209989806</v>
      </c>
      <c r="AF463">
        <v>5.1632871773559</v>
      </c>
      <c r="AG463">
        <v>2025.128</v>
      </c>
      <c r="AH463">
        <v>9.81</v>
      </c>
      <c r="AI463">
        <v>101547076235.5</v>
      </c>
    </row>
    <row r="464" spans="1:35">
      <c r="A464" s="58" t="s">
        <v>846</v>
      </c>
      <c r="B464" t="s">
        <v>34</v>
      </c>
      <c r="C464" s="60" t="str">
        <v>3M India Ltd</v>
      </c>
      <c r="D464" s="61">
        <v>0.00375825638607779</v>
      </c>
      <c r="E464" s="62">
        <f t="shared" si="14"/>
        <v>0</v>
      </c>
      <c r="F464" s="60" t="str">
        <v>Industrials</v>
      </c>
      <c r="G464" s="62">
        <f t="shared" si="15"/>
        <v>0</v>
      </c>
      <c r="H464" s="60"/>
      <c r="J464" s="6"/>
      <c r="P464" s="2"/>
      <c r="X464" s="60" t="str">
        <v>INE777K01022</v>
      </c>
      <c r="Z464" s="58" t="s">
        <v>846</v>
      </c>
      <c r="AB464" t="s">
        <v>1244</v>
      </c>
      <c r="AC464" t="s">
        <v>1794</v>
      </c>
      <c r="AD464" t="s">
        <v>849</v>
      </c>
      <c r="AE464">
        <v>44.4343727338651</v>
      </c>
      <c r="AF464">
        <v>15.6544523212407</v>
      </c>
      <c r="AG464">
        <v>3116.11</v>
      </c>
      <c r="AH464">
        <v>27.58</v>
      </c>
      <c r="AI464">
        <v>138587178541.5</v>
      </c>
    </row>
    <row r="465" spans="1:35">
      <c r="A465" s="63" t="s">
        <v>1362</v>
      </c>
      <c r="B465" t="s">
        <v>34</v>
      </c>
      <c r="C465" s="60" t="str">
        <v>Aavas Financiers Ltd</v>
      </c>
      <c r="D465" s="64">
        <v>0.002630869484926</v>
      </c>
      <c r="E465" s="62">
        <f t="shared" si="14"/>
        <v>0</v>
      </c>
      <c r="F465" s="60" t="str">
        <v>Financials</v>
      </c>
      <c r="G465" s="62">
        <f t="shared" si="15"/>
        <v>0</v>
      </c>
      <c r="H465" s="60"/>
      <c r="J465" s="6"/>
      <c r="P465" s="2"/>
      <c r="X465" s="60" t="str">
        <v>INE103V01028</v>
      </c>
      <c r="Z465" s="63" t="s">
        <v>1362</v>
      </c>
      <c r="AB465" t="s">
        <v>1273</v>
      </c>
      <c r="AC465" t="s">
        <v>1795</v>
      </c>
      <c r="AD465" t="s">
        <v>874</v>
      </c>
      <c r="AE465" t="s">
        <v>1369</v>
      </c>
      <c r="AF465">
        <v>37.6906311299312</v>
      </c>
      <c r="AG465">
        <v>3631.53</v>
      </c>
      <c r="AH465" t="s">
        <v>1369</v>
      </c>
      <c r="AI465">
        <v>149798580998.4</v>
      </c>
    </row>
    <row r="466" spans="1:35">
      <c r="A466" s="58" t="s">
        <v>850</v>
      </c>
      <c r="B466" t="s">
        <v>34</v>
      </c>
      <c r="C466" s="60" t="str">
        <v>ABB India Ltd</v>
      </c>
      <c r="D466" s="61">
        <v>0.00420512583176025</v>
      </c>
      <c r="E466" s="62">
        <f t="shared" si="14"/>
        <v>0</v>
      </c>
      <c r="F466" s="60" t="str">
        <v>Industrials</v>
      </c>
      <c r="G466" s="62">
        <f t="shared" si="15"/>
        <v>0</v>
      </c>
      <c r="H466" s="60"/>
      <c r="J466" s="6"/>
      <c r="P466" s="2"/>
      <c r="X466" s="60" t="str">
        <v>INE423A01024</v>
      </c>
      <c r="Z466" s="58" t="s">
        <v>850</v>
      </c>
      <c r="AB466" t="s">
        <v>1288</v>
      </c>
      <c r="AC466" t="s">
        <v>1796</v>
      </c>
      <c r="AD466" t="s">
        <v>849</v>
      </c>
      <c r="AE466">
        <v>37.5898750793467</v>
      </c>
      <c r="AF466">
        <v>15.8831977515173</v>
      </c>
      <c r="AG466">
        <v>70990</v>
      </c>
      <c r="AH466">
        <v>61.91</v>
      </c>
      <c r="AI466">
        <v>2691203205809.3</v>
      </c>
    </row>
    <row r="467" spans="1:35">
      <c r="A467" s="63" t="s">
        <v>853</v>
      </c>
      <c r="B467" t="s">
        <v>34</v>
      </c>
      <c r="C467" s="60" t="str">
        <v>Abbott India Ltd</v>
      </c>
      <c r="D467" s="64">
        <v>0.00656007092472162</v>
      </c>
      <c r="E467" s="62">
        <f t="shared" si="14"/>
        <v>0</v>
      </c>
      <c r="F467" s="60" t="str">
        <v>Health Care</v>
      </c>
      <c r="G467" s="62">
        <f t="shared" si="15"/>
        <v>0</v>
      </c>
      <c r="H467" s="60"/>
      <c r="J467" s="6"/>
      <c r="P467" s="2"/>
      <c r="X467" s="60" t="str">
        <v>INE878B01027</v>
      </c>
      <c r="Z467" s="63" t="s">
        <v>853</v>
      </c>
      <c r="AB467" t="s">
        <v>1391</v>
      </c>
      <c r="AC467" t="s">
        <v>1797</v>
      </c>
      <c r="AD467" t="s">
        <v>849</v>
      </c>
      <c r="AE467">
        <v>51.5525286316552</v>
      </c>
      <c r="AF467">
        <v>15.5901703310516</v>
      </c>
      <c r="AG467">
        <v>6964.14</v>
      </c>
      <c r="AH467">
        <v>75.652935</v>
      </c>
      <c r="AI467">
        <v>372664675759.5</v>
      </c>
    </row>
    <row r="468" spans="1:35">
      <c r="A468" s="58" t="s">
        <v>1365</v>
      </c>
      <c r="B468" t="s">
        <v>34</v>
      </c>
      <c r="C468" s="60" t="str">
        <v>Aditya Birla Fashion and Retai</v>
      </c>
      <c r="D468" s="61">
        <v>0.000708602904803895</v>
      </c>
      <c r="E468" s="62">
        <f t="shared" si="14"/>
        <v>0</v>
      </c>
      <c r="F468" s="60" t="str">
        <v>Consumer Discretionary</v>
      </c>
      <c r="G468" s="62">
        <f t="shared" si="15"/>
        <v>0</v>
      </c>
      <c r="H468" s="60"/>
      <c r="J468" s="6"/>
      <c r="P468" s="2"/>
      <c r="X468" s="60" t="str">
        <v>INE112L01020</v>
      </c>
      <c r="Z468" s="58" t="s">
        <v>1365</v>
      </c>
      <c r="AB468" t="s">
        <v>1411</v>
      </c>
      <c r="AC468" t="s">
        <v>1798</v>
      </c>
      <c r="AD468" t="s">
        <v>855</v>
      </c>
      <c r="AE468">
        <v>71.2307410158854</v>
      </c>
      <c r="AF468" t="s">
        <v>860</v>
      </c>
      <c r="AG468">
        <v>1449.683</v>
      </c>
      <c r="AH468">
        <v>28.29</v>
      </c>
      <c r="AI468">
        <v>109068858340</v>
      </c>
    </row>
    <row r="469" spans="1:35">
      <c r="A469" s="63" t="s">
        <v>1367</v>
      </c>
      <c r="B469" t="s">
        <v>34</v>
      </c>
      <c r="C469" s="60" t="str">
        <v>Aditya Birla Lifestyle Brands</v>
      </c>
      <c r="D469" s="64">
        <v>0.00139542356681332</v>
      </c>
      <c r="E469" s="62">
        <f t="shared" si="14"/>
        <v>0</v>
      </c>
      <c r="F469" s="60" t="str">
        <v>Consumer Discretionary</v>
      </c>
      <c r="G469" s="62">
        <f t="shared" si="15"/>
        <v>0</v>
      </c>
      <c r="H469" s="60"/>
      <c r="J469" s="6"/>
      <c r="P469" s="2"/>
      <c r="X469" s="60" t="str">
        <v>INE531F01015</v>
      </c>
      <c r="Z469" s="63" t="s">
        <v>1367</v>
      </c>
      <c r="AB469" t="s">
        <v>1418</v>
      </c>
      <c r="AC469" t="s">
        <v>1799</v>
      </c>
      <c r="AD469" t="s">
        <v>867</v>
      </c>
      <c r="AE469">
        <v>24.9215459976681</v>
      </c>
      <c r="AF469">
        <v>30.8905936345963</v>
      </c>
      <c r="AG469">
        <v>9861.7</v>
      </c>
      <c r="AH469">
        <v>274.722122</v>
      </c>
      <c r="AI469">
        <v>246508985615</v>
      </c>
    </row>
    <row r="470" spans="1:35">
      <c r="A470" s="58" t="s">
        <v>1370</v>
      </c>
      <c r="B470" t="s">
        <v>34</v>
      </c>
      <c r="C470" s="60" t="str">
        <v>Aditya Birla Sun Life Asset Ma</v>
      </c>
      <c r="D470" s="61">
        <v>0.0101162389243529</v>
      </c>
      <c r="E470" s="62">
        <f t="shared" si="14"/>
        <v>0</v>
      </c>
      <c r="F470" s="60" t="str">
        <v>Financials</v>
      </c>
      <c r="G470" s="62">
        <f t="shared" si="15"/>
        <v>0</v>
      </c>
      <c r="H470" s="60"/>
      <c r="J470" s="6"/>
      <c r="P470" s="2"/>
      <c r="X470" s="60" t="str">
        <v>INE0DK501011</v>
      </c>
      <c r="Z470" s="58" t="s">
        <v>1370</v>
      </c>
      <c r="AB470" t="s">
        <v>1429</v>
      </c>
      <c r="AC470" t="s">
        <v>1800</v>
      </c>
      <c r="AD470" t="s">
        <v>855</v>
      </c>
      <c r="AE470">
        <v>279.42029427791</v>
      </c>
      <c r="AF470">
        <v>1.13650818989277</v>
      </c>
      <c r="AG470">
        <v>911.3</v>
      </c>
      <c r="AH470">
        <v>0.69</v>
      </c>
      <c r="AI470">
        <v>256279039464</v>
      </c>
    </row>
    <row r="471" spans="1:35">
      <c r="A471" s="63" t="s">
        <v>1372</v>
      </c>
      <c r="B471" t="s">
        <v>34</v>
      </c>
      <c r="C471" s="60" t="str">
        <v>Afcons Infrastructure Ltd</v>
      </c>
      <c r="D471" s="64">
        <v>0.00206559478388508</v>
      </c>
      <c r="E471" s="62">
        <f t="shared" si="14"/>
        <v>0</v>
      </c>
      <c r="F471" s="60" t="str">
        <v>Industrials</v>
      </c>
      <c r="G471" s="62">
        <f t="shared" si="15"/>
        <v>0</v>
      </c>
      <c r="H471" s="60"/>
      <c r="J471" s="6"/>
      <c r="P471" s="2"/>
      <c r="X471" s="60" t="str">
        <v>INE961O01016</v>
      </c>
      <c r="Z471" s="63" t="s">
        <v>1372</v>
      </c>
      <c r="AB471" t="s">
        <v>1438</v>
      </c>
      <c r="AC471" t="s">
        <v>1801</v>
      </c>
      <c r="AD471" t="s">
        <v>855</v>
      </c>
      <c r="AE471">
        <v>61.5463491586539</v>
      </c>
      <c r="AF471" t="s">
        <v>860</v>
      </c>
      <c r="AG471">
        <v>2434.24</v>
      </c>
      <c r="AH471">
        <v>23.97</v>
      </c>
      <c r="AI471">
        <v>158440920214.6</v>
      </c>
    </row>
    <row r="472" spans="1:35">
      <c r="A472" s="58" t="s">
        <v>861</v>
      </c>
      <c r="B472" t="s">
        <v>34</v>
      </c>
      <c r="C472" s="60" t="str">
        <v>Ajanta Pharma Ltd</v>
      </c>
      <c r="D472" s="61">
        <v>0.00364279349891751</v>
      </c>
      <c r="E472" s="62">
        <f t="shared" si="14"/>
        <v>0</v>
      </c>
      <c r="F472" s="60" t="str">
        <v>Health Care</v>
      </c>
      <c r="G472" s="62">
        <f t="shared" si="15"/>
        <v>0</v>
      </c>
      <c r="H472" s="60"/>
      <c r="J472" s="6"/>
      <c r="P472" s="2"/>
      <c r="X472" s="60" t="str">
        <v>INE285K01026</v>
      </c>
      <c r="Z472" s="58" t="s">
        <v>861</v>
      </c>
      <c r="AB472" t="s">
        <v>1473</v>
      </c>
      <c r="AC472" t="s">
        <v>1802</v>
      </c>
      <c r="AD472" t="s">
        <v>849</v>
      </c>
      <c r="AE472">
        <v>44.574435355968</v>
      </c>
      <c r="AF472">
        <v>14.3302645956755</v>
      </c>
      <c r="AG472">
        <v>4229.455</v>
      </c>
      <c r="AH472">
        <v>37.19</v>
      </c>
      <c r="AI472">
        <v>172367598625.4</v>
      </c>
    </row>
    <row r="473" spans="1:35">
      <c r="A473" s="63" t="s">
        <v>1185</v>
      </c>
      <c r="B473" t="s">
        <v>34</v>
      </c>
      <c r="C473" s="60" t="str">
        <v>Alkem Laboratories Ltd</v>
      </c>
      <c r="D473" s="64">
        <v>0.00458987207688529</v>
      </c>
      <c r="E473" s="62">
        <f t="shared" si="14"/>
        <v>0</v>
      </c>
      <c r="F473" s="60" t="str">
        <v>Health Care</v>
      </c>
      <c r="G473" s="62">
        <f t="shared" si="15"/>
        <v>0</v>
      </c>
      <c r="H473" s="60"/>
      <c r="J473" s="6"/>
      <c r="P473" s="2"/>
      <c r="X473" s="60" t="str">
        <v>INE0JO301016</v>
      </c>
      <c r="Z473" s="63" t="s">
        <v>1185</v>
      </c>
      <c r="AB473" t="s">
        <v>1489</v>
      </c>
      <c r="AC473" t="s">
        <v>1803</v>
      </c>
      <c r="AD473" t="s">
        <v>855</v>
      </c>
      <c r="AE473">
        <v>46.8851918759553</v>
      </c>
      <c r="AF473">
        <v>10.5287438457317</v>
      </c>
      <c r="AG473">
        <v>1305.45</v>
      </c>
      <c r="AH473">
        <v>14.72</v>
      </c>
      <c r="AI473">
        <v>66498959483.55</v>
      </c>
    </row>
    <row r="474" spans="1:35">
      <c r="A474" s="58" t="s">
        <v>1374</v>
      </c>
      <c r="B474" t="s">
        <v>34</v>
      </c>
      <c r="C474" s="60" t="str">
        <v>Amara Raja Energy &amp; Mobility L</v>
      </c>
      <c r="D474" s="61">
        <v>0.00320262393459889</v>
      </c>
      <c r="E474" s="62">
        <f t="shared" si="14"/>
        <v>0</v>
      </c>
      <c r="F474" s="60" t="str">
        <v>Industrials</v>
      </c>
      <c r="G474" s="62">
        <f t="shared" si="15"/>
        <v>0</v>
      </c>
      <c r="H474" s="60"/>
      <c r="J474" s="6"/>
      <c r="P474" s="2"/>
      <c r="X474" s="60" t="str">
        <v>INE251B01027</v>
      </c>
      <c r="Z474" s="58" t="s">
        <v>1374</v>
      </c>
      <c r="AB474" t="s">
        <v>1492</v>
      </c>
      <c r="AC474" t="s">
        <v>1804</v>
      </c>
      <c r="AD474" t="s">
        <v>849</v>
      </c>
      <c r="AE474">
        <v>45.0265045213595</v>
      </c>
      <c r="AF474">
        <v>26.0774663614539</v>
      </c>
      <c r="AG474">
        <v>2802.441</v>
      </c>
      <c r="AH474">
        <v>32.07</v>
      </c>
      <c r="AI474">
        <v>130379274064</v>
      </c>
    </row>
    <row r="475" spans="1:35">
      <c r="A475" s="63" t="s">
        <v>872</v>
      </c>
      <c r="B475" t="s">
        <v>34</v>
      </c>
      <c r="C475" s="60" t="str">
        <v>AU Small Finance Bank Ltd</v>
      </c>
      <c r="D475" s="64">
        <v>0.00443807857083956</v>
      </c>
      <c r="E475" s="62">
        <f t="shared" si="14"/>
        <v>0</v>
      </c>
      <c r="F475" s="60" t="str">
        <v>Financials</v>
      </c>
      <c r="G475" s="62">
        <f t="shared" si="15"/>
        <v>0</v>
      </c>
      <c r="H475" s="60"/>
      <c r="J475" s="6"/>
      <c r="P475" s="2"/>
      <c r="X475" s="60" t="str">
        <v>INE931S01010</v>
      </c>
      <c r="Z475" s="63" t="s">
        <v>872</v>
      </c>
      <c r="AB475" t="s">
        <v>1502</v>
      </c>
      <c r="AC475" t="s">
        <v>1805</v>
      </c>
      <c r="AD475" t="s">
        <v>1030</v>
      </c>
      <c r="AE475">
        <v>90.1903560442695</v>
      </c>
      <c r="AF475">
        <v>6.10762105748385</v>
      </c>
      <c r="AG475">
        <v>10599.7</v>
      </c>
      <c r="AH475">
        <v>9.05</v>
      </c>
      <c r="AI475">
        <v>956461239560.4</v>
      </c>
    </row>
    <row r="476" spans="1:35">
      <c r="A476" s="58" t="s">
        <v>1377</v>
      </c>
      <c r="B476" t="s">
        <v>34</v>
      </c>
      <c r="C476" s="60" t="str">
        <v>Awfis Space Solutions Ltd</v>
      </c>
      <c r="D476" s="61">
        <v>0.00312683942747396</v>
      </c>
      <c r="E476" s="62">
        <f t="shared" si="14"/>
        <v>0</v>
      </c>
      <c r="F476" s="60" t="str">
        <v>Real Estate</v>
      </c>
      <c r="G476" s="62">
        <f t="shared" si="15"/>
        <v>0</v>
      </c>
      <c r="H476" s="60"/>
      <c r="J476" s="6"/>
      <c r="X476" s="60" t="str">
        <v>INE115Q01022</v>
      </c>
      <c r="Z476" s="58" t="s">
        <v>1377</v>
      </c>
      <c r="AB476" t="s">
        <v>1564</v>
      </c>
      <c r="AC476" t="s">
        <v>1806</v>
      </c>
      <c r="AD476" t="s">
        <v>855</v>
      </c>
      <c r="AE476">
        <v>54.8595898771939</v>
      </c>
      <c r="AF476">
        <v>32.9805207847054</v>
      </c>
      <c r="AG476">
        <v>4860.59</v>
      </c>
      <c r="AH476">
        <v>29.2</v>
      </c>
      <c r="AI476">
        <v>274843043402.1</v>
      </c>
    </row>
    <row r="477" spans="1:35">
      <c r="A477" s="63" t="s">
        <v>879</v>
      </c>
      <c r="B477" t="s">
        <v>34</v>
      </c>
      <c r="C477" s="60" t="str">
        <v>Axis Bank Ltd</v>
      </c>
      <c r="D477" s="64">
        <v>0.0374904088888112</v>
      </c>
      <c r="E477" s="62">
        <f t="shared" si="14"/>
        <v>0</v>
      </c>
      <c r="F477" s="60" t="str">
        <v>Financials</v>
      </c>
      <c r="G477" s="62">
        <f t="shared" si="15"/>
        <v>0</v>
      </c>
      <c r="H477" s="60"/>
      <c r="J477" s="6"/>
      <c r="X477" s="60" t="str">
        <v>INE0JR601024</v>
      </c>
      <c r="Z477" s="63" t="s">
        <v>879</v>
      </c>
      <c r="AB477" t="s">
        <v>1635</v>
      </c>
      <c r="AC477" t="s">
        <v>1807</v>
      </c>
      <c r="AD477" t="s">
        <v>874</v>
      </c>
      <c r="AE477">
        <v>62.7167402930526</v>
      </c>
      <c r="AF477">
        <v>4.77699976620469</v>
      </c>
      <c r="AG477">
        <v>365.74</v>
      </c>
      <c r="AH477">
        <v>2.33</v>
      </c>
      <c r="AI477">
        <v>22930163283.09</v>
      </c>
    </row>
    <row r="478" spans="1:26">
      <c r="A478" s="58" t="s">
        <v>875</v>
      </c>
      <c r="B478" t="s">
        <v>34</v>
      </c>
      <c r="C478" s="60" t="str">
        <v>Bajaj Auto Ltd</v>
      </c>
      <c r="D478" s="61">
        <v>0.00474202956477478</v>
      </c>
      <c r="E478" s="62">
        <f t="shared" si="14"/>
        <v>0</v>
      </c>
      <c r="F478" s="60" t="str">
        <v>Consumer Discretionary</v>
      </c>
      <c r="G478" s="62">
        <f t="shared" si="15"/>
        <v>0</v>
      </c>
      <c r="H478" s="60"/>
      <c r="J478" s="6"/>
      <c r="X478" s="60"/>
      <c r="Z478" s="58" t="s">
        <v>875</v>
      </c>
    </row>
    <row r="479" spans="1:26">
      <c r="A479" s="63" t="s">
        <v>878</v>
      </c>
      <c r="B479" t="s">
        <v>34</v>
      </c>
      <c r="C479" s="60" t="str">
        <v>Bajaj Finance Ltd</v>
      </c>
      <c r="D479" s="64">
        <v>0.0216681922440462</v>
      </c>
      <c r="E479" s="62">
        <f t="shared" si="14"/>
        <v>0</v>
      </c>
      <c r="F479" s="60" t="str">
        <v>Financials</v>
      </c>
      <c r="G479" s="62">
        <f t="shared" si="15"/>
        <v>0</v>
      </c>
      <c r="H479" s="60"/>
      <c r="J479" s="6"/>
      <c r="X479" s="60"/>
      <c r="Z479" s="63" t="s">
        <v>878</v>
      </c>
    </row>
    <row r="480" spans="1:26">
      <c r="A480" s="58" t="s">
        <v>883</v>
      </c>
      <c r="B480" t="s">
        <v>34</v>
      </c>
      <c r="C480" s="60" t="str">
        <v>Berger Paints India Ltd</v>
      </c>
      <c r="D480" s="61">
        <v>0.00613993997759856</v>
      </c>
      <c r="E480" s="62">
        <f t="shared" si="14"/>
        <v>0</v>
      </c>
      <c r="F480" s="60" t="str">
        <v>Materials</v>
      </c>
      <c r="G480" s="62">
        <f t="shared" si="15"/>
        <v>0</v>
      </c>
      <c r="H480" s="60"/>
      <c r="J480" s="6"/>
      <c r="X480" s="60"/>
      <c r="Z480" s="58" t="s">
        <v>883</v>
      </c>
    </row>
    <row r="481" spans="1:26">
      <c r="A481" s="63" t="s">
        <v>888</v>
      </c>
      <c r="B481" t="s">
        <v>34</v>
      </c>
      <c r="C481" s="60" t="str">
        <v>Bharat Forge Ltd</v>
      </c>
      <c r="D481" s="64">
        <v>0.00289856614359574</v>
      </c>
      <c r="E481" s="62">
        <f t="shared" si="14"/>
        <v>0</v>
      </c>
      <c r="F481" s="60" t="str">
        <v>Consumer Discretionary</v>
      </c>
      <c r="G481" s="62">
        <f t="shared" si="15"/>
        <v>0</v>
      </c>
      <c r="H481" s="60"/>
      <c r="J481" s="6"/>
      <c r="X481" s="60"/>
      <c r="Z481" s="63" t="s">
        <v>888</v>
      </c>
    </row>
    <row r="482" spans="1:26">
      <c r="A482" s="58" t="s">
        <v>895</v>
      </c>
      <c r="B482" t="s">
        <v>34</v>
      </c>
      <c r="C482" s="60" t="str">
        <v>Biocon Ltd</v>
      </c>
      <c r="D482" s="61">
        <v>0.00569588866679035</v>
      </c>
      <c r="E482" s="62">
        <f t="shared" si="14"/>
        <v>0</v>
      </c>
      <c r="F482" s="60" t="str">
        <v>Health Care</v>
      </c>
      <c r="G482" s="62">
        <f t="shared" si="15"/>
        <v>0</v>
      </c>
      <c r="H482" s="60"/>
      <c r="J482" s="6"/>
      <c r="X482" s="60"/>
      <c r="Z482" s="58" t="s">
        <v>895</v>
      </c>
    </row>
    <row r="483" spans="1:26">
      <c r="A483" s="63" t="s">
        <v>897</v>
      </c>
      <c r="B483" t="s">
        <v>34</v>
      </c>
      <c r="C483" s="60" t="str">
        <v>Brigade Enterprises Ltd</v>
      </c>
      <c r="D483" s="64">
        <v>0.00142804026317306</v>
      </c>
      <c r="E483" s="62">
        <f t="shared" si="14"/>
        <v>0</v>
      </c>
      <c r="F483" s="60" t="str">
        <v>Real Estate</v>
      </c>
      <c r="G483" s="62">
        <f t="shared" si="15"/>
        <v>0</v>
      </c>
      <c r="H483" s="60"/>
      <c r="J483" s="6"/>
      <c r="X483" s="60"/>
      <c r="Z483" s="63" t="s">
        <v>897</v>
      </c>
    </row>
    <row r="484" spans="1:26">
      <c r="A484" s="58" t="s">
        <v>1381</v>
      </c>
      <c r="B484" t="s">
        <v>34</v>
      </c>
      <c r="C484" s="60" t="str">
        <v>Care Ratings Ltd</v>
      </c>
      <c r="D484" s="61">
        <v>0.00337763381549419</v>
      </c>
      <c r="E484" s="62">
        <f t="shared" si="14"/>
        <v>0</v>
      </c>
      <c r="F484" s="60" t="str">
        <v>Financials</v>
      </c>
      <c r="G484" s="62">
        <f t="shared" si="15"/>
        <v>0</v>
      </c>
      <c r="H484" s="60"/>
      <c r="J484" s="6"/>
      <c r="X484" s="60"/>
      <c r="Z484" s="58" t="s">
        <v>1381</v>
      </c>
    </row>
    <row r="485" spans="1:26">
      <c r="A485" s="63" t="s">
        <v>1384</v>
      </c>
      <c r="B485" t="s">
        <v>34</v>
      </c>
      <c r="C485" s="60" t="str">
        <v>CESC Ltd</v>
      </c>
      <c r="D485" s="64">
        <v>0.00403110981745633</v>
      </c>
      <c r="E485" s="62">
        <f t="shared" si="14"/>
        <v>0</v>
      </c>
      <c r="F485" s="60" t="str">
        <v>Utilities</v>
      </c>
      <c r="G485" s="62">
        <f t="shared" si="15"/>
        <v>0</v>
      </c>
      <c r="H485" s="60"/>
      <c r="J485" s="6"/>
      <c r="X485" s="60"/>
      <c r="Z485" s="63" t="s">
        <v>1384</v>
      </c>
    </row>
    <row r="486" spans="1:26">
      <c r="A486" s="58" t="s">
        <v>906</v>
      </c>
      <c r="B486" t="s">
        <v>34</v>
      </c>
      <c r="C486" s="60" t="str">
        <v>CG Power &amp; Industrial Solution</v>
      </c>
      <c r="D486" s="61">
        <v>0.00546305798150296</v>
      </c>
      <c r="E486" s="62">
        <f t="shared" si="14"/>
        <v>0</v>
      </c>
      <c r="F486" s="60" t="str">
        <v>Industrials</v>
      </c>
      <c r="G486" s="62">
        <f t="shared" si="15"/>
        <v>0</v>
      </c>
      <c r="H486" s="60"/>
      <c r="J486" s="6"/>
      <c r="X486" s="60"/>
      <c r="Z486" s="58" t="s">
        <v>906</v>
      </c>
    </row>
    <row r="487" spans="1:26">
      <c r="A487" s="63" t="s">
        <v>1352</v>
      </c>
      <c r="B487" t="s">
        <v>34</v>
      </c>
      <c r="C487" s="60" t="str">
        <v>Chalet Hotels Ltd</v>
      </c>
      <c r="D487" s="64">
        <v>0.00322291319797429</v>
      </c>
      <c r="E487" s="62">
        <f t="shared" si="14"/>
        <v>0</v>
      </c>
      <c r="F487" s="60" t="str">
        <v>Consumer Discretionary</v>
      </c>
      <c r="G487" s="62">
        <f t="shared" si="15"/>
        <v>0</v>
      </c>
      <c r="H487" s="60"/>
      <c r="J487" s="6"/>
      <c r="X487" s="60"/>
      <c r="Z487" s="63" t="s">
        <v>1352</v>
      </c>
    </row>
    <row r="488" spans="1:26">
      <c r="A488" s="58" t="s">
        <v>1195</v>
      </c>
      <c r="B488" t="s">
        <v>34</v>
      </c>
      <c r="C488" s="60" t="str">
        <v>CIE Automotive India Ltd</v>
      </c>
      <c r="D488" s="61">
        <v>0.00386988765598446</v>
      </c>
      <c r="E488" s="62">
        <f t="shared" si="14"/>
        <v>0</v>
      </c>
      <c r="F488" s="60" t="str">
        <v>Consumer Discretionary</v>
      </c>
      <c r="G488" s="62">
        <f t="shared" si="15"/>
        <v>0</v>
      </c>
      <c r="H488" s="60"/>
      <c r="J488" s="6"/>
      <c r="X488" s="60"/>
      <c r="Z488" s="58" t="s">
        <v>1195</v>
      </c>
    </row>
    <row r="489" spans="1:26">
      <c r="A489" s="63" t="s">
        <v>1160</v>
      </c>
      <c r="B489" t="s">
        <v>34</v>
      </c>
      <c r="C489" s="60" t="str">
        <v>Colgate-Palmolive India Ltd</v>
      </c>
      <c r="D489" s="64">
        <v>0.00253650446751261</v>
      </c>
      <c r="E489" s="62">
        <f t="shared" si="14"/>
        <v>0</v>
      </c>
      <c r="F489" s="60" t="str">
        <v>Consumer Staples</v>
      </c>
      <c r="G489" s="62">
        <f t="shared" si="15"/>
        <v>0</v>
      </c>
      <c r="H489" s="60"/>
      <c r="J489" s="6"/>
      <c r="X489" s="60"/>
      <c r="Z489" s="63" t="s">
        <v>1160</v>
      </c>
    </row>
    <row r="490" spans="1:26">
      <c r="A490" s="58" t="s">
        <v>924</v>
      </c>
      <c r="B490" t="s">
        <v>34</v>
      </c>
      <c r="C490" s="60" t="str">
        <v>Container Corp Of India Ltd</v>
      </c>
      <c r="D490" s="61">
        <v>0.00673052122467576</v>
      </c>
      <c r="E490" s="62">
        <f t="shared" si="14"/>
        <v>0</v>
      </c>
      <c r="F490" s="60" t="str">
        <v>Industrials</v>
      </c>
      <c r="G490" s="62">
        <f t="shared" si="15"/>
        <v>0</v>
      </c>
      <c r="H490" s="60"/>
      <c r="J490" s="6"/>
      <c r="X490" s="60"/>
      <c r="Z490" s="58" t="s">
        <v>924</v>
      </c>
    </row>
    <row r="491" spans="1:26">
      <c r="A491" s="63" t="s">
        <v>925</v>
      </c>
      <c r="B491" t="s">
        <v>34</v>
      </c>
      <c r="C491" s="60" t="str">
        <v>Craftsman Automation Ltd</v>
      </c>
      <c r="D491" s="64">
        <v>0.00380668340755572</v>
      </c>
      <c r="E491" s="62">
        <f t="shared" si="14"/>
        <v>0</v>
      </c>
      <c r="F491" s="60" t="str">
        <v>Industrials</v>
      </c>
      <c r="G491" s="62">
        <f t="shared" si="15"/>
        <v>0</v>
      </c>
      <c r="H491" s="60"/>
      <c r="J491" s="6"/>
      <c r="X491" s="60"/>
      <c r="Z491" s="63" t="s">
        <v>925</v>
      </c>
    </row>
    <row r="492" spans="1:26">
      <c r="A492" s="58" t="s">
        <v>930</v>
      </c>
      <c r="B492" t="s">
        <v>34</v>
      </c>
      <c r="C492" s="60" t="str">
        <v>Crompton Greaves Consumer Elec</v>
      </c>
      <c r="D492" s="61">
        <v>0.0105004751589903</v>
      </c>
      <c r="E492" s="62">
        <f t="shared" si="14"/>
        <v>0</v>
      </c>
      <c r="F492" s="60" t="str">
        <v>Consumer Discretionary</v>
      </c>
      <c r="G492" s="62">
        <f t="shared" si="15"/>
        <v>0</v>
      </c>
      <c r="H492" s="60"/>
      <c r="J492" s="6"/>
      <c r="X492" s="60"/>
      <c r="Z492" s="58" t="s">
        <v>930</v>
      </c>
    </row>
    <row r="493" spans="1:26">
      <c r="A493" s="63" t="s">
        <v>1388</v>
      </c>
      <c r="B493" t="s">
        <v>34</v>
      </c>
      <c r="C493" s="60" t="str">
        <v>Cyient DLM Ltd</v>
      </c>
      <c r="D493" s="64">
        <v>0.00129521740364356</v>
      </c>
      <c r="E493" s="62">
        <f t="shared" si="14"/>
        <v>0</v>
      </c>
      <c r="F493" s="60" t="str">
        <v>Information Technology</v>
      </c>
      <c r="G493" s="62">
        <f t="shared" si="15"/>
        <v>0</v>
      </c>
      <c r="H493" s="60"/>
      <c r="J493" s="6"/>
      <c r="X493" s="60"/>
      <c r="Z493" s="63" t="s">
        <v>1388</v>
      </c>
    </row>
    <row r="494" spans="1:26">
      <c r="A494" s="58" t="s">
        <v>1331</v>
      </c>
      <c r="B494" t="s">
        <v>34</v>
      </c>
      <c r="C494" s="60" t="str">
        <v>Dalmia Bharat Ltd</v>
      </c>
      <c r="D494" s="61">
        <v>0.00493470019345512</v>
      </c>
      <c r="E494" s="62">
        <f t="shared" si="14"/>
        <v>0</v>
      </c>
      <c r="F494" s="60" t="str">
        <v>Materials</v>
      </c>
      <c r="G494" s="62">
        <f t="shared" si="15"/>
        <v>0</v>
      </c>
      <c r="H494" s="60"/>
      <c r="J494" s="6"/>
      <c r="X494" s="60"/>
      <c r="Z494" s="58" t="s">
        <v>1331</v>
      </c>
    </row>
    <row r="495" spans="1:26">
      <c r="A495" s="63" t="s">
        <v>1392</v>
      </c>
      <c r="B495" t="s">
        <v>34</v>
      </c>
      <c r="C495" s="60" t="str">
        <v>Delhivery Ltd</v>
      </c>
      <c r="D495" s="64">
        <v>0.00782034171229888</v>
      </c>
      <c r="E495" s="62">
        <f t="shared" si="14"/>
        <v>0</v>
      </c>
      <c r="F495" s="60" t="str">
        <v>Industrials</v>
      </c>
      <c r="G495" s="62">
        <f t="shared" si="15"/>
        <v>0</v>
      </c>
      <c r="H495" s="60"/>
      <c r="J495" s="6"/>
      <c r="X495" s="60"/>
      <c r="Z495" s="63" t="s">
        <v>1392</v>
      </c>
    </row>
    <row r="496" spans="1:26">
      <c r="A496" s="58" t="s">
        <v>939</v>
      </c>
      <c r="B496" t="s">
        <v>34</v>
      </c>
      <c r="C496" s="60" t="str">
        <v>Devyani International Ltd</v>
      </c>
      <c r="D496" s="61">
        <v>0.00798758374115101</v>
      </c>
      <c r="E496" s="62">
        <f t="shared" si="14"/>
        <v>0</v>
      </c>
      <c r="F496" s="60" t="str">
        <v>Consumer Discretionary</v>
      </c>
      <c r="G496" s="62">
        <f t="shared" si="15"/>
        <v>0</v>
      </c>
      <c r="H496" s="60"/>
      <c r="J496" s="6"/>
      <c r="X496" s="60"/>
      <c r="Z496" s="58" t="s">
        <v>939</v>
      </c>
    </row>
    <row r="497" spans="1:26">
      <c r="A497" s="63" t="s">
        <v>1148</v>
      </c>
      <c r="B497" t="s">
        <v>34</v>
      </c>
      <c r="C497" s="60" t="str">
        <v>Divi's Laboratories Ltd</v>
      </c>
      <c r="D497" s="64">
        <v>0.00573490446909812</v>
      </c>
      <c r="E497" s="62">
        <f t="shared" si="14"/>
        <v>0</v>
      </c>
      <c r="F497" s="60" t="str">
        <v>Health Care</v>
      </c>
      <c r="G497" s="62">
        <f t="shared" si="15"/>
        <v>0</v>
      </c>
      <c r="H497" s="60"/>
      <c r="J497" s="6"/>
      <c r="X497" s="60"/>
      <c r="Z497" s="63" t="s">
        <v>1148</v>
      </c>
    </row>
    <row r="498" spans="1:26">
      <c r="A498" s="58" t="s">
        <v>947</v>
      </c>
      <c r="B498" t="s">
        <v>34</v>
      </c>
      <c r="C498" s="60" t="str">
        <v>Dr Lal PathLabs Ltd</v>
      </c>
      <c r="D498" s="61">
        <v>0.00257955894261387</v>
      </c>
      <c r="E498" s="62">
        <f t="shared" si="14"/>
        <v>0</v>
      </c>
      <c r="F498" s="60" t="str">
        <v>Health Care</v>
      </c>
      <c r="G498" s="62">
        <f t="shared" si="15"/>
        <v>0</v>
      </c>
      <c r="H498" s="60"/>
      <c r="J498" s="6"/>
      <c r="X498" s="60"/>
      <c r="Z498" s="58" t="s">
        <v>947</v>
      </c>
    </row>
    <row r="499" spans="1:26">
      <c r="A499" s="63" t="s">
        <v>950</v>
      </c>
      <c r="B499" t="s">
        <v>34</v>
      </c>
      <c r="C499" s="60" t="str">
        <v>EIH Ltd</v>
      </c>
      <c r="D499" s="64">
        <v>0.0194217006633374</v>
      </c>
      <c r="E499" s="62">
        <f t="shared" si="14"/>
        <v>0</v>
      </c>
      <c r="F499" s="60" t="str">
        <v>Consumer Discretionary</v>
      </c>
      <c r="G499" s="62">
        <f t="shared" si="15"/>
        <v>0</v>
      </c>
      <c r="H499" s="60"/>
      <c r="J499" s="6"/>
      <c r="X499" s="60"/>
      <c r="Z499" s="63" t="s">
        <v>950</v>
      </c>
    </row>
    <row r="500" spans="1:26">
      <c r="A500" s="58" t="s">
        <v>1394</v>
      </c>
      <c r="B500" t="s">
        <v>34</v>
      </c>
      <c r="C500" s="60" t="str">
        <v>Electronics Mart India Ltd</v>
      </c>
      <c r="D500" s="61">
        <v>0.00224408755691422</v>
      </c>
      <c r="E500" s="62">
        <f t="shared" si="14"/>
        <v>0</v>
      </c>
      <c r="F500" s="60" t="str">
        <v>Consumer Discretionary</v>
      </c>
      <c r="G500" s="62">
        <f t="shared" si="15"/>
        <v>0</v>
      </c>
      <c r="H500" s="60"/>
      <c r="J500" s="6"/>
      <c r="X500" s="60"/>
      <c r="Z500" s="58" t="s">
        <v>1394</v>
      </c>
    </row>
    <row r="501" spans="1:26">
      <c r="A501" s="63" t="s">
        <v>1397</v>
      </c>
      <c r="B501" t="s">
        <v>34</v>
      </c>
      <c r="C501" s="60" t="str">
        <v>Emami Ltd</v>
      </c>
      <c r="D501" s="64">
        <v>0.00536813500389792</v>
      </c>
      <c r="E501" s="62">
        <f t="shared" si="14"/>
        <v>0</v>
      </c>
      <c r="F501" s="60" t="str">
        <v>Consumer Staples</v>
      </c>
      <c r="G501" s="62">
        <f t="shared" si="15"/>
        <v>0</v>
      </c>
      <c r="H501" s="60"/>
      <c r="J501" s="6"/>
      <c r="X501" s="60"/>
      <c r="Z501" s="63" t="s">
        <v>1397</v>
      </c>
    </row>
    <row r="502" spans="1:26">
      <c r="A502" s="58" t="s">
        <v>1399</v>
      </c>
      <c r="B502" t="s">
        <v>34</v>
      </c>
      <c r="C502" s="60" t="str">
        <v>Emcure Pharmaceuticals Ltd</v>
      </c>
      <c r="D502" s="61">
        <v>0.00307226830529185</v>
      </c>
      <c r="E502" s="62">
        <f t="shared" si="14"/>
        <v>0</v>
      </c>
      <c r="F502" s="60" t="str">
        <v>Health Care</v>
      </c>
      <c r="G502" s="62">
        <f t="shared" si="15"/>
        <v>0</v>
      </c>
      <c r="H502" s="60"/>
      <c r="J502" s="6"/>
      <c r="X502" s="60"/>
      <c r="Z502" s="58" t="s">
        <v>1399</v>
      </c>
    </row>
    <row r="503" spans="1:26">
      <c r="A503" s="63" t="s">
        <v>937</v>
      </c>
      <c r="B503" t="s">
        <v>34</v>
      </c>
      <c r="C503" s="60" t="str">
        <v>Eternal Ltd</v>
      </c>
      <c r="D503" s="64">
        <v>0.0105735287125209</v>
      </c>
      <c r="E503" s="62">
        <f t="shared" si="14"/>
        <v>0</v>
      </c>
      <c r="F503" s="60" t="str">
        <v>Consumer Discretionary</v>
      </c>
      <c r="G503" s="62">
        <f t="shared" si="15"/>
        <v>0</v>
      </c>
      <c r="H503" s="60"/>
      <c r="J503" s="6"/>
      <c r="X503" s="60"/>
      <c r="Z503" s="63" t="s">
        <v>937</v>
      </c>
    </row>
    <row r="504" spans="1:26">
      <c r="A504" s="58" t="s">
        <v>1401</v>
      </c>
      <c r="B504" t="s">
        <v>34</v>
      </c>
      <c r="C504" s="60" t="str">
        <v>Exide Industries Ltd</v>
      </c>
      <c r="D504" s="61">
        <v>0.0041879707353989</v>
      </c>
      <c r="E504" s="62">
        <f t="shared" si="14"/>
        <v>0</v>
      </c>
      <c r="F504" s="60" t="str">
        <v>Consumer Discretionary</v>
      </c>
      <c r="G504" s="62">
        <f t="shared" si="15"/>
        <v>0</v>
      </c>
      <c r="H504" s="60"/>
      <c r="J504" s="6"/>
      <c r="X504" s="60"/>
      <c r="Z504" s="58" t="s">
        <v>1401</v>
      </c>
    </row>
    <row r="505" spans="1:26">
      <c r="A505" s="63" t="s">
        <v>1403</v>
      </c>
      <c r="B505" t="s">
        <v>34</v>
      </c>
      <c r="C505" s="60" t="str">
        <v>Finolex Cables Ltd</v>
      </c>
      <c r="D505" s="64">
        <v>0.00194118491787035</v>
      </c>
      <c r="E505" s="62">
        <f t="shared" si="14"/>
        <v>0</v>
      </c>
      <c r="F505" s="60" t="str">
        <v>Industrials</v>
      </c>
      <c r="G505" s="62">
        <f t="shared" si="15"/>
        <v>0</v>
      </c>
      <c r="H505" s="60"/>
      <c r="J505" s="6"/>
      <c r="X505" s="60"/>
      <c r="Z505" s="63" t="s">
        <v>1403</v>
      </c>
    </row>
    <row r="506" spans="1:26">
      <c r="A506" s="58" t="s">
        <v>1168</v>
      </c>
      <c r="B506" t="s">
        <v>34</v>
      </c>
      <c r="C506" s="60" t="str">
        <v>FSN E-Commerce Ventures Ltd</v>
      </c>
      <c r="D506" s="61">
        <v>0.0121733575082953</v>
      </c>
      <c r="E506" s="62">
        <f t="shared" si="14"/>
        <v>0</v>
      </c>
      <c r="F506" s="60" t="str">
        <v>Consumer Discretionary</v>
      </c>
      <c r="G506" s="62">
        <f t="shared" si="15"/>
        <v>0</v>
      </c>
      <c r="H506" s="60"/>
      <c r="J506" s="6"/>
      <c r="X506" s="60"/>
      <c r="Z506" s="58" t="s">
        <v>1168</v>
      </c>
    </row>
    <row r="507" spans="1:26">
      <c r="A507" s="63" t="s">
        <v>945</v>
      </c>
      <c r="B507" t="s">
        <v>34</v>
      </c>
      <c r="C507" s="60" t="str">
        <v>GE Vernova T&amp;D India Ltd</v>
      </c>
      <c r="D507" s="64">
        <v>0.0358237861554063</v>
      </c>
      <c r="E507" s="62">
        <f t="shared" si="14"/>
        <v>0</v>
      </c>
      <c r="F507" s="60" t="str">
        <v>Industrials</v>
      </c>
      <c r="G507" s="62">
        <f t="shared" si="15"/>
        <v>0</v>
      </c>
      <c r="H507" s="60"/>
      <c r="J507" s="6"/>
      <c r="X507" s="60"/>
      <c r="Z507" s="63" t="s">
        <v>945</v>
      </c>
    </row>
    <row r="508" spans="1:26">
      <c r="A508" s="58" t="s">
        <v>1303</v>
      </c>
      <c r="B508" t="s">
        <v>34</v>
      </c>
      <c r="C508" s="60" t="str">
        <v>Gillette India Ltd</v>
      </c>
      <c r="D508" s="61">
        <v>0.00577977667388625</v>
      </c>
      <c r="E508" s="62">
        <f t="shared" si="14"/>
        <v>0</v>
      </c>
      <c r="F508" s="60" t="str">
        <v>Consumer Staples</v>
      </c>
      <c r="G508" s="62">
        <f t="shared" si="15"/>
        <v>0</v>
      </c>
      <c r="H508" s="60"/>
      <c r="J508" s="6"/>
      <c r="X508" s="60"/>
      <c r="Z508" s="58" t="s">
        <v>1303</v>
      </c>
    </row>
    <row r="509" spans="1:26">
      <c r="A509" s="63" t="s">
        <v>1206</v>
      </c>
      <c r="B509" t="s">
        <v>34</v>
      </c>
      <c r="C509" s="60" t="str">
        <v>Gland Pharma Ltd</v>
      </c>
      <c r="D509" s="64">
        <v>0.00659930468022925</v>
      </c>
      <c r="E509" s="62">
        <f t="shared" si="14"/>
        <v>0</v>
      </c>
      <c r="F509" s="60" t="str">
        <v>Health Care</v>
      </c>
      <c r="G509" s="62">
        <f t="shared" si="15"/>
        <v>0</v>
      </c>
      <c r="H509" s="60"/>
      <c r="J509" s="6"/>
      <c r="X509" s="60"/>
      <c r="Z509" s="63" t="s">
        <v>1206</v>
      </c>
    </row>
    <row r="510" spans="1:26">
      <c r="A510" s="58" t="s">
        <v>1405</v>
      </c>
      <c r="B510" t="s">
        <v>34</v>
      </c>
      <c r="C510" s="60" t="str">
        <v>Go Fashion India Ltd</v>
      </c>
      <c r="D510" s="61">
        <v>0.00172580574529612</v>
      </c>
      <c r="E510" s="62">
        <f t="shared" si="14"/>
        <v>0</v>
      </c>
      <c r="F510" s="60" t="str">
        <v>Consumer Discretionary</v>
      </c>
      <c r="G510" s="62">
        <f t="shared" si="15"/>
        <v>0</v>
      </c>
      <c r="H510" s="60"/>
      <c r="J510" s="6"/>
      <c r="X510" s="60"/>
      <c r="Z510" s="58" t="s">
        <v>1405</v>
      </c>
    </row>
    <row r="511" spans="1:26">
      <c r="A511" s="63" t="s">
        <v>955</v>
      </c>
      <c r="B511" t="s">
        <v>34</v>
      </c>
      <c r="C511" s="60" t="str">
        <v>HCL Technologies Ltd</v>
      </c>
      <c r="D511" s="64">
        <v>0.00831827105411362</v>
      </c>
      <c r="E511" s="62">
        <f t="shared" si="14"/>
        <v>0</v>
      </c>
      <c r="F511" s="60" t="str">
        <v>Information Technology</v>
      </c>
      <c r="G511" s="62">
        <f t="shared" si="15"/>
        <v>0</v>
      </c>
      <c r="H511" s="60"/>
      <c r="J511" s="6"/>
      <c r="X511" s="60"/>
      <c r="Z511" s="63" t="s">
        <v>955</v>
      </c>
    </row>
    <row r="512" spans="1:26">
      <c r="A512" s="58" t="s">
        <v>962</v>
      </c>
      <c r="B512" t="s">
        <v>34</v>
      </c>
      <c r="C512" s="60" t="str">
        <v>HDFC Asset Management Co Ltd</v>
      </c>
      <c r="D512" s="61">
        <v>0.0129319087479122</v>
      </c>
      <c r="E512" s="62">
        <f t="shared" ref="E512:E575" si="16">_xlfn.IFNA(D512*VLOOKUP($B512,$AK$1:$AM$34,3,FALSE),0)</f>
        <v>0</v>
      </c>
      <c r="F512" s="60" t="str">
        <v>Financials</v>
      </c>
      <c r="G512" s="62">
        <f t="shared" ref="G512:G575" si="17">_xlfn.IFNA(D512*VLOOKUP($B512,$AK$1:$AM$34,3,FALSE),0)</f>
        <v>0</v>
      </c>
      <c r="H512" s="60"/>
      <c r="J512" s="6"/>
      <c r="X512" s="60"/>
      <c r="Z512" s="58" t="s">
        <v>962</v>
      </c>
    </row>
    <row r="513" spans="1:26">
      <c r="A513" s="63" t="s">
        <v>960</v>
      </c>
      <c r="B513" t="s">
        <v>34</v>
      </c>
      <c r="C513" s="60" t="str">
        <v>HDFC Bank Ltd</v>
      </c>
      <c r="D513" s="64">
        <v>0.0527867480529428</v>
      </c>
      <c r="E513" s="62">
        <f t="shared" si="16"/>
        <v>0</v>
      </c>
      <c r="F513" s="60" t="str">
        <v>Financials</v>
      </c>
      <c r="G513" s="62">
        <f t="shared" si="17"/>
        <v>0</v>
      </c>
      <c r="H513" s="60"/>
      <c r="J513" s="6"/>
      <c r="X513" s="60"/>
      <c r="Z513" s="63" t="s">
        <v>960</v>
      </c>
    </row>
    <row r="514" spans="1:26">
      <c r="A514" s="58" t="s">
        <v>963</v>
      </c>
      <c r="B514" t="s">
        <v>34</v>
      </c>
      <c r="C514" s="60" t="str">
        <v>HDFC Life Insurance Co Ltd</v>
      </c>
      <c r="D514" s="61">
        <v>0.00905650033737512</v>
      </c>
      <c r="E514" s="62">
        <f t="shared" si="16"/>
        <v>0</v>
      </c>
      <c r="F514" s="60" t="str">
        <v>Financials</v>
      </c>
      <c r="G514" s="62">
        <f t="shared" si="17"/>
        <v>0</v>
      </c>
      <c r="H514" s="60"/>
      <c r="J514" s="6"/>
      <c r="X514" s="60"/>
      <c r="Z514" s="58" t="s">
        <v>963</v>
      </c>
    </row>
    <row r="515" spans="1:26">
      <c r="A515" s="63" t="s">
        <v>1407</v>
      </c>
      <c r="B515" t="s">
        <v>34</v>
      </c>
      <c r="C515" s="60" t="str">
        <v>Hitachi Energy India Ltd</v>
      </c>
      <c r="D515" s="64">
        <v>0.0143850027314097</v>
      </c>
      <c r="E515" s="62">
        <f t="shared" si="16"/>
        <v>0</v>
      </c>
      <c r="F515" s="60" t="str">
        <v>Industrials</v>
      </c>
      <c r="G515" s="62">
        <f t="shared" si="17"/>
        <v>0</v>
      </c>
      <c r="H515" s="60"/>
      <c r="J515" s="6"/>
      <c r="X515" s="60"/>
      <c r="Z515" s="63" t="s">
        <v>1407</v>
      </c>
    </row>
    <row r="516" spans="1:26">
      <c r="A516" s="58" t="s">
        <v>1309</v>
      </c>
      <c r="B516" t="s">
        <v>34</v>
      </c>
      <c r="C516" s="60" t="str">
        <v>Hyundai Motor India Ltd</v>
      </c>
      <c r="D516" s="61">
        <v>0.0040140898520789</v>
      </c>
      <c r="E516" s="62">
        <f t="shared" si="16"/>
        <v>0</v>
      </c>
      <c r="F516" s="60" t="str">
        <v>Consumer Discretionary</v>
      </c>
      <c r="G516" s="62">
        <f t="shared" si="17"/>
        <v>0</v>
      </c>
      <c r="H516" s="60"/>
      <c r="J516" s="6"/>
      <c r="X516" s="60"/>
      <c r="Z516" s="58" t="s">
        <v>1309</v>
      </c>
    </row>
    <row r="517" spans="1:26">
      <c r="A517" s="63" t="s">
        <v>972</v>
      </c>
      <c r="B517" t="s">
        <v>34</v>
      </c>
      <c r="C517" s="60" t="str">
        <v>ICICI Bank Ltd</v>
      </c>
      <c r="D517" s="64">
        <v>0.0354561623136626</v>
      </c>
      <c r="E517" s="62">
        <f t="shared" si="16"/>
        <v>0</v>
      </c>
      <c r="F517" s="60" t="str">
        <v>Financials</v>
      </c>
      <c r="G517" s="62">
        <f t="shared" si="17"/>
        <v>0</v>
      </c>
      <c r="H517" s="60"/>
      <c r="J517" s="6"/>
      <c r="X517" s="60"/>
      <c r="Z517" s="63" t="s">
        <v>972</v>
      </c>
    </row>
    <row r="518" spans="1:26">
      <c r="A518" s="58" t="s">
        <v>1409</v>
      </c>
      <c r="B518" t="s">
        <v>34</v>
      </c>
      <c r="C518" s="60" t="str">
        <v>Indigo Paints Ltd</v>
      </c>
      <c r="D518" s="61">
        <v>0.00228701343962756</v>
      </c>
      <c r="E518" s="62">
        <f t="shared" si="16"/>
        <v>0</v>
      </c>
      <c r="F518" s="60" t="str">
        <v>Materials</v>
      </c>
      <c r="G518" s="62">
        <f t="shared" si="17"/>
        <v>0</v>
      </c>
      <c r="H518" s="60"/>
      <c r="J518" s="6"/>
      <c r="X518" s="60"/>
      <c r="Z518" s="58" t="s">
        <v>1409</v>
      </c>
    </row>
    <row r="519" spans="1:26">
      <c r="A519" s="63" t="s">
        <v>1155</v>
      </c>
      <c r="B519" t="s">
        <v>34</v>
      </c>
      <c r="C519" s="60" t="str">
        <v>Info Edge India Ltd</v>
      </c>
      <c r="D519" s="64">
        <v>0.00607655918707792</v>
      </c>
      <c r="E519" s="62">
        <f t="shared" si="16"/>
        <v>0</v>
      </c>
      <c r="F519" s="60" t="str">
        <v>Communication Services</v>
      </c>
      <c r="G519" s="62">
        <f t="shared" si="17"/>
        <v>0</v>
      </c>
      <c r="H519" s="60"/>
      <c r="J519" s="6"/>
      <c r="X519" s="60"/>
      <c r="Z519" s="63" t="s">
        <v>1155</v>
      </c>
    </row>
    <row r="520" spans="1:26">
      <c r="A520" s="58" t="s">
        <v>991</v>
      </c>
      <c r="B520" t="s">
        <v>34</v>
      </c>
      <c r="C520" s="60" t="str">
        <v>Infosys Ltd</v>
      </c>
      <c r="D520" s="61">
        <v>0.015788444796446</v>
      </c>
      <c r="E520" s="62">
        <f t="shared" si="16"/>
        <v>0</v>
      </c>
      <c r="F520" s="60" t="str">
        <v>Information Technology</v>
      </c>
      <c r="G520" s="62">
        <f t="shared" si="17"/>
        <v>0</v>
      </c>
      <c r="H520" s="60"/>
      <c r="J520" s="6"/>
      <c r="X520" s="60"/>
      <c r="Z520" s="58" t="s">
        <v>991</v>
      </c>
    </row>
    <row r="521" spans="1:26">
      <c r="A521" s="63" t="s">
        <v>994</v>
      </c>
      <c r="B521" t="s">
        <v>34</v>
      </c>
      <c r="C521" s="60" t="str">
        <v>InterGlobe Aviation Ltd</v>
      </c>
      <c r="D521" s="64">
        <v>0.0104723417599518</v>
      </c>
      <c r="E521" s="62">
        <f t="shared" si="16"/>
        <v>0</v>
      </c>
      <c r="F521" s="60" t="str">
        <v>Industrials</v>
      </c>
      <c r="G521" s="62">
        <f t="shared" si="17"/>
        <v>0</v>
      </c>
      <c r="H521" s="60"/>
      <c r="J521" s="6"/>
      <c r="X521" s="60"/>
      <c r="Z521" s="63" t="s">
        <v>994</v>
      </c>
    </row>
    <row r="522" spans="1:26">
      <c r="A522" s="58" t="s">
        <v>977</v>
      </c>
      <c r="B522" t="s">
        <v>34</v>
      </c>
      <c r="C522" s="60" t="str">
        <v>ITC Hotels Ltd</v>
      </c>
      <c r="D522" s="61">
        <v>0.000576181079162141</v>
      </c>
      <c r="E522" s="62">
        <f t="shared" si="16"/>
        <v>0</v>
      </c>
      <c r="F522" s="60" t="str">
        <v>Consumer Discretionary</v>
      </c>
      <c r="G522" s="62">
        <f t="shared" si="17"/>
        <v>0</v>
      </c>
      <c r="H522" s="60"/>
      <c r="J522" s="6"/>
      <c r="X522" s="60"/>
      <c r="Z522" s="58" t="s">
        <v>977</v>
      </c>
    </row>
    <row r="523" spans="1:26">
      <c r="A523" s="63" t="s">
        <v>997</v>
      </c>
      <c r="B523" t="s">
        <v>34</v>
      </c>
      <c r="C523" s="60" t="str">
        <v>ITC Ltd</v>
      </c>
      <c r="D523" s="64">
        <v>0.0140153584635032</v>
      </c>
      <c r="E523" s="62">
        <f t="shared" si="16"/>
        <v>0</v>
      </c>
      <c r="F523" s="60" t="str">
        <v>Consumer Staples</v>
      </c>
      <c r="G523" s="62">
        <f t="shared" si="17"/>
        <v>0</v>
      </c>
      <c r="H523" s="60"/>
      <c r="J523" s="6"/>
      <c r="X523" s="60"/>
      <c r="Z523" s="63" t="s">
        <v>997</v>
      </c>
    </row>
    <row r="524" spans="1:26">
      <c r="A524" s="58" t="s">
        <v>1380</v>
      </c>
      <c r="B524" t="s">
        <v>34</v>
      </c>
      <c r="C524" s="60" t="str">
        <v>JB Chemicals &amp; Pharmaceuticals</v>
      </c>
      <c r="D524" s="61">
        <v>0.00366279288453708</v>
      </c>
      <c r="E524" s="62">
        <f t="shared" si="16"/>
        <v>0</v>
      </c>
      <c r="F524" s="60" t="str">
        <v>Health Care</v>
      </c>
      <c r="G524" s="62">
        <f t="shared" si="17"/>
        <v>0</v>
      </c>
      <c r="H524" s="60"/>
      <c r="J524" s="6"/>
      <c r="X524" s="60"/>
      <c r="Z524" s="58" t="s">
        <v>1380</v>
      </c>
    </row>
    <row r="525" spans="1:26">
      <c r="A525" s="63" t="s">
        <v>979</v>
      </c>
      <c r="B525" t="s">
        <v>34</v>
      </c>
      <c r="C525" s="60" t="str">
        <v>JK Cement Ltd</v>
      </c>
      <c r="D525" s="64">
        <v>0.00362837589474646</v>
      </c>
      <c r="E525" s="62">
        <f t="shared" si="16"/>
        <v>0</v>
      </c>
      <c r="F525" s="60" t="str">
        <v>Materials</v>
      </c>
      <c r="G525" s="62">
        <f t="shared" si="17"/>
        <v>0</v>
      </c>
      <c r="H525" s="60"/>
      <c r="J525" s="6"/>
      <c r="X525" s="60"/>
      <c r="Z525" s="63" t="s">
        <v>979</v>
      </c>
    </row>
    <row r="526" spans="1:26">
      <c r="A526" s="58" t="s">
        <v>1386</v>
      </c>
      <c r="B526" t="s">
        <v>34</v>
      </c>
      <c r="C526" s="60" t="str">
        <v>Jubilant Foodworks Ltd</v>
      </c>
      <c r="D526" s="61">
        <v>0.00641185838974967</v>
      </c>
      <c r="E526" s="62">
        <f t="shared" si="16"/>
        <v>0</v>
      </c>
      <c r="F526" s="60" t="str">
        <v>Consumer Discretionary</v>
      </c>
      <c r="G526" s="62">
        <f t="shared" si="17"/>
        <v>0</v>
      </c>
      <c r="H526" s="60"/>
      <c r="J526" s="6"/>
      <c r="X526" s="60"/>
      <c r="Z526" s="58" t="s">
        <v>1386</v>
      </c>
    </row>
    <row r="527" spans="1:26">
      <c r="A527" s="63" t="s">
        <v>984</v>
      </c>
      <c r="B527" t="s">
        <v>34</v>
      </c>
      <c r="C527" s="60" t="str">
        <v>Kajaria Ceramics Ltd</v>
      </c>
      <c r="D527" s="64">
        <v>0.00408344473980782</v>
      </c>
      <c r="E527" s="62">
        <f t="shared" si="16"/>
        <v>0</v>
      </c>
      <c r="F527" s="60" t="str">
        <v>Industrials</v>
      </c>
      <c r="G527" s="62">
        <f t="shared" si="17"/>
        <v>0</v>
      </c>
      <c r="H527" s="60"/>
      <c r="J527" s="6"/>
      <c r="X527" s="60"/>
      <c r="Z527" s="63" t="s">
        <v>984</v>
      </c>
    </row>
    <row r="528" spans="1:26">
      <c r="A528" s="58" t="s">
        <v>1203</v>
      </c>
      <c r="B528" t="s">
        <v>34</v>
      </c>
      <c r="C528" s="60" t="str">
        <v>Kalpataru Projects Internation</v>
      </c>
      <c r="D528" s="61">
        <v>0.00154698168340319</v>
      </c>
      <c r="E528" s="62">
        <f t="shared" si="16"/>
        <v>0</v>
      </c>
      <c r="F528" s="60" t="str">
        <v>Industrials</v>
      </c>
      <c r="G528" s="62">
        <f t="shared" si="17"/>
        <v>0</v>
      </c>
      <c r="H528" s="60"/>
      <c r="J528" s="6"/>
      <c r="X528" s="60"/>
      <c r="Z528" s="58" t="s">
        <v>1203</v>
      </c>
    </row>
    <row r="529" spans="1:26">
      <c r="A529" s="63" t="s">
        <v>1414</v>
      </c>
      <c r="B529" t="s">
        <v>34</v>
      </c>
      <c r="C529" s="60" t="str">
        <v>Kansai Nerolac Paints Ltd</v>
      </c>
      <c r="D529" s="64">
        <v>0.00411204455869406</v>
      </c>
      <c r="E529" s="62">
        <f t="shared" si="16"/>
        <v>0</v>
      </c>
      <c r="F529" s="60" t="str">
        <v>Materials</v>
      </c>
      <c r="G529" s="62">
        <f t="shared" si="17"/>
        <v>0</v>
      </c>
      <c r="H529" s="60"/>
      <c r="J529" s="6"/>
      <c r="X529" s="60"/>
      <c r="Z529" s="63" t="s">
        <v>1414</v>
      </c>
    </row>
    <row r="530" spans="1:26">
      <c r="A530" s="58" t="s">
        <v>1416</v>
      </c>
      <c r="B530" t="s">
        <v>34</v>
      </c>
      <c r="C530" s="60" t="str">
        <v>KEC International Ltd</v>
      </c>
      <c r="D530" s="61">
        <v>0.00653628787155239</v>
      </c>
      <c r="E530" s="62">
        <f t="shared" si="16"/>
        <v>0</v>
      </c>
      <c r="F530" s="60" t="str">
        <v>Industrials</v>
      </c>
      <c r="G530" s="62">
        <f t="shared" si="17"/>
        <v>0</v>
      </c>
      <c r="H530" s="60"/>
      <c r="J530" s="6"/>
      <c r="X530" s="60"/>
      <c r="Z530" s="58" t="s">
        <v>1416</v>
      </c>
    </row>
    <row r="531" spans="1:26">
      <c r="A531" s="63" t="s">
        <v>1419</v>
      </c>
      <c r="B531" t="s">
        <v>34</v>
      </c>
      <c r="C531" s="60" t="str">
        <v>Kennametal India Ltd</v>
      </c>
      <c r="D531" s="64">
        <v>0.00922648203794954</v>
      </c>
      <c r="E531" s="62">
        <f t="shared" si="16"/>
        <v>0</v>
      </c>
      <c r="F531" s="60" t="str">
        <v>Industrials</v>
      </c>
      <c r="G531" s="62">
        <f t="shared" si="17"/>
        <v>0</v>
      </c>
      <c r="H531" s="60"/>
      <c r="J531" s="6"/>
      <c r="X531" s="60"/>
      <c r="Z531" s="63" t="s">
        <v>1419</v>
      </c>
    </row>
    <row r="532" spans="1:26">
      <c r="A532" s="58" t="s">
        <v>1011</v>
      </c>
      <c r="B532" t="s">
        <v>34</v>
      </c>
      <c r="C532" s="60" t="str">
        <v>Larsen &amp; Toubro Ltd</v>
      </c>
      <c r="D532" s="61">
        <v>0.0188825084217243</v>
      </c>
      <c r="E532" s="62">
        <f t="shared" si="16"/>
        <v>0</v>
      </c>
      <c r="F532" s="60" t="str">
        <v>Industrials</v>
      </c>
      <c r="G532" s="62">
        <f t="shared" si="17"/>
        <v>0</v>
      </c>
      <c r="H532" s="60"/>
      <c r="J532" s="6"/>
      <c r="X532" s="60"/>
      <c r="Z532" s="58" t="s">
        <v>1011</v>
      </c>
    </row>
    <row r="533" spans="1:26">
      <c r="A533" s="63" t="s">
        <v>996</v>
      </c>
      <c r="B533" t="s">
        <v>34</v>
      </c>
      <c r="C533" s="60" t="str">
        <v>Linde India Ltd</v>
      </c>
      <c r="D533" s="64">
        <v>0.021842304157758</v>
      </c>
      <c r="E533" s="62">
        <f t="shared" si="16"/>
        <v>0</v>
      </c>
      <c r="F533" s="60" t="str">
        <v>Materials</v>
      </c>
      <c r="G533" s="62">
        <f t="shared" si="17"/>
        <v>0</v>
      </c>
      <c r="H533" s="60"/>
      <c r="J533" s="6"/>
      <c r="X533" s="60"/>
      <c r="Z533" s="63" t="s">
        <v>996</v>
      </c>
    </row>
    <row r="534" spans="1:26">
      <c r="A534" s="58" t="s">
        <v>1014</v>
      </c>
      <c r="B534" t="s">
        <v>34</v>
      </c>
      <c r="C534" s="60" t="str">
        <v>Lupin Ltd</v>
      </c>
      <c r="D534" s="61">
        <v>0.0105955419857072</v>
      </c>
      <c r="E534" s="62">
        <f t="shared" si="16"/>
        <v>0</v>
      </c>
      <c r="F534" s="60" t="str">
        <v>Health Care</v>
      </c>
      <c r="G534" s="62">
        <f t="shared" si="17"/>
        <v>0</v>
      </c>
      <c r="H534" s="60"/>
      <c r="J534" s="6"/>
      <c r="X534" s="60"/>
      <c r="Z534" s="58" t="s">
        <v>1014</v>
      </c>
    </row>
    <row r="535" spans="1:26">
      <c r="A535" s="63" t="s">
        <v>1002</v>
      </c>
      <c r="B535" t="s">
        <v>34</v>
      </c>
      <c r="C535" s="60" t="str">
        <v>Mahindra &amp; Mahindra Ltd</v>
      </c>
      <c r="D535" s="64">
        <v>0.00705077075889685</v>
      </c>
      <c r="E535" s="62">
        <f t="shared" si="16"/>
        <v>0</v>
      </c>
      <c r="F535" s="60" t="str">
        <v>Consumer Discretionary</v>
      </c>
      <c r="G535" s="62">
        <f t="shared" si="17"/>
        <v>0</v>
      </c>
      <c r="H535" s="60"/>
      <c r="J535" s="6"/>
      <c r="X535" s="60"/>
      <c r="Z535" s="63" t="s">
        <v>1002</v>
      </c>
    </row>
    <row r="536" spans="1:26">
      <c r="A536" s="58" t="s">
        <v>1421</v>
      </c>
      <c r="B536" t="s">
        <v>34</v>
      </c>
      <c r="C536" s="60" t="str">
        <v>Mahindra Logistics Ltd</v>
      </c>
      <c r="D536" s="61">
        <v>0.00287709339434507</v>
      </c>
      <c r="E536" s="62">
        <f t="shared" si="16"/>
        <v>0</v>
      </c>
      <c r="F536" s="60" t="str">
        <v>Industrials</v>
      </c>
      <c r="G536" s="62">
        <f t="shared" si="17"/>
        <v>0</v>
      </c>
      <c r="H536" s="60"/>
      <c r="J536" s="6"/>
      <c r="X536" s="60"/>
      <c r="Z536" s="58" t="s">
        <v>1421</v>
      </c>
    </row>
    <row r="537" spans="1:26">
      <c r="A537" s="63" t="s">
        <v>1217</v>
      </c>
      <c r="B537" t="s">
        <v>34</v>
      </c>
      <c r="C537" s="60" t="str">
        <v>Max Financial Services Ltd</v>
      </c>
      <c r="D537" s="64">
        <v>0.0242153851364801</v>
      </c>
      <c r="E537" s="62">
        <f t="shared" si="16"/>
        <v>0</v>
      </c>
      <c r="F537" s="60" t="str">
        <v>Financials</v>
      </c>
      <c r="G537" s="62">
        <f t="shared" si="17"/>
        <v>0</v>
      </c>
      <c r="H537" s="60"/>
      <c r="J537" s="6"/>
      <c r="X537" s="60"/>
      <c r="Z537" s="63" t="s">
        <v>1217</v>
      </c>
    </row>
    <row r="538" spans="1:26">
      <c r="A538" s="58" t="s">
        <v>1423</v>
      </c>
      <c r="B538" t="s">
        <v>34</v>
      </c>
      <c r="C538" s="60" t="str">
        <v>Medplus Health Services Ltd</v>
      </c>
      <c r="D538" s="61">
        <v>0.00512701991748367</v>
      </c>
      <c r="E538" s="62">
        <f t="shared" si="16"/>
        <v>0</v>
      </c>
      <c r="F538" s="60" t="str">
        <v>Consumer Staples</v>
      </c>
      <c r="G538" s="62">
        <f t="shared" si="17"/>
        <v>0</v>
      </c>
      <c r="H538" s="60"/>
      <c r="J538" s="6"/>
      <c r="X538" s="60"/>
      <c r="Z538" s="58" t="s">
        <v>1423</v>
      </c>
    </row>
    <row r="539" spans="1:26">
      <c r="A539" s="63" t="s">
        <v>1425</v>
      </c>
      <c r="B539" t="s">
        <v>34</v>
      </c>
      <c r="C539" s="60" t="str">
        <v>Narayana Hrudayalaya Ltd</v>
      </c>
      <c r="D539" s="64">
        <v>0.00345638684520128</v>
      </c>
      <c r="E539" s="62">
        <f t="shared" si="16"/>
        <v>0</v>
      </c>
      <c r="F539" s="60" t="str">
        <v>Health Care</v>
      </c>
      <c r="G539" s="62">
        <f t="shared" si="17"/>
        <v>0</v>
      </c>
      <c r="H539" s="60"/>
      <c r="J539" s="6"/>
      <c r="X539" s="60"/>
      <c r="Z539" s="63" t="s">
        <v>1425</v>
      </c>
    </row>
    <row r="540" spans="1:26">
      <c r="A540" s="58" t="s">
        <v>1427</v>
      </c>
      <c r="B540" t="s">
        <v>34</v>
      </c>
      <c r="C540" s="60" t="str">
        <v>Niva Bupa Health Insurance Co</v>
      </c>
      <c r="D540" s="61">
        <v>0.00257859994853446</v>
      </c>
      <c r="E540" s="62">
        <f t="shared" si="16"/>
        <v>0</v>
      </c>
      <c r="F540" s="60" t="str">
        <v>Financials</v>
      </c>
      <c r="G540" s="62">
        <f t="shared" si="17"/>
        <v>0</v>
      </c>
      <c r="H540" s="60"/>
      <c r="J540" s="6"/>
      <c r="X540" s="60"/>
      <c r="Z540" s="58" t="s">
        <v>1427</v>
      </c>
    </row>
    <row r="541" spans="1:26">
      <c r="A541" s="63" t="s">
        <v>1430</v>
      </c>
      <c r="B541" t="s">
        <v>34</v>
      </c>
      <c r="C541" s="60" t="str">
        <v>NLC India Ltd</v>
      </c>
      <c r="D541" s="64">
        <v>0.00354311696202341</v>
      </c>
      <c r="E541" s="62">
        <f t="shared" si="16"/>
        <v>0</v>
      </c>
      <c r="F541" s="60" t="str">
        <v>Utilities</v>
      </c>
      <c r="G541" s="62">
        <f t="shared" si="17"/>
        <v>0</v>
      </c>
      <c r="H541" s="60"/>
      <c r="J541" s="6"/>
      <c r="X541" s="60"/>
      <c r="Z541" s="63" t="s">
        <v>1430</v>
      </c>
    </row>
    <row r="542" spans="1:26">
      <c r="A542" s="58" t="s">
        <v>1166</v>
      </c>
      <c r="B542" t="s">
        <v>34</v>
      </c>
      <c r="C542" s="60" t="str">
        <v>NTPC Green Energy Ltd</v>
      </c>
      <c r="D542" s="61">
        <v>0.00593459972941009</v>
      </c>
      <c r="E542" s="62">
        <f t="shared" si="16"/>
        <v>0</v>
      </c>
      <c r="F542" s="60" t="str">
        <v>Utilities</v>
      </c>
      <c r="G542" s="62">
        <f t="shared" si="17"/>
        <v>0</v>
      </c>
      <c r="H542" s="60"/>
      <c r="J542" s="6"/>
      <c r="X542" s="60"/>
      <c r="Z542" s="58" t="s">
        <v>1166</v>
      </c>
    </row>
    <row r="543" spans="1:26">
      <c r="A543" s="63" t="s">
        <v>1028</v>
      </c>
      <c r="B543" t="s">
        <v>34</v>
      </c>
      <c r="C543" s="60" t="str">
        <v>NTPC Ltd</v>
      </c>
      <c r="D543" s="64">
        <v>0.0216822894570134</v>
      </c>
      <c r="E543" s="62">
        <f t="shared" si="16"/>
        <v>0</v>
      </c>
      <c r="F543" s="60" t="str">
        <v>Utilities</v>
      </c>
      <c r="G543" s="62">
        <f t="shared" si="17"/>
        <v>0</v>
      </c>
      <c r="H543" s="60"/>
      <c r="J543" s="6"/>
      <c r="X543" s="60"/>
      <c r="Z543" s="63" t="s">
        <v>1028</v>
      </c>
    </row>
    <row r="544" spans="1:26">
      <c r="A544" s="58" t="s">
        <v>1432</v>
      </c>
      <c r="B544" t="s">
        <v>34</v>
      </c>
      <c r="C544" s="60" t="str">
        <v>Ola Electric Mobility Ltd</v>
      </c>
      <c r="D544" s="61">
        <v>0.00102863666535713</v>
      </c>
      <c r="E544" s="62">
        <f t="shared" si="16"/>
        <v>0</v>
      </c>
      <c r="F544" s="60" t="str">
        <v>Consumer Discretionary</v>
      </c>
      <c r="G544" s="62">
        <f t="shared" si="17"/>
        <v>0</v>
      </c>
      <c r="H544" s="60"/>
      <c r="J544" s="6"/>
      <c r="X544" s="60"/>
      <c r="Z544" s="58" t="s">
        <v>1432</v>
      </c>
    </row>
    <row r="545" spans="1:26">
      <c r="A545" s="63" t="s">
        <v>1357</v>
      </c>
      <c r="B545" t="s">
        <v>34</v>
      </c>
      <c r="C545" s="60" t="str">
        <v>One 97 Communications Ltd</v>
      </c>
      <c r="D545" s="64">
        <v>0.00654378328209574</v>
      </c>
      <c r="E545" s="62">
        <f t="shared" si="16"/>
        <v>0</v>
      </c>
      <c r="F545" s="60" t="str">
        <v>Financials</v>
      </c>
      <c r="G545" s="62">
        <f t="shared" si="17"/>
        <v>0</v>
      </c>
      <c r="H545" s="60"/>
      <c r="J545" s="6"/>
      <c r="X545" s="60"/>
      <c r="Z545" s="63" t="s">
        <v>1357</v>
      </c>
    </row>
    <row r="546" spans="1:26">
      <c r="A546" s="58" t="s">
        <v>1044</v>
      </c>
      <c r="B546" t="s">
        <v>34</v>
      </c>
      <c r="C546" s="60" t="str">
        <v>Page Industries Ltd</v>
      </c>
      <c r="D546" s="61">
        <v>0.00533806835997659</v>
      </c>
      <c r="E546" s="62">
        <f t="shared" si="16"/>
        <v>0</v>
      </c>
      <c r="F546" s="60" t="str">
        <v>Consumer Discretionary</v>
      </c>
      <c r="G546" s="62">
        <f t="shared" si="17"/>
        <v>0</v>
      </c>
      <c r="H546" s="60"/>
      <c r="J546" s="6"/>
      <c r="X546" s="60"/>
      <c r="Z546" s="58" t="s">
        <v>1044</v>
      </c>
    </row>
    <row r="547" spans="1:26">
      <c r="A547" s="63" t="s">
        <v>1434</v>
      </c>
      <c r="B547" t="s">
        <v>34</v>
      </c>
      <c r="C547" s="60" t="str">
        <v>Pfizer Ltd</v>
      </c>
      <c r="D547" s="64">
        <v>0.00410801242449656</v>
      </c>
      <c r="E547" s="62">
        <f t="shared" si="16"/>
        <v>0</v>
      </c>
      <c r="F547" s="60" t="str">
        <v>Health Care</v>
      </c>
      <c r="G547" s="62">
        <f t="shared" si="17"/>
        <v>0</v>
      </c>
      <c r="H547" s="60"/>
      <c r="J547" s="6"/>
      <c r="X547" s="60"/>
      <c r="Z547" s="63" t="s">
        <v>1434</v>
      </c>
    </row>
    <row r="548" spans="1:26">
      <c r="A548" s="58" t="s">
        <v>1436</v>
      </c>
      <c r="B548" t="s">
        <v>34</v>
      </c>
      <c r="C548" s="60" t="str">
        <v>PNB Housing Finance Ltd</v>
      </c>
      <c r="D548" s="61">
        <v>0.00230848618887823</v>
      </c>
      <c r="E548" s="62">
        <f t="shared" si="16"/>
        <v>0</v>
      </c>
      <c r="F548" s="60" t="str">
        <v>Financials</v>
      </c>
      <c r="G548" s="62">
        <f t="shared" si="17"/>
        <v>0</v>
      </c>
      <c r="H548" s="60"/>
      <c r="J548" s="6"/>
      <c r="X548" s="60"/>
      <c r="Z548" s="58" t="s">
        <v>1436</v>
      </c>
    </row>
    <row r="549" spans="1:26">
      <c r="A549" s="63" t="s">
        <v>1056</v>
      </c>
      <c r="B549" t="s">
        <v>34</v>
      </c>
      <c r="C549" s="60" t="str">
        <v>Power Finance Corp Ltd</v>
      </c>
      <c r="D549" s="64">
        <v>0.00373035837649512</v>
      </c>
      <c r="E549" s="62">
        <f t="shared" si="16"/>
        <v>0</v>
      </c>
      <c r="F549" s="60" t="str">
        <v>Financials</v>
      </c>
      <c r="G549" s="62">
        <f t="shared" si="17"/>
        <v>0</v>
      </c>
      <c r="H549" s="60"/>
      <c r="J549" s="6"/>
      <c r="X549" s="60"/>
      <c r="Z549" s="63" t="s">
        <v>1056</v>
      </c>
    </row>
    <row r="550" spans="1:26">
      <c r="A550" s="58" t="s">
        <v>1359</v>
      </c>
      <c r="B550" t="s">
        <v>34</v>
      </c>
      <c r="C550" s="60" t="str">
        <v>PVR Inox Ltd</v>
      </c>
      <c r="D550" s="61">
        <v>0.00719477679711141</v>
      </c>
      <c r="E550" s="62">
        <f t="shared" si="16"/>
        <v>0</v>
      </c>
      <c r="F550" s="60" t="str">
        <v>Communication Services</v>
      </c>
      <c r="G550" s="62">
        <f t="shared" si="17"/>
        <v>0</v>
      </c>
      <c r="H550" s="60"/>
      <c r="J550" s="6"/>
      <c r="X550" s="60"/>
      <c r="Z550" s="58" t="s">
        <v>1359</v>
      </c>
    </row>
    <row r="551" spans="1:26">
      <c r="A551" s="63" t="s">
        <v>1067</v>
      </c>
      <c r="B551" t="s">
        <v>34</v>
      </c>
      <c r="C551" s="60" t="str">
        <v>REC Ltd</v>
      </c>
      <c r="D551" s="64">
        <v>0.00538944210871668</v>
      </c>
      <c r="E551" s="62">
        <f t="shared" si="16"/>
        <v>0</v>
      </c>
      <c r="F551" s="60" t="str">
        <v>Financials</v>
      </c>
      <c r="G551" s="62">
        <f t="shared" si="17"/>
        <v>0</v>
      </c>
      <c r="H551" s="60"/>
      <c r="J551" s="6"/>
      <c r="X551" s="60"/>
      <c r="Z551" s="63" t="s">
        <v>1067</v>
      </c>
    </row>
    <row r="552" spans="1:26">
      <c r="A552" s="58" t="s">
        <v>1070</v>
      </c>
      <c r="B552" t="s">
        <v>34</v>
      </c>
      <c r="C552" s="60" t="str">
        <v>Reliance Industries Ltd</v>
      </c>
      <c r="D552" s="61">
        <v>0.0289938542967403</v>
      </c>
      <c r="E552" s="62">
        <f t="shared" si="16"/>
        <v>0</v>
      </c>
      <c r="F552" s="60" t="str">
        <v>Energy</v>
      </c>
      <c r="G552" s="62">
        <f t="shared" si="17"/>
        <v>0</v>
      </c>
      <c r="H552" s="60"/>
      <c r="J552" s="6"/>
      <c r="X552" s="60"/>
      <c r="Z552" s="58" t="s">
        <v>1070</v>
      </c>
    </row>
    <row r="553" spans="1:26">
      <c r="A553" s="63" t="s">
        <v>1439</v>
      </c>
      <c r="B553" t="s">
        <v>34</v>
      </c>
      <c r="C553" s="60" t="str">
        <v>SAI Life Sciences Ltd</v>
      </c>
      <c r="D553" s="64">
        <v>0.00538519420085132</v>
      </c>
      <c r="E553" s="62">
        <f t="shared" si="16"/>
        <v>0</v>
      </c>
      <c r="F553" s="60" t="str">
        <v>Health Care</v>
      </c>
      <c r="G553" s="62">
        <f t="shared" si="17"/>
        <v>0</v>
      </c>
      <c r="H553" s="60"/>
      <c r="J553" s="6"/>
      <c r="X553" s="60"/>
      <c r="Z553" s="63" t="s">
        <v>1439</v>
      </c>
    </row>
    <row r="554" spans="1:26">
      <c r="A554" s="58" t="s">
        <v>1055</v>
      </c>
      <c r="B554" t="s">
        <v>34</v>
      </c>
      <c r="C554" s="60" t="str">
        <v>Samvardhana Motherson Internat</v>
      </c>
      <c r="D554" s="61">
        <v>0.00953033059388083</v>
      </c>
      <c r="E554" s="62">
        <f t="shared" si="16"/>
        <v>0</v>
      </c>
      <c r="F554" s="60" t="str">
        <v>Consumer Discretionary</v>
      </c>
      <c r="G554" s="62">
        <f t="shared" si="17"/>
        <v>0</v>
      </c>
      <c r="H554" s="60"/>
      <c r="J554" s="6"/>
      <c r="X554" s="60"/>
      <c r="Z554" s="58" t="s">
        <v>1055</v>
      </c>
    </row>
    <row r="555" spans="1:26">
      <c r="A555" s="63" t="s">
        <v>1441</v>
      </c>
      <c r="B555" t="s">
        <v>34</v>
      </c>
      <c r="C555" s="60" t="str">
        <v>Sanofi Consumer Healthcare Ind</v>
      </c>
      <c r="D555" s="64">
        <v>0.00162993467127167</v>
      </c>
      <c r="E555" s="62">
        <f t="shared" si="16"/>
        <v>0</v>
      </c>
      <c r="F555" s="60" t="str">
        <v>Health Care</v>
      </c>
      <c r="G555" s="62">
        <f t="shared" si="17"/>
        <v>0</v>
      </c>
      <c r="H555" s="60"/>
      <c r="J555" s="6"/>
      <c r="X555" s="60"/>
      <c r="Z555" s="63" t="s">
        <v>1441</v>
      </c>
    </row>
    <row r="556" spans="1:26">
      <c r="A556" s="58" t="s">
        <v>1443</v>
      </c>
      <c r="B556" t="s">
        <v>34</v>
      </c>
      <c r="C556" s="60" t="str">
        <v>Sanofi India Ltd</v>
      </c>
      <c r="D556" s="61">
        <v>0.00193446760025053</v>
      </c>
      <c r="E556" s="62">
        <f t="shared" si="16"/>
        <v>0</v>
      </c>
      <c r="F556" s="60" t="str">
        <v>Health Care</v>
      </c>
      <c r="G556" s="62">
        <f t="shared" si="17"/>
        <v>0</v>
      </c>
      <c r="H556" s="60"/>
      <c r="J556" s="6"/>
      <c r="X556" s="60"/>
      <c r="Z556" s="58" t="s">
        <v>1443</v>
      </c>
    </row>
    <row r="557" spans="1:26">
      <c r="A557" s="63" t="s">
        <v>1445</v>
      </c>
      <c r="B557" t="s">
        <v>34</v>
      </c>
      <c r="C557" s="60" t="str">
        <v>Sansera Engineering Ltd</v>
      </c>
      <c r="D557" s="64">
        <v>0.00149812747365353</v>
      </c>
      <c r="E557" s="62">
        <f t="shared" si="16"/>
        <v>0</v>
      </c>
      <c r="F557" s="60" t="str">
        <v>Consumer Discretionary</v>
      </c>
      <c r="G557" s="62">
        <f t="shared" si="17"/>
        <v>0</v>
      </c>
      <c r="H557" s="60"/>
      <c r="J557" s="6"/>
      <c r="X557" s="60"/>
      <c r="Z557" s="63" t="s">
        <v>1445</v>
      </c>
    </row>
    <row r="558" spans="1:26">
      <c r="A558" s="58" t="s">
        <v>1447</v>
      </c>
      <c r="B558" t="s">
        <v>34</v>
      </c>
      <c r="C558" s="60" t="str">
        <v>Sapphire Foods India Ltd</v>
      </c>
      <c r="D558" s="61">
        <v>0.00376467074874981</v>
      </c>
      <c r="E558" s="62">
        <f t="shared" si="16"/>
        <v>0</v>
      </c>
      <c r="F558" s="60" t="str">
        <v>Consumer Discretionary</v>
      </c>
      <c r="G558" s="62">
        <f t="shared" si="17"/>
        <v>0</v>
      </c>
      <c r="H558" s="60"/>
      <c r="J558" s="6"/>
      <c r="X558" s="60"/>
      <c r="Z558" s="58" t="s">
        <v>1447</v>
      </c>
    </row>
    <row r="559" spans="1:26">
      <c r="A559" s="63" t="s">
        <v>1258</v>
      </c>
      <c r="B559" t="s">
        <v>34</v>
      </c>
      <c r="C559" s="60" t="str">
        <v>SBI Cards &amp; Payment Services L</v>
      </c>
      <c r="D559" s="64">
        <v>0.0118828847402397</v>
      </c>
      <c r="E559" s="62">
        <f t="shared" si="16"/>
        <v>0</v>
      </c>
      <c r="F559" s="60" t="str">
        <v>Financials</v>
      </c>
      <c r="G559" s="62">
        <f t="shared" si="17"/>
        <v>0</v>
      </c>
      <c r="H559" s="60"/>
      <c r="J559" s="6"/>
      <c r="X559" s="60"/>
      <c r="Z559" s="63" t="s">
        <v>1258</v>
      </c>
    </row>
    <row r="560" spans="1:26">
      <c r="A560" s="58" t="s">
        <v>1174</v>
      </c>
      <c r="B560" t="s">
        <v>34</v>
      </c>
      <c r="C560" s="60" t="str">
        <v>SBI Life Insurance Co Ltd</v>
      </c>
      <c r="D560" s="61">
        <v>0.00419917135033995</v>
      </c>
      <c r="E560" s="62">
        <f t="shared" si="16"/>
        <v>0</v>
      </c>
      <c r="F560" s="60" t="str">
        <v>Financials</v>
      </c>
      <c r="G560" s="62">
        <f t="shared" si="17"/>
        <v>0</v>
      </c>
      <c r="H560" s="60"/>
      <c r="J560" s="6"/>
      <c r="X560" s="60"/>
      <c r="Z560" s="58" t="s">
        <v>1174</v>
      </c>
    </row>
    <row r="561" spans="1:26">
      <c r="A561" s="63" t="s">
        <v>1449</v>
      </c>
      <c r="B561" t="s">
        <v>34</v>
      </c>
      <c r="C561" s="60" t="str">
        <v>Schneider Electric Infrastruct</v>
      </c>
      <c r="D561" s="64">
        <v>0.00631708362032054</v>
      </c>
      <c r="E561" s="62">
        <f t="shared" si="16"/>
        <v>0</v>
      </c>
      <c r="F561" s="60" t="str">
        <v>Industrials</v>
      </c>
      <c r="G561" s="62">
        <f t="shared" si="17"/>
        <v>0</v>
      </c>
      <c r="H561" s="60"/>
      <c r="J561" s="6"/>
      <c r="X561" s="60"/>
      <c r="Z561" s="63" t="s">
        <v>1449</v>
      </c>
    </row>
    <row r="562" spans="1:26">
      <c r="A562" s="58" t="s">
        <v>1451</v>
      </c>
      <c r="B562" t="s">
        <v>34</v>
      </c>
      <c r="C562" s="60" t="str">
        <v>Sheela Foam Ltd</v>
      </c>
      <c r="D562" s="61">
        <v>0.00339646933102649</v>
      </c>
      <c r="E562" s="62">
        <f t="shared" si="16"/>
        <v>0</v>
      </c>
      <c r="F562" s="60" t="str">
        <v>Consumer Discretionary</v>
      </c>
      <c r="G562" s="62">
        <f t="shared" si="17"/>
        <v>0</v>
      </c>
      <c r="H562" s="60"/>
      <c r="J562" s="6"/>
      <c r="X562" s="60"/>
      <c r="Z562" s="58" t="s">
        <v>1451</v>
      </c>
    </row>
    <row r="563" spans="1:26">
      <c r="A563" s="63" t="s">
        <v>1453</v>
      </c>
      <c r="B563" t="s">
        <v>34</v>
      </c>
      <c r="C563" s="60" t="str">
        <v>Shoppers Stop Ltd</v>
      </c>
      <c r="D563" s="64">
        <v>0.00465417262990935</v>
      </c>
      <c r="E563" s="62">
        <f t="shared" si="16"/>
        <v>0</v>
      </c>
      <c r="F563" s="60" t="str">
        <v>Consumer Discretionary</v>
      </c>
      <c r="G563" s="62">
        <f t="shared" si="17"/>
        <v>0</v>
      </c>
      <c r="H563" s="60"/>
      <c r="J563" s="6"/>
      <c r="X563" s="60"/>
      <c r="Z563" s="63" t="s">
        <v>1453</v>
      </c>
    </row>
    <row r="564" spans="1:26">
      <c r="A564" s="58" t="s">
        <v>1063</v>
      </c>
      <c r="B564" t="s">
        <v>34</v>
      </c>
      <c r="C564" s="60" t="str">
        <v>Siemens Energy India Ltd</v>
      </c>
      <c r="D564" s="61">
        <v>0.00998978683685547</v>
      </c>
      <c r="E564" s="62">
        <f t="shared" si="16"/>
        <v>0</v>
      </c>
      <c r="F564" s="60" t="str">
        <v>Industrials</v>
      </c>
      <c r="G564" s="62">
        <f t="shared" si="17"/>
        <v>0</v>
      </c>
      <c r="H564" s="60"/>
      <c r="J564" s="6"/>
      <c r="X564" s="60"/>
      <c r="Z564" s="58" t="s">
        <v>1063</v>
      </c>
    </row>
    <row r="565" spans="1:26">
      <c r="A565" s="63" t="s">
        <v>1066</v>
      </c>
      <c r="B565" t="s">
        <v>34</v>
      </c>
      <c r="C565" s="60" t="str">
        <v>Siemens Ltd</v>
      </c>
      <c r="D565" s="64">
        <v>0.00355502592486402</v>
      </c>
      <c r="E565" s="62">
        <f t="shared" si="16"/>
        <v>0</v>
      </c>
      <c r="F565" s="60" t="str">
        <v>Industrials</v>
      </c>
      <c r="G565" s="62">
        <f t="shared" si="17"/>
        <v>0</v>
      </c>
      <c r="H565" s="60"/>
      <c r="J565" s="6"/>
      <c r="X565" s="60"/>
      <c r="Z565" s="63" t="s">
        <v>1066</v>
      </c>
    </row>
    <row r="566" spans="1:26">
      <c r="A566" s="58" t="s">
        <v>1072</v>
      </c>
      <c r="B566" t="s">
        <v>34</v>
      </c>
      <c r="C566" s="60" t="str">
        <v>Sona Blw Precision Forgings Lt</v>
      </c>
      <c r="D566" s="61">
        <v>0.00291921502975091</v>
      </c>
      <c r="E566" s="62">
        <f t="shared" si="16"/>
        <v>0</v>
      </c>
      <c r="F566" s="60" t="str">
        <v>Consumer Discretionary</v>
      </c>
      <c r="G566" s="62">
        <f t="shared" si="17"/>
        <v>0</v>
      </c>
      <c r="H566" s="60"/>
      <c r="J566" s="6"/>
      <c r="X566" s="60"/>
      <c r="Z566" s="58" t="s">
        <v>1072</v>
      </c>
    </row>
    <row r="567" spans="1:26">
      <c r="A567" s="63" t="s">
        <v>1075</v>
      </c>
      <c r="B567" t="s">
        <v>34</v>
      </c>
      <c r="C567" s="60" t="str">
        <v>SRF Ltd</v>
      </c>
      <c r="D567" s="64">
        <v>0.00333097875353117</v>
      </c>
      <c r="E567" s="62">
        <f t="shared" si="16"/>
        <v>0</v>
      </c>
      <c r="F567" s="60" t="str">
        <v>Materials</v>
      </c>
      <c r="G567" s="62">
        <f t="shared" si="17"/>
        <v>0</v>
      </c>
      <c r="H567" s="60"/>
      <c r="J567" s="6"/>
      <c r="X567" s="60"/>
      <c r="Z567" s="63" t="s">
        <v>1075</v>
      </c>
    </row>
    <row r="568" spans="1:26">
      <c r="A568" s="58" t="s">
        <v>1077</v>
      </c>
      <c r="B568" t="s">
        <v>34</v>
      </c>
      <c r="C568" s="60" t="str">
        <v>State Bank of India</v>
      </c>
      <c r="D568" s="61">
        <v>0.0214873695513105</v>
      </c>
      <c r="E568" s="62">
        <f t="shared" si="16"/>
        <v>0</v>
      </c>
      <c r="F568" s="60" t="str">
        <v>Financials</v>
      </c>
      <c r="G568" s="62">
        <f t="shared" si="17"/>
        <v>0</v>
      </c>
      <c r="H568" s="60"/>
      <c r="J568" s="6"/>
      <c r="X568" s="60"/>
      <c r="Z568" s="58" t="s">
        <v>1077</v>
      </c>
    </row>
    <row r="569" spans="1:26">
      <c r="A569" s="63" t="s">
        <v>1084</v>
      </c>
      <c r="B569" t="s">
        <v>34</v>
      </c>
      <c r="C569" s="60" t="str">
        <v>Swiggy Ltd</v>
      </c>
      <c r="D569" s="64">
        <v>0.0088449723978425</v>
      </c>
      <c r="E569" s="62">
        <f t="shared" si="16"/>
        <v>0</v>
      </c>
      <c r="F569" s="60" t="str">
        <v>Consumer Discretionary</v>
      </c>
      <c r="G569" s="62">
        <f t="shared" si="17"/>
        <v>0</v>
      </c>
      <c r="H569" s="60"/>
      <c r="J569" s="6"/>
      <c r="X569" s="60"/>
      <c r="Z569" s="63" t="s">
        <v>1084</v>
      </c>
    </row>
    <row r="570" spans="1:26">
      <c r="A570" s="58" t="s">
        <v>1086</v>
      </c>
      <c r="B570" t="s">
        <v>34</v>
      </c>
      <c r="C570" s="60" t="str">
        <v>Syngene International Ltd</v>
      </c>
      <c r="D570" s="61">
        <v>0.00315390703536515</v>
      </c>
      <c r="E570" s="62">
        <f t="shared" si="16"/>
        <v>0</v>
      </c>
      <c r="F570" s="60" t="str">
        <v>Health Care</v>
      </c>
      <c r="G570" s="62">
        <f t="shared" si="17"/>
        <v>0</v>
      </c>
      <c r="H570" s="60"/>
      <c r="J570" s="6"/>
      <c r="X570" s="60"/>
      <c r="Z570" s="58" t="s">
        <v>1086</v>
      </c>
    </row>
    <row r="571" spans="1:26">
      <c r="A571" s="63" t="s">
        <v>1094</v>
      </c>
      <c r="B571" t="s">
        <v>34</v>
      </c>
      <c r="C571" s="60" t="str">
        <v>Tata Consumer Products Ltd</v>
      </c>
      <c r="D571" s="64">
        <v>0.00498852373616169</v>
      </c>
      <c r="E571" s="62">
        <f t="shared" si="16"/>
        <v>0</v>
      </c>
      <c r="F571" s="60" t="str">
        <v>Consumer Staples</v>
      </c>
      <c r="G571" s="62">
        <f t="shared" si="17"/>
        <v>0</v>
      </c>
      <c r="H571" s="60"/>
      <c r="J571" s="6"/>
      <c r="X571" s="60"/>
      <c r="Z571" s="63" t="s">
        <v>1094</v>
      </c>
    </row>
    <row r="572" spans="1:26">
      <c r="A572" s="58" t="s">
        <v>1090</v>
      </c>
      <c r="B572" t="s">
        <v>34</v>
      </c>
      <c r="C572" s="60" t="str">
        <v>Tata Motors Ltd</v>
      </c>
      <c r="D572" s="61">
        <v>0.00412726423064061</v>
      </c>
      <c r="E572" s="62">
        <f t="shared" si="16"/>
        <v>0</v>
      </c>
      <c r="F572" s="60" t="str">
        <v>Consumer Discretionary</v>
      </c>
      <c r="G572" s="62">
        <f t="shared" si="17"/>
        <v>0</v>
      </c>
      <c r="H572" s="60"/>
      <c r="J572" s="6"/>
      <c r="X572" s="60"/>
      <c r="Z572" s="58" t="s">
        <v>1090</v>
      </c>
    </row>
    <row r="573" spans="1:26">
      <c r="A573" s="63" t="s">
        <v>1099</v>
      </c>
      <c r="B573" t="s">
        <v>34</v>
      </c>
      <c r="C573" s="60" t="str">
        <v>Tata Power Co Ltd/The</v>
      </c>
      <c r="D573" s="64">
        <v>0.0170487025068313</v>
      </c>
      <c r="E573" s="62">
        <f t="shared" si="16"/>
        <v>0</v>
      </c>
      <c r="F573" s="60" t="str">
        <v>Utilities</v>
      </c>
      <c r="G573" s="62">
        <f t="shared" si="17"/>
        <v>0</v>
      </c>
      <c r="H573" s="60"/>
      <c r="J573" s="6"/>
      <c r="X573" s="60"/>
      <c r="Z573" s="63" t="s">
        <v>1099</v>
      </c>
    </row>
    <row r="574" spans="1:26">
      <c r="A574" s="58" t="s">
        <v>1092</v>
      </c>
      <c r="B574" t="s">
        <v>34</v>
      </c>
      <c r="C574" s="60" t="str">
        <v>Tata Steel Ltd</v>
      </c>
      <c r="D574" s="61">
        <v>0.00537076351948829</v>
      </c>
      <c r="E574" s="62">
        <f t="shared" si="16"/>
        <v>0</v>
      </c>
      <c r="F574" s="60" t="str">
        <v>Materials</v>
      </c>
      <c r="G574" s="62">
        <f t="shared" si="17"/>
        <v>0</v>
      </c>
      <c r="H574" s="60"/>
      <c r="J574" s="6"/>
      <c r="X574" s="60"/>
      <c r="Z574" s="58" t="s">
        <v>1092</v>
      </c>
    </row>
    <row r="575" spans="1:26">
      <c r="A575" s="63" t="s">
        <v>1102</v>
      </c>
      <c r="B575" t="s">
        <v>34</v>
      </c>
      <c r="C575" s="60" t="str">
        <v>TCI Express Ltd</v>
      </c>
      <c r="D575" s="64">
        <v>0.00150851294362708</v>
      </c>
      <c r="E575" s="62">
        <f t="shared" si="16"/>
        <v>0</v>
      </c>
      <c r="F575" s="60" t="str">
        <v>Industrials</v>
      </c>
      <c r="G575" s="62">
        <f t="shared" si="17"/>
        <v>0</v>
      </c>
      <c r="H575" s="60"/>
      <c r="J575" s="6"/>
      <c r="X575" s="60"/>
      <c r="Z575" s="63" t="s">
        <v>1102</v>
      </c>
    </row>
    <row r="576" spans="1:26">
      <c r="A576" s="58" t="s">
        <v>1455</v>
      </c>
      <c r="B576" t="s">
        <v>34</v>
      </c>
      <c r="C576" s="60" t="str">
        <v>TeamLease Services Ltd</v>
      </c>
      <c r="D576" s="61">
        <v>0.00391862853007019</v>
      </c>
      <c r="E576" s="62">
        <f t="shared" ref="E576:E639" si="18">_xlfn.IFNA(D576*VLOOKUP($B576,$AK$1:$AM$34,3,FALSE),0)</f>
        <v>0</v>
      </c>
      <c r="F576" s="60" t="str">
        <v>Industrials</v>
      </c>
      <c r="G576" s="62">
        <f t="shared" ref="G576:G639" si="19">_xlfn.IFNA(D576*VLOOKUP($B576,$AK$1:$AM$34,3,FALSE),0)</f>
        <v>0</v>
      </c>
      <c r="H576" s="60"/>
      <c r="J576" s="6"/>
      <c r="X576" s="60"/>
      <c r="Z576" s="58" t="s">
        <v>1455</v>
      </c>
    </row>
    <row r="577" spans="1:26">
      <c r="A577" s="63" t="s">
        <v>1100</v>
      </c>
      <c r="B577" t="s">
        <v>34</v>
      </c>
      <c r="C577" s="60" t="str">
        <v>Indian Hotels Co Ltd/The</v>
      </c>
      <c r="D577" s="64">
        <v>0.0145303949519753</v>
      </c>
      <c r="E577" s="62">
        <f t="shared" si="18"/>
        <v>0</v>
      </c>
      <c r="F577" s="60" t="str">
        <v>Consumer Discretionary</v>
      </c>
      <c r="G577" s="62">
        <f t="shared" si="19"/>
        <v>0</v>
      </c>
      <c r="H577" s="60"/>
      <c r="J577" s="6"/>
      <c r="X577" s="60"/>
      <c r="Z577" s="63" t="s">
        <v>1100</v>
      </c>
    </row>
    <row r="578" spans="1:26">
      <c r="A578" s="58" t="s">
        <v>1457</v>
      </c>
      <c r="B578" t="s">
        <v>34</v>
      </c>
      <c r="C578" s="60" t="str">
        <v>Timken India Ltd</v>
      </c>
      <c r="D578" s="61">
        <v>0.00553581075961778</v>
      </c>
      <c r="E578" s="62">
        <f t="shared" si="18"/>
        <v>0</v>
      </c>
      <c r="F578" s="60" t="str">
        <v>Industrials</v>
      </c>
      <c r="G578" s="62">
        <f t="shared" si="19"/>
        <v>0</v>
      </c>
      <c r="H578" s="60"/>
      <c r="J578" s="6"/>
      <c r="X578" s="60"/>
      <c r="Z578" s="58" t="s">
        <v>1457</v>
      </c>
    </row>
    <row r="579" spans="1:26">
      <c r="A579" s="63" t="s">
        <v>1460</v>
      </c>
      <c r="B579" t="s">
        <v>34</v>
      </c>
      <c r="C579" s="60" t="str">
        <v>Triveni Turbine Ltd</v>
      </c>
      <c r="D579" s="64">
        <v>0.00206198111983133</v>
      </c>
      <c r="E579" s="62">
        <f t="shared" si="18"/>
        <v>0</v>
      </c>
      <c r="F579" s="60" t="str">
        <v>Industrials</v>
      </c>
      <c r="G579" s="62">
        <f t="shared" si="19"/>
        <v>0</v>
      </c>
      <c r="H579" s="60"/>
      <c r="J579" s="6"/>
      <c r="X579" s="60"/>
      <c r="Z579" s="63" t="s">
        <v>1460</v>
      </c>
    </row>
    <row r="580" spans="1:26">
      <c r="A580" s="58" t="s">
        <v>1107</v>
      </c>
      <c r="B580" t="s">
        <v>34</v>
      </c>
      <c r="C580" s="60" t="str">
        <v>UltraTech Cement Ltd</v>
      </c>
      <c r="D580" s="61">
        <v>0.0049488933058303</v>
      </c>
      <c r="E580" s="62">
        <f t="shared" si="18"/>
        <v>0</v>
      </c>
      <c r="F580" s="60" t="str">
        <v>Materials</v>
      </c>
      <c r="G580" s="62">
        <f t="shared" si="19"/>
        <v>0</v>
      </c>
      <c r="H580" s="60"/>
      <c r="J580" s="6"/>
      <c r="X580" s="60"/>
      <c r="Z580" s="58" t="s">
        <v>1107</v>
      </c>
    </row>
    <row r="581" spans="1:26">
      <c r="A581" s="63" t="s">
        <v>1126</v>
      </c>
      <c r="B581" t="s">
        <v>34</v>
      </c>
      <c r="C581" s="60" t="str">
        <v>United Breweries Ltd</v>
      </c>
      <c r="D581" s="64">
        <v>0.0040953951137564</v>
      </c>
      <c r="E581" s="62">
        <f t="shared" si="18"/>
        <v>0</v>
      </c>
      <c r="F581" s="60" t="str">
        <v>Consumer Staples</v>
      </c>
      <c r="G581" s="62">
        <f t="shared" si="19"/>
        <v>0</v>
      </c>
      <c r="H581" s="60"/>
      <c r="J581" s="6"/>
      <c r="X581" s="60"/>
      <c r="Z581" s="63" t="s">
        <v>1126</v>
      </c>
    </row>
    <row r="582" spans="1:26">
      <c r="A582" s="58" t="s">
        <v>1462</v>
      </c>
      <c r="B582" t="s">
        <v>34</v>
      </c>
      <c r="C582" s="60" t="str">
        <v>UTI Asset Management Co Ltd</v>
      </c>
      <c r="D582" s="61">
        <v>0.00545852455494578</v>
      </c>
      <c r="E582" s="62">
        <f t="shared" si="18"/>
        <v>0</v>
      </c>
      <c r="F582" s="60" t="str">
        <v>Financials</v>
      </c>
      <c r="G582" s="62">
        <f t="shared" si="19"/>
        <v>0</v>
      </c>
      <c r="H582" s="60"/>
      <c r="J582" s="6"/>
      <c r="X582" s="60"/>
      <c r="Z582" s="58" t="s">
        <v>1462</v>
      </c>
    </row>
    <row r="583" spans="1:26">
      <c r="A583" s="63" t="s">
        <v>1464</v>
      </c>
      <c r="B583" t="s">
        <v>34</v>
      </c>
      <c r="C583" s="60" t="str">
        <v>VST Tillers Tractors Ltd</v>
      </c>
      <c r="D583" s="64">
        <v>0.00175686843534083</v>
      </c>
      <c r="E583" s="62">
        <f t="shared" si="18"/>
        <v>0</v>
      </c>
      <c r="F583" s="60" t="str">
        <v>Industrials</v>
      </c>
      <c r="G583" s="62">
        <f t="shared" si="19"/>
        <v>0</v>
      </c>
      <c r="H583" s="60"/>
      <c r="J583" s="6"/>
      <c r="X583" s="60"/>
      <c r="Z583" s="63" t="s">
        <v>1464</v>
      </c>
    </row>
    <row r="584" spans="1:26">
      <c r="A584" s="58" t="s">
        <v>1118</v>
      </c>
      <c r="B584" t="s">
        <v>34</v>
      </c>
      <c r="C584" s="60" t="str">
        <v>Varun Beverages Ltd</v>
      </c>
      <c r="D584" s="61">
        <v>0.0052561027001035</v>
      </c>
      <c r="E584" s="62">
        <f t="shared" si="18"/>
        <v>0</v>
      </c>
      <c r="F584" s="60" t="str">
        <v>Consumer Staples</v>
      </c>
      <c r="G584" s="62">
        <f t="shared" si="19"/>
        <v>0</v>
      </c>
      <c r="H584" s="60"/>
      <c r="J584" s="6"/>
      <c r="X584" s="60"/>
      <c r="Z584" s="58" t="s">
        <v>1118</v>
      </c>
    </row>
    <row r="585" spans="1:26">
      <c r="A585" s="63" t="s">
        <v>1282</v>
      </c>
      <c r="B585" t="s">
        <v>34</v>
      </c>
      <c r="C585" s="60" t="str">
        <v>Vedant Fashions Ltd</v>
      </c>
      <c r="D585" s="64">
        <v>0.00146464986215432</v>
      </c>
      <c r="E585" s="62">
        <f t="shared" si="18"/>
        <v>0</v>
      </c>
      <c r="F585" s="60" t="str">
        <v>Consumer Discretionary</v>
      </c>
      <c r="G585" s="62">
        <f t="shared" si="19"/>
        <v>0</v>
      </c>
      <c r="H585" s="60"/>
      <c r="J585" s="6"/>
      <c r="X585" s="60"/>
      <c r="Z585" s="63" t="s">
        <v>1282</v>
      </c>
    </row>
    <row r="586" spans="1:26">
      <c r="A586" s="58" t="s">
        <v>1466</v>
      </c>
      <c r="B586" t="s">
        <v>34</v>
      </c>
      <c r="C586" s="60" t="str">
        <v>Vesuvius India Ltd</v>
      </c>
      <c r="D586" s="61">
        <v>0.0176017587514878</v>
      </c>
      <c r="E586" s="62">
        <f t="shared" si="18"/>
        <v>0</v>
      </c>
      <c r="F586" s="60" t="str">
        <v>Industrials</v>
      </c>
      <c r="G586" s="62">
        <f t="shared" si="19"/>
        <v>0</v>
      </c>
      <c r="H586" s="60"/>
      <c r="J586" s="6"/>
      <c r="X586" s="60"/>
      <c r="Z586" s="58" t="s">
        <v>1466</v>
      </c>
    </row>
    <row r="587" spans="1:26">
      <c r="A587" s="63" t="s">
        <v>1468</v>
      </c>
      <c r="B587" t="s">
        <v>34</v>
      </c>
      <c r="C587" s="60" t="str">
        <v>Vijaya Diagnostic Centre Ltd</v>
      </c>
      <c r="D587" s="64">
        <v>0.00707458650504606</v>
      </c>
      <c r="E587" s="62">
        <f t="shared" si="18"/>
        <v>0</v>
      </c>
      <c r="F587" s="60" t="str">
        <v>Health Care</v>
      </c>
      <c r="G587" s="62">
        <f t="shared" si="19"/>
        <v>0</v>
      </c>
      <c r="H587" s="60"/>
      <c r="J587" s="6"/>
      <c r="X587" s="60"/>
      <c r="Z587" s="63" t="s">
        <v>1468</v>
      </c>
    </row>
    <row r="588" spans="1:26">
      <c r="A588" s="58" t="s">
        <v>1121</v>
      </c>
      <c r="B588" t="s">
        <v>34</v>
      </c>
      <c r="C588" s="60" t="str">
        <v>Vishal Mega Mart Ltd</v>
      </c>
      <c r="D588" s="61">
        <v>0.0120391114143707</v>
      </c>
      <c r="E588" s="62">
        <f t="shared" si="18"/>
        <v>0</v>
      </c>
      <c r="F588" s="60" t="str">
        <v>Consumer Discretionary</v>
      </c>
      <c r="G588" s="62">
        <f t="shared" si="19"/>
        <v>0</v>
      </c>
      <c r="H588" s="60"/>
      <c r="J588" s="6"/>
      <c r="X588" s="60"/>
      <c r="Z588" s="58" t="s">
        <v>1121</v>
      </c>
    </row>
    <row r="589" spans="1:26">
      <c r="A589" s="63" t="s">
        <v>1284</v>
      </c>
      <c r="B589" t="s">
        <v>34</v>
      </c>
      <c r="C589" s="60" t="str">
        <v>Voltas Ltd</v>
      </c>
      <c r="D589" s="64">
        <v>0.0100058805011335</v>
      </c>
      <c r="E589" s="62">
        <f t="shared" si="18"/>
        <v>0</v>
      </c>
      <c r="F589" s="60" t="str">
        <v>Industrials</v>
      </c>
      <c r="G589" s="62">
        <f t="shared" si="19"/>
        <v>0</v>
      </c>
      <c r="H589" s="60"/>
      <c r="J589" s="6"/>
      <c r="X589" s="60"/>
      <c r="Z589" s="63" t="s">
        <v>1284</v>
      </c>
    </row>
    <row r="590" spans="1:26">
      <c r="A590" s="58" t="s">
        <v>1471</v>
      </c>
      <c r="B590" t="s">
        <v>34</v>
      </c>
      <c r="C590" s="60" t="str">
        <v>VRL Logistics Ltd</v>
      </c>
      <c r="D590" s="61">
        <v>0.00365417065595044</v>
      </c>
      <c r="E590" s="62">
        <f t="shared" si="18"/>
        <v>0</v>
      </c>
      <c r="F590" s="60" t="str">
        <v>Industrials</v>
      </c>
      <c r="G590" s="62">
        <f t="shared" si="19"/>
        <v>0</v>
      </c>
      <c r="H590" s="60"/>
      <c r="J590" s="6"/>
      <c r="X590" s="60"/>
      <c r="Z590" s="58" t="s">
        <v>1471</v>
      </c>
    </row>
    <row r="591" spans="1:26">
      <c r="A591" s="63" t="s">
        <v>1474</v>
      </c>
      <c r="B591" t="s">
        <v>34</v>
      </c>
      <c r="C591" s="60" t="str">
        <v>Whirlpool of India Ltd</v>
      </c>
      <c r="D591" s="64">
        <v>0.0042486685220292</v>
      </c>
      <c r="E591" s="62">
        <f t="shared" si="18"/>
        <v>0</v>
      </c>
      <c r="F591" s="60" t="str">
        <v>Consumer Discretionary</v>
      </c>
      <c r="G591" s="62">
        <f t="shared" si="19"/>
        <v>0</v>
      </c>
      <c r="H591" s="60"/>
      <c r="J591" s="6"/>
      <c r="X591" s="60"/>
      <c r="Z591" s="63" t="s">
        <v>1474</v>
      </c>
    </row>
    <row r="592" spans="1:26">
      <c r="A592" s="58" t="s">
        <v>1142</v>
      </c>
      <c r="B592" t="s">
        <v>34</v>
      </c>
      <c r="C592" s="60" t="str">
        <v>ZF Commercial Vehicle Control</v>
      </c>
      <c r="D592" s="61">
        <v>0.00622122780302007</v>
      </c>
      <c r="E592" s="62">
        <f t="shared" si="18"/>
        <v>0</v>
      </c>
      <c r="F592" s="60" t="str">
        <v>Consumer Discretionary</v>
      </c>
      <c r="G592" s="62">
        <f t="shared" si="19"/>
        <v>0</v>
      </c>
      <c r="H592" s="60"/>
      <c r="J592" s="6"/>
      <c r="X592" s="60"/>
      <c r="Z592" s="58" t="s">
        <v>1142</v>
      </c>
    </row>
    <row r="593" spans="1:26">
      <c r="A593" s="63" t="s">
        <v>1137</v>
      </c>
      <c r="B593" t="s">
        <v>38</v>
      </c>
      <c r="C593" s="60" t="str">
        <v>Asian Paints Ltd</v>
      </c>
      <c r="D593" s="64">
        <v>3.7544732342565e-5</v>
      </c>
      <c r="E593" s="62">
        <f t="shared" si="18"/>
        <v>0</v>
      </c>
      <c r="F593" s="60" t="str">
        <v>Materials</v>
      </c>
      <c r="G593" s="62">
        <f t="shared" si="19"/>
        <v>0</v>
      </c>
      <c r="H593" s="60"/>
      <c r="J593" s="6"/>
      <c r="X593" s="60"/>
      <c r="Z593" s="63" t="s">
        <v>1137</v>
      </c>
    </row>
    <row r="594" spans="1:26">
      <c r="A594" s="58" t="s">
        <v>1291</v>
      </c>
      <c r="B594" t="s">
        <v>38</v>
      </c>
      <c r="C594" s="60" t="str">
        <v>Aurobindo Pharma Ltd</v>
      </c>
      <c r="D594" s="61">
        <v>0</v>
      </c>
      <c r="E594" s="62">
        <f t="shared" si="18"/>
        <v>0</v>
      </c>
      <c r="F594" s="60" t="str">
        <v>Health Care</v>
      </c>
      <c r="G594" s="62">
        <f t="shared" si="19"/>
        <v>0</v>
      </c>
      <c r="H594" s="60"/>
      <c r="J594" s="6"/>
      <c r="X594" s="60"/>
      <c r="Z594" s="58" t="s">
        <v>1291</v>
      </c>
    </row>
    <row r="595" spans="1:26">
      <c r="A595" s="63" t="s">
        <v>879</v>
      </c>
      <c r="B595" t="s">
        <v>38</v>
      </c>
      <c r="C595" s="60" t="str">
        <v>Axis Bank Ltd</v>
      </c>
      <c r="D595" s="64">
        <v>0.0283954445036204</v>
      </c>
      <c r="E595" s="62">
        <f t="shared" si="18"/>
        <v>0</v>
      </c>
      <c r="F595" s="60" t="str">
        <v>Financials</v>
      </c>
      <c r="G595" s="62">
        <f t="shared" si="19"/>
        <v>0</v>
      </c>
      <c r="H595" s="60"/>
      <c r="J595" s="6"/>
      <c r="X595" s="60"/>
      <c r="Z595" s="63" t="s">
        <v>879</v>
      </c>
    </row>
    <row r="596" spans="1:26">
      <c r="A596" s="58" t="s">
        <v>878</v>
      </c>
      <c r="B596" t="s">
        <v>38</v>
      </c>
      <c r="C596" s="60" t="str">
        <v>Bajaj Finance Ltd</v>
      </c>
      <c r="D596" s="61">
        <v>0.00198595223554579</v>
      </c>
      <c r="E596" s="62">
        <f t="shared" si="18"/>
        <v>0</v>
      </c>
      <c r="F596" s="60" t="str">
        <v>Financials</v>
      </c>
      <c r="G596" s="62">
        <f t="shared" si="19"/>
        <v>0</v>
      </c>
      <c r="H596" s="60"/>
      <c r="J596" s="6"/>
      <c r="X596" s="60"/>
      <c r="Z596" s="58" t="s">
        <v>878</v>
      </c>
    </row>
    <row r="597" spans="1:26">
      <c r="A597" s="63" t="s">
        <v>884</v>
      </c>
      <c r="B597" t="s">
        <v>38</v>
      </c>
      <c r="C597" s="60" t="str">
        <v>Bajaj Finserv Ltd</v>
      </c>
      <c r="D597" s="64">
        <v>0.000104896791864812</v>
      </c>
      <c r="E597" s="62">
        <f t="shared" si="18"/>
        <v>0</v>
      </c>
      <c r="F597" s="60" t="str">
        <v>Financials</v>
      </c>
      <c r="G597" s="62">
        <f t="shared" si="19"/>
        <v>0</v>
      </c>
      <c r="H597" s="60"/>
      <c r="J597" s="6"/>
      <c r="X597" s="60"/>
      <c r="Z597" s="63" t="s">
        <v>884</v>
      </c>
    </row>
    <row r="598" spans="1:26">
      <c r="A598" s="58" t="s">
        <v>1476</v>
      </c>
      <c r="B598" t="s">
        <v>38</v>
      </c>
      <c r="C598" s="60" t="str">
        <v>Bajaj Holdings &amp; Investment Lt</v>
      </c>
      <c r="D598" s="61">
        <v>0.0655609821998942</v>
      </c>
      <c r="E598" s="62">
        <f t="shared" si="18"/>
        <v>0</v>
      </c>
      <c r="F598" s="60" t="str">
        <v>Financials</v>
      </c>
      <c r="G598" s="62">
        <f t="shared" si="19"/>
        <v>0</v>
      </c>
      <c r="H598" s="60"/>
      <c r="J598" s="6"/>
      <c r="X598" s="60"/>
      <c r="Z598" s="58" t="s">
        <v>1476</v>
      </c>
    </row>
    <row r="599" spans="1:26">
      <c r="A599" s="63" t="s">
        <v>1193</v>
      </c>
      <c r="B599" t="s">
        <v>38</v>
      </c>
      <c r="C599" s="60" t="str">
        <v>Balkrishna Industries Ltd</v>
      </c>
      <c r="D599" s="64">
        <v>0.00989646341130064</v>
      </c>
      <c r="E599" s="62">
        <f t="shared" si="18"/>
        <v>0</v>
      </c>
      <c r="F599" s="60" t="str">
        <v>Consumer Discretionary</v>
      </c>
      <c r="G599" s="62">
        <f t="shared" si="19"/>
        <v>0</v>
      </c>
      <c r="H599" s="60"/>
      <c r="J599" s="6"/>
      <c r="X599" s="60"/>
      <c r="Z599" s="63" t="s">
        <v>1193</v>
      </c>
    </row>
    <row r="600" spans="1:26">
      <c r="A600" s="58" t="s">
        <v>1478</v>
      </c>
      <c r="B600" t="s">
        <v>38</v>
      </c>
      <c r="C600" s="60" t="str">
        <v>Bandhan Bank Ltd</v>
      </c>
      <c r="D600" s="61">
        <v>0.000154368515782473</v>
      </c>
      <c r="E600" s="62">
        <f t="shared" si="18"/>
        <v>0</v>
      </c>
      <c r="F600" s="60" t="str">
        <v>Financials</v>
      </c>
      <c r="G600" s="62">
        <f t="shared" si="19"/>
        <v>0</v>
      </c>
      <c r="H600" s="60"/>
      <c r="J600" s="6"/>
      <c r="X600" s="60"/>
      <c r="Z600" s="58" t="s">
        <v>1478</v>
      </c>
    </row>
    <row r="601" spans="1:26">
      <c r="A601" s="63" t="s">
        <v>886</v>
      </c>
      <c r="B601" t="s">
        <v>38</v>
      </c>
      <c r="C601" s="60" t="str">
        <v>Bharat Electronics Ltd</v>
      </c>
      <c r="D601" s="64">
        <v>0.000276619517356026</v>
      </c>
      <c r="E601" s="62">
        <f t="shared" si="18"/>
        <v>0</v>
      </c>
      <c r="F601" s="60" t="str">
        <v>Industrials</v>
      </c>
      <c r="G601" s="62">
        <f t="shared" si="19"/>
        <v>0</v>
      </c>
      <c r="H601" s="60"/>
      <c r="J601" s="6"/>
      <c r="X601" s="60"/>
      <c r="Z601" s="63" t="s">
        <v>886</v>
      </c>
    </row>
    <row r="602" spans="1:26">
      <c r="A602" s="58" t="s">
        <v>1480</v>
      </c>
      <c r="B602" t="s">
        <v>38</v>
      </c>
      <c r="C602" s="60" t="str">
        <v>Bharat Heavy Electricals Ltd</v>
      </c>
      <c r="D602" s="61">
        <v>2.81795148442162e-5</v>
      </c>
      <c r="E602" s="62">
        <f t="shared" si="18"/>
        <v>0</v>
      </c>
      <c r="F602" s="60" t="str">
        <v>Industrials</v>
      </c>
      <c r="G602" s="62">
        <f t="shared" si="19"/>
        <v>0</v>
      </c>
      <c r="H602" s="60"/>
      <c r="J602" s="6"/>
      <c r="X602" s="60"/>
      <c r="Z602" s="58" t="s">
        <v>1480</v>
      </c>
    </row>
    <row r="603" spans="1:26">
      <c r="A603" s="63" t="s">
        <v>891</v>
      </c>
      <c r="B603" t="s">
        <v>38</v>
      </c>
      <c r="C603" s="60" t="str">
        <v>Bharti Airtel Ltd</v>
      </c>
      <c r="D603" s="64">
        <v>0.0357695456112376</v>
      </c>
      <c r="E603" s="62">
        <f t="shared" si="18"/>
        <v>0</v>
      </c>
      <c r="F603" s="60" t="str">
        <v>Communication Services</v>
      </c>
      <c r="G603" s="62">
        <f t="shared" si="19"/>
        <v>0</v>
      </c>
      <c r="H603" s="60"/>
      <c r="J603" s="6"/>
      <c r="X603" s="60"/>
      <c r="Z603" s="63" t="s">
        <v>891</v>
      </c>
    </row>
    <row r="604" spans="1:26">
      <c r="A604" s="58" t="s">
        <v>911</v>
      </c>
      <c r="B604" t="s">
        <v>38</v>
      </c>
      <c r="C604" s="60" t="str">
        <v>Central Depository Services In</v>
      </c>
      <c r="D604" s="61">
        <v>0.00296027383581702</v>
      </c>
      <c r="E604" s="62">
        <f t="shared" si="18"/>
        <v>0</v>
      </c>
      <c r="F604" s="60" t="str">
        <v>Financials</v>
      </c>
      <c r="G604" s="62">
        <f t="shared" si="19"/>
        <v>0</v>
      </c>
      <c r="H604" s="60"/>
      <c r="J604" s="6"/>
      <c r="X604" s="60"/>
      <c r="Z604" s="58" t="s">
        <v>911</v>
      </c>
    </row>
    <row r="605" spans="1:26">
      <c r="A605" s="63" t="s">
        <v>914</v>
      </c>
      <c r="B605" t="s">
        <v>38</v>
      </c>
      <c r="C605" s="60" t="str">
        <v>Cipla Ltd/India</v>
      </c>
      <c r="D605" s="64">
        <v>0.0129695939000611</v>
      </c>
      <c r="E605" s="62">
        <f t="shared" si="18"/>
        <v>0</v>
      </c>
      <c r="F605" s="60" t="str">
        <v>Health Care</v>
      </c>
      <c r="G605" s="62">
        <f t="shared" si="19"/>
        <v>0</v>
      </c>
      <c r="H605" s="60"/>
      <c r="J605" s="6"/>
      <c r="X605" s="60"/>
      <c r="Z605" s="63" t="s">
        <v>914</v>
      </c>
    </row>
    <row r="606" spans="1:26">
      <c r="A606" s="58" t="s">
        <v>916</v>
      </c>
      <c r="B606" t="s">
        <v>38</v>
      </c>
      <c r="C606" s="60" t="str">
        <v>Coal India Ltd</v>
      </c>
      <c r="D606" s="61">
        <v>0.0538339678998674</v>
      </c>
      <c r="E606" s="62">
        <f t="shared" si="18"/>
        <v>0</v>
      </c>
      <c r="F606" s="60" t="str">
        <v>Energy</v>
      </c>
      <c r="G606" s="62">
        <f t="shared" si="19"/>
        <v>0</v>
      </c>
      <c r="H606" s="60"/>
      <c r="J606" s="6"/>
      <c r="X606" s="60"/>
      <c r="Z606" s="58" t="s">
        <v>916</v>
      </c>
    </row>
    <row r="607" spans="1:26">
      <c r="A607" s="63" t="s">
        <v>1148</v>
      </c>
      <c r="B607" t="s">
        <v>38</v>
      </c>
      <c r="C607" s="60" t="str">
        <v>Divi's Laboratories Ltd</v>
      </c>
      <c r="D607" s="64">
        <v>0.000222992634727391</v>
      </c>
      <c r="E607" s="62">
        <f t="shared" si="18"/>
        <v>0</v>
      </c>
      <c r="F607" s="60" t="str">
        <v>Health Care</v>
      </c>
      <c r="G607" s="62">
        <f t="shared" si="19"/>
        <v>0</v>
      </c>
      <c r="H607" s="60"/>
      <c r="J607" s="6"/>
      <c r="X607" s="60"/>
      <c r="Z607" s="63" t="s">
        <v>1148</v>
      </c>
    </row>
    <row r="608" spans="1:26">
      <c r="A608" s="58" t="s">
        <v>1301</v>
      </c>
      <c r="B608" t="s">
        <v>38</v>
      </c>
      <c r="C608" s="60" t="str">
        <v>DLF Ltd</v>
      </c>
      <c r="D608" s="61">
        <v>0.000374104643077362</v>
      </c>
      <c r="E608" s="62">
        <f t="shared" si="18"/>
        <v>0</v>
      </c>
      <c r="F608" s="60" t="str">
        <v>Real Estate</v>
      </c>
      <c r="G608" s="62">
        <f t="shared" si="19"/>
        <v>0</v>
      </c>
      <c r="H608" s="60"/>
      <c r="J608" s="6"/>
      <c r="X608" s="60"/>
      <c r="Z608" s="58" t="s">
        <v>1301</v>
      </c>
    </row>
    <row r="609" spans="1:26">
      <c r="A609" s="63" t="s">
        <v>931</v>
      </c>
      <c r="B609" t="s">
        <v>38</v>
      </c>
      <c r="C609" s="60" t="str">
        <v>Dr Reddy's Laboratories Ltd</v>
      </c>
      <c r="D609" s="64">
        <v>0.0125791272712799</v>
      </c>
      <c r="E609" s="62">
        <f t="shared" si="18"/>
        <v>0</v>
      </c>
      <c r="F609" s="60" t="str">
        <v>Health Care</v>
      </c>
      <c r="G609" s="62">
        <f t="shared" si="19"/>
        <v>0</v>
      </c>
      <c r="H609" s="60"/>
      <c r="J609" s="6"/>
      <c r="X609" s="60"/>
      <c r="Z609" s="63" t="s">
        <v>931</v>
      </c>
    </row>
    <row r="610" spans="1:26">
      <c r="A610" s="58" t="s">
        <v>1482</v>
      </c>
      <c r="B610" t="s">
        <v>38</v>
      </c>
      <c r="C610" s="60" t="str">
        <v>EID Parry India Ltd</v>
      </c>
      <c r="D610" s="61">
        <v>0.00435245857020088</v>
      </c>
      <c r="E610" s="62">
        <f t="shared" si="18"/>
        <v>0</v>
      </c>
      <c r="F610" s="60" t="str">
        <v>Materials</v>
      </c>
      <c r="G610" s="62">
        <f t="shared" si="19"/>
        <v>0</v>
      </c>
      <c r="H610" s="60"/>
      <c r="J610" s="6"/>
      <c r="X610" s="60"/>
      <c r="Z610" s="58" t="s">
        <v>1482</v>
      </c>
    </row>
    <row r="611" spans="1:26">
      <c r="A611" s="63" t="s">
        <v>1164</v>
      </c>
      <c r="B611" t="s">
        <v>38</v>
      </c>
      <c r="C611" s="60" t="str">
        <v>Eicher Motors Ltd</v>
      </c>
      <c r="D611" s="64">
        <v>0.000103064178845058</v>
      </c>
      <c r="E611" s="62">
        <f t="shared" si="18"/>
        <v>0</v>
      </c>
      <c r="F611" s="60" t="str">
        <v>Consumer Discretionary</v>
      </c>
      <c r="G611" s="62">
        <f t="shared" si="19"/>
        <v>0</v>
      </c>
      <c r="H611" s="60"/>
      <c r="J611" s="6"/>
      <c r="X611" s="60"/>
      <c r="Z611" s="63" t="s">
        <v>1164</v>
      </c>
    </row>
    <row r="612" spans="1:26">
      <c r="A612" s="58" t="s">
        <v>942</v>
      </c>
      <c r="B612" t="s">
        <v>38</v>
      </c>
      <c r="C612" s="60" t="str">
        <v>GAIL India Ltd</v>
      </c>
      <c r="D612" s="61">
        <v>6.76883916804966e-5</v>
      </c>
      <c r="E612" s="62">
        <f t="shared" si="18"/>
        <v>0</v>
      </c>
      <c r="F612" s="60" t="str">
        <v>Utilities</v>
      </c>
      <c r="G612" s="62">
        <f t="shared" si="19"/>
        <v>0</v>
      </c>
      <c r="H612" s="60"/>
      <c r="J612" s="6"/>
      <c r="X612" s="60"/>
      <c r="Z612" s="58" t="s">
        <v>942</v>
      </c>
    </row>
    <row r="613" spans="1:26">
      <c r="A613" s="63" t="s">
        <v>1485</v>
      </c>
      <c r="B613" t="s">
        <v>38</v>
      </c>
      <c r="C613" s="60" t="str">
        <v>GMR Airports Ltd</v>
      </c>
      <c r="D613" s="64">
        <v>0.000134749139884574</v>
      </c>
      <c r="E613" s="62">
        <f t="shared" si="18"/>
        <v>0</v>
      </c>
      <c r="F613" s="60" t="str">
        <v>Industrials</v>
      </c>
      <c r="G613" s="62">
        <f t="shared" si="19"/>
        <v>0</v>
      </c>
      <c r="H613" s="60"/>
      <c r="J613" s="6"/>
      <c r="X613" s="60"/>
      <c r="Z613" s="63" t="s">
        <v>1485</v>
      </c>
    </row>
    <row r="614" spans="1:26">
      <c r="A614" s="58" t="s">
        <v>1351</v>
      </c>
      <c r="B614" t="s">
        <v>38</v>
      </c>
      <c r="C614" s="60" t="str">
        <v>Godrej Properties Ltd</v>
      </c>
      <c r="D614" s="61">
        <v>1.68466218058713e-5</v>
      </c>
      <c r="E614" s="62">
        <f t="shared" si="18"/>
        <v>0</v>
      </c>
      <c r="F614" s="60" t="str">
        <v>Real Estate</v>
      </c>
      <c r="G614" s="62">
        <f t="shared" si="19"/>
        <v>0</v>
      </c>
      <c r="H614" s="60"/>
      <c r="J614" s="6"/>
      <c r="X614" s="60"/>
      <c r="Z614" s="58" t="s">
        <v>1351</v>
      </c>
    </row>
    <row r="615" spans="1:26">
      <c r="A615" s="63" t="s">
        <v>1170</v>
      </c>
      <c r="B615" t="s">
        <v>38</v>
      </c>
      <c r="C615" s="60" t="str">
        <v>Grasim Industries Ltd</v>
      </c>
      <c r="D615" s="64">
        <v>0.000232138044594758</v>
      </c>
      <c r="E615" s="62">
        <f t="shared" si="18"/>
        <v>0</v>
      </c>
      <c r="F615" s="60" t="str">
        <v>Materials</v>
      </c>
      <c r="G615" s="62">
        <f t="shared" si="19"/>
        <v>0</v>
      </c>
      <c r="H615" s="60"/>
      <c r="J615" s="6"/>
      <c r="X615" s="60"/>
      <c r="Z615" s="63" t="s">
        <v>1170</v>
      </c>
    </row>
    <row r="616" spans="1:26">
      <c r="A616" s="58" t="s">
        <v>955</v>
      </c>
      <c r="B616" t="s">
        <v>38</v>
      </c>
      <c r="C616" s="60" t="str">
        <v>HCL Technologies Ltd</v>
      </c>
      <c r="D616" s="61">
        <v>0.0242406309524199</v>
      </c>
      <c r="E616" s="62">
        <f t="shared" si="18"/>
        <v>0</v>
      </c>
      <c r="F616" s="60" t="str">
        <v>Information Technology</v>
      </c>
      <c r="G616" s="62">
        <f t="shared" si="19"/>
        <v>0</v>
      </c>
      <c r="H616" s="60"/>
      <c r="J616" s="6"/>
      <c r="X616" s="60"/>
      <c r="Z616" s="58" t="s">
        <v>955</v>
      </c>
    </row>
    <row r="617" spans="1:26">
      <c r="A617" s="63" t="s">
        <v>960</v>
      </c>
      <c r="B617" t="s">
        <v>38</v>
      </c>
      <c r="C617" s="60" t="str">
        <v>HDFC Bank Ltd</v>
      </c>
      <c r="D617" s="64">
        <v>0.0799407373909548</v>
      </c>
      <c r="E617" s="62">
        <f t="shared" si="18"/>
        <v>0</v>
      </c>
      <c r="F617" s="60" t="str">
        <v>Financials</v>
      </c>
      <c r="G617" s="62">
        <f t="shared" si="19"/>
        <v>0</v>
      </c>
      <c r="H617" s="60"/>
      <c r="J617" s="6"/>
      <c r="X617" s="60"/>
      <c r="Z617" s="63" t="s">
        <v>960</v>
      </c>
    </row>
    <row r="618" spans="1:26">
      <c r="A618" s="58" t="s">
        <v>967</v>
      </c>
      <c r="B618" t="s">
        <v>38</v>
      </c>
      <c r="C618" s="60" t="str">
        <v>Hindalco Industries Ltd</v>
      </c>
      <c r="D618" s="61">
        <v>0.000697274826315227</v>
      </c>
      <c r="E618" s="62">
        <f t="shared" si="18"/>
        <v>0</v>
      </c>
      <c r="F618" s="60" t="str">
        <v>Materials</v>
      </c>
      <c r="G618" s="62">
        <f t="shared" si="19"/>
        <v>0</v>
      </c>
      <c r="H618" s="60"/>
      <c r="J618" s="6"/>
      <c r="X618" s="60"/>
      <c r="Z618" s="58" t="s">
        <v>967</v>
      </c>
    </row>
    <row r="619" spans="1:26">
      <c r="A619" s="63" t="s">
        <v>1364</v>
      </c>
      <c r="B619" t="s">
        <v>38</v>
      </c>
      <c r="C619" s="60" t="str">
        <v>Hindustan Copper Ltd</v>
      </c>
      <c r="D619" s="64">
        <v>0</v>
      </c>
      <c r="E619" s="62">
        <f t="shared" si="18"/>
        <v>0</v>
      </c>
      <c r="F619" s="60" t="str">
        <v>Materials</v>
      </c>
      <c r="G619" s="62">
        <f t="shared" si="19"/>
        <v>0</v>
      </c>
      <c r="H619" s="60"/>
      <c r="J619" s="6"/>
      <c r="X619" s="60"/>
      <c r="Z619" s="63" t="s">
        <v>1364</v>
      </c>
    </row>
    <row r="620" spans="1:26">
      <c r="A620" s="58" t="s">
        <v>1181</v>
      </c>
      <c r="B620" t="s">
        <v>38</v>
      </c>
      <c r="C620" s="60" t="str">
        <v>Hindustan Petroleum Corp Ltd</v>
      </c>
      <c r="D620" s="61">
        <v>8.60224667321702e-5</v>
      </c>
      <c r="E620" s="62">
        <f t="shared" si="18"/>
        <v>0</v>
      </c>
      <c r="F620" s="60" t="str">
        <v>Energy</v>
      </c>
      <c r="G620" s="62">
        <f t="shared" si="19"/>
        <v>0</v>
      </c>
      <c r="H620" s="60"/>
      <c r="J620" s="6"/>
      <c r="X620" s="60"/>
      <c r="Z620" s="58" t="s">
        <v>1181</v>
      </c>
    </row>
    <row r="621" spans="1:26">
      <c r="A621" s="63" t="s">
        <v>970</v>
      </c>
      <c r="B621" t="s">
        <v>38</v>
      </c>
      <c r="C621" s="60" t="str">
        <v>Hindustan Unilever Ltd</v>
      </c>
      <c r="D621" s="64">
        <v>0.000356543867161191</v>
      </c>
      <c r="E621" s="62">
        <f t="shared" si="18"/>
        <v>0</v>
      </c>
      <c r="F621" s="60" t="str">
        <v>Consumer Staples</v>
      </c>
      <c r="G621" s="62">
        <f t="shared" si="19"/>
        <v>0</v>
      </c>
      <c r="H621" s="60"/>
      <c r="J621" s="6"/>
      <c r="X621" s="60"/>
      <c r="Z621" s="63" t="s">
        <v>970</v>
      </c>
    </row>
    <row r="622" spans="1:26">
      <c r="A622" s="58" t="s">
        <v>972</v>
      </c>
      <c r="B622" t="s">
        <v>38</v>
      </c>
      <c r="C622" s="60" t="str">
        <v>ICICI Bank Ltd</v>
      </c>
      <c r="D622" s="61">
        <v>0.0517930787635227</v>
      </c>
      <c r="E622" s="62">
        <f t="shared" si="18"/>
        <v>0</v>
      </c>
      <c r="F622" s="60" t="str">
        <v>Financials</v>
      </c>
      <c r="G622" s="62">
        <f t="shared" si="19"/>
        <v>0</v>
      </c>
      <c r="H622" s="60"/>
      <c r="J622" s="6"/>
      <c r="X622" s="60"/>
      <c r="Z622" s="58" t="s">
        <v>972</v>
      </c>
    </row>
    <row r="623" spans="1:26">
      <c r="A623" s="63" t="s">
        <v>1490</v>
      </c>
      <c r="B623" t="s">
        <v>38</v>
      </c>
      <c r="C623" s="60" t="str">
        <v>ICRA Ltd</v>
      </c>
      <c r="D623" s="64">
        <v>0.00168152043215875</v>
      </c>
      <c r="E623" s="62">
        <f t="shared" si="18"/>
        <v>0</v>
      </c>
      <c r="F623" s="60" t="str">
        <v>Financials</v>
      </c>
      <c r="G623" s="62">
        <f t="shared" si="19"/>
        <v>0</v>
      </c>
      <c r="H623" s="60"/>
      <c r="J623" s="6"/>
      <c r="X623" s="60"/>
      <c r="Z623" s="63" t="s">
        <v>1490</v>
      </c>
    </row>
    <row r="624" spans="1:26">
      <c r="A624" s="58" t="s">
        <v>1493</v>
      </c>
      <c r="B624" t="s">
        <v>38</v>
      </c>
      <c r="C624" s="60" t="str">
        <v>IIFL Finance Ltd</v>
      </c>
      <c r="D624" s="61">
        <v>5.36048135893799e-5</v>
      </c>
      <c r="E624" s="62">
        <f t="shared" si="18"/>
        <v>0</v>
      </c>
      <c r="F624" s="60" t="str">
        <v>Financials</v>
      </c>
      <c r="G624" s="62">
        <f t="shared" si="19"/>
        <v>0</v>
      </c>
      <c r="H624" s="60"/>
      <c r="J624" s="6"/>
      <c r="X624" s="60"/>
      <c r="Z624" s="58" t="s">
        <v>1493</v>
      </c>
    </row>
    <row r="625" spans="1:26">
      <c r="A625" s="63" t="s">
        <v>982</v>
      </c>
      <c r="B625" t="s">
        <v>38</v>
      </c>
      <c r="C625" s="60" t="str">
        <v>Indian Energy Exchange Ltd</v>
      </c>
      <c r="D625" s="64">
        <v>0.00527993024841798</v>
      </c>
      <c r="E625" s="62">
        <f t="shared" si="18"/>
        <v>0</v>
      </c>
      <c r="F625" s="60" t="str">
        <v>Financials</v>
      </c>
      <c r="G625" s="62">
        <f t="shared" si="19"/>
        <v>0</v>
      </c>
      <c r="H625" s="60"/>
      <c r="J625" s="6"/>
      <c r="X625" s="60"/>
      <c r="Z625" s="63" t="s">
        <v>982</v>
      </c>
    </row>
    <row r="626" spans="1:26">
      <c r="A626" s="58" t="s">
        <v>1222</v>
      </c>
      <c r="B626" t="s">
        <v>38</v>
      </c>
      <c r="C626" s="60" t="str">
        <v>Indian Railway Catering &amp; Tour</v>
      </c>
      <c r="D626" s="61">
        <v>6.50542311549925e-5</v>
      </c>
      <c r="E626" s="62">
        <f t="shared" si="18"/>
        <v>0</v>
      </c>
      <c r="F626" s="60" t="str">
        <v>Industrials</v>
      </c>
      <c r="G626" s="62">
        <f t="shared" si="19"/>
        <v>0</v>
      </c>
      <c r="H626" s="60"/>
      <c r="J626" s="6"/>
      <c r="X626" s="60"/>
      <c r="Z626" s="58" t="s">
        <v>1222</v>
      </c>
    </row>
    <row r="627" spans="1:26">
      <c r="A627" s="63" t="s">
        <v>988</v>
      </c>
      <c r="B627" t="s">
        <v>38</v>
      </c>
      <c r="C627" s="60" t="str">
        <v>Indus Towers Ltd</v>
      </c>
      <c r="D627" s="64">
        <v>8.17172385542602e-6</v>
      </c>
      <c r="E627" s="62">
        <f t="shared" si="18"/>
        <v>0</v>
      </c>
      <c r="F627" s="60" t="str">
        <v>Communication Services</v>
      </c>
      <c r="G627" s="62">
        <f t="shared" si="19"/>
        <v>0</v>
      </c>
      <c r="H627" s="60"/>
      <c r="J627" s="6"/>
      <c r="X627" s="60"/>
      <c r="Z627" s="63" t="s">
        <v>988</v>
      </c>
    </row>
    <row r="628" spans="1:26">
      <c r="A628" s="58" t="s">
        <v>1191</v>
      </c>
      <c r="B628" t="s">
        <v>38</v>
      </c>
      <c r="C628" s="60" t="str">
        <v>IndusInd Bank Ltd</v>
      </c>
      <c r="D628" s="61">
        <v>0.000140201075342186</v>
      </c>
      <c r="E628" s="62">
        <f t="shared" si="18"/>
        <v>0</v>
      </c>
      <c r="F628" s="60" t="str">
        <v>Financials</v>
      </c>
      <c r="G628" s="62">
        <f t="shared" si="19"/>
        <v>0</v>
      </c>
      <c r="H628" s="60"/>
      <c r="J628" s="6"/>
      <c r="X628" s="60"/>
      <c r="Z628" s="58" t="s">
        <v>1191</v>
      </c>
    </row>
    <row r="629" spans="1:26">
      <c r="A629" s="63" t="s">
        <v>991</v>
      </c>
      <c r="B629" t="s">
        <v>38</v>
      </c>
      <c r="C629" s="60" t="str">
        <v>Infosys Ltd</v>
      </c>
      <c r="D629" s="64">
        <v>0.0123970338628618</v>
      </c>
      <c r="E629" s="62">
        <f t="shared" si="18"/>
        <v>0</v>
      </c>
      <c r="F629" s="60" t="str">
        <v>Information Technology</v>
      </c>
      <c r="G629" s="62">
        <f t="shared" si="19"/>
        <v>0</v>
      </c>
      <c r="H629" s="60"/>
      <c r="J629" s="6"/>
      <c r="X629" s="60"/>
      <c r="Z629" s="63" t="s">
        <v>991</v>
      </c>
    </row>
    <row r="630" spans="1:26">
      <c r="A630" s="58" t="s">
        <v>994</v>
      </c>
      <c r="B630" t="s">
        <v>38</v>
      </c>
      <c r="C630" s="60" t="str">
        <v>InterGlobe Aviation Ltd</v>
      </c>
      <c r="D630" s="61">
        <v>0.000221485760727044</v>
      </c>
      <c r="E630" s="62">
        <f t="shared" si="18"/>
        <v>0</v>
      </c>
      <c r="F630" s="60" t="str">
        <v>Industrials</v>
      </c>
      <c r="G630" s="62">
        <f t="shared" si="19"/>
        <v>0</v>
      </c>
      <c r="H630" s="60"/>
      <c r="J630" s="6"/>
      <c r="X630" s="60"/>
      <c r="Z630" s="58" t="s">
        <v>994</v>
      </c>
    </row>
    <row r="631" spans="1:26">
      <c r="A631" s="63" t="s">
        <v>1497</v>
      </c>
      <c r="B631" t="s">
        <v>38</v>
      </c>
      <c r="C631" s="60" t="str">
        <v>Ipca Laboratories Ltd</v>
      </c>
      <c r="D631" s="64">
        <v>0.000736705137371758</v>
      </c>
      <c r="E631" s="62">
        <f t="shared" si="18"/>
        <v>0</v>
      </c>
      <c r="F631" s="60" t="str">
        <v>Health Care</v>
      </c>
      <c r="G631" s="62">
        <f t="shared" si="19"/>
        <v>0</v>
      </c>
      <c r="H631" s="60"/>
      <c r="J631" s="6"/>
      <c r="X631" s="60"/>
      <c r="Z631" s="63" t="s">
        <v>1497</v>
      </c>
    </row>
    <row r="632" spans="1:26">
      <c r="A632" s="58" t="s">
        <v>997</v>
      </c>
      <c r="B632" t="s">
        <v>38</v>
      </c>
      <c r="C632" s="60" t="str">
        <v>ITC Ltd</v>
      </c>
      <c r="D632" s="61">
        <v>0.0444284214391836</v>
      </c>
      <c r="E632" s="62">
        <f t="shared" si="18"/>
        <v>0</v>
      </c>
      <c r="F632" s="60" t="str">
        <v>Consumer Staples</v>
      </c>
      <c r="G632" s="62">
        <f t="shared" si="19"/>
        <v>0</v>
      </c>
      <c r="H632" s="60"/>
      <c r="J632" s="6"/>
      <c r="X632" s="60"/>
      <c r="Z632" s="58" t="s">
        <v>997</v>
      </c>
    </row>
    <row r="633" spans="1:26">
      <c r="A633" s="63" t="s">
        <v>1383</v>
      </c>
      <c r="B633" t="s">
        <v>38</v>
      </c>
      <c r="C633" s="60" t="str">
        <v>Jindal Steel &amp; Power Ltd</v>
      </c>
      <c r="D633" s="64">
        <v>7.45403869884599e-6</v>
      </c>
      <c r="E633" s="62">
        <f t="shared" si="18"/>
        <v>0</v>
      </c>
      <c r="F633" s="60" t="str">
        <v>Materials</v>
      </c>
      <c r="G633" s="62">
        <f t="shared" si="19"/>
        <v>0</v>
      </c>
      <c r="H633" s="60"/>
      <c r="J633" s="6"/>
      <c r="X633" s="60"/>
      <c r="Z633" s="63" t="s">
        <v>1383</v>
      </c>
    </row>
    <row r="634" spans="1:26">
      <c r="A634" s="58" t="s">
        <v>1500</v>
      </c>
      <c r="B634" t="s">
        <v>38</v>
      </c>
      <c r="C634" s="60" t="str">
        <v>Jio Financial Services Ltd</v>
      </c>
      <c r="D634" s="61">
        <v>0.00146577350439964</v>
      </c>
      <c r="E634" s="62">
        <f t="shared" si="18"/>
        <v>0</v>
      </c>
      <c r="F634" s="60" t="str">
        <v>Financials</v>
      </c>
      <c r="G634" s="62">
        <f t="shared" si="19"/>
        <v>0</v>
      </c>
      <c r="H634" s="60"/>
      <c r="J634" s="6"/>
      <c r="X634" s="60"/>
      <c r="Z634" s="58" t="s">
        <v>1500</v>
      </c>
    </row>
    <row r="635" spans="1:26">
      <c r="A635" s="63" t="s">
        <v>1503</v>
      </c>
      <c r="B635" t="s">
        <v>38</v>
      </c>
      <c r="C635" s="60" t="str">
        <v>JSW Steel Ltd</v>
      </c>
      <c r="D635" s="64">
        <v>2.49856834831995e-5</v>
      </c>
      <c r="E635" s="62">
        <f t="shared" si="18"/>
        <v>0</v>
      </c>
      <c r="F635" s="60" t="str">
        <v>Materials</v>
      </c>
      <c r="G635" s="62">
        <f t="shared" si="19"/>
        <v>0</v>
      </c>
      <c r="H635" s="60"/>
      <c r="J635" s="6"/>
      <c r="X635" s="60"/>
      <c r="Z635" s="63" t="s">
        <v>1503</v>
      </c>
    </row>
    <row r="636" spans="1:26">
      <c r="A636" s="58" t="s">
        <v>1008</v>
      </c>
      <c r="B636" t="s">
        <v>38</v>
      </c>
      <c r="C636" s="60" t="str">
        <v>Kotak Mahindra Bank Ltd</v>
      </c>
      <c r="D636" s="61">
        <v>0.0384155404383519</v>
      </c>
      <c r="E636" s="62">
        <f t="shared" si="18"/>
        <v>0</v>
      </c>
      <c r="F636" s="60" t="str">
        <v>Financials</v>
      </c>
      <c r="G636" s="62">
        <f t="shared" si="19"/>
        <v>0</v>
      </c>
      <c r="H636" s="60"/>
      <c r="J636" s="6"/>
      <c r="X636" s="60"/>
      <c r="Z636" s="58" t="s">
        <v>1008</v>
      </c>
    </row>
    <row r="637" spans="1:26">
      <c r="A637" s="63" t="s">
        <v>1011</v>
      </c>
      <c r="B637" t="s">
        <v>38</v>
      </c>
      <c r="C637" s="60" t="str">
        <v>Larsen &amp; Toubro Ltd</v>
      </c>
      <c r="D637" s="64">
        <v>0.000955023549584892</v>
      </c>
      <c r="E637" s="62">
        <f t="shared" si="18"/>
        <v>0</v>
      </c>
      <c r="F637" s="60" t="str">
        <v>Industrials</v>
      </c>
      <c r="G637" s="62">
        <f t="shared" si="19"/>
        <v>0</v>
      </c>
      <c r="H637" s="60"/>
      <c r="J637" s="6"/>
      <c r="X637" s="60"/>
      <c r="Z637" s="63" t="s">
        <v>1011</v>
      </c>
    </row>
    <row r="638" spans="1:26">
      <c r="A638" s="58" t="s">
        <v>1208</v>
      </c>
      <c r="B638" t="s">
        <v>38</v>
      </c>
      <c r="C638" s="60" t="str">
        <v>LIC Housing Finance Ltd</v>
      </c>
      <c r="D638" s="61">
        <v>3.20751416535492e-5</v>
      </c>
      <c r="E638" s="62">
        <f t="shared" si="18"/>
        <v>0</v>
      </c>
      <c r="F638" s="60" t="str">
        <v>Financials</v>
      </c>
      <c r="G638" s="62">
        <f t="shared" si="19"/>
        <v>0</v>
      </c>
      <c r="H638" s="60"/>
      <c r="J638" s="6"/>
      <c r="X638" s="60"/>
      <c r="Z638" s="58" t="s">
        <v>1208</v>
      </c>
    </row>
    <row r="639" spans="1:26">
      <c r="A639" s="63" t="s">
        <v>1014</v>
      </c>
      <c r="B639" t="s">
        <v>38</v>
      </c>
      <c r="C639" s="60" t="str">
        <v>Lupin Ltd</v>
      </c>
      <c r="D639" s="64">
        <v>0.000204820987804636</v>
      </c>
      <c r="E639" s="62">
        <f t="shared" si="18"/>
        <v>0</v>
      </c>
      <c r="F639" s="60" t="str">
        <v>Health Care</v>
      </c>
      <c r="G639" s="62">
        <f t="shared" si="19"/>
        <v>0</v>
      </c>
      <c r="H639" s="60"/>
      <c r="J639" s="6"/>
      <c r="X639" s="60"/>
      <c r="Z639" s="63" t="s">
        <v>1014</v>
      </c>
    </row>
    <row r="640" spans="1:26">
      <c r="A640" s="58" t="s">
        <v>1505</v>
      </c>
      <c r="B640" t="s">
        <v>38</v>
      </c>
      <c r="C640" s="60" t="str">
        <v>Mahanagar Gas Ltd</v>
      </c>
      <c r="D640" s="61">
        <v>0</v>
      </c>
      <c r="E640" s="62">
        <f t="shared" ref="E640:E700" si="20">_xlfn.IFNA(D640*VLOOKUP($B640,$AK$1:$AM$34,3,FALSE),0)</f>
        <v>0</v>
      </c>
      <c r="F640" s="60" t="str">
        <v>Utilities</v>
      </c>
      <c r="G640" s="62">
        <f t="shared" ref="G640:G700" si="21">_xlfn.IFNA(D640*VLOOKUP($B640,$AK$1:$AM$34,3,FALSE),0)</f>
        <v>0</v>
      </c>
      <c r="H640" s="60"/>
      <c r="J640" s="6"/>
      <c r="X640" s="60"/>
      <c r="Z640" s="58" t="s">
        <v>1505</v>
      </c>
    </row>
    <row r="641" spans="1:26">
      <c r="A641" s="63" t="s">
        <v>1507</v>
      </c>
      <c r="B641" t="s">
        <v>38</v>
      </c>
      <c r="C641" s="60" t="str">
        <v>Maharashtra Scooters Ltd</v>
      </c>
      <c r="D641" s="64">
        <v>0.00113600203013975</v>
      </c>
      <c r="E641" s="62">
        <f t="shared" si="20"/>
        <v>0</v>
      </c>
      <c r="F641" s="60" t="str">
        <v>Financials</v>
      </c>
      <c r="G641" s="62">
        <f t="shared" si="21"/>
        <v>0</v>
      </c>
      <c r="H641" s="60"/>
      <c r="J641" s="6"/>
      <c r="X641" s="60"/>
      <c r="Z641" s="63" t="s">
        <v>1507</v>
      </c>
    </row>
    <row r="642" spans="1:26">
      <c r="A642" s="58" t="s">
        <v>1002</v>
      </c>
      <c r="B642" t="s">
        <v>38</v>
      </c>
      <c r="C642" s="60" t="str">
        <v>Mahindra &amp; Mahindra Ltd</v>
      </c>
      <c r="D642" s="61">
        <v>0.0348800176735928</v>
      </c>
      <c r="E642" s="62">
        <f t="shared" si="20"/>
        <v>0</v>
      </c>
      <c r="F642" s="60" t="str">
        <v>Consumer Discretionary</v>
      </c>
      <c r="G642" s="62">
        <f t="shared" si="21"/>
        <v>0</v>
      </c>
      <c r="H642" s="60"/>
      <c r="J642" s="6"/>
      <c r="X642" s="60"/>
      <c r="Z642" s="58" t="s">
        <v>1002</v>
      </c>
    </row>
    <row r="643" spans="1:26">
      <c r="A643" s="63" t="s">
        <v>1026</v>
      </c>
      <c r="B643" t="s">
        <v>38</v>
      </c>
      <c r="C643" s="60" t="str">
        <v>Maruti Suzuki India Ltd</v>
      </c>
      <c r="D643" s="64">
        <v>0.0336307573339953</v>
      </c>
      <c r="E643" s="62">
        <f t="shared" si="20"/>
        <v>0</v>
      </c>
      <c r="F643" s="60" t="str">
        <v>Consumer Discretionary</v>
      </c>
      <c r="G643" s="62">
        <f t="shared" si="21"/>
        <v>0</v>
      </c>
      <c r="H643" s="60"/>
      <c r="J643" s="6"/>
      <c r="X643" s="60"/>
      <c r="Z643" s="63" t="s">
        <v>1026</v>
      </c>
    </row>
    <row r="644" spans="1:26">
      <c r="A644" s="58" t="s">
        <v>1509</v>
      </c>
      <c r="B644" t="s">
        <v>38</v>
      </c>
      <c r="C644" s="60" t="str">
        <v>Motilal Oswal Financial Servic</v>
      </c>
      <c r="D644" s="61">
        <v>0</v>
      </c>
      <c r="E644" s="62">
        <f t="shared" si="20"/>
        <v>0</v>
      </c>
      <c r="F644" s="60" t="str">
        <v>Financials</v>
      </c>
      <c r="G644" s="62">
        <f t="shared" si="21"/>
        <v>0</v>
      </c>
      <c r="H644" s="60"/>
      <c r="J644" s="6"/>
      <c r="X644" s="60"/>
      <c r="Z644" s="58" t="s">
        <v>1509</v>
      </c>
    </row>
    <row r="645" spans="1:26">
      <c r="A645" s="63" t="s">
        <v>1017</v>
      </c>
      <c r="B645" t="s">
        <v>38</v>
      </c>
      <c r="C645" s="60" t="str">
        <v>Multi Commodity Exchange of In</v>
      </c>
      <c r="D645" s="64">
        <v>0.00541737710766111</v>
      </c>
      <c r="E645" s="62">
        <f t="shared" si="20"/>
        <v>0</v>
      </c>
      <c r="F645" s="60" t="str">
        <v>Financials</v>
      </c>
      <c r="G645" s="62">
        <f t="shared" si="21"/>
        <v>0</v>
      </c>
      <c r="H645" s="60"/>
      <c r="J645" s="6"/>
      <c r="X645" s="60"/>
      <c r="Z645" s="63" t="s">
        <v>1017</v>
      </c>
    </row>
    <row r="646" spans="1:26">
      <c r="A646" s="58" t="s">
        <v>1425</v>
      </c>
      <c r="B646" t="s">
        <v>38</v>
      </c>
      <c r="C646" s="60" t="str">
        <v>Narayana Hrudayalaya Ltd</v>
      </c>
      <c r="D646" s="61">
        <v>0.00337442142648064</v>
      </c>
      <c r="E646" s="62">
        <f t="shared" si="20"/>
        <v>0</v>
      </c>
      <c r="F646" s="60" t="str">
        <v>Health Care</v>
      </c>
      <c r="G646" s="62">
        <f t="shared" si="21"/>
        <v>0</v>
      </c>
      <c r="H646" s="60"/>
      <c r="J646" s="6"/>
      <c r="X646" s="60"/>
      <c r="Z646" s="58" t="s">
        <v>1425</v>
      </c>
    </row>
    <row r="647" spans="1:26">
      <c r="A647" s="63" t="s">
        <v>1511</v>
      </c>
      <c r="B647" t="s">
        <v>38</v>
      </c>
      <c r="C647" s="60" t="str">
        <v>NESCO Ltd</v>
      </c>
      <c r="D647" s="64">
        <v>0.000184599568515855</v>
      </c>
      <c r="E647" s="62">
        <f t="shared" si="20"/>
        <v>0</v>
      </c>
      <c r="F647" s="60" t="str">
        <v>Real Estate</v>
      </c>
      <c r="G647" s="62">
        <f t="shared" si="21"/>
        <v>0</v>
      </c>
      <c r="H647" s="60"/>
      <c r="J647" s="6"/>
      <c r="X647" s="60"/>
      <c r="Z647" s="63" t="s">
        <v>1511</v>
      </c>
    </row>
    <row r="648" spans="1:26">
      <c r="A648" s="58" t="s">
        <v>1239</v>
      </c>
      <c r="B648" t="s">
        <v>38</v>
      </c>
      <c r="C648" s="60" t="str">
        <v>NMDC Ltd</v>
      </c>
      <c r="D648" s="61">
        <v>8.77367897015164e-5</v>
      </c>
      <c r="E648" s="62">
        <f t="shared" si="20"/>
        <v>0</v>
      </c>
      <c r="F648" s="60" t="str">
        <v>Materials</v>
      </c>
      <c r="G648" s="62">
        <f t="shared" si="21"/>
        <v>0</v>
      </c>
      <c r="H648" s="60"/>
      <c r="J648" s="6"/>
      <c r="X648" s="60"/>
      <c r="Z648" s="58" t="s">
        <v>1239</v>
      </c>
    </row>
    <row r="649" spans="1:26">
      <c r="A649" s="63" t="s">
        <v>1028</v>
      </c>
      <c r="B649" t="s">
        <v>38</v>
      </c>
      <c r="C649" s="60" t="str">
        <v>NTPC Ltd</v>
      </c>
      <c r="D649" s="64">
        <v>0.000511639778477516</v>
      </c>
      <c r="E649" s="62">
        <f t="shared" si="20"/>
        <v>0</v>
      </c>
      <c r="F649" s="60" t="str">
        <v>Utilities</v>
      </c>
      <c r="G649" s="62">
        <f t="shared" si="21"/>
        <v>0</v>
      </c>
      <c r="H649" s="60"/>
      <c r="J649" s="6"/>
      <c r="X649" s="60"/>
      <c r="Z649" s="63" t="s">
        <v>1028</v>
      </c>
    </row>
    <row r="650" spans="1:26">
      <c r="A650" s="58" t="s">
        <v>1227</v>
      </c>
      <c r="B650" t="s">
        <v>38</v>
      </c>
      <c r="C650" s="60" t="str">
        <v>Oil &amp; Natural Gas Corp Ltd</v>
      </c>
      <c r="D650" s="61">
        <v>0.000185248398269959</v>
      </c>
      <c r="E650" s="62">
        <f t="shared" si="20"/>
        <v>0</v>
      </c>
      <c r="F650" s="60" t="str">
        <v>Energy</v>
      </c>
      <c r="G650" s="62">
        <f t="shared" si="21"/>
        <v>0</v>
      </c>
      <c r="H650" s="60"/>
      <c r="J650" s="6"/>
      <c r="X650" s="60"/>
      <c r="Z650" s="58" t="s">
        <v>1227</v>
      </c>
    </row>
    <row r="651" spans="1:26">
      <c r="A651" s="63" t="s">
        <v>1043</v>
      </c>
      <c r="B651" t="s">
        <v>38</v>
      </c>
      <c r="C651" s="60" t="str">
        <v>PI Industries Ltd</v>
      </c>
      <c r="D651" s="64">
        <v>1.83870407458862e-5</v>
      </c>
      <c r="E651" s="62">
        <f t="shared" si="20"/>
        <v>0</v>
      </c>
      <c r="F651" s="60" t="str">
        <v>Materials</v>
      </c>
      <c r="G651" s="62">
        <f t="shared" si="21"/>
        <v>0</v>
      </c>
      <c r="H651" s="60"/>
      <c r="J651" s="6"/>
      <c r="X651" s="60"/>
      <c r="Z651" s="63" t="s">
        <v>1043</v>
      </c>
    </row>
    <row r="652" spans="1:26">
      <c r="A652" s="58" t="s">
        <v>1232</v>
      </c>
      <c r="B652" t="s">
        <v>38</v>
      </c>
      <c r="C652" s="60" t="str">
        <v>Polycab India Ltd</v>
      </c>
      <c r="D652" s="61">
        <v>2.48382623009746e-5</v>
      </c>
      <c r="E652" s="62">
        <f t="shared" si="20"/>
        <v>0</v>
      </c>
      <c r="F652" s="60" t="str">
        <v>Industrials</v>
      </c>
      <c r="G652" s="62">
        <f t="shared" si="21"/>
        <v>0</v>
      </c>
      <c r="H652" s="60"/>
      <c r="J652" s="6"/>
      <c r="X652" s="60"/>
      <c r="Z652" s="58" t="s">
        <v>1232</v>
      </c>
    </row>
    <row r="653" spans="1:26">
      <c r="A653" s="63" t="s">
        <v>1059</v>
      </c>
      <c r="B653" t="s">
        <v>38</v>
      </c>
      <c r="C653" s="60" t="str">
        <v>Power Grid Corp of India Ltd</v>
      </c>
      <c r="D653" s="64">
        <v>0.0592855299493348</v>
      </c>
      <c r="E653" s="62">
        <f t="shared" si="20"/>
        <v>0</v>
      </c>
      <c r="F653" s="60" t="str">
        <v>Utilities</v>
      </c>
      <c r="G653" s="62">
        <f t="shared" si="21"/>
        <v>0</v>
      </c>
      <c r="H653" s="60"/>
      <c r="J653" s="6"/>
      <c r="X653" s="60"/>
      <c r="Z653" s="63" t="s">
        <v>1059</v>
      </c>
    </row>
    <row r="654" spans="1:26">
      <c r="A654" s="58" t="s">
        <v>1064</v>
      </c>
      <c r="B654" t="s">
        <v>38</v>
      </c>
      <c r="C654" s="60" t="str">
        <v>Punjab National Bank</v>
      </c>
      <c r="D654" s="61">
        <v>0.000252285311911641</v>
      </c>
      <c r="E654" s="62">
        <f t="shared" si="20"/>
        <v>0</v>
      </c>
      <c r="F654" s="60" t="str">
        <v>Financials</v>
      </c>
      <c r="G654" s="62">
        <f t="shared" si="21"/>
        <v>0</v>
      </c>
      <c r="H654" s="60"/>
      <c r="J654" s="6"/>
      <c r="X654" s="60"/>
      <c r="Z654" s="58" t="s">
        <v>1064</v>
      </c>
    </row>
    <row r="655" spans="1:26">
      <c r="A655" s="63" t="s">
        <v>1515</v>
      </c>
      <c r="B655" t="s">
        <v>38</v>
      </c>
      <c r="C655" s="60" t="str">
        <v>RBL Bank Ltd</v>
      </c>
      <c r="D655" s="64">
        <v>0.000484614915767134</v>
      </c>
      <c r="E655" s="62">
        <f t="shared" si="20"/>
        <v>0</v>
      </c>
      <c r="F655" s="60" t="str">
        <v>Financials</v>
      </c>
      <c r="G655" s="62">
        <f t="shared" si="21"/>
        <v>0</v>
      </c>
      <c r="H655" s="60"/>
      <c r="J655" s="6"/>
      <c r="X655" s="60"/>
      <c r="Z655" s="63" t="s">
        <v>1515</v>
      </c>
    </row>
    <row r="656" spans="1:26">
      <c r="A656" s="58" t="s">
        <v>1070</v>
      </c>
      <c r="B656" t="s">
        <v>38</v>
      </c>
      <c r="C656" s="60" t="str">
        <v>Reliance Industries Ltd</v>
      </c>
      <c r="D656" s="61">
        <v>0.00769341185727018</v>
      </c>
      <c r="E656" s="62">
        <f t="shared" si="20"/>
        <v>0</v>
      </c>
      <c r="F656" s="60" t="str">
        <v>Energy</v>
      </c>
      <c r="G656" s="62">
        <f t="shared" si="21"/>
        <v>0</v>
      </c>
      <c r="H656" s="60"/>
      <c r="J656" s="6"/>
      <c r="X656" s="60"/>
      <c r="Z656" s="58" t="s">
        <v>1070</v>
      </c>
    </row>
    <row r="657" spans="1:26">
      <c r="A657" s="63" t="s">
        <v>1077</v>
      </c>
      <c r="B657" t="s">
        <v>38</v>
      </c>
      <c r="C657" s="60" t="str">
        <v>State Bank of India</v>
      </c>
      <c r="D657" s="64">
        <v>3.32244972179615e-5</v>
      </c>
      <c r="E657" s="62">
        <f t="shared" si="20"/>
        <v>0</v>
      </c>
      <c r="F657" s="60" t="str">
        <v>Financials</v>
      </c>
      <c r="G657" s="62">
        <f t="shared" si="21"/>
        <v>0</v>
      </c>
      <c r="H657" s="60"/>
      <c r="J657" s="6"/>
      <c r="X657" s="60"/>
      <c r="Z657" s="63" t="s">
        <v>1077</v>
      </c>
    </row>
    <row r="658" spans="1:26">
      <c r="A658" s="58" t="s">
        <v>1459</v>
      </c>
      <c r="B658" t="s">
        <v>38</v>
      </c>
      <c r="C658" s="60" t="str">
        <v>Steel Authority of India Ltd</v>
      </c>
      <c r="D658" s="61">
        <v>0.000366380479338032</v>
      </c>
      <c r="E658" s="62">
        <f t="shared" si="20"/>
        <v>0</v>
      </c>
      <c r="F658" s="60" t="str">
        <v>Materials</v>
      </c>
      <c r="G658" s="62">
        <f t="shared" si="21"/>
        <v>0</v>
      </c>
      <c r="H658" s="60"/>
      <c r="J658" s="6"/>
      <c r="X658" s="60"/>
      <c r="Z658" s="58" t="s">
        <v>1459</v>
      </c>
    </row>
    <row r="659" spans="1:26">
      <c r="A659" s="63" t="s">
        <v>1080</v>
      </c>
      <c r="B659" t="s">
        <v>38</v>
      </c>
      <c r="C659" s="60" t="str">
        <v>Sun Pharmaceutical Industries</v>
      </c>
      <c r="D659" s="64">
        <v>0.000706072428123931</v>
      </c>
      <c r="E659" s="62">
        <f t="shared" si="20"/>
        <v>0</v>
      </c>
      <c r="F659" s="60" t="str">
        <v>Health Care</v>
      </c>
      <c r="G659" s="62">
        <f t="shared" si="21"/>
        <v>0</v>
      </c>
      <c r="H659" s="60"/>
      <c r="J659" s="6"/>
      <c r="X659" s="60"/>
      <c r="Z659" s="63" t="s">
        <v>1080</v>
      </c>
    </row>
    <row r="660" spans="1:26">
      <c r="A660" s="58" t="s">
        <v>1518</v>
      </c>
      <c r="B660" t="s">
        <v>38</v>
      </c>
      <c r="C660" s="60" t="str">
        <v>Swaraj Engines Ltd</v>
      </c>
      <c r="D660" s="61">
        <v>0.000175109881636107</v>
      </c>
      <c r="E660" s="62">
        <f t="shared" si="20"/>
        <v>0</v>
      </c>
      <c r="F660" s="60" t="str">
        <v>Industrials</v>
      </c>
      <c r="G660" s="62">
        <f t="shared" si="21"/>
        <v>0</v>
      </c>
      <c r="H660" s="60"/>
      <c r="J660" s="6"/>
      <c r="X660" s="60"/>
      <c r="Z660" s="58" t="s">
        <v>1518</v>
      </c>
    </row>
    <row r="661" spans="1:26">
      <c r="A661" s="63" t="s">
        <v>1089</v>
      </c>
      <c r="B661" t="s">
        <v>38</v>
      </c>
      <c r="C661" s="60" t="str">
        <v>Tata Chemicals Ltd</v>
      </c>
      <c r="D661" s="64">
        <v>6.65266774541013e-5</v>
      </c>
      <c r="E661" s="62">
        <f t="shared" si="20"/>
        <v>0</v>
      </c>
      <c r="F661" s="60" t="str">
        <v>Materials</v>
      </c>
      <c r="G661" s="62">
        <f t="shared" si="21"/>
        <v>0</v>
      </c>
      <c r="H661" s="60"/>
      <c r="J661" s="6"/>
      <c r="X661" s="60"/>
      <c r="Z661" s="63" t="s">
        <v>1089</v>
      </c>
    </row>
    <row r="662" spans="1:26">
      <c r="A662" s="58" t="s">
        <v>1271</v>
      </c>
      <c r="B662" t="s">
        <v>38</v>
      </c>
      <c r="C662" s="60" t="str">
        <v>Tata Communications Ltd</v>
      </c>
      <c r="D662" s="61">
        <v>0</v>
      </c>
      <c r="E662" s="62">
        <f t="shared" si="20"/>
        <v>0</v>
      </c>
      <c r="F662" s="60" t="str">
        <v>Communication Services</v>
      </c>
      <c r="G662" s="62">
        <f t="shared" si="21"/>
        <v>0</v>
      </c>
      <c r="H662" s="60"/>
      <c r="J662" s="6"/>
      <c r="X662" s="60"/>
      <c r="Z662" s="58" t="s">
        <v>1271</v>
      </c>
    </row>
    <row r="663" spans="1:26">
      <c r="A663" s="63" t="s">
        <v>1087</v>
      </c>
      <c r="B663" t="s">
        <v>38</v>
      </c>
      <c r="C663" s="60" t="str">
        <v>Tata Consultancy Services Ltd</v>
      </c>
      <c r="D663" s="64">
        <v>0.00153735487460476</v>
      </c>
      <c r="E663" s="62">
        <f t="shared" si="20"/>
        <v>0</v>
      </c>
      <c r="F663" s="60" t="str">
        <v>Information Technology</v>
      </c>
      <c r="G663" s="62">
        <f t="shared" si="21"/>
        <v>0</v>
      </c>
      <c r="H663" s="60"/>
      <c r="J663" s="6"/>
      <c r="X663" s="60"/>
      <c r="Z663" s="63" t="s">
        <v>1087</v>
      </c>
    </row>
    <row r="664" spans="1:26">
      <c r="A664" s="58" t="s">
        <v>1094</v>
      </c>
      <c r="B664" t="s">
        <v>38</v>
      </c>
      <c r="C664" s="60" t="str">
        <v>Tata Consumer Products Ltd</v>
      </c>
      <c r="D664" s="61">
        <v>0.000146938311646022</v>
      </c>
      <c r="E664" s="62">
        <f t="shared" si="20"/>
        <v>0</v>
      </c>
      <c r="F664" s="60" t="str">
        <v>Consumer Staples</v>
      </c>
      <c r="G664" s="62">
        <f t="shared" si="21"/>
        <v>0</v>
      </c>
      <c r="H664" s="60"/>
      <c r="J664" s="6"/>
      <c r="X664" s="60"/>
      <c r="Z664" s="58" t="s">
        <v>1094</v>
      </c>
    </row>
    <row r="665" spans="1:26">
      <c r="A665" s="63" t="s">
        <v>1090</v>
      </c>
      <c r="B665" t="s">
        <v>38</v>
      </c>
      <c r="C665" s="60" t="str">
        <v>Tata Motors Ltd</v>
      </c>
      <c r="D665" s="64">
        <v>0.00073413806672559</v>
      </c>
      <c r="E665" s="62">
        <f t="shared" si="20"/>
        <v>0</v>
      </c>
      <c r="F665" s="60" t="str">
        <v>Consumer Discretionary</v>
      </c>
      <c r="G665" s="62">
        <f t="shared" si="21"/>
        <v>0</v>
      </c>
      <c r="H665" s="60"/>
      <c r="J665" s="6"/>
      <c r="X665" s="60"/>
      <c r="Z665" s="63" t="s">
        <v>1090</v>
      </c>
    </row>
    <row r="666" spans="1:26">
      <c r="A666" s="58" t="s">
        <v>1099</v>
      </c>
      <c r="B666" t="s">
        <v>38</v>
      </c>
      <c r="C666" s="60" t="str">
        <v>Tata Power Co Ltd/The</v>
      </c>
      <c r="D666" s="61">
        <v>3.15657882275385e-5</v>
      </c>
      <c r="E666" s="62">
        <f t="shared" si="20"/>
        <v>0</v>
      </c>
      <c r="F666" s="60" t="str">
        <v>Utilities</v>
      </c>
      <c r="G666" s="62">
        <f t="shared" si="21"/>
        <v>0</v>
      </c>
      <c r="H666" s="60"/>
      <c r="J666" s="6"/>
      <c r="X666" s="60"/>
      <c r="Z666" s="58" t="s">
        <v>1099</v>
      </c>
    </row>
    <row r="667" spans="1:26">
      <c r="A667" s="63" t="s">
        <v>1092</v>
      </c>
      <c r="B667" t="s">
        <v>38</v>
      </c>
      <c r="C667" s="60" t="str">
        <v>Tata Steel Ltd</v>
      </c>
      <c r="D667" s="64">
        <v>5.82790361036373e-5</v>
      </c>
      <c r="E667" s="62">
        <f t="shared" si="20"/>
        <v>0</v>
      </c>
      <c r="F667" s="60" t="str">
        <v>Materials</v>
      </c>
      <c r="G667" s="62">
        <f t="shared" si="21"/>
        <v>0</v>
      </c>
      <c r="H667" s="60"/>
      <c r="J667" s="6"/>
      <c r="X667" s="60"/>
      <c r="Z667" s="63" t="s">
        <v>1092</v>
      </c>
    </row>
    <row r="668" spans="1:26">
      <c r="A668" s="58" t="s">
        <v>1095</v>
      </c>
      <c r="B668" t="s">
        <v>38</v>
      </c>
      <c r="C668" s="60" t="str">
        <v>Tech Mahindra Ltd</v>
      </c>
      <c r="D668" s="61">
        <v>4.57402907603867e-5</v>
      </c>
      <c r="E668" s="62">
        <f t="shared" si="20"/>
        <v>0</v>
      </c>
      <c r="F668" s="60" t="str">
        <v>Information Technology</v>
      </c>
      <c r="G668" s="62">
        <f t="shared" si="21"/>
        <v>0</v>
      </c>
      <c r="H668" s="60"/>
      <c r="J668" s="6"/>
      <c r="X668" s="60"/>
      <c r="Z668" s="58" t="s">
        <v>1095</v>
      </c>
    </row>
    <row r="669" spans="1:26">
      <c r="A669" s="63" t="s">
        <v>1100</v>
      </c>
      <c r="B669" t="s">
        <v>38</v>
      </c>
      <c r="C669" s="60" t="str">
        <v>Indian Hotels Co Ltd/The</v>
      </c>
      <c r="D669" s="64">
        <v>5.23124506505937e-6</v>
      </c>
      <c r="E669" s="62">
        <f t="shared" si="20"/>
        <v>0</v>
      </c>
      <c r="F669" s="60" t="str">
        <v>Consumer Discretionary</v>
      </c>
      <c r="G669" s="62">
        <f t="shared" si="21"/>
        <v>0</v>
      </c>
      <c r="H669" s="60"/>
      <c r="J669" s="6"/>
      <c r="X669" s="60"/>
      <c r="Z669" s="63" t="s">
        <v>1100</v>
      </c>
    </row>
    <row r="670" spans="1:26">
      <c r="A670" s="58" t="s">
        <v>1117</v>
      </c>
      <c r="B670" t="s">
        <v>38</v>
      </c>
      <c r="C670" s="60" t="str">
        <v>Titan Co Ltd</v>
      </c>
      <c r="D670" s="61">
        <v>6.05009469758537e-5</v>
      </c>
      <c r="E670" s="62">
        <f t="shared" si="20"/>
        <v>0</v>
      </c>
      <c r="F670" s="60" t="str">
        <v>Consumer Discretionary</v>
      </c>
      <c r="G670" s="62">
        <f t="shared" si="21"/>
        <v>0</v>
      </c>
      <c r="H670" s="60"/>
      <c r="J670" s="6"/>
      <c r="X670" s="60"/>
      <c r="Z670" s="58" t="s">
        <v>1117</v>
      </c>
    </row>
    <row r="671" spans="1:26">
      <c r="A671" s="63" t="s">
        <v>1112</v>
      </c>
      <c r="B671" t="s">
        <v>38</v>
      </c>
      <c r="C671" s="60" t="str">
        <v>United Spirits Ltd</v>
      </c>
      <c r="D671" s="64">
        <v>1.8926408065284e-6</v>
      </c>
      <c r="E671" s="62">
        <f t="shared" si="20"/>
        <v>0</v>
      </c>
      <c r="F671" s="60" t="str">
        <v>Consumer Staples</v>
      </c>
      <c r="G671" s="62">
        <f t="shared" si="21"/>
        <v>0</v>
      </c>
      <c r="H671" s="60"/>
      <c r="J671" s="6"/>
      <c r="X671" s="60"/>
      <c r="Z671" s="63" t="s">
        <v>1112</v>
      </c>
    </row>
    <row r="672" spans="1:26">
      <c r="A672" s="58" t="s">
        <v>1118</v>
      </c>
      <c r="B672" t="s">
        <v>38</v>
      </c>
      <c r="C672" s="60" t="str">
        <v>Varun Beverages Ltd</v>
      </c>
      <c r="D672" s="61">
        <v>0.000123890289809432</v>
      </c>
      <c r="E672" s="62">
        <f t="shared" si="20"/>
        <v>0</v>
      </c>
      <c r="F672" s="60" t="str">
        <v>Consumer Staples</v>
      </c>
      <c r="G672" s="62">
        <f t="shared" si="21"/>
        <v>0</v>
      </c>
      <c r="H672" s="60"/>
      <c r="J672" s="6"/>
      <c r="X672" s="60"/>
      <c r="Z672" s="58" t="s">
        <v>1118</v>
      </c>
    </row>
    <row r="673" spans="1:26">
      <c r="A673" s="63" t="s">
        <v>1281</v>
      </c>
      <c r="B673" t="s">
        <v>38</v>
      </c>
      <c r="C673" s="60" t="str">
        <v>Vedanta Ltd</v>
      </c>
      <c r="D673" s="64">
        <v>0.000112348182278947</v>
      </c>
      <c r="E673" s="62">
        <f t="shared" si="20"/>
        <v>0</v>
      </c>
      <c r="F673" s="60" t="str">
        <v>Materials</v>
      </c>
      <c r="G673" s="62">
        <f t="shared" si="21"/>
        <v>0</v>
      </c>
      <c r="H673" s="60"/>
      <c r="J673" s="6"/>
      <c r="X673" s="60"/>
      <c r="Z673" s="63" t="s">
        <v>1281</v>
      </c>
    </row>
    <row r="674" spans="1:26">
      <c r="A674" s="58" t="s">
        <v>1123</v>
      </c>
      <c r="B674" t="s">
        <v>38</v>
      </c>
      <c r="C674" s="60" t="str">
        <v>Zydus Lifesciences Ltd</v>
      </c>
      <c r="D674" s="61">
        <v>0.01238812768138</v>
      </c>
      <c r="E674" s="62">
        <f t="shared" si="20"/>
        <v>0</v>
      </c>
      <c r="F674" s="60" t="str">
        <v>Health Care</v>
      </c>
      <c r="G674" s="62">
        <f t="shared" si="21"/>
        <v>0</v>
      </c>
      <c r="H674" s="60"/>
      <c r="J674" s="6"/>
      <c r="X674" s="60"/>
      <c r="Z674" s="58" t="s">
        <v>1123</v>
      </c>
    </row>
    <row r="675" spans="1:26">
      <c r="A675" s="63" t="s">
        <v>1520</v>
      </c>
      <c r="B675" t="s">
        <v>38</v>
      </c>
      <c r="C675" s="60" t="str">
        <v>Zydus Wellness Ltd</v>
      </c>
      <c r="D675" s="64">
        <v>0.00788133060929002</v>
      </c>
      <c r="E675" s="62">
        <f t="shared" si="20"/>
        <v>0</v>
      </c>
      <c r="F675" s="60" t="str">
        <v>Consumer Staples</v>
      </c>
      <c r="G675" s="62">
        <f t="shared" si="21"/>
        <v>0</v>
      </c>
      <c r="H675" s="60"/>
      <c r="J675" s="6"/>
      <c r="X675" s="60"/>
      <c r="Z675" s="63" t="s">
        <v>1520</v>
      </c>
    </row>
    <row r="676" spans="1:26">
      <c r="A676" s="63" t="s">
        <v>1128</v>
      </c>
      <c r="B676" s="74" t="s">
        <v>35</v>
      </c>
      <c r="C676" s="60" t="str">
        <v>ACC Ltd</v>
      </c>
      <c r="D676" s="64">
        <v>0.00549761690489949</v>
      </c>
      <c r="E676" s="62">
        <f t="shared" si="20"/>
        <v>0</v>
      </c>
      <c r="F676" s="60" t="str">
        <v>Materials</v>
      </c>
      <c r="G676" s="62">
        <f t="shared" si="21"/>
        <v>0</v>
      </c>
      <c r="H676" s="60"/>
      <c r="J676" s="6"/>
      <c r="X676" s="60"/>
      <c r="Z676" s="63" t="s">
        <v>1128</v>
      </c>
    </row>
    <row r="677" spans="1:26">
      <c r="A677" s="58" t="s">
        <v>1185</v>
      </c>
      <c r="B677" s="74" t="s">
        <v>35</v>
      </c>
      <c r="C677" s="60" t="str">
        <v>Alkem Laboratories Ltd</v>
      </c>
      <c r="D677" s="61">
        <v>0.0107594914491517</v>
      </c>
      <c r="E677" s="62">
        <f t="shared" si="20"/>
        <v>0</v>
      </c>
      <c r="F677" s="60" t="str">
        <v>Health Care</v>
      </c>
      <c r="G677" s="62">
        <f t="shared" si="21"/>
        <v>0</v>
      </c>
      <c r="H677" s="60"/>
      <c r="J677" s="6"/>
      <c r="X677" s="60"/>
      <c r="Z677" s="58" t="s">
        <v>1185</v>
      </c>
    </row>
    <row r="678" spans="1:26">
      <c r="A678" s="63" t="s">
        <v>1522</v>
      </c>
      <c r="B678" s="74" t="s">
        <v>35</v>
      </c>
      <c r="C678" s="60" t="str">
        <v>Ashiana Housing Ltd</v>
      </c>
      <c r="D678" s="64">
        <v>0.00484513451828792</v>
      </c>
      <c r="E678" s="62">
        <f t="shared" si="20"/>
        <v>0</v>
      </c>
      <c r="F678" s="60" t="str">
        <v>Real Estate</v>
      </c>
      <c r="G678" s="62">
        <f t="shared" si="21"/>
        <v>0</v>
      </c>
      <c r="H678" s="60"/>
      <c r="J678" s="6"/>
      <c r="X678" s="60"/>
      <c r="Z678" s="63" t="s">
        <v>1522</v>
      </c>
    </row>
    <row r="679" spans="1:26">
      <c r="A679" s="58" t="s">
        <v>1137</v>
      </c>
      <c r="B679" s="74" t="s">
        <v>35</v>
      </c>
      <c r="C679" s="60" t="str">
        <v>Asian Paints Ltd</v>
      </c>
      <c r="D679" s="61">
        <v>0.0158219007000368</v>
      </c>
      <c r="E679" s="62">
        <f t="shared" si="20"/>
        <v>0</v>
      </c>
      <c r="F679" s="60" t="str">
        <v>Materials</v>
      </c>
      <c r="G679" s="62">
        <f t="shared" si="21"/>
        <v>0</v>
      </c>
      <c r="H679" s="60"/>
      <c r="J679" s="6"/>
      <c r="X679" s="60"/>
      <c r="Z679" s="58" t="s">
        <v>1137</v>
      </c>
    </row>
    <row r="680" spans="1:26">
      <c r="A680" s="63" t="s">
        <v>1524</v>
      </c>
      <c r="B680" s="74" t="s">
        <v>35</v>
      </c>
      <c r="C680" s="60" t="str">
        <v>Aster DM Healthcare Ltd</v>
      </c>
      <c r="D680" s="64">
        <v>0.0105649764173289</v>
      </c>
      <c r="E680" s="62">
        <f t="shared" si="20"/>
        <v>0</v>
      </c>
      <c r="F680" s="60" t="str">
        <v>Health Care</v>
      </c>
      <c r="G680" s="62">
        <f t="shared" si="21"/>
        <v>0</v>
      </c>
      <c r="H680" s="60"/>
      <c r="J680" s="6"/>
      <c r="X680" s="60"/>
      <c r="Z680" s="63" t="s">
        <v>1524</v>
      </c>
    </row>
    <row r="681" spans="1:26">
      <c r="A681" s="58" t="s">
        <v>1291</v>
      </c>
      <c r="B681" s="74" t="s">
        <v>35</v>
      </c>
      <c r="C681" s="60" t="str">
        <v>Aurobindo Pharma Ltd</v>
      </c>
      <c r="D681" s="61">
        <v>0.00125033936130345</v>
      </c>
      <c r="E681" s="62">
        <f t="shared" si="20"/>
        <v>0</v>
      </c>
      <c r="F681" s="60" t="str">
        <v>Health Care</v>
      </c>
      <c r="G681" s="62">
        <f t="shared" si="21"/>
        <v>0</v>
      </c>
      <c r="H681" s="60"/>
      <c r="J681" s="6"/>
      <c r="X681" s="60"/>
      <c r="Z681" s="58" t="s">
        <v>1291</v>
      </c>
    </row>
    <row r="682" spans="1:26">
      <c r="A682" s="63" t="s">
        <v>1526</v>
      </c>
      <c r="B682" s="74" t="s">
        <v>35</v>
      </c>
      <c r="C682" s="60" t="str">
        <v>Automotive Axles Ltd</v>
      </c>
      <c r="D682" s="64">
        <v>0.000800349084605474</v>
      </c>
      <c r="E682" s="62">
        <f t="shared" si="20"/>
        <v>0</v>
      </c>
      <c r="F682" s="60" t="str">
        <v>Consumer Discretionary</v>
      </c>
      <c r="G682" s="62">
        <f t="shared" si="21"/>
        <v>0</v>
      </c>
      <c r="H682" s="60"/>
      <c r="J682" s="6"/>
      <c r="X682" s="60"/>
      <c r="Z682" s="63" t="s">
        <v>1526</v>
      </c>
    </row>
    <row r="683" spans="1:26">
      <c r="A683" s="58" t="s">
        <v>879</v>
      </c>
      <c r="B683" s="74" t="s">
        <v>35</v>
      </c>
      <c r="C683" s="60" t="str">
        <v>Axis Bank Ltd</v>
      </c>
      <c r="D683" s="61">
        <v>0.0111608929065359</v>
      </c>
      <c r="E683" s="62">
        <f t="shared" si="20"/>
        <v>0</v>
      </c>
      <c r="F683" s="60" t="str">
        <v>Financials</v>
      </c>
      <c r="G683" s="62">
        <f t="shared" si="21"/>
        <v>0</v>
      </c>
      <c r="H683" s="60"/>
      <c r="J683" s="6"/>
      <c r="X683" s="60"/>
      <c r="Z683" s="58" t="s">
        <v>879</v>
      </c>
    </row>
    <row r="684" spans="1:26">
      <c r="A684" s="63" t="s">
        <v>875</v>
      </c>
      <c r="B684" s="74" t="s">
        <v>35</v>
      </c>
      <c r="C684" s="60" t="str">
        <v>Bajaj Auto Ltd</v>
      </c>
      <c r="D684" s="64">
        <v>0.00831554476869992</v>
      </c>
      <c r="E684" s="62">
        <f t="shared" si="20"/>
        <v>0</v>
      </c>
      <c r="F684" s="60" t="str">
        <v>Consumer Discretionary</v>
      </c>
      <c r="G684" s="62">
        <f t="shared" si="21"/>
        <v>0</v>
      </c>
      <c r="H684" s="60"/>
      <c r="J684" s="6"/>
      <c r="X684" s="60"/>
      <c r="Z684" s="63" t="s">
        <v>875</v>
      </c>
    </row>
    <row r="685" spans="1:26">
      <c r="A685" s="58" t="s">
        <v>1478</v>
      </c>
      <c r="B685" s="74" t="s">
        <v>35</v>
      </c>
      <c r="C685" s="60" t="str">
        <v>Bandhan Bank Ltd</v>
      </c>
      <c r="D685" s="61">
        <v>0.00545723521025439</v>
      </c>
      <c r="E685" s="62">
        <f t="shared" si="20"/>
        <v>0</v>
      </c>
      <c r="F685" s="60" t="str">
        <v>Financials</v>
      </c>
      <c r="G685" s="62">
        <f t="shared" si="21"/>
        <v>0</v>
      </c>
      <c r="H685" s="60"/>
      <c r="J685" s="6"/>
      <c r="X685" s="60"/>
      <c r="Z685" s="58" t="s">
        <v>1478</v>
      </c>
    </row>
    <row r="686" spans="1:26">
      <c r="A686" s="63" t="s">
        <v>1528</v>
      </c>
      <c r="B686" s="74" t="s">
        <v>35</v>
      </c>
      <c r="C686" s="60" t="str">
        <v>Bank of India</v>
      </c>
      <c r="D686" s="64">
        <v>0.00519342077693443</v>
      </c>
      <c r="E686" s="62">
        <f t="shared" si="20"/>
        <v>0</v>
      </c>
      <c r="F686" s="60" t="str">
        <v>Financials</v>
      </c>
      <c r="G686" s="62">
        <f t="shared" si="21"/>
        <v>0</v>
      </c>
      <c r="H686" s="60"/>
      <c r="J686" s="6"/>
      <c r="X686" s="60"/>
      <c r="Z686" s="63" t="s">
        <v>1528</v>
      </c>
    </row>
    <row r="687" spans="1:26">
      <c r="A687" s="58" t="s">
        <v>891</v>
      </c>
      <c r="B687" s="74" t="s">
        <v>35</v>
      </c>
      <c r="C687" s="60" t="str">
        <v>Bharti Airtel Ltd</v>
      </c>
      <c r="D687" s="61">
        <v>0.0128527257315856</v>
      </c>
      <c r="E687" s="62">
        <f t="shared" si="20"/>
        <v>0</v>
      </c>
      <c r="F687" s="60" t="str">
        <v>Communication Services</v>
      </c>
      <c r="G687" s="62">
        <f t="shared" si="21"/>
        <v>0</v>
      </c>
      <c r="H687" s="60"/>
      <c r="J687" s="6"/>
      <c r="X687" s="60"/>
      <c r="Z687" s="58" t="s">
        <v>891</v>
      </c>
    </row>
    <row r="688" spans="1:26">
      <c r="A688" s="63" t="s">
        <v>895</v>
      </c>
      <c r="B688" s="74" t="s">
        <v>35</v>
      </c>
      <c r="C688" s="60" t="str">
        <v>Biocon Ltd</v>
      </c>
      <c r="D688" s="64">
        <v>0.0239168968325279</v>
      </c>
      <c r="E688" s="62">
        <f t="shared" si="20"/>
        <v>0</v>
      </c>
      <c r="F688" s="60" t="str">
        <v>Health Care</v>
      </c>
      <c r="G688" s="62">
        <f t="shared" si="21"/>
        <v>0</v>
      </c>
      <c r="H688" s="60"/>
      <c r="J688" s="6"/>
      <c r="X688" s="60"/>
      <c r="Z688" s="63" t="s">
        <v>895</v>
      </c>
    </row>
    <row r="689" spans="1:26">
      <c r="A689" s="58" t="s">
        <v>905</v>
      </c>
      <c r="B689" s="74" t="s">
        <v>35</v>
      </c>
      <c r="C689" s="60" t="str">
        <v>Carborundum Universal Ltd</v>
      </c>
      <c r="D689" s="61">
        <v>0.00178193653141018</v>
      </c>
      <c r="E689" s="62">
        <f t="shared" si="20"/>
        <v>0</v>
      </c>
      <c r="F689" s="60" t="str">
        <v>Materials</v>
      </c>
      <c r="G689" s="62">
        <f t="shared" si="21"/>
        <v>0</v>
      </c>
      <c r="H689" s="60"/>
      <c r="J689" s="6"/>
      <c r="X689" s="60"/>
      <c r="Z689" s="58" t="s">
        <v>905</v>
      </c>
    </row>
    <row r="690" spans="1:26">
      <c r="A690" s="63" t="s">
        <v>1384</v>
      </c>
      <c r="B690" s="74" t="s">
        <v>35</v>
      </c>
      <c r="C690" s="60" t="str">
        <v>CESC Ltd</v>
      </c>
      <c r="D690" s="64">
        <v>0.00789054436654442</v>
      </c>
      <c r="E690" s="62">
        <f t="shared" si="20"/>
        <v>0</v>
      </c>
      <c r="F690" s="60" t="str">
        <v>Utilities</v>
      </c>
      <c r="G690" s="62">
        <f t="shared" si="21"/>
        <v>0</v>
      </c>
      <c r="H690" s="60"/>
      <c r="J690" s="6"/>
      <c r="X690" s="60"/>
      <c r="Z690" s="63" t="s">
        <v>1384</v>
      </c>
    </row>
    <row r="691" spans="1:26">
      <c r="A691" s="58" t="s">
        <v>914</v>
      </c>
      <c r="B691" s="74" t="s">
        <v>35</v>
      </c>
      <c r="C691" s="60" t="str">
        <v>Cipla Ltd/India</v>
      </c>
      <c r="D691" s="61">
        <v>0.0127057643094765</v>
      </c>
      <c r="E691" s="62">
        <f t="shared" si="20"/>
        <v>0</v>
      </c>
      <c r="F691" s="60" t="str">
        <v>Health Care</v>
      </c>
      <c r="G691" s="62">
        <f t="shared" si="21"/>
        <v>0</v>
      </c>
      <c r="H691" s="60"/>
      <c r="J691" s="6"/>
      <c r="X691" s="60"/>
      <c r="Z691" s="58" t="s">
        <v>914</v>
      </c>
    </row>
    <row r="692" spans="1:26">
      <c r="A692" s="63" t="s">
        <v>1197</v>
      </c>
      <c r="B692" s="74" t="s">
        <v>35</v>
      </c>
      <c r="C692" s="60" t="str">
        <v>Dabur India Ltd</v>
      </c>
      <c r="D692" s="64">
        <v>0.0192082182759635</v>
      </c>
      <c r="E692" s="62">
        <f t="shared" si="20"/>
        <v>0</v>
      </c>
      <c r="F692" s="60" t="str">
        <v>Consumer Staples</v>
      </c>
      <c r="G692" s="62">
        <f t="shared" si="21"/>
        <v>0</v>
      </c>
      <c r="H692" s="60"/>
      <c r="J692" s="6"/>
      <c r="X692" s="60"/>
      <c r="Z692" s="63" t="s">
        <v>1197</v>
      </c>
    </row>
    <row r="693" spans="1:26">
      <c r="A693" s="58" t="s">
        <v>1392</v>
      </c>
      <c r="B693" s="74" t="s">
        <v>35</v>
      </c>
      <c r="C693" s="60" t="str">
        <v>Delhivery Ltd</v>
      </c>
      <c r="D693" s="61">
        <v>0.00648197769100307</v>
      </c>
      <c r="E693" s="62">
        <f t="shared" si="20"/>
        <v>0</v>
      </c>
      <c r="F693" s="60" t="str">
        <v>Industrials</v>
      </c>
      <c r="G693" s="62">
        <f t="shared" si="21"/>
        <v>0</v>
      </c>
      <c r="H693" s="60"/>
      <c r="J693" s="6"/>
      <c r="X693" s="60"/>
      <c r="Z693" s="58" t="s">
        <v>1392</v>
      </c>
    </row>
    <row r="694" spans="1:26">
      <c r="A694" s="63" t="s">
        <v>1530</v>
      </c>
      <c r="B694" s="74" t="s">
        <v>35</v>
      </c>
      <c r="C694" s="60" t="str">
        <v>DISA India Ltd</v>
      </c>
      <c r="D694" s="64">
        <v>0.00349041791249669</v>
      </c>
      <c r="E694" s="62">
        <f t="shared" si="20"/>
        <v>0</v>
      </c>
      <c r="F694" s="60" t="str">
        <v>Industrials</v>
      </c>
      <c r="G694" s="62">
        <f t="shared" si="21"/>
        <v>0</v>
      </c>
      <c r="H694" s="60"/>
      <c r="J694" s="6"/>
      <c r="X694" s="60"/>
      <c r="Z694" s="63" t="s">
        <v>1530</v>
      </c>
    </row>
    <row r="695" spans="1:26">
      <c r="A695" s="58" t="s">
        <v>1482</v>
      </c>
      <c r="B695" s="74" t="s">
        <v>35</v>
      </c>
      <c r="C695" s="60" t="str">
        <v>EID Parry India Ltd</v>
      </c>
      <c r="D695" s="61">
        <v>0.00136209726682854</v>
      </c>
      <c r="E695" s="62">
        <f t="shared" si="20"/>
        <v>0</v>
      </c>
      <c r="F695" s="60" t="str">
        <v>Materials</v>
      </c>
      <c r="G695" s="62">
        <f t="shared" si="21"/>
        <v>0</v>
      </c>
      <c r="H695" s="60"/>
      <c r="J695" s="6"/>
      <c r="X695" s="60"/>
      <c r="Z695" s="58" t="s">
        <v>1482</v>
      </c>
    </row>
    <row r="696" spans="1:26">
      <c r="A696" s="63" t="s">
        <v>1532</v>
      </c>
      <c r="B696" s="74" t="s">
        <v>35</v>
      </c>
      <c r="C696" s="60" t="str">
        <v>Equitas Small Finance Bank Ltd</v>
      </c>
      <c r="D696" s="64">
        <v>0.00417840415427994</v>
      </c>
      <c r="E696" s="62">
        <f t="shared" si="20"/>
        <v>0</v>
      </c>
      <c r="F696" s="60" t="str">
        <v>Financials</v>
      </c>
      <c r="G696" s="62">
        <f t="shared" si="21"/>
        <v>0</v>
      </c>
      <c r="H696" s="60"/>
      <c r="J696" s="6"/>
      <c r="X696" s="60"/>
      <c r="Z696" s="63" t="s">
        <v>1532</v>
      </c>
    </row>
    <row r="697" spans="1:26">
      <c r="A697" s="58" t="s">
        <v>1168</v>
      </c>
      <c r="B697" s="74" t="s">
        <v>35</v>
      </c>
      <c r="C697" s="60" t="str">
        <v>FSN E-Commerce Ventures Ltd</v>
      </c>
      <c r="D697" s="61">
        <v>0.0099074266158233</v>
      </c>
      <c r="E697" s="62">
        <f t="shared" si="20"/>
        <v>0</v>
      </c>
      <c r="F697" s="60" t="str">
        <v>Consumer Discretionary</v>
      </c>
      <c r="G697" s="62">
        <f t="shared" si="21"/>
        <v>0</v>
      </c>
      <c r="H697" s="60"/>
      <c r="J697" s="6"/>
      <c r="X697" s="60"/>
      <c r="Z697" s="58" t="s">
        <v>1168</v>
      </c>
    </row>
    <row r="698" spans="1:26">
      <c r="A698" s="63" t="s">
        <v>942</v>
      </c>
      <c r="B698" s="74" t="s">
        <v>35</v>
      </c>
      <c r="C698" s="60" t="str">
        <v>GAIL India Ltd</v>
      </c>
      <c r="D698" s="64">
        <v>0.0196780479399346</v>
      </c>
      <c r="E698" s="62">
        <f t="shared" si="20"/>
        <v>0</v>
      </c>
      <c r="F698" s="60" t="str">
        <v>Utilities</v>
      </c>
      <c r="G698" s="62">
        <f t="shared" si="21"/>
        <v>0</v>
      </c>
      <c r="H698" s="60"/>
      <c r="J698" s="6"/>
      <c r="X698" s="60"/>
      <c r="Z698" s="63" t="s">
        <v>942</v>
      </c>
    </row>
    <row r="699" spans="1:26">
      <c r="A699" s="58" t="s">
        <v>1534</v>
      </c>
      <c r="B699" s="74" t="s">
        <v>35</v>
      </c>
      <c r="C699" s="60" t="str">
        <v>Gateway Distriparks Ltd</v>
      </c>
      <c r="D699" s="61">
        <v>0.00149906657323027</v>
      </c>
      <c r="E699" s="62">
        <f t="shared" si="20"/>
        <v>0</v>
      </c>
      <c r="F699" s="60" t="str">
        <v>Industrials</v>
      </c>
      <c r="G699" s="62">
        <f t="shared" si="21"/>
        <v>0</v>
      </c>
      <c r="H699" s="60"/>
      <c r="J699" s="6"/>
      <c r="X699" s="60"/>
      <c r="Z699" s="58" t="s">
        <v>1534</v>
      </c>
    </row>
    <row r="700" spans="1:26">
      <c r="A700" s="63" t="s">
        <v>1206</v>
      </c>
      <c r="B700" s="74" t="s">
        <v>35</v>
      </c>
      <c r="C700" s="60" t="str">
        <v>Gland Pharma Ltd</v>
      </c>
      <c r="D700" s="64">
        <v>0.00357580992413439</v>
      </c>
      <c r="E700" s="62">
        <f t="shared" si="20"/>
        <v>0</v>
      </c>
      <c r="F700" s="60" t="str">
        <v>Health Care</v>
      </c>
      <c r="G700" s="62">
        <f t="shared" si="21"/>
        <v>0</v>
      </c>
      <c r="H700" s="60"/>
      <c r="J700" s="6"/>
      <c r="X700" s="60"/>
      <c r="Z700" s="63" t="s">
        <v>1206</v>
      </c>
    </row>
    <row r="701" spans="1:26">
      <c r="A701" s="58" t="s">
        <v>1536</v>
      </c>
      <c r="B701" s="74" t="s">
        <v>35</v>
      </c>
      <c r="C701" s="60" t="str">
        <v>G R Infraprojects Ltd</v>
      </c>
      <c r="D701" s="61">
        <v>0.0046856440779331</v>
      </c>
      <c r="E701" s="62">
        <f t="shared" ref="E701:E764" si="22">_xlfn.IFNA(D701*VLOOKUP($B701,$AK$1:$AM$34,3,FALSE),0)</f>
        <v>0</v>
      </c>
      <c r="F701" s="60" t="str">
        <v>Industrials</v>
      </c>
      <c r="G701" s="62">
        <f t="shared" ref="G701:G764" si="23">_xlfn.IFNA(D701*VLOOKUP($B701,$AK$1:$AM$34,3,FALSE),0)</f>
        <v>0</v>
      </c>
      <c r="H701" s="60"/>
      <c r="J701" s="6"/>
      <c r="X701" s="60"/>
      <c r="Z701" s="58" t="s">
        <v>1536</v>
      </c>
    </row>
    <row r="702" spans="1:26">
      <c r="A702" s="63" t="s">
        <v>1170</v>
      </c>
      <c r="B702" s="74" t="s">
        <v>35</v>
      </c>
      <c r="C702" s="60" t="str">
        <v>Grasim Industries Ltd</v>
      </c>
      <c r="D702" s="64">
        <v>0.00652617219466889</v>
      </c>
      <c r="E702" s="62">
        <f t="shared" si="22"/>
        <v>0</v>
      </c>
      <c r="F702" s="60" t="str">
        <v>Materials</v>
      </c>
      <c r="G702" s="62">
        <f t="shared" si="23"/>
        <v>0</v>
      </c>
      <c r="H702" s="60"/>
      <c r="J702" s="6"/>
      <c r="X702" s="60"/>
      <c r="Z702" s="63" t="s">
        <v>1170</v>
      </c>
    </row>
    <row r="703" spans="1:26">
      <c r="A703" s="58" t="s">
        <v>1538</v>
      </c>
      <c r="B703" s="74" t="s">
        <v>35</v>
      </c>
      <c r="C703" s="60" t="str">
        <v>Greenply Industries Ltd</v>
      </c>
      <c r="D703" s="61">
        <v>0.000927211252010948</v>
      </c>
      <c r="E703" s="62">
        <f t="shared" si="22"/>
        <v>0</v>
      </c>
      <c r="F703" s="60" t="str">
        <v>Materials</v>
      </c>
      <c r="G703" s="62">
        <f t="shared" si="23"/>
        <v>0</v>
      </c>
      <c r="H703" s="60"/>
      <c r="J703" s="6"/>
      <c r="X703" s="60"/>
      <c r="Z703" s="58" t="s">
        <v>1538</v>
      </c>
    </row>
    <row r="704" spans="1:26">
      <c r="A704" s="63" t="s">
        <v>1540</v>
      </c>
      <c r="B704" s="74" t="s">
        <v>35</v>
      </c>
      <c r="C704" s="60" t="str">
        <v>Grindwell Norton Ltd</v>
      </c>
      <c r="D704" s="64">
        <v>0.00261391489040036</v>
      </c>
      <c r="E704" s="62">
        <f t="shared" si="22"/>
        <v>0</v>
      </c>
      <c r="F704" s="60" t="str">
        <v>Industrials</v>
      </c>
      <c r="G704" s="62">
        <f t="shared" si="23"/>
        <v>0</v>
      </c>
      <c r="H704" s="60"/>
      <c r="J704" s="6"/>
      <c r="X704" s="60"/>
      <c r="Z704" s="63" t="s">
        <v>1540</v>
      </c>
    </row>
    <row r="705" spans="1:26">
      <c r="A705" s="58" t="s">
        <v>955</v>
      </c>
      <c r="B705" s="74" t="s">
        <v>35</v>
      </c>
      <c r="C705" s="60" t="str">
        <v>HCL Technologies Ltd</v>
      </c>
      <c r="D705" s="61">
        <v>0.0110251143041803</v>
      </c>
      <c r="E705" s="62">
        <f t="shared" si="22"/>
        <v>0</v>
      </c>
      <c r="F705" s="60" t="str">
        <v>Information Technology</v>
      </c>
      <c r="G705" s="62">
        <f t="shared" si="23"/>
        <v>0</v>
      </c>
      <c r="H705" s="60"/>
      <c r="J705" s="6"/>
      <c r="X705" s="60"/>
      <c r="Z705" s="58" t="s">
        <v>955</v>
      </c>
    </row>
    <row r="706" spans="1:26">
      <c r="A706" s="63" t="s">
        <v>958</v>
      </c>
      <c r="B706" s="74" t="s">
        <v>35</v>
      </c>
      <c r="C706" s="60" t="str">
        <v>HDB Financial Services Ltd</v>
      </c>
      <c r="D706" s="64">
        <v>0.000600704866122434</v>
      </c>
      <c r="E706" s="62">
        <f t="shared" si="22"/>
        <v>0</v>
      </c>
      <c r="F706" s="60" t="str">
        <v>Financials</v>
      </c>
      <c r="G706" s="62">
        <f t="shared" si="23"/>
        <v>0</v>
      </c>
      <c r="H706" s="60"/>
      <c r="J706" s="6"/>
      <c r="X706" s="60"/>
      <c r="Z706" s="63" t="s">
        <v>958</v>
      </c>
    </row>
    <row r="707" spans="1:26">
      <c r="A707" s="58" t="s">
        <v>962</v>
      </c>
      <c r="B707" s="74" t="s">
        <v>35</v>
      </c>
      <c r="C707" s="60" t="str">
        <v>HDFC Asset Management Co Ltd</v>
      </c>
      <c r="D707" s="61">
        <v>0.00755809937085158</v>
      </c>
      <c r="E707" s="62">
        <f t="shared" si="22"/>
        <v>0</v>
      </c>
      <c r="F707" s="60" t="str">
        <v>Financials</v>
      </c>
      <c r="G707" s="62">
        <f t="shared" si="23"/>
        <v>0</v>
      </c>
      <c r="H707" s="60"/>
      <c r="J707" s="6"/>
      <c r="X707" s="60"/>
      <c r="Z707" s="58" t="s">
        <v>962</v>
      </c>
    </row>
    <row r="708" spans="1:26">
      <c r="A708" s="63" t="s">
        <v>960</v>
      </c>
      <c r="B708" s="74" t="s">
        <v>35</v>
      </c>
      <c r="C708" s="60" t="str">
        <v>HDFC Bank Ltd</v>
      </c>
      <c r="D708" s="64">
        <v>0.0869434329779233</v>
      </c>
      <c r="E708" s="62">
        <f t="shared" si="22"/>
        <v>0</v>
      </c>
      <c r="F708" s="60" t="str">
        <v>Financials</v>
      </c>
      <c r="G708" s="62">
        <f t="shared" si="23"/>
        <v>0</v>
      </c>
      <c r="H708" s="60"/>
      <c r="J708" s="6"/>
      <c r="X708" s="60"/>
      <c r="Z708" s="63" t="s">
        <v>960</v>
      </c>
    </row>
    <row r="709" spans="1:26">
      <c r="A709" s="58" t="s">
        <v>965</v>
      </c>
      <c r="B709" s="74" t="s">
        <v>35</v>
      </c>
      <c r="C709" s="60" t="str">
        <v>Hero MotoCorp Ltd</v>
      </c>
      <c r="D709" s="61">
        <v>0.00407283407568512</v>
      </c>
      <c r="E709" s="62">
        <f t="shared" si="22"/>
        <v>0</v>
      </c>
      <c r="F709" s="60" t="str">
        <v>Consumer Discretionary</v>
      </c>
      <c r="G709" s="62">
        <f t="shared" si="23"/>
        <v>0</v>
      </c>
      <c r="H709" s="60"/>
      <c r="J709" s="6"/>
      <c r="X709" s="60"/>
      <c r="Z709" s="58" t="s">
        <v>965</v>
      </c>
    </row>
    <row r="710" spans="1:26">
      <c r="A710" s="63" t="s">
        <v>967</v>
      </c>
      <c r="B710" s="74" t="s">
        <v>35</v>
      </c>
      <c r="C710" s="60" t="str">
        <v>Hindalco Industries Ltd</v>
      </c>
      <c r="D710" s="64">
        <v>0.0116686035736492</v>
      </c>
      <c r="E710" s="62">
        <f t="shared" si="22"/>
        <v>0</v>
      </c>
      <c r="F710" s="60" t="str">
        <v>Materials</v>
      </c>
      <c r="G710" s="62">
        <f t="shared" si="23"/>
        <v>0</v>
      </c>
      <c r="H710" s="60"/>
      <c r="J710" s="6"/>
      <c r="X710" s="60"/>
      <c r="Z710" s="63" t="s">
        <v>967</v>
      </c>
    </row>
    <row r="711" spans="1:26">
      <c r="A711" s="58" t="s">
        <v>972</v>
      </c>
      <c r="B711" s="74" t="s">
        <v>35</v>
      </c>
      <c r="C711" s="60" t="str">
        <v>ICICI Bank Ltd</v>
      </c>
      <c r="D711" s="61">
        <v>0.0166657839694275</v>
      </c>
      <c r="E711" s="62">
        <f t="shared" si="22"/>
        <v>0</v>
      </c>
      <c r="F711" s="60" t="str">
        <v>Financials</v>
      </c>
      <c r="G711" s="62">
        <f t="shared" si="23"/>
        <v>0</v>
      </c>
      <c r="H711" s="60"/>
      <c r="J711" s="6"/>
      <c r="X711" s="60"/>
      <c r="Z711" s="58" t="s">
        <v>972</v>
      </c>
    </row>
    <row r="712" spans="1:26">
      <c r="A712" s="63" t="s">
        <v>1188</v>
      </c>
      <c r="B712" s="74" t="s">
        <v>35</v>
      </c>
      <c r="C712" s="60" t="str">
        <v>ICICI Prudential Life Insuranc</v>
      </c>
      <c r="D712" s="64">
        <v>0.0115784956071669</v>
      </c>
      <c r="E712" s="62">
        <f t="shared" si="22"/>
        <v>0</v>
      </c>
      <c r="F712" s="60" t="str">
        <v>Financials</v>
      </c>
      <c r="G712" s="62">
        <f t="shared" si="23"/>
        <v>0</v>
      </c>
      <c r="H712" s="60"/>
      <c r="J712" s="6"/>
      <c r="X712" s="60"/>
      <c r="Z712" s="63" t="s">
        <v>1188</v>
      </c>
    </row>
    <row r="713" spans="1:26">
      <c r="A713" s="58" t="s">
        <v>982</v>
      </c>
      <c r="B713" s="74" t="s">
        <v>35</v>
      </c>
      <c r="C713" s="60" t="str">
        <v>Indian Energy Exchange Ltd</v>
      </c>
      <c r="D713" s="61">
        <v>0.00322002159097896</v>
      </c>
      <c r="E713" s="62">
        <f t="shared" si="22"/>
        <v>0</v>
      </c>
      <c r="F713" s="60" t="str">
        <v>Financials</v>
      </c>
      <c r="G713" s="62">
        <f t="shared" si="23"/>
        <v>0</v>
      </c>
      <c r="H713" s="60"/>
      <c r="J713" s="6"/>
      <c r="X713" s="60"/>
      <c r="Z713" s="58" t="s">
        <v>982</v>
      </c>
    </row>
    <row r="714" spans="1:26">
      <c r="A714" s="63" t="s">
        <v>1311</v>
      </c>
      <c r="B714" s="74" t="s">
        <v>35</v>
      </c>
      <c r="C714" s="60" t="str">
        <v>Indian Oil Corp Ltd</v>
      </c>
      <c r="D714" s="64">
        <v>0.0111818399254799</v>
      </c>
      <c r="E714" s="62">
        <f t="shared" si="22"/>
        <v>0</v>
      </c>
      <c r="F714" s="60" t="str">
        <v>Energy</v>
      </c>
      <c r="G714" s="62">
        <f t="shared" si="23"/>
        <v>0</v>
      </c>
      <c r="H714" s="60"/>
      <c r="J714" s="6"/>
      <c r="X714" s="60"/>
      <c r="Z714" s="63" t="s">
        <v>1311</v>
      </c>
    </row>
    <row r="715" spans="1:26">
      <c r="A715" s="58" t="s">
        <v>988</v>
      </c>
      <c r="B715" s="74" t="s">
        <v>35</v>
      </c>
      <c r="C715" s="60" t="str">
        <v>Indus Towers Ltd</v>
      </c>
      <c r="D715" s="61">
        <v>0.0153766306383053</v>
      </c>
      <c r="E715" s="62">
        <f t="shared" si="22"/>
        <v>0</v>
      </c>
      <c r="F715" s="60" t="str">
        <v>Communication Services</v>
      </c>
      <c r="G715" s="62">
        <f t="shared" si="23"/>
        <v>0</v>
      </c>
      <c r="H715" s="60"/>
      <c r="J715" s="6"/>
      <c r="X715" s="60"/>
      <c r="Z715" s="58" t="s">
        <v>988</v>
      </c>
    </row>
    <row r="716" spans="1:26">
      <c r="A716" s="63" t="s">
        <v>991</v>
      </c>
      <c r="B716" s="74" t="s">
        <v>35</v>
      </c>
      <c r="C716" s="60" t="str">
        <v>Infosys Ltd</v>
      </c>
      <c r="D716" s="64">
        <v>0.00967847701940339</v>
      </c>
      <c r="E716" s="62">
        <f t="shared" si="22"/>
        <v>0</v>
      </c>
      <c r="F716" s="60" t="str">
        <v>Information Technology</v>
      </c>
      <c r="G716" s="62">
        <f t="shared" si="23"/>
        <v>0</v>
      </c>
      <c r="H716" s="60"/>
      <c r="J716" s="6"/>
      <c r="X716" s="60"/>
      <c r="Z716" s="63" t="s">
        <v>991</v>
      </c>
    </row>
    <row r="717" spans="1:26">
      <c r="A717" s="58" t="s">
        <v>1542</v>
      </c>
      <c r="B717" s="74" t="s">
        <v>35</v>
      </c>
      <c r="C717" s="60" t="str">
        <v>Ingersoll Rand India Ltd</v>
      </c>
      <c r="D717" s="61">
        <v>0.00188926817037379</v>
      </c>
      <c r="E717" s="62">
        <f t="shared" si="22"/>
        <v>0</v>
      </c>
      <c r="F717" s="60" t="str">
        <v>Industrials</v>
      </c>
      <c r="G717" s="62">
        <f t="shared" si="23"/>
        <v>0</v>
      </c>
      <c r="H717" s="60"/>
      <c r="J717" s="6"/>
      <c r="X717" s="60"/>
      <c r="Z717" s="58" t="s">
        <v>1542</v>
      </c>
    </row>
    <row r="718" spans="1:26">
      <c r="A718" s="63" t="s">
        <v>997</v>
      </c>
      <c r="B718" s="74" t="s">
        <v>35</v>
      </c>
      <c r="C718" s="60" t="str">
        <v>ITC Ltd</v>
      </c>
      <c r="D718" s="64">
        <v>0.0340169853271862</v>
      </c>
      <c r="E718" s="62">
        <f t="shared" si="22"/>
        <v>0</v>
      </c>
      <c r="F718" s="60" t="str">
        <v>Consumer Staples</v>
      </c>
      <c r="G718" s="62">
        <f t="shared" si="23"/>
        <v>0</v>
      </c>
      <c r="H718" s="60"/>
      <c r="J718" s="6"/>
      <c r="X718" s="60"/>
      <c r="Z718" s="63" t="s">
        <v>997</v>
      </c>
    </row>
    <row r="719" spans="1:26">
      <c r="A719" s="58" t="s">
        <v>981</v>
      </c>
      <c r="B719" s="74" t="s">
        <v>35</v>
      </c>
      <c r="C719" s="60" t="str">
        <v>KPR Mill Ltd</v>
      </c>
      <c r="D719" s="61">
        <v>0.00458003565824199</v>
      </c>
      <c r="E719" s="62">
        <f t="shared" si="22"/>
        <v>0</v>
      </c>
      <c r="F719" s="60" t="str">
        <v>Consumer Discretionary</v>
      </c>
      <c r="G719" s="62">
        <f t="shared" si="23"/>
        <v>0</v>
      </c>
      <c r="H719" s="60"/>
      <c r="J719" s="6"/>
      <c r="X719" s="60"/>
      <c r="Z719" s="58" t="s">
        <v>981</v>
      </c>
    </row>
    <row r="720" spans="1:26">
      <c r="A720" s="63" t="s">
        <v>1008</v>
      </c>
      <c r="B720" s="74" t="s">
        <v>35</v>
      </c>
      <c r="C720" s="60" t="str">
        <v>Kotak Mahindra Bank Ltd</v>
      </c>
      <c r="D720" s="64">
        <v>0.0269973568329832</v>
      </c>
      <c r="E720" s="62">
        <f t="shared" si="22"/>
        <v>0</v>
      </c>
      <c r="F720" s="60" t="str">
        <v>Financials</v>
      </c>
      <c r="G720" s="62">
        <f t="shared" si="23"/>
        <v>0</v>
      </c>
      <c r="H720" s="60"/>
      <c r="J720" s="6"/>
      <c r="X720" s="60"/>
      <c r="Z720" s="63" t="s">
        <v>1008</v>
      </c>
    </row>
    <row r="721" spans="1:26">
      <c r="A721" s="58" t="s">
        <v>1011</v>
      </c>
      <c r="B721" s="74" t="s">
        <v>35</v>
      </c>
      <c r="C721" s="60" t="str">
        <v>Larsen &amp; Toubro Ltd</v>
      </c>
      <c r="D721" s="61">
        <v>0.0077846973800319</v>
      </c>
      <c r="E721" s="62">
        <f t="shared" si="22"/>
        <v>0</v>
      </c>
      <c r="F721" s="60" t="str">
        <v>Industrials</v>
      </c>
      <c r="G721" s="62">
        <f t="shared" si="23"/>
        <v>0</v>
      </c>
      <c r="H721" s="60"/>
      <c r="J721" s="6"/>
      <c r="X721" s="60"/>
      <c r="Z721" s="58" t="s">
        <v>1011</v>
      </c>
    </row>
    <row r="722" spans="1:26">
      <c r="A722" s="63" t="s">
        <v>1313</v>
      </c>
      <c r="B722" s="74" t="s">
        <v>35</v>
      </c>
      <c r="C722" s="60" t="str">
        <v>Life Insurance Corp of India</v>
      </c>
      <c r="D722" s="64">
        <v>0.0059121800086184</v>
      </c>
      <c r="E722" s="62">
        <f t="shared" si="22"/>
        <v>0</v>
      </c>
      <c r="F722" s="60" t="str">
        <v>Financials</v>
      </c>
      <c r="G722" s="62">
        <f t="shared" si="23"/>
        <v>0</v>
      </c>
      <c r="H722" s="60"/>
      <c r="J722" s="6"/>
      <c r="X722" s="60"/>
      <c r="Z722" s="63" t="s">
        <v>1313</v>
      </c>
    </row>
    <row r="723" spans="1:26">
      <c r="A723" s="58" t="s">
        <v>1014</v>
      </c>
      <c r="B723" s="74" t="s">
        <v>35</v>
      </c>
      <c r="C723" s="60" t="str">
        <v>Lupin Ltd</v>
      </c>
      <c r="D723" s="61">
        <v>0.00408855605522808</v>
      </c>
      <c r="E723" s="62">
        <f t="shared" si="22"/>
        <v>0</v>
      </c>
      <c r="F723" s="60" t="str">
        <v>Health Care</v>
      </c>
      <c r="G723" s="62">
        <f t="shared" si="23"/>
        <v>0</v>
      </c>
      <c r="H723" s="60"/>
      <c r="J723" s="6"/>
      <c r="X723" s="60"/>
      <c r="Z723" s="58" t="s">
        <v>1014</v>
      </c>
    </row>
    <row r="724" spans="1:26">
      <c r="A724" s="63" t="s">
        <v>1018</v>
      </c>
      <c r="B724" s="74" t="s">
        <v>35</v>
      </c>
      <c r="C724" s="60" t="str">
        <v>Mahindra &amp; Mahindra Financial</v>
      </c>
      <c r="D724" s="64">
        <v>0.0108146855873331</v>
      </c>
      <c r="E724" s="62">
        <f t="shared" si="22"/>
        <v>0</v>
      </c>
      <c r="F724" s="60" t="str">
        <v>Financials</v>
      </c>
      <c r="G724" s="62">
        <f t="shared" si="23"/>
        <v>0</v>
      </c>
      <c r="H724" s="60"/>
      <c r="J724" s="6"/>
      <c r="X724" s="60"/>
      <c r="Z724" s="63" t="s">
        <v>1018</v>
      </c>
    </row>
    <row r="725" spans="1:26">
      <c r="A725" s="58" t="s">
        <v>1005</v>
      </c>
      <c r="B725" s="74" t="s">
        <v>35</v>
      </c>
      <c r="C725" s="60" t="str">
        <v>Mankind Pharma Ltd</v>
      </c>
      <c r="D725" s="61">
        <v>0.00726210610743332</v>
      </c>
      <c r="E725" s="62">
        <f t="shared" si="22"/>
        <v>0</v>
      </c>
      <c r="F725" s="60" t="str">
        <v>Health Care</v>
      </c>
      <c r="G725" s="62">
        <f t="shared" si="23"/>
        <v>0</v>
      </c>
      <c r="H725" s="60"/>
      <c r="J725" s="6"/>
      <c r="X725" s="60"/>
      <c r="Z725" s="58" t="s">
        <v>1005</v>
      </c>
    </row>
    <row r="726" spans="1:26">
      <c r="A726" s="63" t="s">
        <v>1026</v>
      </c>
      <c r="B726" s="74" t="s">
        <v>35</v>
      </c>
      <c r="C726" s="60" t="str">
        <v>Maruti Suzuki India Ltd</v>
      </c>
      <c r="D726" s="64">
        <v>0.0105667677985504</v>
      </c>
      <c r="E726" s="62">
        <f t="shared" si="22"/>
        <v>0</v>
      </c>
      <c r="F726" s="60" t="str">
        <v>Consumer Discretionary</v>
      </c>
      <c r="G726" s="62">
        <f t="shared" si="23"/>
        <v>0</v>
      </c>
      <c r="H726" s="60"/>
      <c r="J726" s="6"/>
      <c r="X726" s="60"/>
      <c r="Z726" s="63" t="s">
        <v>1026</v>
      </c>
    </row>
    <row r="727" spans="1:26">
      <c r="A727" s="58" t="s">
        <v>1219</v>
      </c>
      <c r="B727" s="74" t="s">
        <v>35</v>
      </c>
      <c r="C727" s="60" t="str">
        <v>Motherson Sumi Wiring India Lt</v>
      </c>
      <c r="D727" s="61">
        <v>0.0008366197617031</v>
      </c>
      <c r="E727" s="62">
        <f t="shared" si="22"/>
        <v>0</v>
      </c>
      <c r="F727" s="60" t="str">
        <v>Consumer Discretionary</v>
      </c>
      <c r="G727" s="62">
        <f t="shared" si="23"/>
        <v>0</v>
      </c>
      <c r="H727" s="60"/>
      <c r="J727" s="6"/>
      <c r="X727" s="60"/>
      <c r="Z727" s="58" t="s">
        <v>1219</v>
      </c>
    </row>
    <row r="728" spans="1:26">
      <c r="A728" s="63" t="s">
        <v>1544</v>
      </c>
      <c r="B728" s="74" t="s">
        <v>35</v>
      </c>
      <c r="C728" s="60" t="str">
        <v>Neogen Chemicals Ltd</v>
      </c>
      <c r="D728" s="64">
        <v>0.00265369377780922</v>
      </c>
      <c r="E728" s="62">
        <f t="shared" si="22"/>
        <v>0</v>
      </c>
      <c r="F728" s="60" t="str">
        <v>Materials</v>
      </c>
      <c r="G728" s="62">
        <f t="shared" si="23"/>
        <v>0</v>
      </c>
      <c r="H728" s="60"/>
      <c r="J728" s="6"/>
      <c r="X728" s="60"/>
      <c r="Z728" s="63" t="s">
        <v>1544</v>
      </c>
    </row>
    <row r="729" spans="1:26">
      <c r="A729" s="58" t="s">
        <v>1239</v>
      </c>
      <c r="B729" s="74" t="s">
        <v>35</v>
      </c>
      <c r="C729" s="60" t="str">
        <v>NMDC Ltd</v>
      </c>
      <c r="D729" s="61">
        <v>0.00430331092577423</v>
      </c>
      <c r="E729" s="62">
        <f t="shared" si="22"/>
        <v>0</v>
      </c>
      <c r="F729" s="60" t="str">
        <v>Materials</v>
      </c>
      <c r="G729" s="62">
        <f t="shared" si="23"/>
        <v>0</v>
      </c>
      <c r="H729" s="60"/>
      <c r="J729" s="6"/>
      <c r="X729" s="60"/>
      <c r="Z729" s="58" t="s">
        <v>1239</v>
      </c>
    </row>
    <row r="730" spans="1:26">
      <c r="A730" s="63" t="s">
        <v>1546</v>
      </c>
      <c r="B730" s="74" t="s">
        <v>35</v>
      </c>
      <c r="C730" s="60" t="str">
        <v>NMDC Steel Ltd</v>
      </c>
      <c r="D730" s="64">
        <v>0.000203028885261764</v>
      </c>
      <c r="E730" s="62">
        <f t="shared" si="22"/>
        <v>0</v>
      </c>
      <c r="F730" s="60" t="str">
        <v>Materials</v>
      </c>
      <c r="G730" s="62">
        <f t="shared" si="23"/>
        <v>0</v>
      </c>
      <c r="H730" s="60"/>
      <c r="J730" s="6"/>
      <c r="X730" s="60"/>
      <c r="Z730" s="63" t="s">
        <v>1546</v>
      </c>
    </row>
    <row r="731" spans="1:26">
      <c r="A731" s="58" t="s">
        <v>1242</v>
      </c>
      <c r="B731" s="74" t="s">
        <v>35</v>
      </c>
      <c r="C731" s="60" t="str">
        <v>Nuvoco Vistas Corp Ltd</v>
      </c>
      <c r="D731" s="61">
        <v>0.00767650732652341</v>
      </c>
      <c r="E731" s="62">
        <f t="shared" si="22"/>
        <v>0</v>
      </c>
      <c r="F731" s="60" t="str">
        <v>Materials</v>
      </c>
      <c r="G731" s="62">
        <f t="shared" si="23"/>
        <v>0</v>
      </c>
      <c r="H731" s="60"/>
      <c r="J731" s="6"/>
      <c r="X731" s="60"/>
      <c r="Z731" s="58" t="s">
        <v>1242</v>
      </c>
    </row>
    <row r="732" spans="1:26">
      <c r="A732" s="63" t="s">
        <v>1227</v>
      </c>
      <c r="B732" s="74" t="s">
        <v>35</v>
      </c>
      <c r="C732" s="60" t="str">
        <v>Oil &amp; Natural Gas Corp Ltd</v>
      </c>
      <c r="D732" s="64">
        <v>0.0122672252402061</v>
      </c>
      <c r="E732" s="62">
        <f t="shared" si="22"/>
        <v>0</v>
      </c>
      <c r="F732" s="60" t="str">
        <v>Energy</v>
      </c>
      <c r="G732" s="62">
        <f t="shared" si="23"/>
        <v>0</v>
      </c>
      <c r="H732" s="60"/>
      <c r="J732" s="6"/>
      <c r="X732" s="60"/>
      <c r="Z732" s="63" t="s">
        <v>1227</v>
      </c>
    </row>
    <row r="733" spans="1:26">
      <c r="A733" s="58" t="s">
        <v>1548</v>
      </c>
      <c r="B733" s="74" t="s">
        <v>35</v>
      </c>
      <c r="C733" s="60" t="str">
        <v>Petronet LNG Ltd</v>
      </c>
      <c r="D733" s="61">
        <v>0.0107271954657036</v>
      </c>
      <c r="E733" s="62">
        <f t="shared" si="22"/>
        <v>0</v>
      </c>
      <c r="F733" s="60" t="str">
        <v>Energy</v>
      </c>
      <c r="G733" s="62">
        <f t="shared" si="23"/>
        <v>0</v>
      </c>
      <c r="H733" s="60"/>
      <c r="J733" s="6"/>
      <c r="X733" s="60"/>
      <c r="Z733" s="58" t="s">
        <v>1548</v>
      </c>
    </row>
    <row r="734" spans="1:26">
      <c r="A734" s="63" t="s">
        <v>1550</v>
      </c>
      <c r="B734" s="74" t="s">
        <v>35</v>
      </c>
      <c r="C734" s="60" t="str">
        <v>Prism Johnson Ltd</v>
      </c>
      <c r="D734" s="64">
        <v>0.00313158785236831</v>
      </c>
      <c r="E734" s="62">
        <f t="shared" si="22"/>
        <v>0</v>
      </c>
      <c r="F734" s="60" t="str">
        <v>Materials</v>
      </c>
      <c r="G734" s="62">
        <f t="shared" si="23"/>
        <v>0</v>
      </c>
      <c r="H734" s="60"/>
      <c r="J734" s="6"/>
      <c r="X734" s="60"/>
      <c r="Z734" s="63" t="s">
        <v>1550</v>
      </c>
    </row>
    <row r="735" spans="1:26">
      <c r="A735" s="58" t="s">
        <v>1064</v>
      </c>
      <c r="B735" s="74" t="s">
        <v>35</v>
      </c>
      <c r="C735" s="60" t="str">
        <v>Punjab National Bank</v>
      </c>
      <c r="D735" s="61">
        <v>0.0225490697018637</v>
      </c>
      <c r="E735" s="62">
        <f t="shared" si="22"/>
        <v>0</v>
      </c>
      <c r="F735" s="60" t="str">
        <v>Financials</v>
      </c>
      <c r="G735" s="62">
        <f t="shared" si="23"/>
        <v>0</v>
      </c>
      <c r="H735" s="60"/>
      <c r="J735" s="6"/>
      <c r="X735" s="60"/>
      <c r="Z735" s="58" t="s">
        <v>1064</v>
      </c>
    </row>
    <row r="736" spans="1:26">
      <c r="A736" s="63" t="s">
        <v>1552</v>
      </c>
      <c r="B736" s="74" t="s">
        <v>35</v>
      </c>
      <c r="C736" s="60" t="str">
        <v>Rallis India Ltd</v>
      </c>
      <c r="D736" s="64">
        <v>0.00736069810650195</v>
      </c>
      <c r="E736" s="62">
        <f t="shared" si="22"/>
        <v>0</v>
      </c>
      <c r="F736" s="60" t="str">
        <v>Materials</v>
      </c>
      <c r="G736" s="62">
        <f t="shared" si="23"/>
        <v>0</v>
      </c>
      <c r="H736" s="60"/>
      <c r="J736" s="6"/>
      <c r="X736" s="60"/>
      <c r="Z736" s="63" t="s">
        <v>1552</v>
      </c>
    </row>
    <row r="737" spans="1:26">
      <c r="A737" s="58" t="s">
        <v>1070</v>
      </c>
      <c r="B737" s="74" t="s">
        <v>35</v>
      </c>
      <c r="C737" s="60" t="str">
        <v>Reliance Industries Ltd</v>
      </c>
      <c r="D737" s="61">
        <v>0.0583878705607315</v>
      </c>
      <c r="E737" s="62">
        <f t="shared" si="22"/>
        <v>0</v>
      </c>
      <c r="F737" s="60" t="str">
        <v>Energy</v>
      </c>
      <c r="G737" s="62">
        <f t="shared" si="23"/>
        <v>0</v>
      </c>
      <c r="H737" s="60"/>
      <c r="J737" s="6"/>
      <c r="X737" s="60"/>
      <c r="Z737" s="58" t="s">
        <v>1070</v>
      </c>
    </row>
    <row r="738" spans="1:26">
      <c r="A738" s="63" t="s">
        <v>1055</v>
      </c>
      <c r="B738" s="74" t="s">
        <v>35</v>
      </c>
      <c r="C738" s="60" t="str">
        <v>Samvardhana Motherson Internat</v>
      </c>
      <c r="D738" s="64">
        <v>0.00620934054541283</v>
      </c>
      <c r="E738" s="62">
        <f t="shared" si="22"/>
        <v>0</v>
      </c>
      <c r="F738" s="60" t="str">
        <v>Consumer Discretionary</v>
      </c>
      <c r="G738" s="62">
        <f t="shared" si="23"/>
        <v>0</v>
      </c>
      <c r="H738" s="60"/>
      <c r="J738" s="6"/>
      <c r="X738" s="60"/>
      <c r="Z738" s="63" t="s">
        <v>1055</v>
      </c>
    </row>
    <row r="739" spans="1:26">
      <c r="A739" s="58" t="s">
        <v>1443</v>
      </c>
      <c r="B739" s="74" t="s">
        <v>35</v>
      </c>
      <c r="C739" s="60" t="str">
        <v>Sanofi India Ltd</v>
      </c>
      <c r="D739" s="61">
        <v>0.00312145515264119</v>
      </c>
      <c r="E739" s="62">
        <f t="shared" si="22"/>
        <v>0</v>
      </c>
      <c r="F739" s="60" t="str">
        <v>Health Care</v>
      </c>
      <c r="G739" s="62">
        <f t="shared" si="23"/>
        <v>0</v>
      </c>
      <c r="H739" s="60"/>
      <c r="J739" s="6"/>
      <c r="X739" s="60"/>
      <c r="Z739" s="58" t="s">
        <v>1443</v>
      </c>
    </row>
    <row r="740" spans="1:26">
      <c r="A740" s="63" t="s">
        <v>1077</v>
      </c>
      <c r="B740" s="74" t="s">
        <v>35</v>
      </c>
      <c r="C740" s="60" t="str">
        <v>State Bank of India</v>
      </c>
      <c r="D740" s="64">
        <v>0.00848437978624685</v>
      </c>
      <c r="E740" s="62">
        <f t="shared" si="22"/>
        <v>0</v>
      </c>
      <c r="F740" s="60" t="str">
        <v>Financials</v>
      </c>
      <c r="G740" s="62">
        <f t="shared" si="23"/>
        <v>0</v>
      </c>
      <c r="H740" s="60"/>
      <c r="J740" s="6"/>
      <c r="X740" s="60"/>
      <c r="Z740" s="63" t="s">
        <v>1077</v>
      </c>
    </row>
    <row r="741" spans="1:26">
      <c r="A741" s="58" t="s">
        <v>1459</v>
      </c>
      <c r="B741" s="74" t="s">
        <v>35</v>
      </c>
      <c r="C741" s="60" t="str">
        <v>Steel Authority of India Ltd</v>
      </c>
      <c r="D741" s="61">
        <v>0.00273384796968047</v>
      </c>
      <c r="E741" s="62">
        <f t="shared" si="22"/>
        <v>0</v>
      </c>
      <c r="F741" s="60" t="str">
        <v>Materials</v>
      </c>
      <c r="G741" s="62">
        <f t="shared" si="23"/>
        <v>0</v>
      </c>
      <c r="H741" s="60"/>
      <c r="J741" s="6"/>
      <c r="X741" s="60"/>
      <c r="Z741" s="58" t="s">
        <v>1459</v>
      </c>
    </row>
    <row r="742" spans="1:26">
      <c r="A742" s="63" t="s">
        <v>1554</v>
      </c>
      <c r="B742" s="74" t="s">
        <v>35</v>
      </c>
      <c r="C742" s="60" t="str">
        <v>Sula Vineyards Ltd</v>
      </c>
      <c r="D742" s="64">
        <v>0.00124426655766208</v>
      </c>
      <c r="E742" s="62">
        <f t="shared" si="22"/>
        <v>0</v>
      </c>
      <c r="F742" s="60" t="str">
        <v>Consumer Staples</v>
      </c>
      <c r="G742" s="62">
        <f t="shared" si="23"/>
        <v>0</v>
      </c>
      <c r="H742" s="60"/>
      <c r="J742" s="6"/>
      <c r="X742" s="60"/>
      <c r="Z742" s="63" t="s">
        <v>1554</v>
      </c>
    </row>
    <row r="743" spans="1:26">
      <c r="A743" s="58" t="s">
        <v>1090</v>
      </c>
      <c r="B743" s="74" t="s">
        <v>35</v>
      </c>
      <c r="C743" s="60" t="str">
        <v>Tata Motors Ltd</v>
      </c>
      <c r="D743" s="61">
        <v>0.00793564840621686</v>
      </c>
      <c r="E743" s="62">
        <f t="shared" si="22"/>
        <v>0</v>
      </c>
      <c r="F743" s="60" t="str">
        <v>Consumer Discretionary</v>
      </c>
      <c r="G743" s="62">
        <f t="shared" si="23"/>
        <v>0</v>
      </c>
      <c r="H743" s="60"/>
      <c r="J743" s="6"/>
      <c r="X743" s="60"/>
      <c r="Z743" s="58" t="s">
        <v>1090</v>
      </c>
    </row>
    <row r="744" spans="1:26">
      <c r="A744" s="63" t="s">
        <v>1092</v>
      </c>
      <c r="B744" s="74" t="s">
        <v>35</v>
      </c>
      <c r="C744" s="60" t="str">
        <v>Tata Steel Ltd</v>
      </c>
      <c r="D744" s="64">
        <v>0.0195109595723301</v>
      </c>
      <c r="E744" s="62">
        <f t="shared" si="22"/>
        <v>0</v>
      </c>
      <c r="F744" s="60" t="str">
        <v>Materials</v>
      </c>
      <c r="G744" s="62">
        <f t="shared" si="23"/>
        <v>0</v>
      </c>
      <c r="H744" s="60"/>
      <c r="J744" s="6"/>
      <c r="X744" s="60"/>
      <c r="Z744" s="63" t="s">
        <v>1092</v>
      </c>
    </row>
    <row r="745" spans="1:26">
      <c r="A745" s="58" t="s">
        <v>1095</v>
      </c>
      <c r="B745" s="74" t="s">
        <v>35</v>
      </c>
      <c r="C745" s="60" t="str">
        <v>Tech Mahindra Ltd</v>
      </c>
      <c r="D745" s="61">
        <v>0.0130522613169625</v>
      </c>
      <c r="E745" s="62">
        <f t="shared" si="22"/>
        <v>0</v>
      </c>
      <c r="F745" s="60" t="str">
        <v>Information Technology</v>
      </c>
      <c r="G745" s="62">
        <f t="shared" si="23"/>
        <v>0</v>
      </c>
      <c r="H745" s="60"/>
      <c r="J745" s="6"/>
      <c r="X745" s="60"/>
      <c r="Z745" s="58" t="s">
        <v>1095</v>
      </c>
    </row>
    <row r="746" spans="1:26">
      <c r="A746" s="63" t="s">
        <v>1556</v>
      </c>
      <c r="B746" s="74" t="s">
        <v>35</v>
      </c>
      <c r="C746" s="60" t="str">
        <v>Ramco Cements Ltd/The</v>
      </c>
      <c r="D746" s="64">
        <v>0.00528300474843401</v>
      </c>
      <c r="E746" s="62">
        <f t="shared" si="22"/>
        <v>0</v>
      </c>
      <c r="F746" s="60" t="str">
        <v>Materials</v>
      </c>
      <c r="G746" s="62">
        <f t="shared" si="23"/>
        <v>0</v>
      </c>
      <c r="H746" s="60"/>
      <c r="J746" s="6"/>
      <c r="X746" s="60"/>
      <c r="Z746" s="63" t="s">
        <v>1556</v>
      </c>
    </row>
    <row r="747" spans="1:26">
      <c r="A747" s="58" t="s">
        <v>1457</v>
      </c>
      <c r="B747" s="74" t="s">
        <v>35</v>
      </c>
      <c r="C747" s="60" t="str">
        <v>Timken India Ltd</v>
      </c>
      <c r="D747" s="61">
        <v>0.00256149835163959</v>
      </c>
      <c r="E747" s="62">
        <f t="shared" si="22"/>
        <v>0</v>
      </c>
      <c r="F747" s="60" t="str">
        <v>Industrials</v>
      </c>
      <c r="G747" s="62">
        <f t="shared" si="23"/>
        <v>0</v>
      </c>
      <c r="H747" s="60"/>
      <c r="J747" s="6"/>
      <c r="X747" s="60"/>
      <c r="Z747" s="58" t="s">
        <v>1457</v>
      </c>
    </row>
    <row r="748" spans="1:26">
      <c r="A748" s="63" t="s">
        <v>1120</v>
      </c>
      <c r="B748" s="74" t="s">
        <v>35</v>
      </c>
      <c r="C748" s="60" t="str">
        <v>Torrent Power Ltd</v>
      </c>
      <c r="D748" s="64">
        <v>0.0180883856162747</v>
      </c>
      <c r="E748" s="62">
        <f t="shared" si="22"/>
        <v>0</v>
      </c>
      <c r="F748" s="60" t="str">
        <v>Utilities</v>
      </c>
      <c r="G748" s="62">
        <f t="shared" si="23"/>
        <v>0</v>
      </c>
      <c r="H748" s="60"/>
      <c r="J748" s="6"/>
      <c r="X748" s="60"/>
      <c r="Z748" s="63" t="s">
        <v>1120</v>
      </c>
    </row>
    <row r="749" spans="1:26">
      <c r="A749" s="58" t="s">
        <v>1112</v>
      </c>
      <c r="B749" s="74" t="s">
        <v>35</v>
      </c>
      <c r="C749" s="60" t="str">
        <v>United Spirits Ltd</v>
      </c>
      <c r="D749" s="61">
        <v>0.00838451827087858</v>
      </c>
      <c r="E749" s="62">
        <f t="shared" si="22"/>
        <v>0</v>
      </c>
      <c r="F749" s="60" t="str">
        <v>Consumer Staples</v>
      </c>
      <c r="G749" s="62">
        <f t="shared" si="23"/>
        <v>0</v>
      </c>
      <c r="H749" s="60"/>
      <c r="J749" s="6"/>
      <c r="X749" s="60"/>
      <c r="Z749" s="58" t="s">
        <v>1112</v>
      </c>
    </row>
    <row r="750" spans="1:26">
      <c r="A750" s="63" t="s">
        <v>1279</v>
      </c>
      <c r="B750" s="74" t="s">
        <v>35</v>
      </c>
      <c r="C750" s="60" t="str">
        <v>V-Guard Industries Ltd</v>
      </c>
      <c r="D750" s="64">
        <v>0.00220249788663877</v>
      </c>
      <c r="E750" s="62">
        <f t="shared" si="22"/>
        <v>0</v>
      </c>
      <c r="F750" s="60" t="str">
        <v>Industrials</v>
      </c>
      <c r="G750" s="62">
        <f t="shared" si="23"/>
        <v>0</v>
      </c>
      <c r="H750" s="60"/>
      <c r="J750" s="6"/>
      <c r="X750" s="60"/>
      <c r="Z750" s="63" t="s">
        <v>1279</v>
      </c>
    </row>
    <row r="751" spans="1:26">
      <c r="A751" s="58" t="s">
        <v>1558</v>
      </c>
      <c r="B751" s="74" t="s">
        <v>35</v>
      </c>
      <c r="C751" s="60" t="str">
        <v>Wendt India Ltd</v>
      </c>
      <c r="D751" s="61">
        <v>0.00246744977248223</v>
      </c>
      <c r="E751" s="62">
        <f t="shared" si="22"/>
        <v>0</v>
      </c>
      <c r="F751" s="60" t="str">
        <v>Industrials</v>
      </c>
      <c r="G751" s="62">
        <f t="shared" si="23"/>
        <v>0</v>
      </c>
      <c r="H751" s="60"/>
      <c r="J751" s="6"/>
      <c r="X751" s="60"/>
      <c r="Z751" s="58" t="s">
        <v>1558</v>
      </c>
    </row>
    <row r="752" spans="1:26">
      <c r="A752" s="63" t="s">
        <v>1474</v>
      </c>
      <c r="B752" s="74" t="s">
        <v>35</v>
      </c>
      <c r="C752" s="60" t="str">
        <v>Whirlpool of India Ltd</v>
      </c>
      <c r="D752" s="64">
        <v>0.0114848283089116</v>
      </c>
      <c r="E752" s="62">
        <f t="shared" si="22"/>
        <v>0</v>
      </c>
      <c r="F752" s="60" t="str">
        <v>Consumer Discretionary</v>
      </c>
      <c r="G752" s="62">
        <f t="shared" si="23"/>
        <v>0</v>
      </c>
      <c r="H752" s="60"/>
      <c r="J752" s="6"/>
      <c r="X752" s="60"/>
      <c r="Z752" s="63" t="s">
        <v>1474</v>
      </c>
    </row>
    <row r="753" spans="1:26">
      <c r="A753" s="58" t="s">
        <v>1323</v>
      </c>
      <c r="B753" s="74" t="s">
        <v>35</v>
      </c>
      <c r="C753" s="60" t="str">
        <v>Wipro Ltd</v>
      </c>
      <c r="D753" s="61">
        <v>0.00793341184226616</v>
      </c>
      <c r="E753" s="62">
        <f t="shared" si="22"/>
        <v>0</v>
      </c>
      <c r="F753" s="60" t="str">
        <v>Information Technology</v>
      </c>
      <c r="G753" s="62">
        <f t="shared" si="23"/>
        <v>0</v>
      </c>
      <c r="H753" s="60"/>
      <c r="J753" s="6"/>
      <c r="X753" s="60"/>
      <c r="Z753" s="58" t="s">
        <v>1323</v>
      </c>
    </row>
    <row r="754" spans="1:26">
      <c r="A754" s="63" t="s">
        <v>853</v>
      </c>
      <c r="B754" s="74" t="s">
        <v>26</v>
      </c>
      <c r="C754" s="60" t="str">
        <v>Abbott India Ltd</v>
      </c>
      <c r="D754" s="64">
        <v>0.0283589111933976</v>
      </c>
      <c r="E754" s="62">
        <f t="shared" si="22"/>
        <v>0.0023632425994498</v>
      </c>
      <c r="F754" s="60" t="str">
        <v>Health Care</v>
      </c>
      <c r="G754" s="62">
        <f t="shared" si="23"/>
        <v>0.0023632425994498</v>
      </c>
      <c r="H754" s="60"/>
      <c r="J754" s="6"/>
      <c r="X754" s="60"/>
      <c r="Z754" s="63" t="s">
        <v>853</v>
      </c>
    </row>
    <row r="755" spans="1:26">
      <c r="A755" s="58" t="s">
        <v>1128</v>
      </c>
      <c r="B755" s="74" t="s">
        <v>26</v>
      </c>
      <c r="C755" s="60" t="str">
        <v>ACC Ltd</v>
      </c>
      <c r="D755" s="61">
        <v>0.00728505935451577</v>
      </c>
      <c r="E755" s="62">
        <f t="shared" si="22"/>
        <v>0.000607088279542981</v>
      </c>
      <c r="F755" s="60" t="str">
        <v>Materials</v>
      </c>
      <c r="G755" s="62">
        <f t="shared" si="23"/>
        <v>0.000607088279542981</v>
      </c>
      <c r="H755" s="60"/>
      <c r="J755" s="6"/>
      <c r="X755" s="60"/>
      <c r="Z755" s="58" t="s">
        <v>1128</v>
      </c>
    </row>
    <row r="756" spans="1:26">
      <c r="A756" s="63" t="s">
        <v>1286</v>
      </c>
      <c r="B756" s="74" t="s">
        <v>26</v>
      </c>
      <c r="C756" s="60" t="str">
        <v>Acutaas Chemicals Ltd</v>
      </c>
      <c r="D756" s="64">
        <v>0.0079608565511014</v>
      </c>
      <c r="E756" s="62">
        <f t="shared" si="22"/>
        <v>0.000663404712591783</v>
      </c>
      <c r="F756" s="60" t="str">
        <v>Health Care</v>
      </c>
      <c r="G756" s="62">
        <f t="shared" si="23"/>
        <v>0.000663404712591783</v>
      </c>
      <c r="H756" s="60"/>
      <c r="J756" s="6"/>
      <c r="X756" s="60"/>
      <c r="Z756" s="63" t="s">
        <v>1286</v>
      </c>
    </row>
    <row r="757" spans="1:26">
      <c r="A757" s="58" t="s">
        <v>857</v>
      </c>
      <c r="B757" s="74" t="s">
        <v>26</v>
      </c>
      <c r="C757" s="60" t="str">
        <v>Aditya Birla Capital Ltd</v>
      </c>
      <c r="D757" s="61">
        <v>0.00354496510412747</v>
      </c>
      <c r="E757" s="62">
        <f t="shared" si="22"/>
        <v>0.000295413758677289</v>
      </c>
      <c r="F757" s="60" t="str">
        <v>Financials</v>
      </c>
      <c r="G757" s="62">
        <f t="shared" si="23"/>
        <v>0.000295413758677289</v>
      </c>
      <c r="H757" s="60"/>
      <c r="J757" s="6"/>
      <c r="X757" s="60"/>
      <c r="Z757" s="58" t="s">
        <v>857</v>
      </c>
    </row>
    <row r="758" spans="1:26">
      <c r="A758" s="63" t="s">
        <v>1185</v>
      </c>
      <c r="B758" s="74" t="s">
        <v>26</v>
      </c>
      <c r="C758" s="60" t="str">
        <v>Alkem Laboratories Ltd</v>
      </c>
      <c r="D758" s="64">
        <v>0.0222785416206178</v>
      </c>
      <c r="E758" s="62">
        <f t="shared" si="22"/>
        <v>0.00185654513505148</v>
      </c>
      <c r="F758" s="60" t="str">
        <v>Health Care</v>
      </c>
      <c r="G758" s="62">
        <f t="shared" si="23"/>
        <v>0.00185654513505148</v>
      </c>
      <c r="H758" s="60"/>
      <c r="J758" s="6"/>
      <c r="X758" s="60"/>
      <c r="Z758" s="63" t="s">
        <v>1185</v>
      </c>
    </row>
    <row r="759" spans="1:26">
      <c r="A759" s="58" t="s">
        <v>1289</v>
      </c>
      <c r="B759" s="74" t="s">
        <v>26</v>
      </c>
      <c r="C759" s="60" t="str">
        <v>Ashok Leyland Ltd</v>
      </c>
      <c r="D759" s="61">
        <v>0.0196013752514632</v>
      </c>
      <c r="E759" s="62">
        <f t="shared" si="22"/>
        <v>0.00163344793762193</v>
      </c>
      <c r="F759" s="60" t="str">
        <v>Industrials</v>
      </c>
      <c r="G759" s="62">
        <f t="shared" si="23"/>
        <v>0.00163344793762193</v>
      </c>
      <c r="H759" s="60"/>
      <c r="J759" s="6"/>
      <c r="X759" s="60"/>
      <c r="Z759" s="58" t="s">
        <v>1289</v>
      </c>
    </row>
    <row r="760" spans="1:26">
      <c r="A760" s="63" t="s">
        <v>1137</v>
      </c>
      <c r="B760" s="74" t="s">
        <v>26</v>
      </c>
      <c r="C760" s="60" t="str">
        <v>Asian Paints Ltd</v>
      </c>
      <c r="D760" s="64">
        <v>0.0276195302984884</v>
      </c>
      <c r="E760" s="62">
        <f t="shared" si="22"/>
        <v>0.00230162752487403</v>
      </c>
      <c r="F760" s="60" t="str">
        <v>Materials</v>
      </c>
      <c r="G760" s="62">
        <f t="shared" si="23"/>
        <v>0.00230162752487403</v>
      </c>
      <c r="H760" s="60"/>
      <c r="J760" s="6"/>
      <c r="X760" s="60"/>
      <c r="Z760" s="63" t="s">
        <v>1137</v>
      </c>
    </row>
    <row r="761" spans="1:26">
      <c r="A761" s="58" t="s">
        <v>1291</v>
      </c>
      <c r="B761" s="74" t="s">
        <v>26</v>
      </c>
      <c r="C761" s="60" t="str">
        <v>Aurobindo Pharma Ltd</v>
      </c>
      <c r="D761" s="61">
        <v>0.0128170450179091</v>
      </c>
      <c r="E761" s="62">
        <f t="shared" si="22"/>
        <v>0.00106808708482576</v>
      </c>
      <c r="F761" s="60" t="str">
        <v>Health Care</v>
      </c>
      <c r="G761" s="62">
        <f t="shared" si="23"/>
        <v>0.00106808708482576</v>
      </c>
      <c r="H761" s="60"/>
      <c r="J761" s="6"/>
      <c r="X761" s="60"/>
      <c r="Z761" s="58" t="s">
        <v>1291</v>
      </c>
    </row>
    <row r="762" spans="1:26">
      <c r="A762" s="63" t="s">
        <v>879</v>
      </c>
      <c r="B762" s="74" t="s">
        <v>26</v>
      </c>
      <c r="C762" s="60" t="str">
        <v>Axis Bank Ltd</v>
      </c>
      <c r="D762" s="64">
        <v>0.0294747205366167</v>
      </c>
      <c r="E762" s="62">
        <f t="shared" si="22"/>
        <v>0.00245622671138473</v>
      </c>
      <c r="F762" s="60" t="str">
        <v>Financials</v>
      </c>
      <c r="G762" s="62">
        <f t="shared" si="23"/>
        <v>0.00245622671138473</v>
      </c>
      <c r="H762" s="60"/>
      <c r="J762" s="6"/>
      <c r="X762" s="60"/>
      <c r="Z762" s="63" t="s">
        <v>879</v>
      </c>
    </row>
    <row r="763" spans="1:26">
      <c r="A763" s="58" t="s">
        <v>1193</v>
      </c>
      <c r="B763" s="74" t="s">
        <v>26</v>
      </c>
      <c r="C763" s="60" t="str">
        <v>Balkrishna Industries Ltd</v>
      </c>
      <c r="D763" s="61">
        <v>0.020279094592485</v>
      </c>
      <c r="E763" s="62">
        <f t="shared" si="22"/>
        <v>0.00168992454937375</v>
      </c>
      <c r="F763" s="60" t="str">
        <v>Consumer Discretionary</v>
      </c>
      <c r="G763" s="62">
        <f t="shared" si="23"/>
        <v>0.00168992454937375</v>
      </c>
      <c r="H763" s="60"/>
      <c r="J763" s="6"/>
      <c r="X763" s="60"/>
      <c r="Z763" s="58" t="s">
        <v>1193</v>
      </c>
    </row>
    <row r="764" spans="1:26">
      <c r="A764" s="63" t="s">
        <v>1293</v>
      </c>
      <c r="B764" s="74" t="s">
        <v>26</v>
      </c>
      <c r="C764" s="60" t="str">
        <v>Bank of Baroda</v>
      </c>
      <c r="D764" s="64">
        <v>0.00677189177002614</v>
      </c>
      <c r="E764" s="62">
        <f t="shared" si="22"/>
        <v>0.000564324314168845</v>
      </c>
      <c r="F764" s="60" t="str">
        <v>Financials</v>
      </c>
      <c r="G764" s="62">
        <f t="shared" si="23"/>
        <v>0.000564324314168845</v>
      </c>
      <c r="H764" s="60"/>
      <c r="J764" s="6"/>
      <c r="X764" s="60"/>
      <c r="Z764" s="63" t="s">
        <v>1293</v>
      </c>
    </row>
    <row r="765" spans="1:26">
      <c r="A765" s="58" t="s">
        <v>1528</v>
      </c>
      <c r="B765" s="74" t="s">
        <v>26</v>
      </c>
      <c r="C765" s="60" t="str">
        <v>Bank of India</v>
      </c>
      <c r="D765" s="61">
        <v>0.00333991337449779</v>
      </c>
      <c r="E765" s="62">
        <f t="shared" ref="E765:E827" si="24">_xlfn.IFNA(D765*VLOOKUP($B765,$AK$1:$AM$34,3,FALSE),0)</f>
        <v>0.000278326114541482</v>
      </c>
      <c r="F765" s="60" t="str">
        <v>Financials</v>
      </c>
      <c r="G765" s="62">
        <f t="shared" ref="G765:G827" si="25">_xlfn.IFNA(D765*VLOOKUP($B765,$AK$1:$AM$34,3,FALSE),0)</f>
        <v>0.000278326114541482</v>
      </c>
      <c r="H765" s="60"/>
      <c r="J765" s="6"/>
      <c r="X765" s="60"/>
      <c r="Z765" s="58" t="s">
        <v>1528</v>
      </c>
    </row>
    <row r="766" spans="1:26">
      <c r="A766" s="63" t="s">
        <v>883</v>
      </c>
      <c r="B766" s="74" t="s">
        <v>26</v>
      </c>
      <c r="C766" s="60" t="str">
        <v>Berger Paints India Ltd</v>
      </c>
      <c r="D766" s="64">
        <v>0.0243348613342064</v>
      </c>
      <c r="E766" s="62">
        <f t="shared" si="24"/>
        <v>0.00202790511118387</v>
      </c>
      <c r="F766" s="60" t="str">
        <v>Materials</v>
      </c>
      <c r="G766" s="62">
        <f t="shared" si="25"/>
        <v>0.00202790511118387</v>
      </c>
      <c r="H766" s="60"/>
      <c r="J766" s="6"/>
      <c r="X766" s="60"/>
      <c r="Z766" s="63" t="s">
        <v>883</v>
      </c>
    </row>
    <row r="767" spans="1:26">
      <c r="A767" s="58" t="s">
        <v>888</v>
      </c>
      <c r="B767" s="74" t="s">
        <v>26</v>
      </c>
      <c r="C767" s="60" t="str">
        <v>Bharat Forge Ltd</v>
      </c>
      <c r="D767" s="61">
        <v>0.016476975949712</v>
      </c>
      <c r="E767" s="62">
        <f t="shared" si="24"/>
        <v>0.00137308132914267</v>
      </c>
      <c r="F767" s="60" t="str">
        <v>Consumer Discretionary</v>
      </c>
      <c r="G767" s="62">
        <f t="shared" si="25"/>
        <v>0.00137308132914267</v>
      </c>
      <c r="H767" s="60"/>
      <c r="J767" s="6"/>
      <c r="X767" s="60"/>
      <c r="Z767" s="58" t="s">
        <v>888</v>
      </c>
    </row>
    <row r="768" spans="1:26">
      <c r="A768" s="63" t="s">
        <v>891</v>
      </c>
      <c r="B768" s="74" t="s">
        <v>26</v>
      </c>
      <c r="C768" s="60" t="str">
        <v>Bharti Airtel Ltd</v>
      </c>
      <c r="D768" s="64">
        <v>0</v>
      </c>
      <c r="E768" s="62">
        <f t="shared" si="24"/>
        <v>0</v>
      </c>
      <c r="F768" s="60" t="str">
        <v>Communication Services</v>
      </c>
      <c r="G768" s="62">
        <f t="shared" si="25"/>
        <v>0</v>
      </c>
      <c r="H768" s="60"/>
      <c r="J768" s="6"/>
      <c r="X768" s="60"/>
      <c r="Z768" s="63" t="s">
        <v>891</v>
      </c>
    </row>
    <row r="769" spans="1:26">
      <c r="A769" s="58" t="s">
        <v>1562</v>
      </c>
      <c r="B769" s="74" t="s">
        <v>26</v>
      </c>
      <c r="C769" s="60" t="str">
        <v>Blue Star Ltd</v>
      </c>
      <c r="D769" s="61">
        <v>0.00548773436004673</v>
      </c>
      <c r="E769" s="62">
        <f t="shared" si="24"/>
        <v>0.000457311196670561</v>
      </c>
      <c r="F769" s="60" t="str">
        <v>Industrials</v>
      </c>
      <c r="G769" s="62">
        <f t="shared" si="25"/>
        <v>0.000457311196670561</v>
      </c>
      <c r="H769" s="60"/>
      <c r="J769" s="6"/>
      <c r="X769" s="60"/>
      <c r="Z769" s="58" t="s">
        <v>1562</v>
      </c>
    </row>
    <row r="770" spans="1:26">
      <c r="A770" s="63" t="s">
        <v>909</v>
      </c>
      <c r="B770" s="74" t="s">
        <v>26</v>
      </c>
      <c r="C770" s="60" t="str">
        <v>Cholamandalam Financial Holdin</v>
      </c>
      <c r="D770" s="64">
        <v>0.00810897862063515</v>
      </c>
      <c r="E770" s="62">
        <f t="shared" si="24"/>
        <v>0.000675748218386263</v>
      </c>
      <c r="F770" s="60" t="str">
        <v>Financials</v>
      </c>
      <c r="G770" s="62">
        <f t="shared" si="25"/>
        <v>0.000675748218386263</v>
      </c>
      <c r="H770" s="60"/>
      <c r="J770" s="6"/>
      <c r="X770" s="60"/>
      <c r="Z770" s="63" t="s">
        <v>909</v>
      </c>
    </row>
    <row r="771" spans="1:26">
      <c r="A771" s="58" t="s">
        <v>918</v>
      </c>
      <c r="B771" s="74" t="s">
        <v>26</v>
      </c>
      <c r="C771" s="60" t="str">
        <v>Coforge Ltd</v>
      </c>
      <c r="D771" s="61">
        <v>0</v>
      </c>
      <c r="E771" s="62">
        <f t="shared" si="24"/>
        <v>0</v>
      </c>
      <c r="F771" s="60" t="str">
        <v>Information Technology</v>
      </c>
      <c r="G771" s="62">
        <f t="shared" si="25"/>
        <v>0</v>
      </c>
      <c r="H771" s="60"/>
      <c r="J771" s="6"/>
      <c r="X771" s="60"/>
      <c r="Z771" s="58" t="s">
        <v>918</v>
      </c>
    </row>
    <row r="772" spans="1:26">
      <c r="A772" s="63" t="s">
        <v>1160</v>
      </c>
      <c r="B772" s="74" t="s">
        <v>26</v>
      </c>
      <c r="C772" s="60" t="str">
        <v>Colgate-Palmolive India Ltd</v>
      </c>
      <c r="D772" s="64">
        <v>0.0047130321869563</v>
      </c>
      <c r="E772" s="62">
        <f t="shared" si="24"/>
        <v>0.000392752682246358</v>
      </c>
      <c r="F772" s="60" t="str">
        <v>Consumer Staples</v>
      </c>
      <c r="G772" s="62">
        <f t="shared" si="25"/>
        <v>0.000392752682246358</v>
      </c>
      <c r="H772" s="60"/>
      <c r="J772" s="6"/>
      <c r="X772" s="60"/>
      <c r="Z772" s="63" t="s">
        <v>1160</v>
      </c>
    </row>
    <row r="773" spans="1:26">
      <c r="A773" s="58" t="s">
        <v>1392</v>
      </c>
      <c r="B773" s="74" t="s">
        <v>26</v>
      </c>
      <c r="C773" s="60" t="str">
        <v>Delhivery Ltd</v>
      </c>
      <c r="D773" s="61">
        <v>0.00952624978048646</v>
      </c>
      <c r="E773" s="62">
        <f t="shared" si="24"/>
        <v>0.000793854148373872</v>
      </c>
      <c r="F773" s="60" t="str">
        <v>Industrials</v>
      </c>
      <c r="G773" s="62">
        <f t="shared" si="25"/>
        <v>0.000793854148373872</v>
      </c>
      <c r="H773" s="60"/>
      <c r="J773" s="6"/>
      <c r="X773" s="60"/>
      <c r="Z773" s="58" t="s">
        <v>1392</v>
      </c>
    </row>
    <row r="774" spans="1:26">
      <c r="A774" s="63" t="s">
        <v>1148</v>
      </c>
      <c r="B774" s="74" t="s">
        <v>26</v>
      </c>
      <c r="C774" s="60" t="str">
        <v>Divi's Laboratories Ltd</v>
      </c>
      <c r="D774" s="64">
        <v>0.0164154883184101</v>
      </c>
      <c r="E774" s="62">
        <f t="shared" si="24"/>
        <v>0.00136795735986751</v>
      </c>
      <c r="F774" s="60" t="str">
        <v>Health Care</v>
      </c>
      <c r="G774" s="62">
        <f t="shared" si="25"/>
        <v>0.00136795735986751</v>
      </c>
      <c r="H774" s="60"/>
      <c r="J774" s="6"/>
      <c r="X774" s="60"/>
      <c r="Z774" s="63" t="s">
        <v>1148</v>
      </c>
    </row>
    <row r="775" spans="1:26">
      <c r="A775" s="58" t="s">
        <v>947</v>
      </c>
      <c r="B775" s="74" t="s">
        <v>26</v>
      </c>
      <c r="C775" s="60" t="str">
        <v>Dr Lal PathLabs Ltd</v>
      </c>
      <c r="D775" s="61">
        <v>0.00614152135357183</v>
      </c>
      <c r="E775" s="62">
        <f t="shared" si="24"/>
        <v>0.000511793446130986</v>
      </c>
      <c r="F775" s="60" t="str">
        <v>Health Care</v>
      </c>
      <c r="G775" s="62">
        <f t="shared" si="25"/>
        <v>0.000511793446130986</v>
      </c>
      <c r="H775" s="60"/>
      <c r="J775" s="6"/>
      <c r="X775" s="60"/>
      <c r="Z775" s="58" t="s">
        <v>947</v>
      </c>
    </row>
    <row r="776" spans="1:26">
      <c r="A776" s="63" t="s">
        <v>1397</v>
      </c>
      <c r="B776" s="74" t="s">
        <v>26</v>
      </c>
      <c r="C776" s="60" t="str">
        <v>Emami Ltd</v>
      </c>
      <c r="D776" s="64">
        <v>0.0117074639024498</v>
      </c>
      <c r="E776" s="62">
        <f t="shared" si="24"/>
        <v>0.000975621991870817</v>
      </c>
      <c r="F776" s="60" t="str">
        <v>Consumer Staples</v>
      </c>
      <c r="G776" s="62">
        <f t="shared" si="25"/>
        <v>0.000975621991870817</v>
      </c>
      <c r="H776" s="60"/>
      <c r="J776" s="6"/>
      <c r="X776" s="60"/>
      <c r="Z776" s="63" t="s">
        <v>1397</v>
      </c>
    </row>
    <row r="777" spans="1:26">
      <c r="A777" s="58" t="s">
        <v>1566</v>
      </c>
      <c r="B777" s="74" t="s">
        <v>26</v>
      </c>
      <c r="C777" s="60" t="str">
        <v>Finolex Industries Ltd</v>
      </c>
      <c r="D777" s="61">
        <v>0.000262922970619471</v>
      </c>
      <c r="E777" s="62">
        <f t="shared" si="24"/>
        <v>2.19102475516226e-5</v>
      </c>
      <c r="F777" s="60" t="str">
        <v>Materials</v>
      </c>
      <c r="G777" s="62">
        <f t="shared" si="25"/>
        <v>2.19102475516226e-5</v>
      </c>
      <c r="H777" s="60"/>
      <c r="J777" s="6"/>
      <c r="X777" s="60"/>
      <c r="Z777" s="58" t="s">
        <v>1566</v>
      </c>
    </row>
    <row r="778" spans="1:26">
      <c r="A778" s="63" t="s">
        <v>1168</v>
      </c>
      <c r="B778" s="74" t="s">
        <v>26</v>
      </c>
      <c r="C778" s="60" t="str">
        <v>FSN E-Commerce Ventures Ltd</v>
      </c>
      <c r="D778" s="64">
        <v>0.0131906397275415</v>
      </c>
      <c r="E778" s="62">
        <f t="shared" si="24"/>
        <v>0.00109921997729512</v>
      </c>
      <c r="F778" s="60" t="str">
        <v>Consumer Discretionary</v>
      </c>
      <c r="G778" s="62">
        <f t="shared" si="25"/>
        <v>0.00109921997729512</v>
      </c>
      <c r="H778" s="60"/>
      <c r="J778" s="6"/>
      <c r="X778" s="60"/>
      <c r="Z778" s="63" t="s">
        <v>1168</v>
      </c>
    </row>
    <row r="779" spans="1:26">
      <c r="A779" s="58" t="s">
        <v>1568</v>
      </c>
      <c r="B779" s="74" t="s">
        <v>26</v>
      </c>
      <c r="C779" s="60" t="str">
        <v>Ganesha Ecosphere Ltd</v>
      </c>
      <c r="D779" s="61">
        <v>0.00414448225364856</v>
      </c>
      <c r="E779" s="62">
        <f t="shared" si="24"/>
        <v>0.00034537352113738</v>
      </c>
      <c r="F779" s="60" t="str">
        <v>Consumer Discretionary</v>
      </c>
      <c r="G779" s="62">
        <f t="shared" si="25"/>
        <v>0.00034537352113738</v>
      </c>
      <c r="H779" s="60"/>
      <c r="J779" s="6"/>
      <c r="X779" s="60"/>
      <c r="Z779" s="58" t="s">
        <v>1568</v>
      </c>
    </row>
    <row r="780" spans="1:26">
      <c r="A780" s="63" t="s">
        <v>1570</v>
      </c>
      <c r="B780" s="74" t="s">
        <v>26</v>
      </c>
      <c r="C780" s="60" t="str">
        <v>Gayatri BiOrganics Ltd</v>
      </c>
      <c r="D780" s="64">
        <v>1.21505916622958e-5</v>
      </c>
      <c r="E780" s="62">
        <f t="shared" si="24"/>
        <v>1.01254930519132e-6</v>
      </c>
      <c r="F780" s="60" t="str">
        <v>Consumer Staples</v>
      </c>
      <c r="G780" s="62">
        <f t="shared" si="25"/>
        <v>1.01254930519132e-6</v>
      </c>
      <c r="H780" s="60"/>
      <c r="J780" s="6"/>
      <c r="X780" s="60"/>
      <c r="Z780" s="63" t="s">
        <v>1570</v>
      </c>
    </row>
    <row r="781" spans="1:26">
      <c r="A781" s="58" t="s">
        <v>1206</v>
      </c>
      <c r="B781" s="74" t="s">
        <v>26</v>
      </c>
      <c r="C781" s="60" t="str">
        <v>Gland Pharma Ltd</v>
      </c>
      <c r="D781" s="61">
        <v>0.0179557677261832</v>
      </c>
      <c r="E781" s="62">
        <f t="shared" si="24"/>
        <v>0.00149631397718193</v>
      </c>
      <c r="F781" s="60" t="str">
        <v>Health Care</v>
      </c>
      <c r="G781" s="62">
        <f t="shared" si="25"/>
        <v>0.00149631397718193</v>
      </c>
      <c r="H781" s="60"/>
      <c r="J781" s="6"/>
      <c r="X781" s="60"/>
      <c r="Z781" s="58" t="s">
        <v>1206</v>
      </c>
    </row>
    <row r="782" spans="1:26">
      <c r="A782" s="63" t="s">
        <v>1339</v>
      </c>
      <c r="B782" s="74" t="s">
        <v>26</v>
      </c>
      <c r="C782" s="60" t="str">
        <v>Godrej Consumer Products Ltd</v>
      </c>
      <c r="D782" s="64">
        <v>0.0109484267567147</v>
      </c>
      <c r="E782" s="62">
        <f t="shared" si="24"/>
        <v>0.000912368896392892</v>
      </c>
      <c r="F782" s="60" t="str">
        <v>Consumer Staples</v>
      </c>
      <c r="G782" s="62">
        <f t="shared" si="25"/>
        <v>0.000912368896392892</v>
      </c>
      <c r="H782" s="60"/>
      <c r="J782" s="6"/>
      <c r="X782" s="60"/>
      <c r="Z782" s="63" t="s">
        <v>1339</v>
      </c>
    </row>
    <row r="783" spans="1:26">
      <c r="A783" s="58" t="s">
        <v>1536</v>
      </c>
      <c r="B783" s="74" t="s">
        <v>26</v>
      </c>
      <c r="C783" s="60" t="str">
        <v>G R Infraprojects Ltd</v>
      </c>
      <c r="D783" s="61">
        <v>0.00822161748406329</v>
      </c>
      <c r="E783" s="62">
        <f t="shared" si="24"/>
        <v>0.000685134790338607</v>
      </c>
      <c r="F783" s="60" t="str">
        <v>Industrials</v>
      </c>
      <c r="G783" s="62">
        <f t="shared" si="25"/>
        <v>0.000685134790338607</v>
      </c>
      <c r="H783" s="60"/>
      <c r="J783" s="6"/>
      <c r="X783" s="60"/>
      <c r="Z783" s="58" t="s">
        <v>1536</v>
      </c>
    </row>
    <row r="784" spans="1:26">
      <c r="A784" s="63" t="s">
        <v>1572</v>
      </c>
      <c r="B784" s="74" t="s">
        <v>26</v>
      </c>
      <c r="C784" s="60" t="str">
        <v>Hatsun Agro Product Ltd</v>
      </c>
      <c r="D784" s="64">
        <v>0.00415222180870295</v>
      </c>
      <c r="E784" s="62">
        <f t="shared" si="24"/>
        <v>0.000346018484058579</v>
      </c>
      <c r="F784" s="60" t="str">
        <v>Consumer Staples</v>
      </c>
      <c r="G784" s="62">
        <f t="shared" si="25"/>
        <v>0.000346018484058579</v>
      </c>
      <c r="H784" s="60"/>
      <c r="J784" s="6"/>
      <c r="X784" s="60"/>
      <c r="Z784" s="63" t="s">
        <v>1572</v>
      </c>
    </row>
    <row r="785" spans="1:26">
      <c r="A785" s="58" t="s">
        <v>958</v>
      </c>
      <c r="B785" s="74" t="s">
        <v>26</v>
      </c>
      <c r="C785" s="60" t="str">
        <v>HDB Financial Services Ltd</v>
      </c>
      <c r="D785" s="61">
        <v>0.000463422726373687</v>
      </c>
      <c r="E785" s="62">
        <f t="shared" si="24"/>
        <v>3.86185605311406e-5</v>
      </c>
      <c r="F785" s="60" t="str">
        <v>Financials</v>
      </c>
      <c r="G785" s="62">
        <f t="shared" si="25"/>
        <v>3.86185605311406e-5</v>
      </c>
      <c r="H785" s="60"/>
      <c r="J785" s="6"/>
      <c r="X785" s="60"/>
      <c r="Z785" s="58" t="s">
        <v>958</v>
      </c>
    </row>
    <row r="786" spans="1:26">
      <c r="A786" s="63" t="s">
        <v>962</v>
      </c>
      <c r="B786" s="74" t="s">
        <v>26</v>
      </c>
      <c r="C786" s="60" t="str">
        <v>HDFC Asset Management Co Ltd</v>
      </c>
      <c r="D786" s="64">
        <v>0.0323600962299272</v>
      </c>
      <c r="E786" s="62">
        <f t="shared" si="24"/>
        <v>0.00269667468582727</v>
      </c>
      <c r="F786" s="60" t="str">
        <v>Financials</v>
      </c>
      <c r="G786" s="62">
        <f t="shared" si="25"/>
        <v>0.00269667468582727</v>
      </c>
      <c r="H786" s="60"/>
      <c r="J786" s="6"/>
      <c r="X786" s="60"/>
      <c r="Z786" s="63" t="s">
        <v>962</v>
      </c>
    </row>
    <row r="787" spans="1:26">
      <c r="A787" s="58" t="s">
        <v>960</v>
      </c>
      <c r="B787" s="74" t="s">
        <v>26</v>
      </c>
      <c r="C787" s="60" t="str">
        <v>HDFC Bank Ltd</v>
      </c>
      <c r="D787" s="61">
        <v>0.0796249292273765</v>
      </c>
      <c r="E787" s="62">
        <f t="shared" si="24"/>
        <v>0.00663541076894804</v>
      </c>
      <c r="F787" s="60" t="str">
        <v>Financials</v>
      </c>
      <c r="G787" s="62">
        <f t="shared" si="25"/>
        <v>0.00663541076894804</v>
      </c>
      <c r="H787" s="60"/>
      <c r="J787" s="6"/>
      <c r="X787" s="60"/>
      <c r="Z787" s="58" t="s">
        <v>960</v>
      </c>
    </row>
    <row r="788" spans="1:26">
      <c r="A788" s="63" t="s">
        <v>967</v>
      </c>
      <c r="B788" s="74" t="s">
        <v>26</v>
      </c>
      <c r="C788" s="60" t="str">
        <v>Hindalco Industries Ltd</v>
      </c>
      <c r="D788" s="64">
        <v>0.0137231966816482</v>
      </c>
      <c r="E788" s="62">
        <f t="shared" si="24"/>
        <v>0.00114359972347068</v>
      </c>
      <c r="F788" s="60" t="str">
        <v>Materials</v>
      </c>
      <c r="G788" s="62">
        <f t="shared" si="25"/>
        <v>0.00114359972347068</v>
      </c>
      <c r="H788" s="60"/>
      <c r="J788" s="6"/>
      <c r="X788" s="60"/>
      <c r="Z788" s="63" t="s">
        <v>967</v>
      </c>
    </row>
    <row r="789" spans="1:26">
      <c r="A789" s="58" t="s">
        <v>970</v>
      </c>
      <c r="B789" s="74" t="s">
        <v>26</v>
      </c>
      <c r="C789" s="60" t="str">
        <v>Hindustan Unilever Ltd</v>
      </c>
      <c r="D789" s="61">
        <v>0.0151204697428332</v>
      </c>
      <c r="E789" s="62">
        <f t="shared" si="24"/>
        <v>0.0012600391452361</v>
      </c>
      <c r="F789" s="60" t="str">
        <v>Consumer Staples</v>
      </c>
      <c r="G789" s="62">
        <f t="shared" si="25"/>
        <v>0.0012600391452361</v>
      </c>
      <c r="H789" s="60"/>
      <c r="J789" s="6"/>
      <c r="X789" s="60"/>
      <c r="Z789" s="58" t="s">
        <v>970</v>
      </c>
    </row>
    <row r="790" spans="1:26">
      <c r="A790" s="63" t="s">
        <v>1215</v>
      </c>
      <c r="B790" s="74" t="s">
        <v>26</v>
      </c>
      <c r="C790" s="60" t="str">
        <v>Honeywell Automation India Ltd</v>
      </c>
      <c r="D790" s="64">
        <v>0.00716511274383171</v>
      </c>
      <c r="E790" s="62">
        <f t="shared" si="24"/>
        <v>0.000597092728652642</v>
      </c>
      <c r="F790" s="60" t="str">
        <v>Information Technology</v>
      </c>
      <c r="G790" s="62">
        <f t="shared" si="25"/>
        <v>0.000597092728652642</v>
      </c>
      <c r="H790" s="60"/>
      <c r="J790" s="6"/>
      <c r="X790" s="60"/>
      <c r="Z790" s="63" t="s">
        <v>1215</v>
      </c>
    </row>
    <row r="791" spans="1:26">
      <c r="A791" s="58" t="s">
        <v>972</v>
      </c>
      <c r="B791" s="74" t="s">
        <v>26</v>
      </c>
      <c r="C791" s="60" t="str">
        <v>ICICI Bank Ltd</v>
      </c>
      <c r="D791" s="61">
        <v>0.025959784066474</v>
      </c>
      <c r="E791" s="62">
        <f t="shared" si="24"/>
        <v>0.00216331533887283</v>
      </c>
      <c r="F791" s="60" t="str">
        <v>Financials</v>
      </c>
      <c r="G791" s="62">
        <f t="shared" si="25"/>
        <v>0.00216331533887283</v>
      </c>
      <c r="H791" s="60"/>
      <c r="J791" s="6"/>
      <c r="X791" s="60"/>
      <c r="Z791" s="58" t="s">
        <v>972</v>
      </c>
    </row>
    <row r="792" spans="1:26">
      <c r="A792" s="63" t="s">
        <v>988</v>
      </c>
      <c r="B792" s="74" t="s">
        <v>26</v>
      </c>
      <c r="C792" s="60" t="str">
        <v>Indus Towers Ltd</v>
      </c>
      <c r="D792" s="64">
        <v>0.011565851935211</v>
      </c>
      <c r="E792" s="62">
        <f t="shared" si="24"/>
        <v>0.000963820994600917</v>
      </c>
      <c r="F792" s="60" t="str">
        <v>Communication Services</v>
      </c>
      <c r="G792" s="62">
        <f t="shared" si="25"/>
        <v>0.000963820994600917</v>
      </c>
      <c r="H792" s="60"/>
      <c r="J792" s="6"/>
      <c r="X792" s="60"/>
      <c r="Z792" s="63" t="s">
        <v>988</v>
      </c>
    </row>
    <row r="793" spans="1:26">
      <c r="A793" s="58" t="s">
        <v>991</v>
      </c>
      <c r="B793" s="74" t="s">
        <v>26</v>
      </c>
      <c r="C793" s="60" t="str">
        <v>Infosys Ltd</v>
      </c>
      <c r="D793" s="61">
        <v>0.0171949463746141</v>
      </c>
      <c r="E793" s="62">
        <f t="shared" si="24"/>
        <v>0.00143291219788451</v>
      </c>
      <c r="F793" s="60" t="str">
        <v>Information Technology</v>
      </c>
      <c r="G793" s="62">
        <f t="shared" si="25"/>
        <v>0.00143291219788451</v>
      </c>
      <c r="H793" s="60"/>
      <c r="J793" s="6"/>
      <c r="X793" s="60"/>
      <c r="Z793" s="58" t="s">
        <v>991</v>
      </c>
    </row>
    <row r="794" spans="1:26">
      <c r="A794" s="58" t="s">
        <v>1542</v>
      </c>
      <c r="B794" s="74" t="s">
        <v>26</v>
      </c>
      <c r="C794" s="60" t="str">
        <v>Ingersoll Rand India Ltd</v>
      </c>
      <c r="D794" s="61">
        <v>0.00714525858109823</v>
      </c>
      <c r="E794" s="62">
        <f t="shared" si="24"/>
        <v>0.000595438215091519</v>
      </c>
      <c r="F794" s="60" t="str">
        <v>Industrials</v>
      </c>
      <c r="G794" s="62">
        <f t="shared" si="25"/>
        <v>0.000595438215091519</v>
      </c>
      <c r="H794" s="60"/>
      <c r="J794" s="6"/>
      <c r="X794" s="60"/>
      <c r="Z794" s="58" t="s">
        <v>1542</v>
      </c>
    </row>
    <row r="795" spans="1:26">
      <c r="A795" s="63">
        <v>0</v>
      </c>
      <c r="B795" s="74" t="s">
        <v>26</v>
      </c>
      <c r="C795" s="60" t="str">
        <v>#N/A Invalid Security</v>
      </c>
      <c r="D795" s="64">
        <v>0</v>
      </c>
      <c r="E795" s="62">
        <f t="shared" si="24"/>
        <v>0</v>
      </c>
      <c r="F795" s="60" t="str">
        <v>#N/A Invalid Security</v>
      </c>
      <c r="G795" s="62">
        <f t="shared" si="25"/>
        <v>0</v>
      </c>
      <c r="H795" s="60"/>
      <c r="J795" s="6"/>
      <c r="X795" s="60"/>
      <c r="Z795" s="63">
        <v>0</v>
      </c>
    </row>
    <row r="796" spans="1:26">
      <c r="A796" s="58" t="s">
        <v>1383</v>
      </c>
      <c r="B796" s="74" t="s">
        <v>26</v>
      </c>
      <c r="C796" s="60" t="str">
        <v>Jindal Steel &amp; Power Ltd</v>
      </c>
      <c r="D796" s="61">
        <v>0.019787241520714</v>
      </c>
      <c r="E796" s="62">
        <f t="shared" si="24"/>
        <v>0.00164893679339283</v>
      </c>
      <c r="F796" s="60" t="str">
        <v>Materials</v>
      </c>
      <c r="G796" s="62">
        <f t="shared" si="25"/>
        <v>0.00164893679339283</v>
      </c>
      <c r="H796" s="60"/>
      <c r="J796" s="6"/>
      <c r="X796" s="60"/>
      <c r="Z796" s="58" t="s">
        <v>1383</v>
      </c>
    </row>
    <row r="797" spans="1:26">
      <c r="A797" s="63" t="s">
        <v>1386</v>
      </c>
      <c r="B797" s="74" t="s">
        <v>26</v>
      </c>
      <c r="C797" s="60" t="str">
        <v>Jubilant Foodworks Ltd</v>
      </c>
      <c r="D797" s="64">
        <v>0.0149682365032183</v>
      </c>
      <c r="E797" s="62">
        <f t="shared" si="24"/>
        <v>0.00124735304193486</v>
      </c>
      <c r="F797" s="60" t="str">
        <v>Consumer Discretionary</v>
      </c>
      <c r="G797" s="62">
        <f t="shared" si="25"/>
        <v>0.00124735304193486</v>
      </c>
      <c r="H797" s="60"/>
      <c r="J797" s="6"/>
      <c r="X797" s="60"/>
      <c r="Z797" s="63" t="s">
        <v>1386</v>
      </c>
    </row>
    <row r="798" spans="1:26">
      <c r="A798" s="58" t="s">
        <v>984</v>
      </c>
      <c r="B798" s="74" t="s">
        <v>26</v>
      </c>
      <c r="C798" s="60" t="str">
        <v>Kajaria Ceramics Ltd</v>
      </c>
      <c r="D798" s="61">
        <v>0.00705885803875723</v>
      </c>
      <c r="E798" s="62">
        <f t="shared" si="24"/>
        <v>0.000588238169896436</v>
      </c>
      <c r="F798" s="60" t="str">
        <v>Industrials</v>
      </c>
      <c r="G798" s="62">
        <f t="shared" si="25"/>
        <v>0.000588238169896436</v>
      </c>
      <c r="H798" s="60"/>
      <c r="J798" s="6"/>
      <c r="X798" s="60"/>
      <c r="Z798" s="58" t="s">
        <v>984</v>
      </c>
    </row>
    <row r="799" spans="1:26">
      <c r="A799" s="63" t="s">
        <v>1008</v>
      </c>
      <c r="B799" s="74" t="s">
        <v>26</v>
      </c>
      <c r="C799" s="60" t="str">
        <v>Kotak Mahindra Bank Ltd</v>
      </c>
      <c r="D799" s="64">
        <v>0.0278858477581902</v>
      </c>
      <c r="E799" s="62">
        <f t="shared" si="24"/>
        <v>0.00232382064651585</v>
      </c>
      <c r="F799" s="60" t="str">
        <v>Financials</v>
      </c>
      <c r="G799" s="62">
        <f t="shared" si="25"/>
        <v>0.00232382064651585</v>
      </c>
      <c r="H799" s="60"/>
      <c r="J799" s="6"/>
      <c r="X799" s="60"/>
      <c r="Z799" s="63" t="s">
        <v>1008</v>
      </c>
    </row>
    <row r="800" spans="1:26">
      <c r="A800" s="58" t="s">
        <v>1011</v>
      </c>
      <c r="B800" s="74" t="s">
        <v>26</v>
      </c>
      <c r="C800" s="60" t="str">
        <v>Larsen &amp; Toubro Ltd</v>
      </c>
      <c r="D800" s="61">
        <v>0.0128129608358153</v>
      </c>
      <c r="E800" s="62">
        <f t="shared" si="24"/>
        <v>0.00106774673631794</v>
      </c>
      <c r="F800" s="60" t="str">
        <v>Industrials</v>
      </c>
      <c r="G800" s="62">
        <f t="shared" si="25"/>
        <v>0.00106774673631794</v>
      </c>
      <c r="H800" s="60"/>
      <c r="J800" s="6"/>
      <c r="X800" s="60"/>
      <c r="Z800" s="58" t="s">
        <v>1011</v>
      </c>
    </row>
    <row r="801" spans="1:26">
      <c r="A801" s="63" t="s">
        <v>1575</v>
      </c>
      <c r="B801" s="74" t="s">
        <v>26</v>
      </c>
      <c r="C801" s="60" t="str">
        <v>Laurus Labs Ltd</v>
      </c>
      <c r="D801" s="64">
        <v>0.0141387667076895</v>
      </c>
      <c r="E801" s="62">
        <f t="shared" si="24"/>
        <v>0.00117823055897412</v>
      </c>
      <c r="F801" s="60" t="str">
        <v>Health Care</v>
      </c>
      <c r="G801" s="62">
        <f t="shared" si="25"/>
        <v>0.00117823055897412</v>
      </c>
      <c r="H801" s="60"/>
      <c r="J801" s="6"/>
      <c r="X801" s="60"/>
      <c r="Z801" s="63" t="s">
        <v>1575</v>
      </c>
    </row>
    <row r="802" spans="1:26">
      <c r="A802" s="58" t="s">
        <v>1577</v>
      </c>
      <c r="B802" s="74" t="s">
        <v>26</v>
      </c>
      <c r="C802" s="60" t="str">
        <v>Lemon Tree Hotels Ltd</v>
      </c>
      <c r="D802" s="61">
        <v>0.00189113523868504</v>
      </c>
      <c r="E802" s="62">
        <f t="shared" si="24"/>
        <v>0.000157594603223753</v>
      </c>
      <c r="F802" s="60" t="str">
        <v>Consumer Discretionary</v>
      </c>
      <c r="G802" s="62">
        <f t="shared" si="25"/>
        <v>0.000157594603223753</v>
      </c>
      <c r="H802" s="60"/>
      <c r="J802" s="6"/>
      <c r="X802" s="60"/>
      <c r="Z802" s="58" t="s">
        <v>1577</v>
      </c>
    </row>
    <row r="803" spans="1:26">
      <c r="A803" s="63" t="s">
        <v>999</v>
      </c>
      <c r="B803" s="74" t="s">
        <v>26</v>
      </c>
      <c r="C803" s="60" t="str">
        <v>LTIMindtree Ltd</v>
      </c>
      <c r="D803" s="64">
        <v>0.0174486274588804</v>
      </c>
      <c r="E803" s="62">
        <f t="shared" si="24"/>
        <v>0.00145405228824003</v>
      </c>
      <c r="F803" s="60" t="str">
        <v>Information Technology</v>
      </c>
      <c r="G803" s="62">
        <f t="shared" si="25"/>
        <v>0.00145405228824003</v>
      </c>
      <c r="H803" s="60"/>
      <c r="J803" s="6"/>
      <c r="X803" s="60"/>
      <c r="Z803" s="63" t="s">
        <v>999</v>
      </c>
    </row>
    <row r="804" spans="1:26">
      <c r="A804" s="58" t="s">
        <v>1579</v>
      </c>
      <c r="B804" s="74" t="s">
        <v>26</v>
      </c>
      <c r="C804" s="60" t="str">
        <v>Manpasand Beverages Ltd</v>
      </c>
      <c r="D804" s="61">
        <v>0</v>
      </c>
      <c r="E804" s="62">
        <f t="shared" si="24"/>
        <v>0</v>
      </c>
      <c r="F804" s="60" t="str">
        <v>Consumer Staples</v>
      </c>
      <c r="G804" s="62">
        <f t="shared" si="25"/>
        <v>0</v>
      </c>
      <c r="H804" s="60"/>
      <c r="J804" s="6"/>
      <c r="X804" s="60"/>
      <c r="Z804" s="58" t="s">
        <v>1579</v>
      </c>
    </row>
    <row r="805" spans="1:26">
      <c r="A805" s="63" t="s">
        <v>1219</v>
      </c>
      <c r="B805" s="74" t="s">
        <v>26</v>
      </c>
      <c r="C805" s="60" t="str">
        <v>Motherson Sumi Wiring India Lt</v>
      </c>
      <c r="D805" s="64">
        <v>0.00333751444228411</v>
      </c>
      <c r="E805" s="62">
        <f t="shared" si="24"/>
        <v>0.000278126203523676</v>
      </c>
      <c r="F805" s="60" t="str">
        <v>Consumer Discretionary</v>
      </c>
      <c r="G805" s="62">
        <f t="shared" si="25"/>
        <v>0.000278126203523676</v>
      </c>
      <c r="H805" s="60"/>
      <c r="J805" s="6"/>
      <c r="X805" s="60"/>
      <c r="Z805" s="63" t="s">
        <v>1219</v>
      </c>
    </row>
    <row r="806" spans="1:26">
      <c r="A806" s="58" t="s">
        <v>1235</v>
      </c>
      <c r="B806" s="74" t="s">
        <v>26</v>
      </c>
      <c r="C806" s="60" t="str">
        <v>MRF Ltd</v>
      </c>
      <c r="D806" s="61">
        <v>0.00317074967078479</v>
      </c>
      <c r="E806" s="62">
        <f t="shared" si="24"/>
        <v>0.000264229139232066</v>
      </c>
      <c r="F806" s="60" t="str">
        <v>Consumer Discretionary</v>
      </c>
      <c r="G806" s="62">
        <f t="shared" si="25"/>
        <v>0.000264229139232066</v>
      </c>
      <c r="H806" s="60"/>
      <c r="J806" s="6"/>
      <c r="X806" s="60"/>
      <c r="Z806" s="58" t="s">
        <v>1235</v>
      </c>
    </row>
    <row r="807" spans="1:26">
      <c r="A807" s="63" t="s">
        <v>1039</v>
      </c>
      <c r="B807" s="74" t="s">
        <v>26</v>
      </c>
      <c r="C807" s="60" t="str">
        <v>Muthoot Finance Ltd</v>
      </c>
      <c r="D807" s="64">
        <v>0.021079714229479</v>
      </c>
      <c r="E807" s="62">
        <f t="shared" si="24"/>
        <v>0.00175664285245658</v>
      </c>
      <c r="F807" s="60" t="str">
        <v>Financials</v>
      </c>
      <c r="G807" s="62">
        <f t="shared" si="25"/>
        <v>0.00175664285245658</v>
      </c>
      <c r="H807" s="60"/>
      <c r="J807" s="6"/>
      <c r="X807" s="60"/>
      <c r="Z807" s="63" t="s">
        <v>1039</v>
      </c>
    </row>
    <row r="808" spans="1:26">
      <c r="A808" s="58" t="s">
        <v>1020</v>
      </c>
      <c r="B808" s="74" t="s">
        <v>26</v>
      </c>
      <c r="C808" s="60" t="str">
        <v>National Aluminium Co Ltd</v>
      </c>
      <c r="D808" s="61">
        <v>0.0081992024611917</v>
      </c>
      <c r="E808" s="62">
        <f t="shared" si="24"/>
        <v>0.000683266871765975</v>
      </c>
      <c r="F808" s="60" t="str">
        <v>Materials</v>
      </c>
      <c r="G808" s="62">
        <f t="shared" si="25"/>
        <v>0.000683266871765975</v>
      </c>
      <c r="H808" s="60"/>
      <c r="J808" s="6"/>
      <c r="X808" s="60"/>
      <c r="Z808" s="58" t="s">
        <v>1020</v>
      </c>
    </row>
    <row r="809" spans="1:26">
      <c r="A809" s="63" t="s">
        <v>1544</v>
      </c>
      <c r="B809" s="74" t="s">
        <v>26</v>
      </c>
      <c r="C809" s="60" t="str">
        <v>Neogen Chemicals Ltd</v>
      </c>
      <c r="D809" s="64">
        <v>0.00432250101589532</v>
      </c>
      <c r="E809" s="62">
        <f t="shared" si="24"/>
        <v>0.000360208417991277</v>
      </c>
      <c r="F809" s="60" t="str">
        <v>Materials</v>
      </c>
      <c r="G809" s="62">
        <f t="shared" si="25"/>
        <v>0.000360208417991277</v>
      </c>
      <c r="H809" s="60"/>
      <c r="J809" s="6"/>
      <c r="X809" s="60"/>
      <c r="Z809" s="63" t="s">
        <v>1544</v>
      </c>
    </row>
    <row r="810" spans="1:26">
      <c r="A810" s="58" t="s">
        <v>1582</v>
      </c>
      <c r="B810" s="74" t="s">
        <v>26</v>
      </c>
      <c r="C810" s="60" t="str">
        <v>#N/A Invalid Security</v>
      </c>
      <c r="D810" s="61">
        <v>0</v>
      </c>
      <c r="E810" s="62">
        <f t="shared" si="24"/>
        <v>0</v>
      </c>
      <c r="F810" s="60" t="str">
        <v>#N/A Invalid Security</v>
      </c>
      <c r="G810" s="62">
        <f t="shared" si="25"/>
        <v>0</v>
      </c>
      <c r="H810" s="60"/>
      <c r="J810" s="6"/>
      <c r="X810" s="60"/>
      <c r="Z810" s="58" t="s">
        <v>1582</v>
      </c>
    </row>
    <row r="811" spans="1:26">
      <c r="A811" s="63" t="s">
        <v>1242</v>
      </c>
      <c r="B811" s="74" t="s">
        <v>26</v>
      </c>
      <c r="C811" s="60" t="str">
        <v>Nuvoco Vistas Corp Ltd</v>
      </c>
      <c r="D811" s="64">
        <v>0.00723582426949523</v>
      </c>
      <c r="E811" s="62">
        <f t="shared" si="24"/>
        <v>0.000602985355791269</v>
      </c>
      <c r="F811" s="60" t="str">
        <v>Materials</v>
      </c>
      <c r="G811" s="62">
        <f t="shared" si="25"/>
        <v>0.000602985355791269</v>
      </c>
      <c r="H811" s="60"/>
      <c r="J811" s="6"/>
      <c r="X811" s="60"/>
      <c r="Z811" s="63" t="s">
        <v>1242</v>
      </c>
    </row>
    <row r="812" spans="1:26">
      <c r="A812" s="58" t="s">
        <v>1583</v>
      </c>
      <c r="B812" s="74" t="s">
        <v>26</v>
      </c>
      <c r="C812" s="60" t="str">
        <v>Padmini Technologies Ltd</v>
      </c>
      <c r="D812" s="61">
        <v>0</v>
      </c>
      <c r="E812" s="62">
        <f t="shared" si="24"/>
        <v>0</v>
      </c>
      <c r="F812" s="60" t="str">
        <v>#N/A N/A</v>
      </c>
      <c r="G812" s="62">
        <f t="shared" si="25"/>
        <v>0</v>
      </c>
      <c r="H812" s="60"/>
      <c r="J812" s="6"/>
      <c r="X812" s="60"/>
      <c r="Z812" s="58" t="s">
        <v>1583</v>
      </c>
    </row>
    <row r="813" spans="1:26">
      <c r="A813" s="63" t="s">
        <v>1044</v>
      </c>
      <c r="B813" s="74" t="s">
        <v>26</v>
      </c>
      <c r="C813" s="60" t="str">
        <v>Page Industries Ltd</v>
      </c>
      <c r="D813" s="64">
        <v>0.0177731670034083</v>
      </c>
      <c r="E813" s="62">
        <f t="shared" si="24"/>
        <v>0.00148109725028402</v>
      </c>
      <c r="F813" s="60" t="str">
        <v>Consumer Discretionary</v>
      </c>
      <c r="G813" s="62">
        <f t="shared" si="25"/>
        <v>0.00148109725028402</v>
      </c>
      <c r="H813" s="60"/>
      <c r="J813" s="6"/>
      <c r="X813" s="60"/>
      <c r="Z813" s="63" t="s">
        <v>1044</v>
      </c>
    </row>
    <row r="814" spans="1:26">
      <c r="A814" s="58" t="s">
        <v>1064</v>
      </c>
      <c r="B814" s="74" t="s">
        <v>26</v>
      </c>
      <c r="C814" s="60" t="str">
        <v>Punjab National Bank</v>
      </c>
      <c r="D814" s="61">
        <v>0.00733118482365433</v>
      </c>
      <c r="E814" s="62">
        <f t="shared" si="24"/>
        <v>0.000610932068637861</v>
      </c>
      <c r="F814" s="60" t="str">
        <v>Financials</v>
      </c>
      <c r="G814" s="62">
        <f t="shared" si="25"/>
        <v>0.000610932068637861</v>
      </c>
      <c r="H814" s="60"/>
      <c r="J814" s="6"/>
      <c r="X814" s="60"/>
      <c r="Z814" s="58" t="s">
        <v>1064</v>
      </c>
    </row>
    <row r="815" spans="1:26">
      <c r="A815" s="63" t="s">
        <v>1585</v>
      </c>
      <c r="B815" s="74" t="s">
        <v>26</v>
      </c>
      <c r="C815" s="60" t="str">
        <v>Relaxo Footwears Ltd</v>
      </c>
      <c r="D815" s="64">
        <v>0.00551107297182059</v>
      </c>
      <c r="E815" s="62">
        <f t="shared" si="24"/>
        <v>0.000459256080985049</v>
      </c>
      <c r="F815" s="60" t="str">
        <v>Consumer Discretionary</v>
      </c>
      <c r="G815" s="62">
        <f t="shared" si="25"/>
        <v>0.000459256080985049</v>
      </c>
      <c r="H815" s="60"/>
      <c r="J815" s="6"/>
      <c r="X815" s="60"/>
      <c r="Z815" s="63" t="s">
        <v>1585</v>
      </c>
    </row>
    <row r="816" spans="1:26">
      <c r="A816" s="58" t="s">
        <v>1070</v>
      </c>
      <c r="B816" s="74" t="s">
        <v>26</v>
      </c>
      <c r="C816" s="60" t="str">
        <v>Reliance Industries Ltd</v>
      </c>
      <c r="D816" s="61">
        <v>0.0316824578528676</v>
      </c>
      <c r="E816" s="62">
        <f t="shared" si="24"/>
        <v>0.0026402048210723</v>
      </c>
      <c r="F816" s="60" t="str">
        <v>Energy</v>
      </c>
      <c r="G816" s="62">
        <f t="shared" si="25"/>
        <v>0.0026402048210723</v>
      </c>
      <c r="H816" s="60"/>
      <c r="J816" s="6"/>
      <c r="X816" s="60"/>
      <c r="Z816" s="58" t="s">
        <v>1070</v>
      </c>
    </row>
    <row r="817" spans="1:26">
      <c r="A817" s="63" t="s">
        <v>1451</v>
      </c>
      <c r="B817" s="74" t="s">
        <v>26</v>
      </c>
      <c r="C817" s="60" t="str">
        <v>Sheela Foam Ltd</v>
      </c>
      <c r="D817" s="64">
        <v>0.00286044479027984</v>
      </c>
      <c r="E817" s="62">
        <f t="shared" si="24"/>
        <v>0.000238370399189987</v>
      </c>
      <c r="F817" s="60" t="str">
        <v>Consumer Discretionary</v>
      </c>
      <c r="G817" s="62">
        <f t="shared" si="25"/>
        <v>0.000238370399189987</v>
      </c>
      <c r="H817" s="60"/>
      <c r="J817" s="6"/>
      <c r="X817" s="60"/>
      <c r="Z817" s="63" t="s">
        <v>1451</v>
      </c>
    </row>
    <row r="818" spans="1:26">
      <c r="A818" s="58" t="s">
        <v>1061</v>
      </c>
      <c r="B818" s="74" t="s">
        <v>26</v>
      </c>
      <c r="C818" s="60" t="str">
        <v>Shree Cement Ltd</v>
      </c>
      <c r="D818" s="61">
        <v>0.0267927742950263</v>
      </c>
      <c r="E818" s="62">
        <f t="shared" si="24"/>
        <v>0.00223273119125219</v>
      </c>
      <c r="F818" s="60" t="str">
        <v>Materials</v>
      </c>
      <c r="G818" s="62">
        <f t="shared" si="25"/>
        <v>0.00223273119125219</v>
      </c>
      <c r="H818" s="60"/>
      <c r="J818" s="6"/>
      <c r="X818" s="60"/>
      <c r="Z818" s="58" t="s">
        <v>1061</v>
      </c>
    </row>
    <row r="819" spans="1:26">
      <c r="A819" s="63" t="s">
        <v>1077</v>
      </c>
      <c r="B819" s="74" t="s">
        <v>26</v>
      </c>
      <c r="C819" s="60" t="str">
        <v>State Bank of India</v>
      </c>
      <c r="D819" s="64">
        <v>0.0274687484128627</v>
      </c>
      <c r="E819" s="62">
        <f t="shared" si="24"/>
        <v>0.00228906236773856</v>
      </c>
      <c r="F819" s="60" t="str">
        <v>Financials</v>
      </c>
      <c r="G819" s="62">
        <f t="shared" si="25"/>
        <v>0.00228906236773856</v>
      </c>
      <c r="H819" s="60"/>
      <c r="J819" s="6"/>
      <c r="X819" s="60"/>
      <c r="Z819" s="63" t="s">
        <v>1077</v>
      </c>
    </row>
    <row r="820" spans="1:26">
      <c r="A820" s="58" t="s">
        <v>1459</v>
      </c>
      <c r="B820" s="74" t="s">
        <v>26</v>
      </c>
      <c r="C820" s="60" t="str">
        <v>Steel Authority of India Ltd</v>
      </c>
      <c r="D820" s="61">
        <v>0.00962116653218603</v>
      </c>
      <c r="E820" s="62">
        <f t="shared" si="24"/>
        <v>0.000801763877682169</v>
      </c>
      <c r="F820" s="60" t="str">
        <v>Materials</v>
      </c>
      <c r="G820" s="62">
        <f t="shared" si="25"/>
        <v>0.000801763877682169</v>
      </c>
      <c r="H820" s="60"/>
      <c r="J820" s="6"/>
      <c r="X820" s="60"/>
      <c r="Z820" s="58" t="s">
        <v>1459</v>
      </c>
    </row>
    <row r="821" spans="1:26">
      <c r="A821" s="63" t="s">
        <v>1587</v>
      </c>
      <c r="B821" s="74" t="s">
        <v>26</v>
      </c>
      <c r="C821" s="60" t="str">
        <v>Sundram Fasteners Ltd</v>
      </c>
      <c r="D821" s="64">
        <v>0.00960309657528647</v>
      </c>
      <c r="E821" s="62">
        <f t="shared" si="24"/>
        <v>0.000800258047940539</v>
      </c>
      <c r="F821" s="60" t="str">
        <v>Consumer Discretionary</v>
      </c>
      <c r="G821" s="62">
        <f t="shared" si="25"/>
        <v>0.000800258047940539</v>
      </c>
      <c r="H821" s="60"/>
      <c r="J821" s="6"/>
      <c r="X821" s="60"/>
      <c r="Z821" s="63" t="s">
        <v>1587</v>
      </c>
    </row>
    <row r="822" spans="1:26">
      <c r="A822" s="58" t="s">
        <v>1092</v>
      </c>
      <c r="B822" s="74" t="s">
        <v>26</v>
      </c>
      <c r="C822" s="60" t="str">
        <v>Tata Steel Ltd</v>
      </c>
      <c r="D822" s="61">
        <v>0.00520970111514634</v>
      </c>
      <c r="E822" s="62">
        <f t="shared" si="24"/>
        <v>0.000434141759595528</v>
      </c>
      <c r="F822" s="60" t="str">
        <v>Materials</v>
      </c>
      <c r="G822" s="62">
        <f t="shared" si="25"/>
        <v>0.000434141759595528</v>
      </c>
      <c r="H822" s="60"/>
      <c r="J822" s="6"/>
      <c r="X822" s="60"/>
      <c r="Z822" s="58" t="s">
        <v>1092</v>
      </c>
    </row>
    <row r="823" spans="1:26">
      <c r="A823" s="63" t="s">
        <v>1589</v>
      </c>
      <c r="B823" s="74" t="s">
        <v>26</v>
      </c>
      <c r="C823" s="60" t="str">
        <v>Tega Industries Ltd</v>
      </c>
      <c r="D823" s="64">
        <v>0.00657272941898105</v>
      </c>
      <c r="E823" s="62">
        <f t="shared" si="24"/>
        <v>0.000547727451581754</v>
      </c>
      <c r="F823" s="60" t="str">
        <v>Industrials</v>
      </c>
      <c r="G823" s="62">
        <f t="shared" si="25"/>
        <v>0.000547727451581754</v>
      </c>
      <c r="H823" s="60"/>
      <c r="J823" s="6"/>
      <c r="X823" s="60"/>
      <c r="Z823" s="63" t="s">
        <v>1589</v>
      </c>
    </row>
    <row r="824" spans="1:26">
      <c r="A824" s="58" t="s">
        <v>1556</v>
      </c>
      <c r="B824" s="74" t="s">
        <v>26</v>
      </c>
      <c r="C824" s="60" t="str">
        <v>Ramco Cements Ltd/The</v>
      </c>
      <c r="D824" s="61">
        <v>0.00654724376287595</v>
      </c>
      <c r="E824" s="62">
        <f t="shared" si="24"/>
        <v>0.000545603646906329</v>
      </c>
      <c r="F824" s="60" t="str">
        <v>Materials</v>
      </c>
      <c r="G824" s="62">
        <f t="shared" si="25"/>
        <v>0.000545603646906329</v>
      </c>
      <c r="H824" s="60"/>
      <c r="J824" s="6"/>
      <c r="X824" s="60"/>
      <c r="Z824" s="58" t="s">
        <v>1556</v>
      </c>
    </row>
    <row r="825" spans="1:26">
      <c r="A825" s="63" t="s">
        <v>1457</v>
      </c>
      <c r="B825" s="74" t="s">
        <v>26</v>
      </c>
      <c r="C825" s="60" t="str">
        <v>Timken India Ltd</v>
      </c>
      <c r="D825" s="64">
        <v>0.00557327128679081</v>
      </c>
      <c r="E825" s="62">
        <f t="shared" si="24"/>
        <v>0.000464439273899234</v>
      </c>
      <c r="F825" s="60" t="str">
        <v>Industrials</v>
      </c>
      <c r="G825" s="62">
        <f t="shared" si="25"/>
        <v>0.000464439273899234</v>
      </c>
      <c r="H825" s="60"/>
      <c r="J825" s="6"/>
      <c r="X825" s="60"/>
      <c r="Z825" s="63" t="s">
        <v>1457</v>
      </c>
    </row>
    <row r="826" spans="1:26">
      <c r="A826" s="58" t="s">
        <v>1120</v>
      </c>
      <c r="B826" s="74" t="s">
        <v>26</v>
      </c>
      <c r="C826" s="60" t="str">
        <v>Torrent Power Ltd</v>
      </c>
      <c r="D826" s="61">
        <v>0.0156033538067904</v>
      </c>
      <c r="E826" s="62">
        <f t="shared" si="24"/>
        <v>0.0013002794838992</v>
      </c>
      <c r="F826" s="60" t="str">
        <v>Utilities</v>
      </c>
      <c r="G826" s="62">
        <f t="shared" si="25"/>
        <v>0.0013002794838992</v>
      </c>
      <c r="H826" s="60"/>
      <c r="J826" s="6"/>
      <c r="X826" s="60"/>
      <c r="Z826" s="58" t="s">
        <v>1120</v>
      </c>
    </row>
    <row r="827" spans="1:26">
      <c r="A827" s="63" t="s">
        <v>1275</v>
      </c>
      <c r="B827" s="74" t="s">
        <v>26</v>
      </c>
      <c r="C827" s="60" t="str">
        <v>Tube Investments of India Ltd</v>
      </c>
      <c r="D827" s="64">
        <v>0.0040668378138875</v>
      </c>
      <c r="E827" s="62">
        <f t="shared" si="24"/>
        <v>0.000338903151157292</v>
      </c>
      <c r="F827" s="60" t="str">
        <v>Consumer Discretionary</v>
      </c>
      <c r="G827" s="62">
        <f t="shared" si="25"/>
        <v>0.000338903151157292</v>
      </c>
      <c r="H827" s="60"/>
      <c r="J827" s="6"/>
      <c r="X827" s="60"/>
      <c r="Z827" s="63" t="s">
        <v>1275</v>
      </c>
    </row>
    <row r="828" spans="1:26">
      <c r="A828" s="58" t="s">
        <v>1126</v>
      </c>
      <c r="B828" s="74" t="s">
        <v>26</v>
      </c>
      <c r="C828" s="60" t="str">
        <v>United Breweries Ltd</v>
      </c>
      <c r="D828" s="61">
        <v>0.0116684062873458</v>
      </c>
      <c r="E828" s="62">
        <f t="shared" ref="E828:E889" si="26">_xlfn.IFNA(D828*VLOOKUP($B828,$AK$1:$AM$34,3,FALSE),0)</f>
        <v>0.00097236719061215</v>
      </c>
      <c r="F828" s="60" t="str">
        <v>Consumer Staples</v>
      </c>
      <c r="G828" s="62">
        <f t="shared" ref="G828:G889" si="27">_xlfn.IFNA(D828*VLOOKUP($B828,$AK$1:$AM$34,3,FALSE),0)</f>
        <v>0.00097236719061215</v>
      </c>
      <c r="H828" s="60"/>
      <c r="J828" s="6"/>
      <c r="X828" s="60"/>
      <c r="Z828" s="58" t="s">
        <v>1126</v>
      </c>
    </row>
    <row r="829" spans="1:26">
      <c r="A829" s="63" t="s">
        <v>1115</v>
      </c>
      <c r="B829" s="74" t="s">
        <v>26</v>
      </c>
      <c r="C829" s="60" t="str">
        <v>UNO Minda Ltd</v>
      </c>
      <c r="D829" s="64">
        <v>0.0109592879223122</v>
      </c>
      <c r="E829" s="62">
        <f t="shared" si="26"/>
        <v>0.000913273993526017</v>
      </c>
      <c r="F829" s="60" t="str">
        <v>Consumer Discretionary</v>
      </c>
      <c r="G829" s="62">
        <f t="shared" si="27"/>
        <v>0.000913273993526017</v>
      </c>
      <c r="H829" s="60"/>
      <c r="J829" s="6"/>
      <c r="X829" s="60"/>
      <c r="Z829" s="63" t="s">
        <v>1115</v>
      </c>
    </row>
    <row r="830" spans="1:26">
      <c r="A830" s="58" t="s">
        <v>1323</v>
      </c>
      <c r="B830" s="74" t="s">
        <v>26</v>
      </c>
      <c r="C830" s="60" t="str">
        <v>Wipro Ltd</v>
      </c>
      <c r="D830" s="61">
        <v>0.00297827434328533</v>
      </c>
      <c r="E830" s="62">
        <f t="shared" si="26"/>
        <v>0.000248189528607111</v>
      </c>
      <c r="F830" s="60" t="str">
        <v>Information Technology</v>
      </c>
      <c r="G830" s="62">
        <f t="shared" si="27"/>
        <v>0.000248189528607111</v>
      </c>
      <c r="H830" s="60"/>
      <c r="J830" s="6"/>
      <c r="X830" s="60"/>
      <c r="Z830" s="58" t="s">
        <v>1323</v>
      </c>
    </row>
    <row r="831" spans="1:26">
      <c r="A831" s="63" t="s">
        <v>1142</v>
      </c>
      <c r="B831" s="74" t="s">
        <v>26</v>
      </c>
      <c r="C831" s="60" t="str">
        <v>ZF Commercial Vehicle Control</v>
      </c>
      <c r="D831" s="64">
        <v>0.0114295476054949</v>
      </c>
      <c r="E831" s="62">
        <f t="shared" si="26"/>
        <v>0.000952462300457908</v>
      </c>
      <c r="F831" s="60" t="str">
        <v>Consumer Discretionary</v>
      </c>
      <c r="G831" s="62">
        <f t="shared" si="27"/>
        <v>0.000952462300457908</v>
      </c>
      <c r="H831" s="60"/>
      <c r="J831" s="6"/>
      <c r="X831" s="60"/>
      <c r="Z831" s="63" t="s">
        <v>1142</v>
      </c>
    </row>
    <row r="832" spans="1:26">
      <c r="A832" s="63" t="s">
        <v>846</v>
      </c>
      <c r="B832" s="59" t="s">
        <v>40</v>
      </c>
      <c r="C832" s="60" t="str">
        <v>3M India Ltd</v>
      </c>
      <c r="D832" s="64">
        <v>0.00772304386921485</v>
      </c>
      <c r="E832" s="62">
        <f t="shared" si="26"/>
        <v>0</v>
      </c>
      <c r="F832" s="60" t="str">
        <v>Industrials</v>
      </c>
      <c r="G832" s="62">
        <f t="shared" si="27"/>
        <v>0</v>
      </c>
      <c r="H832" s="60"/>
      <c r="J832" s="6"/>
      <c r="X832" s="60"/>
      <c r="Z832" s="63" t="s">
        <v>846</v>
      </c>
    </row>
    <row r="833" spans="1:26">
      <c r="A833" s="58" t="s">
        <v>1362</v>
      </c>
      <c r="B833" s="59" t="s">
        <v>40</v>
      </c>
      <c r="C833" s="60" t="str">
        <v>Aavas Financiers Ltd</v>
      </c>
      <c r="D833" s="61">
        <v>0.00835324908903847</v>
      </c>
      <c r="E833" s="62">
        <f t="shared" si="26"/>
        <v>0</v>
      </c>
      <c r="F833" s="60" t="str">
        <v>Financials</v>
      </c>
      <c r="G833" s="62">
        <f t="shared" si="27"/>
        <v>0</v>
      </c>
      <c r="H833" s="60"/>
      <c r="J833" s="6"/>
      <c r="X833" s="60"/>
      <c r="Z833" s="58" t="s">
        <v>1362</v>
      </c>
    </row>
    <row r="834" spans="1:26">
      <c r="A834" s="63" t="s">
        <v>1591</v>
      </c>
      <c r="B834" s="59" t="s">
        <v>40</v>
      </c>
      <c r="C834" s="60" t="str">
        <v>Affle 3i Ltd</v>
      </c>
      <c r="D834" s="64">
        <v>0.000838529447804805</v>
      </c>
      <c r="E834" s="62">
        <f t="shared" si="26"/>
        <v>0</v>
      </c>
      <c r="F834" s="60" t="str">
        <v>Communication Services</v>
      </c>
      <c r="G834" s="62">
        <f t="shared" si="27"/>
        <v>0</v>
      </c>
      <c r="H834" s="60"/>
      <c r="J834" s="6"/>
      <c r="X834" s="60"/>
      <c r="Z834" s="63" t="s">
        <v>1591</v>
      </c>
    </row>
    <row r="835" spans="1:26">
      <c r="A835" s="58" t="s">
        <v>861</v>
      </c>
      <c r="B835" s="59" t="s">
        <v>40</v>
      </c>
      <c r="C835" s="60" t="str">
        <v>Ajanta Pharma Ltd</v>
      </c>
      <c r="D835" s="61">
        <v>0.0139854627227642</v>
      </c>
      <c r="E835" s="62">
        <f t="shared" si="26"/>
        <v>0</v>
      </c>
      <c r="F835" s="60" t="str">
        <v>Health Care</v>
      </c>
      <c r="G835" s="62">
        <f t="shared" si="27"/>
        <v>0</v>
      </c>
      <c r="H835" s="60"/>
      <c r="J835" s="6"/>
      <c r="X835" s="60"/>
      <c r="Z835" s="58" t="s">
        <v>861</v>
      </c>
    </row>
    <row r="836" spans="1:26">
      <c r="A836" s="63" t="s">
        <v>1137</v>
      </c>
      <c r="B836" s="59" t="s">
        <v>40</v>
      </c>
      <c r="C836" s="60" t="str">
        <v>Asian Paints Ltd</v>
      </c>
      <c r="D836" s="64">
        <v>0.011026440323049</v>
      </c>
      <c r="E836" s="62">
        <f t="shared" si="26"/>
        <v>0</v>
      </c>
      <c r="F836" s="60" t="str">
        <v>Materials</v>
      </c>
      <c r="G836" s="62">
        <f t="shared" si="27"/>
        <v>0</v>
      </c>
      <c r="H836" s="60"/>
      <c r="J836" s="6"/>
      <c r="X836" s="60"/>
      <c r="Z836" s="63" t="s">
        <v>1137</v>
      </c>
    </row>
    <row r="837" spans="1:26">
      <c r="A837" s="58" t="s">
        <v>1299</v>
      </c>
      <c r="B837" s="59" t="s">
        <v>40</v>
      </c>
      <c r="C837" s="60" t="str">
        <v>Astral Ltd</v>
      </c>
      <c r="D837" s="61">
        <v>0.0171500062062392</v>
      </c>
      <c r="E837" s="62">
        <f t="shared" si="26"/>
        <v>0</v>
      </c>
      <c r="F837" s="60" t="str">
        <v>Industrials</v>
      </c>
      <c r="G837" s="62">
        <f t="shared" si="27"/>
        <v>0</v>
      </c>
      <c r="H837" s="60"/>
      <c r="J837" s="6"/>
      <c r="X837" s="60"/>
      <c r="Z837" s="58" t="s">
        <v>1299</v>
      </c>
    </row>
    <row r="838" spans="1:26">
      <c r="A838" s="63" t="s">
        <v>872</v>
      </c>
      <c r="B838" s="59" t="s">
        <v>40</v>
      </c>
      <c r="C838" s="60" t="str">
        <v>AU Small Finance Bank Ltd</v>
      </c>
      <c r="D838" s="64">
        <v>0.00801678223757764</v>
      </c>
      <c r="E838" s="62">
        <f t="shared" si="26"/>
        <v>0</v>
      </c>
      <c r="F838" s="60" t="str">
        <v>Financials</v>
      </c>
      <c r="G838" s="62">
        <f t="shared" si="27"/>
        <v>0</v>
      </c>
      <c r="H838" s="60"/>
      <c r="J838" s="6"/>
      <c r="X838" s="60"/>
      <c r="Z838" s="63" t="s">
        <v>872</v>
      </c>
    </row>
    <row r="839" spans="1:26">
      <c r="A839" s="58" t="s">
        <v>876</v>
      </c>
      <c r="B839" s="59" t="s">
        <v>40</v>
      </c>
      <c r="C839" s="60" t="str">
        <v>Avenue Supermarts Ltd</v>
      </c>
      <c r="D839" s="61">
        <v>0.0360857826915546</v>
      </c>
      <c r="E839" s="62">
        <f t="shared" si="26"/>
        <v>0</v>
      </c>
      <c r="F839" s="60" t="str">
        <v>Consumer Staples</v>
      </c>
      <c r="G839" s="62">
        <f t="shared" si="27"/>
        <v>0</v>
      </c>
      <c r="H839" s="60"/>
      <c r="J839" s="6"/>
      <c r="X839" s="60"/>
      <c r="Z839" s="58" t="s">
        <v>876</v>
      </c>
    </row>
    <row r="840" spans="1:26">
      <c r="A840" s="63" t="s">
        <v>878</v>
      </c>
      <c r="B840" s="59" t="s">
        <v>40</v>
      </c>
      <c r="C840" s="60" t="str">
        <v>Bajaj Finance Ltd</v>
      </c>
      <c r="D840" s="64">
        <v>0.0577564585163115</v>
      </c>
      <c r="E840" s="62">
        <f t="shared" si="26"/>
        <v>0</v>
      </c>
      <c r="F840" s="60" t="str">
        <v>Financials</v>
      </c>
      <c r="G840" s="62">
        <f t="shared" si="27"/>
        <v>0</v>
      </c>
      <c r="H840" s="60"/>
      <c r="J840" s="6"/>
      <c r="X840" s="60"/>
      <c r="Z840" s="63" t="s">
        <v>878</v>
      </c>
    </row>
    <row r="841" spans="1:26">
      <c r="A841" s="58" t="s">
        <v>1594</v>
      </c>
      <c r="B841" s="59" t="s">
        <v>40</v>
      </c>
      <c r="C841" s="60" t="str">
        <v>Barbeque Nation Hospitality Lt</v>
      </c>
      <c r="D841" s="61">
        <v>0.00216772593204214</v>
      </c>
      <c r="E841" s="62">
        <f t="shared" si="26"/>
        <v>0</v>
      </c>
      <c r="F841" s="60" t="str">
        <v>Consumer Discretionary</v>
      </c>
      <c r="G841" s="62">
        <f t="shared" si="27"/>
        <v>0</v>
      </c>
      <c r="H841" s="60"/>
      <c r="J841" s="6"/>
      <c r="X841" s="60"/>
      <c r="Z841" s="58" t="s">
        <v>1594</v>
      </c>
    </row>
    <row r="842" spans="1:26">
      <c r="A842" s="63" t="s">
        <v>883</v>
      </c>
      <c r="B842" s="59" t="s">
        <v>40</v>
      </c>
      <c r="C842" s="60" t="str">
        <v>Berger Paints India Ltd</v>
      </c>
      <c r="D842" s="64">
        <v>0.0110646798821368</v>
      </c>
      <c r="E842" s="62">
        <f t="shared" si="26"/>
        <v>0</v>
      </c>
      <c r="F842" s="60" t="str">
        <v>Materials</v>
      </c>
      <c r="G842" s="62">
        <f t="shared" si="27"/>
        <v>0</v>
      </c>
      <c r="H842" s="60"/>
      <c r="J842" s="6"/>
      <c r="X842" s="60"/>
      <c r="Z842" s="63" t="s">
        <v>883</v>
      </c>
    </row>
    <row r="843" spans="1:26">
      <c r="A843" s="58" t="s">
        <v>891</v>
      </c>
      <c r="B843" s="59" t="s">
        <v>40</v>
      </c>
      <c r="C843" s="60" t="str">
        <v>Bharti Airtel Ltd</v>
      </c>
      <c r="D843" s="61">
        <v>0.026267602645866</v>
      </c>
      <c r="E843" s="62">
        <f t="shared" si="26"/>
        <v>0</v>
      </c>
      <c r="F843" s="60" t="str">
        <v>Communication Services</v>
      </c>
      <c r="G843" s="62">
        <f t="shared" si="27"/>
        <v>0</v>
      </c>
      <c r="H843" s="60"/>
      <c r="J843" s="6"/>
      <c r="X843" s="60"/>
      <c r="Z843" s="58" t="s">
        <v>891</v>
      </c>
    </row>
    <row r="844" spans="1:26">
      <c r="A844" s="63" t="s">
        <v>906</v>
      </c>
      <c r="B844" s="59" t="s">
        <v>40</v>
      </c>
      <c r="C844" s="60" t="str">
        <v>CG Power &amp; Industrial Solution</v>
      </c>
      <c r="D844" s="64">
        <v>0.00689945673741281</v>
      </c>
      <c r="E844" s="62">
        <f t="shared" si="26"/>
        <v>0</v>
      </c>
      <c r="F844" s="60" t="str">
        <v>Industrials</v>
      </c>
      <c r="G844" s="62">
        <f t="shared" si="27"/>
        <v>0</v>
      </c>
      <c r="H844" s="60"/>
      <c r="J844" s="6"/>
      <c r="X844" s="60"/>
      <c r="Z844" s="63" t="s">
        <v>906</v>
      </c>
    </row>
    <row r="845" spans="1:26">
      <c r="A845" s="58" t="s">
        <v>1596</v>
      </c>
      <c r="B845" s="59" t="s">
        <v>40</v>
      </c>
      <c r="C845" s="60" t="str">
        <v>Clean Science &amp; Technology Ltd</v>
      </c>
      <c r="D845" s="61">
        <v>0.00565725505543751</v>
      </c>
      <c r="E845" s="62">
        <f t="shared" si="26"/>
        <v>0</v>
      </c>
      <c r="F845" s="60" t="str">
        <v>Materials</v>
      </c>
      <c r="G845" s="62">
        <f t="shared" si="27"/>
        <v>0</v>
      </c>
      <c r="H845" s="60"/>
      <c r="J845" s="6"/>
      <c r="X845" s="60"/>
      <c r="Z845" s="58" t="s">
        <v>1596</v>
      </c>
    </row>
    <row r="846" spans="1:26">
      <c r="A846" s="63" t="s">
        <v>918</v>
      </c>
      <c r="B846" s="59" t="s">
        <v>40</v>
      </c>
      <c r="C846" s="60" t="str">
        <v>Coforge Ltd</v>
      </c>
      <c r="D846" s="64">
        <v>0.031784906832791</v>
      </c>
      <c r="E846" s="62">
        <f t="shared" si="26"/>
        <v>0</v>
      </c>
      <c r="F846" s="60" t="str">
        <v>Information Technology</v>
      </c>
      <c r="G846" s="62">
        <f t="shared" si="27"/>
        <v>0</v>
      </c>
      <c r="H846" s="60"/>
      <c r="J846" s="6"/>
      <c r="X846" s="60"/>
      <c r="Z846" s="63" t="s">
        <v>918</v>
      </c>
    </row>
    <row r="847" spans="1:26">
      <c r="A847" s="58" t="s">
        <v>1598</v>
      </c>
      <c r="B847" s="59" t="s">
        <v>40</v>
      </c>
      <c r="C847" s="60" t="str">
        <v>Cohance Lifesciences Ltd</v>
      </c>
      <c r="D847" s="61">
        <v>0.00687867843087119</v>
      </c>
      <c r="E847" s="62">
        <f t="shared" si="26"/>
        <v>0</v>
      </c>
      <c r="F847" s="60" t="str">
        <v>Health Care</v>
      </c>
      <c r="G847" s="62">
        <f t="shared" si="27"/>
        <v>0</v>
      </c>
      <c r="H847" s="60"/>
      <c r="J847" s="6"/>
      <c r="X847" s="60"/>
      <c r="Z847" s="58" t="s">
        <v>1598</v>
      </c>
    </row>
    <row r="848" spans="1:26">
      <c r="A848" s="63" t="s">
        <v>1148</v>
      </c>
      <c r="B848" s="59" t="s">
        <v>40</v>
      </c>
      <c r="C848" s="60" t="str">
        <v>Divi's Laboratories Ltd</v>
      </c>
      <c r="D848" s="64">
        <v>0.0102249668845496</v>
      </c>
      <c r="E848" s="62">
        <f t="shared" si="26"/>
        <v>0</v>
      </c>
      <c r="F848" s="60" t="str">
        <v>Health Care</v>
      </c>
      <c r="G848" s="62">
        <f t="shared" si="27"/>
        <v>0</v>
      </c>
      <c r="H848" s="60"/>
      <c r="J848" s="6"/>
      <c r="X848" s="60"/>
      <c r="Z848" s="63" t="s">
        <v>1148</v>
      </c>
    </row>
    <row r="849" spans="1:26">
      <c r="A849" s="58" t="s">
        <v>928</v>
      </c>
      <c r="B849" s="59" t="s">
        <v>40</v>
      </c>
      <c r="C849" s="60" t="str">
        <v>Dixon Technologies India Ltd</v>
      </c>
      <c r="D849" s="61">
        <v>0.0322258492053394</v>
      </c>
      <c r="E849" s="62">
        <f t="shared" si="26"/>
        <v>0</v>
      </c>
      <c r="F849" s="60" t="str">
        <v>Consumer Discretionary</v>
      </c>
      <c r="G849" s="62">
        <f t="shared" si="27"/>
        <v>0</v>
      </c>
      <c r="H849" s="60"/>
      <c r="J849" s="6"/>
      <c r="X849" s="60"/>
      <c r="Z849" s="58" t="s">
        <v>928</v>
      </c>
    </row>
    <row r="850" spans="1:26">
      <c r="A850" s="63" t="s">
        <v>947</v>
      </c>
      <c r="B850" s="59" t="s">
        <v>40</v>
      </c>
      <c r="C850" s="60" t="str">
        <v>Dr Lal PathLabs Ltd</v>
      </c>
      <c r="D850" s="64">
        <v>0.0161256088302718</v>
      </c>
      <c r="E850" s="62">
        <f t="shared" si="26"/>
        <v>0</v>
      </c>
      <c r="F850" s="60" t="str">
        <v>Health Care</v>
      </c>
      <c r="G850" s="62">
        <f t="shared" si="27"/>
        <v>0</v>
      </c>
      <c r="H850" s="60"/>
      <c r="J850" s="6"/>
      <c r="X850" s="60"/>
      <c r="Z850" s="63" t="s">
        <v>947</v>
      </c>
    </row>
    <row r="851" spans="1:26">
      <c r="A851" s="58" t="s">
        <v>1164</v>
      </c>
      <c r="B851" s="59" t="s">
        <v>40</v>
      </c>
      <c r="C851" s="60" t="str">
        <v>Eicher Motors Ltd</v>
      </c>
      <c r="D851" s="61">
        <v>0.014939637442728</v>
      </c>
      <c r="E851" s="62">
        <f t="shared" si="26"/>
        <v>0</v>
      </c>
      <c r="F851" s="60" t="str">
        <v>Consumer Discretionary</v>
      </c>
      <c r="G851" s="62">
        <f t="shared" si="27"/>
        <v>0</v>
      </c>
      <c r="H851" s="60"/>
      <c r="J851" s="6"/>
      <c r="X851" s="60"/>
      <c r="Z851" s="58" t="s">
        <v>1164</v>
      </c>
    </row>
    <row r="852" spans="1:26">
      <c r="A852" s="63" t="s">
        <v>1600</v>
      </c>
      <c r="B852" s="59" t="s">
        <v>40</v>
      </c>
      <c r="C852" s="60" t="str">
        <v>Eris Lifesciences Ltd</v>
      </c>
      <c r="D852" s="64">
        <v>0.00941949896553467</v>
      </c>
      <c r="E852" s="62">
        <f t="shared" si="26"/>
        <v>0</v>
      </c>
      <c r="F852" s="60" t="str">
        <v>Health Care</v>
      </c>
      <c r="G852" s="62">
        <f t="shared" si="27"/>
        <v>0</v>
      </c>
      <c r="H852" s="60"/>
      <c r="J852" s="6"/>
      <c r="X852" s="60"/>
      <c r="Z852" s="63" t="s">
        <v>1600</v>
      </c>
    </row>
    <row r="853" spans="1:26">
      <c r="A853" s="58" t="s">
        <v>937</v>
      </c>
      <c r="B853" s="59" t="s">
        <v>40</v>
      </c>
      <c r="C853" s="60" t="str">
        <v>Eternal Ltd</v>
      </c>
      <c r="D853" s="61">
        <v>0.0524011916384108</v>
      </c>
      <c r="E853" s="62">
        <f t="shared" si="26"/>
        <v>0</v>
      </c>
      <c r="F853" s="60" t="str">
        <v>Consumer Discretionary</v>
      </c>
      <c r="G853" s="62">
        <f t="shared" si="27"/>
        <v>0</v>
      </c>
      <c r="H853" s="60"/>
      <c r="J853" s="6"/>
      <c r="X853" s="60"/>
      <c r="Z853" s="58" t="s">
        <v>937</v>
      </c>
    </row>
    <row r="854" spans="1:26">
      <c r="A854" s="63" t="s">
        <v>1206</v>
      </c>
      <c r="B854" s="59" t="s">
        <v>40</v>
      </c>
      <c r="C854" s="60" t="str">
        <v>Gland Pharma Ltd</v>
      </c>
      <c r="D854" s="64">
        <v>0.00633677225402376</v>
      </c>
      <c r="E854" s="62">
        <f t="shared" si="26"/>
        <v>0</v>
      </c>
      <c r="F854" s="60" t="str">
        <v>Health Care</v>
      </c>
      <c r="G854" s="62">
        <f t="shared" si="27"/>
        <v>0</v>
      </c>
      <c r="H854" s="60"/>
      <c r="J854" s="6"/>
      <c r="X854" s="60"/>
      <c r="Z854" s="63" t="s">
        <v>1206</v>
      </c>
    </row>
    <row r="855" spans="1:26">
      <c r="A855" s="58" t="s">
        <v>957</v>
      </c>
      <c r="B855" s="59" t="s">
        <v>40</v>
      </c>
      <c r="C855" s="60" t="str">
        <v>Global Health Ltd/India</v>
      </c>
      <c r="D855" s="61">
        <v>0.0136809633951957</v>
      </c>
      <c r="E855" s="62">
        <f t="shared" si="26"/>
        <v>0</v>
      </c>
      <c r="F855" s="60" t="str">
        <v>Health Care</v>
      </c>
      <c r="G855" s="62">
        <f t="shared" si="27"/>
        <v>0</v>
      </c>
      <c r="H855" s="60"/>
      <c r="J855" s="6"/>
      <c r="X855" s="60"/>
      <c r="Z855" s="58" t="s">
        <v>957</v>
      </c>
    </row>
    <row r="856" spans="1:26">
      <c r="A856" s="63" t="s">
        <v>1540</v>
      </c>
      <c r="B856" s="59" t="s">
        <v>40</v>
      </c>
      <c r="C856" s="60" t="str">
        <v>Grindwell Norton Ltd</v>
      </c>
      <c r="D856" s="64">
        <v>0.00752411017437558</v>
      </c>
      <c r="E856" s="62">
        <f t="shared" si="26"/>
        <v>0</v>
      </c>
      <c r="F856" s="60" t="str">
        <v>Industrials</v>
      </c>
      <c r="G856" s="62">
        <f t="shared" si="27"/>
        <v>0</v>
      </c>
      <c r="H856" s="60"/>
      <c r="J856" s="6"/>
      <c r="X856" s="60"/>
      <c r="Z856" s="63" t="s">
        <v>1540</v>
      </c>
    </row>
    <row r="857" spans="1:26">
      <c r="A857" s="58" t="s">
        <v>1172</v>
      </c>
      <c r="B857" s="59" t="s">
        <v>40</v>
      </c>
      <c r="C857" s="60" t="str">
        <v>Havells India Ltd</v>
      </c>
      <c r="D857" s="61">
        <v>0.0111790715259078</v>
      </c>
      <c r="E857" s="62">
        <f t="shared" si="26"/>
        <v>0</v>
      </c>
      <c r="F857" s="60" t="str">
        <v>Industrials</v>
      </c>
      <c r="G857" s="62">
        <f t="shared" si="27"/>
        <v>0</v>
      </c>
      <c r="H857" s="60"/>
      <c r="J857" s="6"/>
      <c r="X857" s="60"/>
      <c r="Z857" s="58" t="s">
        <v>1172</v>
      </c>
    </row>
    <row r="858" spans="1:26">
      <c r="A858" s="63" t="s">
        <v>960</v>
      </c>
      <c r="B858" s="59" t="s">
        <v>40</v>
      </c>
      <c r="C858" s="60" t="str">
        <v>HDFC Bank Ltd</v>
      </c>
      <c r="D858" s="64">
        <v>0.063683975607257</v>
      </c>
      <c r="E858" s="62">
        <f t="shared" si="26"/>
        <v>0</v>
      </c>
      <c r="F858" s="60" t="str">
        <v>Financials</v>
      </c>
      <c r="G858" s="62">
        <f t="shared" si="27"/>
        <v>0</v>
      </c>
      <c r="H858" s="60"/>
      <c r="J858" s="6"/>
      <c r="X858" s="60"/>
      <c r="Z858" s="63" t="s">
        <v>960</v>
      </c>
    </row>
    <row r="859" spans="1:26">
      <c r="A859" s="58" t="s">
        <v>972</v>
      </c>
      <c r="B859" s="59" t="s">
        <v>40</v>
      </c>
      <c r="C859" s="60" t="str">
        <v>ICICI Bank Ltd</v>
      </c>
      <c r="D859" s="61">
        <v>0.0664989202872447</v>
      </c>
      <c r="E859" s="62">
        <f t="shared" si="26"/>
        <v>0</v>
      </c>
      <c r="F859" s="60" t="str">
        <v>Financials</v>
      </c>
      <c r="G859" s="62">
        <f t="shared" si="27"/>
        <v>0</v>
      </c>
      <c r="H859" s="60"/>
      <c r="J859" s="6"/>
      <c r="X859" s="60"/>
      <c r="Z859" s="58" t="s">
        <v>972</v>
      </c>
    </row>
    <row r="860" spans="1:26">
      <c r="A860" s="63" t="s">
        <v>1220</v>
      </c>
      <c r="B860" s="59" t="s">
        <v>40</v>
      </c>
      <c r="C860" s="60" t="str">
        <v>IndiaMart InterMesh Ltd</v>
      </c>
      <c r="D860" s="64">
        <v>0.00895141281310839</v>
      </c>
      <c r="E860" s="62">
        <f t="shared" si="26"/>
        <v>0</v>
      </c>
      <c r="F860" s="60" t="str">
        <v>Industrials</v>
      </c>
      <c r="G860" s="62">
        <f t="shared" si="27"/>
        <v>0</v>
      </c>
      <c r="H860" s="60"/>
      <c r="J860" s="6"/>
      <c r="X860" s="60"/>
      <c r="Z860" s="63" t="s">
        <v>1220</v>
      </c>
    </row>
    <row r="861" spans="1:26">
      <c r="A861" s="58" t="s">
        <v>1155</v>
      </c>
      <c r="B861" s="59" t="s">
        <v>40</v>
      </c>
      <c r="C861" s="60" t="str">
        <v>Info Edge India Ltd</v>
      </c>
      <c r="D861" s="61">
        <v>0.036889759493574</v>
      </c>
      <c r="E861" s="62">
        <f t="shared" si="26"/>
        <v>0</v>
      </c>
      <c r="F861" s="60" t="str">
        <v>Communication Services</v>
      </c>
      <c r="G861" s="62">
        <f t="shared" si="27"/>
        <v>0</v>
      </c>
      <c r="H861" s="60"/>
      <c r="J861" s="6"/>
      <c r="X861" s="60"/>
      <c r="Z861" s="58" t="s">
        <v>1155</v>
      </c>
    </row>
    <row r="862" spans="1:26">
      <c r="A862" s="63" t="s">
        <v>991</v>
      </c>
      <c r="B862" s="59" t="s">
        <v>40</v>
      </c>
      <c r="C862" s="60" t="str">
        <v>Infosys Ltd</v>
      </c>
      <c r="D862" s="64">
        <v>0.0276650128660816</v>
      </c>
      <c r="E862" s="62">
        <f t="shared" si="26"/>
        <v>0</v>
      </c>
      <c r="F862" s="60" t="str">
        <v>Information Technology</v>
      </c>
      <c r="G862" s="62">
        <f t="shared" si="27"/>
        <v>0</v>
      </c>
      <c r="H862" s="60"/>
      <c r="J862" s="6"/>
      <c r="X862" s="60"/>
      <c r="Z862" s="63" t="s">
        <v>991</v>
      </c>
    </row>
    <row r="863" spans="1:26">
      <c r="A863" s="58" t="s">
        <v>1497</v>
      </c>
      <c r="B863" s="59" t="s">
        <v>40</v>
      </c>
      <c r="C863" s="60" t="str">
        <v>Ipca Laboratories Ltd</v>
      </c>
      <c r="D863" s="61">
        <v>0.00870208481437653</v>
      </c>
      <c r="E863" s="62">
        <f t="shared" si="26"/>
        <v>0</v>
      </c>
      <c r="F863" s="60" t="str">
        <v>Health Care</v>
      </c>
      <c r="G863" s="62">
        <f t="shared" si="27"/>
        <v>0</v>
      </c>
      <c r="H863" s="60"/>
      <c r="J863" s="6"/>
      <c r="X863" s="60"/>
      <c r="Z863" s="58" t="s">
        <v>1497</v>
      </c>
    </row>
    <row r="864" spans="1:26">
      <c r="A864" s="63" t="s">
        <v>1386</v>
      </c>
      <c r="B864" s="59" t="s">
        <v>40</v>
      </c>
      <c r="C864" s="60" t="str">
        <v>Jubilant Foodworks Ltd</v>
      </c>
      <c r="D864" s="64">
        <v>0.00933021882208096</v>
      </c>
      <c r="E864" s="62">
        <f t="shared" si="26"/>
        <v>0</v>
      </c>
      <c r="F864" s="60" t="str">
        <v>Consumer Discretionary</v>
      </c>
      <c r="G864" s="62">
        <f t="shared" si="27"/>
        <v>0</v>
      </c>
      <c r="H864" s="60"/>
      <c r="J864" s="6"/>
      <c r="X864" s="60"/>
      <c r="Z864" s="63" t="s">
        <v>1386</v>
      </c>
    </row>
    <row r="865" spans="1:26">
      <c r="A865" s="58" t="s">
        <v>1008</v>
      </c>
      <c r="B865" s="59" t="s">
        <v>40</v>
      </c>
      <c r="C865" s="60" t="str">
        <v>Kotak Mahindra Bank Ltd</v>
      </c>
      <c r="D865" s="61">
        <v>0.0351358165811789</v>
      </c>
      <c r="E865" s="62">
        <f t="shared" si="26"/>
        <v>0</v>
      </c>
      <c r="F865" s="60" t="str">
        <v>Financials</v>
      </c>
      <c r="G865" s="62">
        <f t="shared" si="27"/>
        <v>0</v>
      </c>
      <c r="H865" s="60"/>
      <c r="J865" s="6"/>
      <c r="X865" s="60"/>
      <c r="Z865" s="58" t="s">
        <v>1008</v>
      </c>
    </row>
    <row r="866" spans="1:26">
      <c r="A866" s="63" t="s">
        <v>999</v>
      </c>
      <c r="B866" s="59" t="s">
        <v>40</v>
      </c>
      <c r="C866" s="60" t="str">
        <v>LTIMindtree Ltd</v>
      </c>
      <c r="D866" s="64">
        <v>0.0328634087854885</v>
      </c>
      <c r="E866" s="62">
        <f t="shared" si="26"/>
        <v>0</v>
      </c>
      <c r="F866" s="60" t="str">
        <v>Information Technology</v>
      </c>
      <c r="G866" s="62">
        <f t="shared" si="27"/>
        <v>0</v>
      </c>
      <c r="H866" s="60"/>
      <c r="J866" s="6"/>
      <c r="X866" s="60"/>
      <c r="Z866" s="63" t="s">
        <v>999</v>
      </c>
    </row>
    <row r="867" spans="1:26">
      <c r="A867" s="58" t="s">
        <v>1023</v>
      </c>
      <c r="B867" s="59" t="s">
        <v>40</v>
      </c>
      <c r="C867" s="60" t="str">
        <v>Marico Ltd</v>
      </c>
      <c r="D867" s="61">
        <v>0.0101100185051902</v>
      </c>
      <c r="E867" s="62">
        <f t="shared" si="26"/>
        <v>0</v>
      </c>
      <c r="F867" s="60" t="str">
        <v>Consumer Staples</v>
      </c>
      <c r="G867" s="62">
        <f t="shared" si="27"/>
        <v>0</v>
      </c>
      <c r="H867" s="60"/>
      <c r="J867" s="6"/>
      <c r="X867" s="60"/>
      <c r="Z867" s="58" t="s">
        <v>1023</v>
      </c>
    </row>
    <row r="868" spans="1:26">
      <c r="A868" s="63" t="s">
        <v>1026</v>
      </c>
      <c r="B868" s="59" t="s">
        <v>40</v>
      </c>
      <c r="C868" s="60" t="str">
        <v>Maruti Suzuki India Ltd</v>
      </c>
      <c r="D868" s="64">
        <v>0.0251713863789912</v>
      </c>
      <c r="E868" s="62">
        <f t="shared" si="26"/>
        <v>0</v>
      </c>
      <c r="F868" s="60" t="str">
        <v>Consumer Discretionary</v>
      </c>
      <c r="G868" s="62">
        <f t="shared" si="27"/>
        <v>0</v>
      </c>
      <c r="H868" s="60"/>
      <c r="J868" s="6"/>
      <c r="X868" s="60"/>
      <c r="Z868" s="63" t="s">
        <v>1026</v>
      </c>
    </row>
    <row r="869" spans="1:26">
      <c r="A869" s="58" t="s">
        <v>1603</v>
      </c>
      <c r="B869" s="59" t="s">
        <v>40</v>
      </c>
      <c r="C869" s="60" t="str">
        <v>Metro Brands Ltd</v>
      </c>
      <c r="D869" s="61">
        <v>0.00610239825106226</v>
      </c>
      <c r="E869" s="62">
        <f t="shared" si="26"/>
        <v>0</v>
      </c>
      <c r="F869" s="60" t="str">
        <v>Consumer Discretionary</v>
      </c>
      <c r="G869" s="62">
        <f t="shared" si="27"/>
        <v>0</v>
      </c>
      <c r="H869" s="60"/>
      <c r="J869" s="6"/>
      <c r="X869" s="60"/>
      <c r="Z869" s="58" t="s">
        <v>1603</v>
      </c>
    </row>
    <row r="870" spans="1:26">
      <c r="A870" s="63" t="s">
        <v>1219</v>
      </c>
      <c r="B870" s="59" t="s">
        <v>40</v>
      </c>
      <c r="C870" s="60" t="str">
        <v>Motherson Sumi Wiring India Lt</v>
      </c>
      <c r="D870" s="64">
        <v>0.00897197699057753</v>
      </c>
      <c r="E870" s="62">
        <f t="shared" si="26"/>
        <v>0</v>
      </c>
      <c r="F870" s="60" t="str">
        <v>Consumer Discretionary</v>
      </c>
      <c r="G870" s="62">
        <f t="shared" si="27"/>
        <v>0</v>
      </c>
      <c r="H870" s="60"/>
      <c r="J870" s="6"/>
      <c r="X870" s="60"/>
      <c r="Z870" s="63" t="s">
        <v>1219</v>
      </c>
    </row>
    <row r="871" spans="1:26">
      <c r="A871" s="58" t="s">
        <v>1605</v>
      </c>
      <c r="B871" s="59" t="s">
        <v>40</v>
      </c>
      <c r="C871" s="60" t="str">
        <v>MTZ Polyfilms Ltd</v>
      </c>
      <c r="D871" s="61">
        <v>0</v>
      </c>
      <c r="E871" s="62">
        <f t="shared" si="26"/>
        <v>0</v>
      </c>
      <c r="F871" s="60" t="str">
        <v>#N/A N/A</v>
      </c>
      <c r="G871" s="62">
        <f t="shared" si="27"/>
        <v>0</v>
      </c>
      <c r="H871" s="60"/>
      <c r="J871" s="6"/>
      <c r="X871" s="60"/>
      <c r="Z871" s="58" t="s">
        <v>1605</v>
      </c>
    </row>
    <row r="872" spans="1:26">
      <c r="A872" s="63" t="s">
        <v>1607</v>
      </c>
      <c r="B872" s="59" t="s">
        <v>40</v>
      </c>
      <c r="C872" s="60" t="str">
        <v>Mukerian Papers</v>
      </c>
      <c r="D872" s="64">
        <v>0</v>
      </c>
      <c r="E872" s="62">
        <f t="shared" si="26"/>
        <v>0</v>
      </c>
      <c r="F872" s="60" t="str">
        <v>#N/A N/A</v>
      </c>
      <c r="G872" s="62">
        <f t="shared" si="27"/>
        <v>0</v>
      </c>
      <c r="H872" s="60"/>
      <c r="J872" s="6"/>
      <c r="X872" s="60"/>
      <c r="Z872" s="63" t="s">
        <v>1607</v>
      </c>
    </row>
    <row r="873" spans="1:26">
      <c r="A873" s="58" t="s">
        <v>1025</v>
      </c>
      <c r="B873" s="59" t="s">
        <v>40</v>
      </c>
      <c r="C873" s="60" t="str">
        <v>Nestle India Ltd</v>
      </c>
      <c r="D873" s="61">
        <v>0.0106569859146597</v>
      </c>
      <c r="E873" s="62">
        <f t="shared" si="26"/>
        <v>0</v>
      </c>
      <c r="F873" s="60" t="str">
        <v>Consumer Staples</v>
      </c>
      <c r="G873" s="62">
        <f t="shared" si="27"/>
        <v>0</v>
      </c>
      <c r="H873" s="60"/>
      <c r="J873" s="6"/>
      <c r="X873" s="60"/>
      <c r="Z873" s="58" t="s">
        <v>1025</v>
      </c>
    </row>
    <row r="874" spans="1:26">
      <c r="A874" s="63">
        <v>0</v>
      </c>
      <c r="B874" s="59" t="s">
        <v>40</v>
      </c>
      <c r="C874" s="60" t="str">
        <v>#N/A Invalid Security</v>
      </c>
      <c r="D874" s="64">
        <v>0</v>
      </c>
      <c r="E874" s="62">
        <f t="shared" si="26"/>
        <v>0</v>
      </c>
      <c r="F874" s="60" t="str">
        <v>#N/A Invalid Security</v>
      </c>
      <c r="G874" s="62">
        <f t="shared" si="27"/>
        <v>0</v>
      </c>
      <c r="H874" s="60"/>
      <c r="J874" s="6"/>
      <c r="X874" s="60"/>
      <c r="Z874" s="63">
        <v>0</v>
      </c>
    </row>
    <row r="875" spans="1:26">
      <c r="A875" s="58" t="s">
        <v>1044</v>
      </c>
      <c r="B875" s="59" t="s">
        <v>40</v>
      </c>
      <c r="C875" s="60" t="str">
        <v>Page Industries Ltd</v>
      </c>
      <c r="D875" s="61">
        <v>0.00960502428718125</v>
      </c>
      <c r="E875" s="62">
        <f t="shared" si="26"/>
        <v>0</v>
      </c>
      <c r="F875" s="60" t="str">
        <v>Consumer Discretionary</v>
      </c>
      <c r="G875" s="62">
        <f t="shared" si="27"/>
        <v>0</v>
      </c>
      <c r="H875" s="60"/>
      <c r="J875" s="6"/>
      <c r="X875" s="60"/>
      <c r="Z875" s="58" t="s">
        <v>1044</v>
      </c>
    </row>
    <row r="876" spans="1:26">
      <c r="A876" s="63" t="s">
        <v>1041</v>
      </c>
      <c r="B876" s="59" t="s">
        <v>40</v>
      </c>
      <c r="C876" s="60" t="str">
        <v>Persistent Systems Ltd</v>
      </c>
      <c r="D876" s="64">
        <v>0.0264399492964159</v>
      </c>
      <c r="E876" s="62">
        <f t="shared" si="26"/>
        <v>0</v>
      </c>
      <c r="F876" s="60" t="str">
        <v>Information Technology</v>
      </c>
      <c r="G876" s="62">
        <f t="shared" si="27"/>
        <v>0</v>
      </c>
      <c r="H876" s="60"/>
      <c r="J876" s="6"/>
      <c r="X876" s="60"/>
      <c r="Z876" s="63" t="s">
        <v>1041</v>
      </c>
    </row>
    <row r="877" spans="1:26">
      <c r="A877" s="58" t="s">
        <v>1043</v>
      </c>
      <c r="B877" s="59" t="s">
        <v>40</v>
      </c>
      <c r="C877" s="60" t="str">
        <v>PI Industries Ltd</v>
      </c>
      <c r="D877" s="61">
        <v>0.0133499276356639</v>
      </c>
      <c r="E877" s="62">
        <f t="shared" si="26"/>
        <v>0</v>
      </c>
      <c r="F877" s="60" t="str">
        <v>Materials</v>
      </c>
      <c r="G877" s="62">
        <f t="shared" si="27"/>
        <v>0</v>
      </c>
      <c r="H877" s="60"/>
      <c r="J877" s="6"/>
      <c r="X877" s="60"/>
      <c r="Z877" s="58" t="s">
        <v>1043</v>
      </c>
    </row>
    <row r="878" spans="1:26">
      <c r="A878" s="63" t="s">
        <v>1046</v>
      </c>
      <c r="B878" s="59" t="s">
        <v>40</v>
      </c>
      <c r="C878" s="60" t="str">
        <v>Pidilite Industries Ltd</v>
      </c>
      <c r="D878" s="64">
        <v>0.00966452880979361</v>
      </c>
      <c r="E878" s="62">
        <f t="shared" si="26"/>
        <v>0</v>
      </c>
      <c r="F878" s="60" t="str">
        <v>Materials</v>
      </c>
      <c r="G878" s="62">
        <f t="shared" si="27"/>
        <v>0</v>
      </c>
      <c r="H878" s="60"/>
      <c r="J878" s="6"/>
      <c r="X878" s="60"/>
      <c r="Z878" s="63" t="s">
        <v>1046</v>
      </c>
    </row>
    <row r="879" spans="1:26">
      <c r="A879" s="58" t="s">
        <v>1609</v>
      </c>
      <c r="B879" s="59" t="s">
        <v>40</v>
      </c>
      <c r="C879" s="60" t="str">
        <v>Poly Medicure Ltd</v>
      </c>
      <c r="D879" s="61">
        <v>0.0105243699401933</v>
      </c>
      <c r="E879" s="62">
        <f t="shared" si="26"/>
        <v>0</v>
      </c>
      <c r="F879" s="60" t="str">
        <v>Health Care</v>
      </c>
      <c r="G879" s="62">
        <f t="shared" si="27"/>
        <v>0</v>
      </c>
      <c r="H879" s="60"/>
      <c r="J879" s="6"/>
      <c r="X879" s="60"/>
      <c r="Z879" s="58" t="s">
        <v>1609</v>
      </c>
    </row>
    <row r="880" spans="1:26">
      <c r="A880" s="63" t="s">
        <v>1232</v>
      </c>
      <c r="B880" s="59" t="s">
        <v>40</v>
      </c>
      <c r="C880" s="60" t="str">
        <v>Polycab India Ltd</v>
      </c>
      <c r="D880" s="64">
        <v>0.0145260763386651</v>
      </c>
      <c r="E880" s="62">
        <f t="shared" si="26"/>
        <v>0</v>
      </c>
      <c r="F880" s="60" t="str">
        <v>Industrials</v>
      </c>
      <c r="G880" s="62">
        <f t="shared" si="27"/>
        <v>0</v>
      </c>
      <c r="H880" s="60"/>
      <c r="J880" s="6"/>
      <c r="X880" s="60"/>
      <c r="Z880" s="63" t="s">
        <v>1232</v>
      </c>
    </row>
    <row r="881" spans="1:26">
      <c r="A881" s="58" t="s">
        <v>1611</v>
      </c>
      <c r="B881" s="59" t="s">
        <v>40</v>
      </c>
      <c r="C881" s="60" t="str">
        <v>Rossari Biotech Ltd</v>
      </c>
      <c r="D881" s="61">
        <v>0.00479575150478427</v>
      </c>
      <c r="E881" s="62">
        <f t="shared" si="26"/>
        <v>0</v>
      </c>
      <c r="F881" s="60" t="str">
        <v>Materials</v>
      </c>
      <c r="G881" s="62">
        <f t="shared" si="27"/>
        <v>0</v>
      </c>
      <c r="H881" s="60"/>
      <c r="J881" s="6"/>
      <c r="X881" s="60"/>
      <c r="Z881" s="58" t="s">
        <v>1611</v>
      </c>
    </row>
    <row r="882" spans="1:26">
      <c r="A882" s="63" t="s">
        <v>1058</v>
      </c>
      <c r="B882" s="59" t="s">
        <v>40</v>
      </c>
      <c r="C882" s="60" t="str">
        <v>Schaeffler India Ltd</v>
      </c>
      <c r="D882" s="64">
        <v>0.0113854024068871</v>
      </c>
      <c r="E882" s="62">
        <f t="shared" si="26"/>
        <v>0</v>
      </c>
      <c r="F882" s="60" t="str">
        <v>Industrials</v>
      </c>
      <c r="G882" s="62">
        <f t="shared" si="27"/>
        <v>0</v>
      </c>
      <c r="H882" s="60"/>
      <c r="J882" s="6"/>
      <c r="X882" s="60"/>
      <c r="Z882" s="63" t="s">
        <v>1058</v>
      </c>
    </row>
    <row r="883" spans="1:26">
      <c r="A883" s="58" t="s">
        <v>1451</v>
      </c>
      <c r="B883" s="59" t="s">
        <v>40</v>
      </c>
      <c r="C883" s="60" t="str">
        <v>Sheela Foam Ltd</v>
      </c>
      <c r="D883" s="61">
        <v>0.00336064678130172</v>
      </c>
      <c r="E883" s="62">
        <f t="shared" si="26"/>
        <v>0</v>
      </c>
      <c r="F883" s="60" t="str">
        <v>Consumer Discretionary</v>
      </c>
      <c r="G883" s="62">
        <f t="shared" si="27"/>
        <v>0</v>
      </c>
      <c r="H883" s="60"/>
      <c r="J883" s="6"/>
      <c r="X883" s="60"/>
      <c r="Z883" s="58" t="s">
        <v>1451</v>
      </c>
    </row>
    <row r="884" spans="1:26">
      <c r="A884" s="63" t="s">
        <v>1061</v>
      </c>
      <c r="B884" s="59" t="s">
        <v>40</v>
      </c>
      <c r="C884" s="60" t="str">
        <v>Shree Cement Ltd</v>
      </c>
      <c r="D884" s="64">
        <v>0.0107416330836363</v>
      </c>
      <c r="E884" s="62">
        <f t="shared" si="26"/>
        <v>0</v>
      </c>
      <c r="F884" s="60" t="str">
        <v>Materials</v>
      </c>
      <c r="G884" s="62">
        <f t="shared" si="27"/>
        <v>0</v>
      </c>
      <c r="H884" s="60"/>
      <c r="J884" s="6"/>
      <c r="X884" s="60"/>
      <c r="Z884" s="63" t="s">
        <v>1061</v>
      </c>
    </row>
    <row r="885" spans="1:26">
      <c r="A885" s="58" t="s">
        <v>1613</v>
      </c>
      <c r="B885" s="59" t="s">
        <v>40</v>
      </c>
      <c r="C885" s="60" t="str">
        <v>Spartek Ceramics India Ltd</v>
      </c>
      <c r="D885" s="61">
        <v>0</v>
      </c>
      <c r="E885" s="62">
        <f t="shared" si="26"/>
        <v>0</v>
      </c>
      <c r="F885" s="60" t="str">
        <v>#N/A N/A</v>
      </c>
      <c r="G885" s="62">
        <f t="shared" si="27"/>
        <v>0</v>
      </c>
      <c r="H885" s="60"/>
      <c r="J885" s="6"/>
      <c r="X885" s="60"/>
      <c r="Z885" s="58" t="s">
        <v>1613</v>
      </c>
    </row>
    <row r="886" spans="1:26">
      <c r="A886" s="63" t="s">
        <v>1086</v>
      </c>
      <c r="B886" s="59" t="s">
        <v>40</v>
      </c>
      <c r="C886" s="60" t="str">
        <v>Syngene International Ltd</v>
      </c>
      <c r="D886" s="64">
        <v>0.00673275141460868</v>
      </c>
      <c r="E886" s="62">
        <f t="shared" si="26"/>
        <v>0</v>
      </c>
      <c r="F886" s="60" t="str">
        <v>Health Care</v>
      </c>
      <c r="G886" s="62">
        <f t="shared" si="27"/>
        <v>0</v>
      </c>
      <c r="H886" s="60"/>
      <c r="J886" s="6"/>
      <c r="X886" s="60"/>
      <c r="Z886" s="63" t="s">
        <v>1086</v>
      </c>
    </row>
    <row r="887" spans="1:26">
      <c r="A887" s="58" t="s">
        <v>1117</v>
      </c>
      <c r="B887" s="59" t="s">
        <v>40</v>
      </c>
      <c r="C887" s="60" t="str">
        <v>Titan Co Ltd</v>
      </c>
      <c r="D887" s="61">
        <v>0.0254499877685581</v>
      </c>
      <c r="E887" s="62">
        <f t="shared" si="26"/>
        <v>0</v>
      </c>
      <c r="F887" s="60" t="str">
        <v>Consumer Discretionary</v>
      </c>
      <c r="G887" s="62">
        <f t="shared" si="27"/>
        <v>0</v>
      </c>
      <c r="H887" s="60"/>
      <c r="J887" s="6"/>
      <c r="X887" s="75"/>
      <c r="Z887" s="58" t="s">
        <v>1117</v>
      </c>
    </row>
    <row r="888" spans="1:26">
      <c r="A888" s="63" t="s">
        <v>1177</v>
      </c>
      <c r="B888" s="59" t="s">
        <v>40</v>
      </c>
      <c r="C888" s="60" t="str">
        <v>Torrent Pharmaceuticals Ltd</v>
      </c>
      <c r="D888" s="64">
        <v>0.0110135380731185</v>
      </c>
      <c r="E888" s="62">
        <f t="shared" si="26"/>
        <v>0</v>
      </c>
      <c r="F888" s="60" t="str">
        <v>Health Care</v>
      </c>
      <c r="G888" s="62">
        <f t="shared" si="27"/>
        <v>0</v>
      </c>
      <c r="H888" s="60"/>
      <c r="J888" s="6"/>
      <c r="X888" s="75"/>
      <c r="Z888" s="63" t="s">
        <v>1177</v>
      </c>
    </row>
    <row r="889" spans="1:26">
      <c r="A889" s="58" t="s">
        <v>1103</v>
      </c>
      <c r="B889" s="59" t="s">
        <v>40</v>
      </c>
      <c r="C889" s="60" t="str">
        <v>Trent Ltd</v>
      </c>
      <c r="D889" s="61">
        <v>0.0266768967415029</v>
      </c>
      <c r="E889" s="62">
        <f t="shared" si="26"/>
        <v>0</v>
      </c>
      <c r="F889" s="60" t="str">
        <v>Consumer Discretionary</v>
      </c>
      <c r="G889" s="62">
        <f t="shared" si="27"/>
        <v>0</v>
      </c>
      <c r="H889" s="60"/>
      <c r="J889" s="6"/>
      <c r="X889" s="75"/>
      <c r="Z889" s="58" t="s">
        <v>1103</v>
      </c>
    </row>
    <row r="890" spans="1:26">
      <c r="A890" t="s">
        <v>1615</v>
      </c>
      <c r="B890" s="59" t="s">
        <v>31</v>
      </c>
      <c r="C890" s="60" t="str">
        <v>Sumitomo Chemical India Ltd</v>
      </c>
      <c r="D890" s="4">
        <v>0.031</v>
      </c>
      <c r="E890" s="62">
        <f t="shared" ref="E890:E913" si="28">_xlfn.IFNA(D890*VLOOKUP($B890,$AK$1:$AM$34,3,FALSE),0)</f>
        <v>0</v>
      </c>
      <c r="F890" s="60" t="str">
        <v>Materials</v>
      </c>
      <c r="G890" s="62">
        <f t="shared" ref="G890:G913" si="29">_xlfn.IFNA(D890*VLOOKUP($B890,$AK$1:$AM$34,3,FALSE),0)</f>
        <v>0</v>
      </c>
      <c r="H890" s="60"/>
      <c r="J890" s="6"/>
      <c r="X890" s="75"/>
      <c r="Z890" t="s">
        <v>1615</v>
      </c>
    </row>
    <row r="891" spans="1:26">
      <c r="A891" t="s">
        <v>1105</v>
      </c>
      <c r="B891" s="59" t="s">
        <v>31</v>
      </c>
      <c r="C891" s="60" t="str">
        <v>TVS Motor Co Ltd</v>
      </c>
      <c r="D891" s="4">
        <v>0.015</v>
      </c>
      <c r="E891" s="62">
        <f t="shared" si="28"/>
        <v>0</v>
      </c>
      <c r="F891" s="60" t="str">
        <v>Consumer Discretionary</v>
      </c>
      <c r="G891" s="62">
        <f t="shared" si="29"/>
        <v>0</v>
      </c>
      <c r="H891" s="60"/>
      <c r="J891" s="6"/>
      <c r="X891" s="75"/>
      <c r="Z891" t="s">
        <v>1105</v>
      </c>
    </row>
    <row r="892" spans="1:26">
      <c r="A892" t="s">
        <v>1115</v>
      </c>
      <c r="B892" s="59" t="s">
        <v>31</v>
      </c>
      <c r="C892" s="60" t="str">
        <v>UNO Minda Ltd</v>
      </c>
      <c r="D892" s="4">
        <v>0.021</v>
      </c>
      <c r="E892" s="62">
        <f t="shared" si="28"/>
        <v>0</v>
      </c>
      <c r="F892" s="60" t="str">
        <v>Consumer Discretionary</v>
      </c>
      <c r="G892" s="62">
        <f t="shared" si="29"/>
        <v>0</v>
      </c>
      <c r="H892" s="60"/>
      <c r="J892" s="6"/>
      <c r="X892" s="75"/>
      <c r="Z892" t="s">
        <v>1115</v>
      </c>
    </row>
    <row r="893" spans="1:26">
      <c r="A893" t="s">
        <v>925</v>
      </c>
      <c r="B893" s="59" t="s">
        <v>31</v>
      </c>
      <c r="C893" s="60" t="str">
        <v>Craftsman Automation Ltd</v>
      </c>
      <c r="D893" s="4">
        <v>0.02</v>
      </c>
      <c r="E893" s="62">
        <f t="shared" si="28"/>
        <v>0</v>
      </c>
      <c r="F893" s="60" t="str">
        <v>Industrials</v>
      </c>
      <c r="G893" s="62">
        <f t="shared" si="29"/>
        <v>0</v>
      </c>
      <c r="H893" s="60"/>
      <c r="J893" s="6"/>
      <c r="X893" s="75"/>
      <c r="Z893" t="s">
        <v>925</v>
      </c>
    </row>
    <row r="894" spans="1:26">
      <c r="A894" t="s">
        <v>1617</v>
      </c>
      <c r="B894" s="59" t="s">
        <v>31</v>
      </c>
      <c r="C894" s="60" t="str">
        <v>SJS Enterprises Ltd</v>
      </c>
      <c r="D894" s="4">
        <v>0.01</v>
      </c>
      <c r="E894" s="62">
        <f t="shared" si="28"/>
        <v>0</v>
      </c>
      <c r="F894" s="60" t="str">
        <v>Consumer Discretionary</v>
      </c>
      <c r="G894" s="62">
        <f t="shared" si="29"/>
        <v>0</v>
      </c>
      <c r="H894" s="60"/>
      <c r="J894" s="6"/>
      <c r="X894" s="75"/>
      <c r="Z894" t="s">
        <v>1617</v>
      </c>
    </row>
    <row r="895" spans="1:26">
      <c r="A895" t="s">
        <v>1619</v>
      </c>
      <c r="B895" s="59" t="s">
        <v>31</v>
      </c>
      <c r="C895" s="60" t="str">
        <v>Gabriel India Ltd</v>
      </c>
      <c r="D895" s="4">
        <v>0.012</v>
      </c>
      <c r="E895" s="62">
        <f t="shared" si="28"/>
        <v>0</v>
      </c>
      <c r="F895" s="60" t="str">
        <v>Consumer Discretionary</v>
      </c>
      <c r="G895" s="62">
        <f t="shared" si="29"/>
        <v>0</v>
      </c>
      <c r="H895" s="60"/>
      <c r="J895" s="6"/>
      <c r="X895" s="75"/>
      <c r="Z895" t="s">
        <v>1619</v>
      </c>
    </row>
    <row r="896" spans="1:26">
      <c r="A896" t="s">
        <v>1621</v>
      </c>
      <c r="B896" s="59" t="s">
        <v>31</v>
      </c>
      <c r="C896" s="60" t="str">
        <v>Shriram Pistons &amp; Rings Ltd</v>
      </c>
      <c r="D896" s="4">
        <v>0.015</v>
      </c>
      <c r="E896" s="62">
        <f t="shared" si="28"/>
        <v>0</v>
      </c>
      <c r="F896" s="60" t="str">
        <v>Consumer Discretionary</v>
      </c>
      <c r="G896" s="62">
        <f t="shared" si="29"/>
        <v>0</v>
      </c>
      <c r="H896" s="60"/>
      <c r="J896" s="6"/>
      <c r="X896" s="75"/>
      <c r="Z896" t="s">
        <v>1621</v>
      </c>
    </row>
    <row r="897" spans="1:26">
      <c r="A897" t="s">
        <v>912</v>
      </c>
      <c r="B897" s="59" t="s">
        <v>31</v>
      </c>
      <c r="C897" s="60" t="str">
        <v>Cholamandalam Investment and F</v>
      </c>
      <c r="D897" s="4">
        <v>0.009</v>
      </c>
      <c r="E897" s="62">
        <f t="shared" si="28"/>
        <v>0</v>
      </c>
      <c r="F897" s="60" t="str">
        <v>Financials</v>
      </c>
      <c r="G897" s="62">
        <f t="shared" si="29"/>
        <v>0</v>
      </c>
      <c r="H897" s="60"/>
      <c r="J897" s="6"/>
      <c r="X897" s="75"/>
      <c r="Z897" t="s">
        <v>912</v>
      </c>
    </row>
    <row r="898" spans="1:26">
      <c r="A898" t="s">
        <v>1623</v>
      </c>
      <c r="B898" s="59" t="s">
        <v>31</v>
      </c>
      <c r="C898" s="60" t="str">
        <v>Home First Finance Co India Lt</v>
      </c>
      <c r="D898" s="4">
        <v>0.017</v>
      </c>
      <c r="E898" s="62">
        <f t="shared" si="28"/>
        <v>0</v>
      </c>
      <c r="F898" s="60" t="str">
        <v>Financials</v>
      </c>
      <c r="G898" s="62">
        <f t="shared" si="29"/>
        <v>0</v>
      </c>
      <c r="H898" s="60"/>
      <c r="J898" s="6"/>
      <c r="X898" s="75"/>
      <c r="Z898" t="s">
        <v>1623</v>
      </c>
    </row>
    <row r="899" spans="1:26">
      <c r="A899" t="s">
        <v>974</v>
      </c>
      <c r="B899" s="59" t="s">
        <v>31</v>
      </c>
      <c r="C899" s="60" t="str">
        <v>Indian Bank</v>
      </c>
      <c r="D899" s="4">
        <v>0.015</v>
      </c>
      <c r="E899" s="62">
        <f t="shared" si="28"/>
        <v>0</v>
      </c>
      <c r="F899" s="60" t="str">
        <v>Financials</v>
      </c>
      <c r="G899" s="62">
        <f t="shared" si="29"/>
        <v>0</v>
      </c>
      <c r="H899" s="60"/>
      <c r="J899" s="6"/>
      <c r="X899" s="75"/>
      <c r="Z899" t="s">
        <v>974</v>
      </c>
    </row>
    <row r="900" spans="1:26">
      <c r="A900" t="s">
        <v>1347</v>
      </c>
      <c r="B900" s="59" t="s">
        <v>31</v>
      </c>
      <c r="C900" s="60" t="str">
        <v>Shriram Finance Ltd</v>
      </c>
      <c r="D900" s="4">
        <v>0.02</v>
      </c>
      <c r="E900" s="62">
        <f t="shared" si="28"/>
        <v>0</v>
      </c>
      <c r="F900" s="60" t="str">
        <v>Financials</v>
      </c>
      <c r="G900" s="62">
        <f t="shared" si="29"/>
        <v>0</v>
      </c>
      <c r="H900" s="60"/>
      <c r="J900" s="6"/>
      <c r="X900" s="75"/>
      <c r="Z900" t="s">
        <v>1347</v>
      </c>
    </row>
    <row r="901" spans="1:26">
      <c r="A901" t="s">
        <v>1436</v>
      </c>
      <c r="B901" s="59" t="s">
        <v>31</v>
      </c>
      <c r="C901" s="60" t="str">
        <v>PNB Housing Finance Ltd</v>
      </c>
      <c r="D901" s="4">
        <v>0.021</v>
      </c>
      <c r="E901" s="62">
        <f t="shared" si="28"/>
        <v>0</v>
      </c>
      <c r="F901" s="60" t="str">
        <v>Financials</v>
      </c>
      <c r="G901" s="62">
        <f t="shared" si="29"/>
        <v>0</v>
      </c>
      <c r="H901" s="60"/>
      <c r="J901" s="6"/>
      <c r="X901" s="75"/>
      <c r="Z901" t="s">
        <v>1436</v>
      </c>
    </row>
    <row r="902" spans="1:26">
      <c r="A902" t="s">
        <v>1625</v>
      </c>
      <c r="B902" s="59" t="s">
        <v>31</v>
      </c>
      <c r="C902" s="60" t="str">
        <v>Aadhar Housing Finance Ltd</v>
      </c>
      <c r="D902" s="4">
        <v>0.022</v>
      </c>
      <c r="E902" s="62">
        <f t="shared" si="28"/>
        <v>0</v>
      </c>
      <c r="F902" s="60" t="str">
        <v>Financials</v>
      </c>
      <c r="G902" s="62">
        <f t="shared" si="29"/>
        <v>0</v>
      </c>
      <c r="H902" s="60"/>
      <c r="J902" s="6"/>
      <c r="X902" s="75"/>
      <c r="Z902" t="s">
        <v>1625</v>
      </c>
    </row>
    <row r="903" spans="1:26">
      <c r="A903" t="s">
        <v>872</v>
      </c>
      <c r="B903" s="59" t="s">
        <v>31</v>
      </c>
      <c r="C903" s="60" t="str">
        <v>AU Small Finance Bank Ltd</v>
      </c>
      <c r="D903" s="4">
        <v>0.009</v>
      </c>
      <c r="E903" s="62">
        <f t="shared" si="28"/>
        <v>0</v>
      </c>
      <c r="F903" s="60" t="str">
        <v>Financials</v>
      </c>
      <c r="G903" s="62">
        <f t="shared" si="29"/>
        <v>0</v>
      </c>
      <c r="H903" s="60"/>
      <c r="J903" s="6"/>
      <c r="X903" s="75"/>
      <c r="Z903" t="s">
        <v>872</v>
      </c>
    </row>
    <row r="904" spans="1:26">
      <c r="A904" t="s">
        <v>1217</v>
      </c>
      <c r="B904" s="59" t="s">
        <v>31</v>
      </c>
      <c r="C904" s="60" t="str">
        <v>Max Financial Services Ltd</v>
      </c>
      <c r="D904" s="4">
        <v>0.01</v>
      </c>
      <c r="E904" s="62">
        <f t="shared" si="28"/>
        <v>0</v>
      </c>
      <c r="F904" s="60" t="str">
        <v>Financials</v>
      </c>
      <c r="G904" s="62">
        <f t="shared" si="29"/>
        <v>0</v>
      </c>
      <c r="H904" s="60"/>
      <c r="J904" s="6"/>
      <c r="X904" s="75"/>
      <c r="Z904" t="s">
        <v>1217</v>
      </c>
    </row>
    <row r="905" spans="1:26">
      <c r="A905" t="s">
        <v>979</v>
      </c>
      <c r="B905" s="59" t="s">
        <v>31</v>
      </c>
      <c r="C905" s="60" t="str">
        <v>JK Cement Ltd</v>
      </c>
      <c r="D905" s="4">
        <v>0.017</v>
      </c>
      <c r="E905" s="62">
        <f t="shared" si="28"/>
        <v>0</v>
      </c>
      <c r="F905" s="60" t="str">
        <v>Materials</v>
      </c>
      <c r="G905" s="62">
        <f t="shared" si="29"/>
        <v>0</v>
      </c>
      <c r="H905" s="60"/>
      <c r="J905" s="6"/>
      <c r="X905" s="75"/>
      <c r="Z905" t="s">
        <v>979</v>
      </c>
    </row>
    <row r="906" spans="1:26">
      <c r="A906" t="s">
        <v>1022</v>
      </c>
      <c r="B906" s="59" t="s">
        <v>31</v>
      </c>
      <c r="C906" s="60" t="str">
        <v>Navin Fluorine International L</v>
      </c>
      <c r="D906" s="4">
        <v>0.02</v>
      </c>
      <c r="E906" s="62">
        <f t="shared" si="28"/>
        <v>0</v>
      </c>
      <c r="F906" s="60" t="str">
        <v>Materials</v>
      </c>
      <c r="G906" s="62">
        <f t="shared" si="29"/>
        <v>0</v>
      </c>
      <c r="H906" s="60"/>
      <c r="J906" s="6"/>
      <c r="X906" s="75"/>
      <c r="Z906" t="s">
        <v>1022</v>
      </c>
    </row>
    <row r="907" spans="1:26">
      <c r="A907" t="s">
        <v>1627</v>
      </c>
      <c r="B907" s="59" t="s">
        <v>31</v>
      </c>
      <c r="C907" s="60" t="str">
        <v>Sudarshan Chemical Industries</v>
      </c>
      <c r="D907" s="4">
        <v>0.022</v>
      </c>
      <c r="E907" s="62">
        <f t="shared" si="28"/>
        <v>0</v>
      </c>
      <c r="F907" s="60" t="str">
        <v>Materials</v>
      </c>
      <c r="G907" s="62">
        <f t="shared" si="29"/>
        <v>0</v>
      </c>
      <c r="H907" s="60"/>
      <c r="J907" s="6"/>
      <c r="X907" s="75"/>
      <c r="Z907" t="s">
        <v>1627</v>
      </c>
    </row>
    <row r="908" spans="1:26">
      <c r="A908" t="s">
        <v>1629</v>
      </c>
      <c r="B908" s="59" t="s">
        <v>31</v>
      </c>
      <c r="C908" s="60" t="str">
        <v>Aether Industries Ltd</v>
      </c>
      <c r="D908" s="4">
        <v>0.013</v>
      </c>
      <c r="E908" s="62">
        <f t="shared" si="28"/>
        <v>0</v>
      </c>
      <c r="F908" s="60" t="str">
        <v>Health Care</v>
      </c>
      <c r="G908" s="62">
        <f t="shared" si="29"/>
        <v>0</v>
      </c>
      <c r="H908" s="60"/>
      <c r="J908" s="6"/>
      <c r="X908" s="75"/>
      <c r="Z908" t="s">
        <v>1629</v>
      </c>
    </row>
    <row r="909" spans="1:26">
      <c r="A909" t="s">
        <v>1631</v>
      </c>
      <c r="B909" s="59" t="s">
        <v>31</v>
      </c>
      <c r="C909" s="60" t="str">
        <v>Camlin Fine Sciences Ltd</v>
      </c>
      <c r="D909" s="4">
        <v>0.014</v>
      </c>
      <c r="E909" s="62">
        <f t="shared" si="28"/>
        <v>0</v>
      </c>
      <c r="F909" s="60" t="str">
        <v>Materials</v>
      </c>
      <c r="G909" s="62">
        <f t="shared" si="29"/>
        <v>0</v>
      </c>
      <c r="H909" s="60"/>
      <c r="J909" s="6"/>
      <c r="X909" s="75"/>
      <c r="Z909" t="s">
        <v>1631</v>
      </c>
    </row>
    <row r="910" spans="1:26">
      <c r="A910" t="s">
        <v>1132</v>
      </c>
      <c r="B910" s="59" t="s">
        <v>31</v>
      </c>
      <c r="C910" s="60" t="str">
        <v>Vinati Organics Ltd</v>
      </c>
      <c r="D910" s="4">
        <v>0.014</v>
      </c>
      <c r="E910" s="62">
        <f t="shared" si="28"/>
        <v>0</v>
      </c>
      <c r="F910" s="60" t="str">
        <v>Materials</v>
      </c>
      <c r="G910" s="62">
        <f t="shared" si="29"/>
        <v>0</v>
      </c>
      <c r="H910" s="60"/>
      <c r="J910" s="6"/>
      <c r="X910" s="75"/>
      <c r="Z910" t="s">
        <v>1132</v>
      </c>
    </row>
    <row r="911" spans="1:26">
      <c r="A911" t="s">
        <v>1633</v>
      </c>
      <c r="B911" s="59" t="s">
        <v>31</v>
      </c>
      <c r="C911" s="60" t="str">
        <v>Jubilant Ingrevia Ltd</v>
      </c>
      <c r="D911" s="4">
        <v>0.016</v>
      </c>
      <c r="E911" s="62">
        <f t="shared" si="28"/>
        <v>0</v>
      </c>
      <c r="F911" s="60" t="str">
        <v>Materials</v>
      </c>
      <c r="G911" s="62">
        <f t="shared" si="29"/>
        <v>0</v>
      </c>
      <c r="H911" s="60"/>
      <c r="J911" s="6"/>
      <c r="X911" s="75"/>
      <c r="Z911" t="s">
        <v>1633</v>
      </c>
    </row>
    <row r="912" spans="1:26">
      <c r="A912" t="s">
        <v>1403</v>
      </c>
      <c r="B912" s="59" t="s">
        <v>31</v>
      </c>
      <c r="C912" s="60" t="str">
        <v>Finolex Cables Ltd</v>
      </c>
      <c r="D912" s="4">
        <v>0.013</v>
      </c>
      <c r="E912" s="62">
        <f t="shared" si="28"/>
        <v>0</v>
      </c>
      <c r="F912" s="60" t="str">
        <v>Industrials</v>
      </c>
      <c r="G912" s="62">
        <f t="shared" si="29"/>
        <v>0</v>
      </c>
      <c r="H912" s="60"/>
      <c r="J912" s="6"/>
      <c r="X912" s="60"/>
      <c r="Z912" t="s">
        <v>1403</v>
      </c>
    </row>
    <row r="913" spans="1:26">
      <c r="A913" t="s">
        <v>1636</v>
      </c>
      <c r="B913" s="59" t="s">
        <v>31</v>
      </c>
      <c r="C913" s="60" t="str">
        <v>V2 Retail Ltd</v>
      </c>
      <c r="D913" s="4">
        <v>0.01</v>
      </c>
      <c r="E913" s="62">
        <f t="shared" si="28"/>
        <v>0</v>
      </c>
      <c r="F913" s="60" t="str">
        <v>Consumer Discretionary</v>
      </c>
      <c r="G913" s="62">
        <f t="shared" si="29"/>
        <v>0</v>
      </c>
      <c r="H913" s="60"/>
      <c r="J913" s="6"/>
      <c r="X913" s="60"/>
      <c r="Z913" t="s">
        <v>1636</v>
      </c>
    </row>
    <row r="914" spans="1:26">
      <c r="A914" t="s">
        <v>1638</v>
      </c>
      <c r="B914" s="59" t="s">
        <v>31</v>
      </c>
      <c r="C914" s="60" t="str">
        <v>Eureka Forbes Ltd</v>
      </c>
      <c r="D914" s="4">
        <v>0.018</v>
      </c>
      <c r="E914" s="62">
        <f t="shared" ref="E914:E977" si="30">_xlfn.IFNA(D914*VLOOKUP($B914,$AK$1:$AM$34,3,FALSE),0)</f>
        <v>0</v>
      </c>
      <c r="F914" s="60" t="str">
        <v>Consumer Discretionary</v>
      </c>
      <c r="G914" s="62">
        <f t="shared" ref="G914:G977" si="31">_xlfn.IFNA(D914*VLOOKUP($B914,$AK$1:$AM$34,3,FALSE),0)</f>
        <v>0</v>
      </c>
      <c r="H914" s="60"/>
      <c r="J914" s="6"/>
      <c r="X914" s="60"/>
      <c r="Z914" t="s">
        <v>1638</v>
      </c>
    </row>
    <row r="915" spans="1:26">
      <c r="A915" t="s">
        <v>1640</v>
      </c>
      <c r="B915" s="59" t="s">
        <v>31</v>
      </c>
      <c r="C915" s="60" t="str">
        <v>Avalon Technologies Ltd</v>
      </c>
      <c r="D915" s="4">
        <v>0.01</v>
      </c>
      <c r="E915" s="62">
        <f t="shared" si="30"/>
        <v>0</v>
      </c>
      <c r="F915" s="60" t="str">
        <v>Information Technology</v>
      </c>
      <c r="G915" s="62">
        <f t="shared" si="31"/>
        <v>0</v>
      </c>
      <c r="H915" s="60"/>
      <c r="J915" s="6"/>
      <c r="X915" s="60"/>
      <c r="Z915" t="s">
        <v>1640</v>
      </c>
    </row>
    <row r="916" spans="1:26">
      <c r="A916" t="s">
        <v>1051</v>
      </c>
      <c r="B916" s="59" t="s">
        <v>31</v>
      </c>
      <c r="C916" s="60" t="str">
        <v>PG Electroplast Ltd</v>
      </c>
      <c r="D916" s="4">
        <v>0.015</v>
      </c>
      <c r="E916" s="62">
        <f t="shared" si="30"/>
        <v>0</v>
      </c>
      <c r="F916" s="60" t="str">
        <v>Information Technology</v>
      </c>
      <c r="G916" s="62">
        <f t="shared" si="31"/>
        <v>0</v>
      </c>
      <c r="H916" s="60"/>
      <c r="J916" s="6"/>
      <c r="X916" s="60"/>
      <c r="Z916" t="s">
        <v>1051</v>
      </c>
    </row>
    <row r="917" spans="1:26">
      <c r="A917" t="s">
        <v>1643</v>
      </c>
      <c r="B917" s="59" t="s">
        <v>31</v>
      </c>
      <c r="C917" s="60" t="str">
        <v>Bikaji Foods International Ltd</v>
      </c>
      <c r="D917" s="4">
        <v>0.01</v>
      </c>
      <c r="E917" s="62">
        <f t="shared" si="30"/>
        <v>0</v>
      </c>
      <c r="F917" s="60" t="str">
        <v>Consumer Staples</v>
      </c>
      <c r="G917" s="62">
        <f t="shared" si="31"/>
        <v>0</v>
      </c>
      <c r="H917" s="60"/>
      <c r="J917" s="6"/>
      <c r="X917" s="60"/>
      <c r="Z917" t="s">
        <v>1643</v>
      </c>
    </row>
    <row r="918" spans="1:26">
      <c r="A918" t="s">
        <v>871</v>
      </c>
      <c r="B918" s="59" t="s">
        <v>31</v>
      </c>
      <c r="C918" s="60" t="str">
        <v>Arvind Fashions Ltd</v>
      </c>
      <c r="D918" s="4">
        <v>0.019</v>
      </c>
      <c r="E918" s="62">
        <f t="shared" si="30"/>
        <v>0</v>
      </c>
      <c r="F918" s="60" t="str">
        <v>Consumer Discretionary</v>
      </c>
      <c r="G918" s="62">
        <f t="shared" si="31"/>
        <v>0</v>
      </c>
      <c r="H918" s="60"/>
      <c r="J918" s="6"/>
      <c r="X918" s="60"/>
      <c r="Z918" t="s">
        <v>871</v>
      </c>
    </row>
    <row r="919" spans="1:26">
      <c r="A919" t="s">
        <v>1645</v>
      </c>
      <c r="B919" s="59" t="s">
        <v>31</v>
      </c>
      <c r="C919" s="60" t="str">
        <v>Syrma SGS Technology Ltd</v>
      </c>
      <c r="D919" s="4">
        <v>0.021</v>
      </c>
      <c r="E919" s="62">
        <f t="shared" si="30"/>
        <v>0</v>
      </c>
      <c r="F919" s="60" t="str">
        <v>Information Technology</v>
      </c>
      <c r="G919" s="62">
        <f t="shared" si="31"/>
        <v>0</v>
      </c>
      <c r="H919" s="60"/>
      <c r="J919" s="6"/>
      <c r="X919" s="60"/>
      <c r="Z919" t="s">
        <v>1645</v>
      </c>
    </row>
    <row r="920" spans="1:26">
      <c r="A920" t="s">
        <v>1647</v>
      </c>
      <c r="B920" s="59" t="s">
        <v>31</v>
      </c>
      <c r="C920" s="60" t="str">
        <v>Mold-Tek Packaging Ltd</v>
      </c>
      <c r="D920" s="4">
        <v>0.007</v>
      </c>
      <c r="E920" s="62">
        <f t="shared" si="30"/>
        <v>0</v>
      </c>
      <c r="F920" s="60" t="str">
        <v>Materials</v>
      </c>
      <c r="G920" s="62">
        <f t="shared" si="31"/>
        <v>0</v>
      </c>
      <c r="H920" s="60"/>
      <c r="J920" s="6"/>
      <c r="X920" s="60"/>
      <c r="Z920" t="s">
        <v>1647</v>
      </c>
    </row>
    <row r="921" spans="1:26">
      <c r="A921" t="s">
        <v>1538</v>
      </c>
      <c r="B921" s="59" t="s">
        <v>31</v>
      </c>
      <c r="C921" s="60" t="str">
        <v>Greenply Industries Ltd</v>
      </c>
      <c r="D921" s="4">
        <v>0.01</v>
      </c>
      <c r="E921" s="62">
        <f t="shared" si="30"/>
        <v>0</v>
      </c>
      <c r="F921" s="60" t="str">
        <v>Materials</v>
      </c>
      <c r="G921" s="62">
        <f t="shared" si="31"/>
        <v>0</v>
      </c>
      <c r="H921" s="60"/>
      <c r="J921" s="6"/>
      <c r="X921" s="60"/>
      <c r="Z921" t="s">
        <v>1538</v>
      </c>
    </row>
    <row r="922" spans="1:26">
      <c r="A922" t="s">
        <v>906</v>
      </c>
      <c r="B922" s="59" t="s">
        <v>31</v>
      </c>
      <c r="C922" s="60" t="str">
        <v>CG Power &amp; Industrial Solution</v>
      </c>
      <c r="D922" s="4">
        <v>0.03</v>
      </c>
      <c r="E922" s="62">
        <f t="shared" si="30"/>
        <v>0</v>
      </c>
      <c r="F922" s="60" t="str">
        <v>Industrials</v>
      </c>
      <c r="G922" s="62">
        <f t="shared" si="31"/>
        <v>0</v>
      </c>
      <c r="H922" s="60"/>
      <c r="J922" s="6"/>
      <c r="X922" s="60"/>
      <c r="Z922" t="s">
        <v>906</v>
      </c>
    </row>
    <row r="923" spans="1:26">
      <c r="A923" t="s">
        <v>1407</v>
      </c>
      <c r="B923" s="59" t="s">
        <v>31</v>
      </c>
      <c r="C923" s="60" t="str">
        <v>Hitachi Energy India Ltd</v>
      </c>
      <c r="D923" s="4">
        <v>0.029</v>
      </c>
      <c r="E923" s="62">
        <f t="shared" si="30"/>
        <v>0</v>
      </c>
      <c r="F923" s="60" t="str">
        <v>Industrials</v>
      </c>
      <c r="G923" s="62">
        <f t="shared" si="31"/>
        <v>0</v>
      </c>
      <c r="H923" s="60"/>
      <c r="J923" s="6"/>
      <c r="X923" s="60"/>
      <c r="Z923" t="s">
        <v>1407</v>
      </c>
    </row>
    <row r="924" spans="1:26">
      <c r="A924" t="s">
        <v>1229</v>
      </c>
      <c r="B924" s="59" t="s">
        <v>31</v>
      </c>
      <c r="C924" s="60" t="str">
        <v>KSB Ltd</v>
      </c>
      <c r="D924" s="4">
        <v>0.016</v>
      </c>
      <c r="E924" s="62">
        <f t="shared" si="30"/>
        <v>0</v>
      </c>
      <c r="F924" s="60" t="str">
        <v>Industrials</v>
      </c>
      <c r="G924" s="62">
        <f t="shared" si="31"/>
        <v>0</v>
      </c>
      <c r="H924" s="60"/>
      <c r="J924" s="6"/>
      <c r="X924" s="60"/>
      <c r="Z924" t="s">
        <v>1229</v>
      </c>
    </row>
    <row r="925" spans="1:26">
      <c r="A925" t="s">
        <v>1466</v>
      </c>
      <c r="B925" s="59" t="s">
        <v>31</v>
      </c>
      <c r="C925" s="60" t="str">
        <v>Vesuvius India Ltd</v>
      </c>
      <c r="D925" s="4">
        <v>0.018</v>
      </c>
      <c r="E925" s="62">
        <f t="shared" si="30"/>
        <v>0</v>
      </c>
      <c r="F925" s="60" t="str">
        <v>Industrials</v>
      </c>
      <c r="G925" s="62">
        <f t="shared" si="31"/>
        <v>0</v>
      </c>
      <c r="H925" s="60"/>
      <c r="J925" s="6"/>
      <c r="X925" s="60"/>
      <c r="Z925" t="s">
        <v>1466</v>
      </c>
    </row>
    <row r="926" spans="1:26">
      <c r="A926" t="s">
        <v>1649</v>
      </c>
      <c r="B926" s="59" t="s">
        <v>31</v>
      </c>
      <c r="C926" s="60" t="str">
        <v>Engineers India Ltd</v>
      </c>
      <c r="D926" s="4">
        <v>0.017</v>
      </c>
      <c r="E926" s="62">
        <f t="shared" si="30"/>
        <v>0</v>
      </c>
      <c r="F926" s="60" t="str">
        <v>Industrials</v>
      </c>
      <c r="G926" s="62">
        <f t="shared" si="31"/>
        <v>0</v>
      </c>
      <c r="H926" s="60"/>
      <c r="J926" s="6"/>
      <c r="X926" s="60"/>
      <c r="Z926" t="s">
        <v>1649</v>
      </c>
    </row>
    <row r="927" spans="1:26">
      <c r="A927" t="s">
        <v>1651</v>
      </c>
      <c r="B927" s="59" t="s">
        <v>31</v>
      </c>
      <c r="C927" s="60" t="str">
        <v>Concord Enviro Systems Ltd</v>
      </c>
      <c r="D927" s="4">
        <v>0.011</v>
      </c>
      <c r="E927" s="62">
        <f t="shared" si="30"/>
        <v>0</v>
      </c>
      <c r="F927" s="60" t="str">
        <v>Industrials</v>
      </c>
      <c r="G927" s="62">
        <f t="shared" si="31"/>
        <v>0</v>
      </c>
      <c r="H927" s="60"/>
      <c r="J927" s="6"/>
      <c r="X927" s="60"/>
      <c r="Z927" t="s">
        <v>1651</v>
      </c>
    </row>
    <row r="928" spans="1:26">
      <c r="A928" t="s">
        <v>1653</v>
      </c>
      <c r="B928" s="59" t="s">
        <v>31</v>
      </c>
      <c r="C928" s="60" t="str">
        <v>MTAR Technologies Ltd</v>
      </c>
      <c r="D928" s="4">
        <v>0.012</v>
      </c>
      <c r="E928" s="62">
        <f t="shared" si="30"/>
        <v>0</v>
      </c>
      <c r="F928" s="60" t="str">
        <v>Industrials</v>
      </c>
      <c r="G928" s="62">
        <f t="shared" si="31"/>
        <v>0</v>
      </c>
      <c r="H928" s="60"/>
      <c r="J928" s="6"/>
      <c r="X928" s="60"/>
      <c r="Z928" t="s">
        <v>1653</v>
      </c>
    </row>
    <row r="929" spans="1:26">
      <c r="A929" t="s">
        <v>1655</v>
      </c>
      <c r="B929" s="59" t="s">
        <v>31</v>
      </c>
      <c r="C929" s="60" t="str">
        <v>Mishra Dhatu Nigam Ltd</v>
      </c>
      <c r="D929" s="4">
        <v>0.01</v>
      </c>
      <c r="E929" s="62">
        <f t="shared" si="30"/>
        <v>0</v>
      </c>
      <c r="F929" s="60" t="str">
        <v>Materials</v>
      </c>
      <c r="G929" s="62">
        <f t="shared" si="31"/>
        <v>0</v>
      </c>
      <c r="H929" s="60"/>
      <c r="J929" s="6"/>
      <c r="X929" s="60"/>
      <c r="Z929" t="s">
        <v>1655</v>
      </c>
    </row>
    <row r="930" spans="1:26">
      <c r="A930" t="s">
        <v>996</v>
      </c>
      <c r="B930" s="59" t="s">
        <v>31</v>
      </c>
      <c r="C930" s="60" t="str">
        <v>Linde India Ltd</v>
      </c>
      <c r="D930" s="4">
        <v>0.011</v>
      </c>
      <c r="E930" s="62">
        <f t="shared" si="30"/>
        <v>0</v>
      </c>
      <c r="F930" s="60" t="str">
        <v>Materials</v>
      </c>
      <c r="G930" s="62">
        <f t="shared" si="31"/>
        <v>0</v>
      </c>
      <c r="H930" s="60"/>
      <c r="J930" s="6"/>
      <c r="X930" s="60"/>
      <c r="Z930" t="s">
        <v>996</v>
      </c>
    </row>
    <row r="931" spans="1:26">
      <c r="A931" t="s">
        <v>1657</v>
      </c>
      <c r="B931" s="59" t="s">
        <v>31</v>
      </c>
      <c r="C931" s="60" t="str">
        <v>Godavari Biorefineries Ltd</v>
      </c>
      <c r="D931" s="4">
        <v>0.017</v>
      </c>
      <c r="E931" s="62">
        <f t="shared" si="30"/>
        <v>0</v>
      </c>
      <c r="F931" s="60" t="str">
        <v>Energy</v>
      </c>
      <c r="G931" s="62">
        <f t="shared" si="31"/>
        <v>0</v>
      </c>
      <c r="H931" s="60"/>
      <c r="J931" s="6"/>
      <c r="X931" s="60"/>
      <c r="Z931" t="s">
        <v>1657</v>
      </c>
    </row>
    <row r="932" spans="1:26">
      <c r="A932" t="s">
        <v>1017</v>
      </c>
      <c r="B932" s="59" t="s">
        <v>31</v>
      </c>
      <c r="C932" s="60" t="str">
        <v>Multi Commodity Exchange of In</v>
      </c>
      <c r="D932" s="4">
        <v>0.031</v>
      </c>
      <c r="E932" s="62">
        <f t="shared" si="30"/>
        <v>0</v>
      </c>
      <c r="F932" s="60" t="str">
        <v>Financials</v>
      </c>
      <c r="G932" s="62">
        <f t="shared" si="31"/>
        <v>0</v>
      </c>
      <c r="H932" s="60"/>
      <c r="J932" s="6"/>
      <c r="X932" s="60"/>
      <c r="Z932" t="s">
        <v>1017</v>
      </c>
    </row>
    <row r="933" spans="1:26">
      <c r="A933" t="s">
        <v>1659</v>
      </c>
      <c r="B933" s="59" t="s">
        <v>31</v>
      </c>
      <c r="C933" s="60" t="str">
        <v>Cochin Shipyard Ltd</v>
      </c>
      <c r="D933" s="4">
        <v>0.013</v>
      </c>
      <c r="E933" s="62">
        <f t="shared" si="30"/>
        <v>0</v>
      </c>
      <c r="F933" s="60" t="str">
        <v>Industrials</v>
      </c>
      <c r="G933" s="62">
        <f t="shared" si="31"/>
        <v>0</v>
      </c>
      <c r="H933" s="60"/>
      <c r="J933" s="6"/>
      <c r="X933" s="60"/>
      <c r="Z933" t="s">
        <v>1659</v>
      </c>
    </row>
    <row r="934" spans="1:26">
      <c r="A934" t="s">
        <v>861</v>
      </c>
      <c r="B934" s="59" t="s">
        <v>31</v>
      </c>
      <c r="C934" s="60" t="str">
        <v>Ajanta Pharma Ltd</v>
      </c>
      <c r="D934" s="4">
        <v>0.015</v>
      </c>
      <c r="E934" s="62">
        <f t="shared" si="30"/>
        <v>0</v>
      </c>
      <c r="F934" s="60" t="str">
        <v>Health Care</v>
      </c>
      <c r="G934" s="62">
        <f t="shared" si="31"/>
        <v>0</v>
      </c>
      <c r="H934" s="60"/>
      <c r="J934" s="6"/>
      <c r="X934" s="60"/>
      <c r="Z934" t="s">
        <v>861</v>
      </c>
    </row>
    <row r="935" spans="1:26">
      <c r="A935" t="s">
        <v>1661</v>
      </c>
      <c r="B935" s="59" t="s">
        <v>31</v>
      </c>
      <c r="C935" s="60" t="str">
        <v>Sequent Scientific Ltd</v>
      </c>
      <c r="D935" s="4">
        <v>0.018</v>
      </c>
      <c r="E935" s="62">
        <f t="shared" si="30"/>
        <v>0</v>
      </c>
      <c r="F935" s="60" t="str">
        <v>Health Care</v>
      </c>
      <c r="G935" s="62">
        <f t="shared" si="31"/>
        <v>0</v>
      </c>
      <c r="H935" s="60"/>
      <c r="J935" s="6"/>
      <c r="X935" s="60"/>
      <c r="Z935" t="s">
        <v>1661</v>
      </c>
    </row>
    <row r="936" spans="1:26">
      <c r="A936" t="s">
        <v>1598</v>
      </c>
      <c r="B936" s="59" t="s">
        <v>31</v>
      </c>
      <c r="C936" s="60" t="str">
        <v>Cohance Lifesciences Ltd</v>
      </c>
      <c r="D936" s="4">
        <v>0.015</v>
      </c>
      <c r="E936" s="62">
        <f t="shared" si="30"/>
        <v>0</v>
      </c>
      <c r="F936" s="60" t="str">
        <v>Health Care</v>
      </c>
      <c r="G936" s="62">
        <f t="shared" si="31"/>
        <v>0</v>
      </c>
      <c r="H936" s="60"/>
      <c r="J936" s="6"/>
      <c r="X936" s="60"/>
      <c r="Z936" t="s">
        <v>1598</v>
      </c>
    </row>
    <row r="937" spans="1:26">
      <c r="A937" t="s">
        <v>1497</v>
      </c>
      <c r="B937" s="59" t="s">
        <v>31</v>
      </c>
      <c r="C937" s="60" t="str">
        <v>Ipca Laboratories Ltd</v>
      </c>
      <c r="D937" s="4">
        <v>0.018</v>
      </c>
      <c r="E937" s="62">
        <f t="shared" si="30"/>
        <v>0</v>
      </c>
      <c r="F937" s="60" t="str">
        <v>Health Care</v>
      </c>
      <c r="G937" s="62">
        <f t="shared" si="31"/>
        <v>0</v>
      </c>
      <c r="H937" s="60"/>
      <c r="J937" s="6"/>
      <c r="X937" s="60"/>
      <c r="Z937" t="s">
        <v>1497</v>
      </c>
    </row>
    <row r="938" spans="1:26">
      <c r="A938" t="s">
        <v>1396</v>
      </c>
      <c r="B938" s="59" t="s">
        <v>31</v>
      </c>
      <c r="C938" s="60" t="str">
        <v>Krishna Institute of Medical S</v>
      </c>
      <c r="D938" s="4">
        <v>0.024</v>
      </c>
      <c r="E938" s="62">
        <f t="shared" si="30"/>
        <v>0</v>
      </c>
      <c r="F938" s="60" t="str">
        <v>Health Care</v>
      </c>
      <c r="G938" s="62">
        <f t="shared" si="31"/>
        <v>0</v>
      </c>
      <c r="H938" s="60"/>
      <c r="J938" s="6"/>
      <c r="X938" s="60"/>
      <c r="Z938" t="s">
        <v>1396</v>
      </c>
    </row>
    <row r="939" spans="1:26">
      <c r="A939" t="s">
        <v>1664</v>
      </c>
      <c r="B939" s="59" t="s">
        <v>31</v>
      </c>
      <c r="C939" s="60" t="str">
        <v>Artemis Medicare Services Ltd</v>
      </c>
      <c r="D939" s="4">
        <v>0.016</v>
      </c>
      <c r="E939" s="62">
        <f t="shared" si="30"/>
        <v>0</v>
      </c>
      <c r="F939" s="60" t="str">
        <v>Health Care</v>
      </c>
      <c r="G939" s="62">
        <f t="shared" si="31"/>
        <v>0</v>
      </c>
      <c r="H939" s="60"/>
      <c r="J939" s="6"/>
      <c r="X939" s="60"/>
      <c r="Z939" t="s">
        <v>1664</v>
      </c>
    </row>
    <row r="940" spans="1:26">
      <c r="A940" t="s">
        <v>1666</v>
      </c>
      <c r="B940" s="59" t="s">
        <v>31</v>
      </c>
      <c r="C940" s="60" t="str">
        <v>Onesource Specialty Pharma Ltd</v>
      </c>
      <c r="D940" s="4">
        <v>0.02</v>
      </c>
      <c r="E940" s="62">
        <f t="shared" si="30"/>
        <v>0</v>
      </c>
      <c r="F940" s="60" t="str">
        <v>Health Care</v>
      </c>
      <c r="G940" s="62">
        <f t="shared" si="31"/>
        <v>0</v>
      </c>
      <c r="H940" s="60"/>
      <c r="J940" s="6"/>
      <c r="X940" s="60"/>
      <c r="Z940" t="s">
        <v>1666</v>
      </c>
    </row>
    <row r="941" spans="1:26">
      <c r="A941" t="s">
        <v>1668</v>
      </c>
      <c r="B941" s="59" t="s">
        <v>31</v>
      </c>
      <c r="C941" s="60" t="str">
        <v>Senores Pharmaceuticals Ltd</v>
      </c>
      <c r="D941" s="4">
        <v>0.018</v>
      </c>
      <c r="E941" s="62">
        <f t="shared" si="30"/>
        <v>0</v>
      </c>
      <c r="F941" s="60" t="str">
        <v>Health Care</v>
      </c>
      <c r="G941" s="62">
        <f t="shared" si="31"/>
        <v>0</v>
      </c>
      <c r="H941" s="60"/>
      <c r="J941" s="6"/>
      <c r="X941" s="60"/>
      <c r="Z941" t="s">
        <v>1668</v>
      </c>
    </row>
    <row r="942" spans="1:26">
      <c r="A942" t="s">
        <v>1670</v>
      </c>
      <c r="B942" s="59" t="s">
        <v>31</v>
      </c>
      <c r="C942" s="60" t="str">
        <v>Man Industries India Ltd</v>
      </c>
      <c r="D942" s="4">
        <v>0.017</v>
      </c>
      <c r="E942" s="62">
        <f t="shared" si="30"/>
        <v>0</v>
      </c>
      <c r="F942" s="60" t="str">
        <v>Industrials</v>
      </c>
      <c r="G942" s="62">
        <f t="shared" si="31"/>
        <v>0</v>
      </c>
      <c r="H942" s="60"/>
      <c r="J942" s="6"/>
      <c r="X942" s="60"/>
      <c r="Z942" t="s">
        <v>1670</v>
      </c>
    </row>
    <row r="943" spans="1:26">
      <c r="A943" t="s">
        <v>1672</v>
      </c>
      <c r="B943" s="59" t="s">
        <v>31</v>
      </c>
      <c r="C943" s="60" t="str">
        <v>Max Estates Ltd</v>
      </c>
      <c r="D943" s="4">
        <v>0.014</v>
      </c>
      <c r="E943" s="62">
        <f t="shared" si="30"/>
        <v>0</v>
      </c>
      <c r="F943" s="60" t="str">
        <v>Real Estate</v>
      </c>
      <c r="G943" s="62">
        <f t="shared" si="31"/>
        <v>0</v>
      </c>
      <c r="H943" s="60"/>
      <c r="J943" s="6"/>
      <c r="X943" s="60"/>
      <c r="Z943" t="s">
        <v>1672</v>
      </c>
    </row>
    <row r="944" spans="1:26">
      <c r="A944" t="s">
        <v>1674</v>
      </c>
      <c r="B944" s="59" t="s">
        <v>31</v>
      </c>
      <c r="C944" s="60" t="str">
        <v>Mastek Ltd</v>
      </c>
      <c r="D944" s="4">
        <v>0.022</v>
      </c>
      <c r="E944" s="62">
        <f t="shared" si="30"/>
        <v>0</v>
      </c>
      <c r="F944" s="60" t="str">
        <v>Information Technology</v>
      </c>
      <c r="G944" s="62">
        <f t="shared" si="31"/>
        <v>0</v>
      </c>
      <c r="H944" s="60"/>
      <c r="J944" s="6"/>
      <c r="X944" s="60"/>
      <c r="Z944" t="s">
        <v>1674</v>
      </c>
    </row>
    <row r="945" spans="1:26">
      <c r="A945" t="s">
        <v>1676</v>
      </c>
      <c r="B945" s="59" t="s">
        <v>31</v>
      </c>
      <c r="C945" s="60" t="str">
        <v>Happiest Minds Technologies Lt</v>
      </c>
      <c r="D945" s="4">
        <v>0.014</v>
      </c>
      <c r="E945" s="62">
        <f t="shared" si="30"/>
        <v>0</v>
      </c>
      <c r="F945" s="60" t="str">
        <v>Information Technology</v>
      </c>
      <c r="G945" s="62">
        <f t="shared" si="31"/>
        <v>0</v>
      </c>
      <c r="H945" s="60"/>
      <c r="J945" s="6"/>
      <c r="X945" s="60"/>
      <c r="Z945" t="s">
        <v>1676</v>
      </c>
    </row>
    <row r="946" spans="1:26">
      <c r="A946" t="s">
        <v>1678</v>
      </c>
      <c r="B946" s="59" t="s">
        <v>31</v>
      </c>
      <c r="C946" s="60" t="str">
        <v>R Systems International Ltd</v>
      </c>
      <c r="D946" s="4">
        <v>0.012</v>
      </c>
      <c r="E946" s="62">
        <f t="shared" si="30"/>
        <v>0</v>
      </c>
      <c r="F946" s="60" t="str">
        <v>Information Technology</v>
      </c>
      <c r="G946" s="62">
        <f t="shared" si="31"/>
        <v>0</v>
      </c>
      <c r="H946" s="60"/>
      <c r="J946" s="6"/>
      <c r="X946" s="60"/>
      <c r="Z946" t="s">
        <v>1678</v>
      </c>
    </row>
    <row r="947" spans="1:26">
      <c r="A947" t="s">
        <v>1038</v>
      </c>
      <c r="B947" s="59" t="s">
        <v>31</v>
      </c>
      <c r="C947" s="60" t="str">
        <v>PB Fintech Ltd</v>
      </c>
      <c r="D947" s="4">
        <v>0.021</v>
      </c>
      <c r="E947" s="62">
        <f t="shared" si="30"/>
        <v>0</v>
      </c>
      <c r="F947" s="60" t="str">
        <v>Financials</v>
      </c>
      <c r="G947" s="62">
        <f t="shared" si="31"/>
        <v>0</v>
      </c>
      <c r="H947" s="60"/>
      <c r="J947" s="6"/>
      <c r="X947" s="60"/>
      <c r="Z947" t="s">
        <v>1038</v>
      </c>
    </row>
    <row r="948" spans="1:26">
      <c r="A948" t="s">
        <v>1680</v>
      </c>
      <c r="B948" s="59" t="s">
        <v>31</v>
      </c>
      <c r="C948" s="60" t="str">
        <v>Gokaldas Exports Ltd</v>
      </c>
      <c r="D948" s="4">
        <v>0.012</v>
      </c>
      <c r="E948" s="62">
        <f t="shared" si="30"/>
        <v>0</v>
      </c>
      <c r="F948" s="60" t="str">
        <v>Consumer Discretionary</v>
      </c>
      <c r="G948" s="62">
        <f t="shared" si="31"/>
        <v>0</v>
      </c>
      <c r="H948" s="60"/>
      <c r="J948" s="6"/>
      <c r="X948" s="60"/>
      <c r="Z948" t="s">
        <v>1680</v>
      </c>
    </row>
    <row r="949" spans="1:26">
      <c r="A949" t="s">
        <v>1105</v>
      </c>
      <c r="B949" s="74" t="s">
        <v>33</v>
      </c>
      <c r="C949" s="60" t="str">
        <v>TVS Motor Co Ltd</v>
      </c>
      <c r="D949" s="4">
        <v>0.015</v>
      </c>
      <c r="E949" s="62">
        <f t="shared" si="30"/>
        <v>0</v>
      </c>
      <c r="F949" s="60" t="str">
        <v>Consumer Discretionary</v>
      </c>
      <c r="G949" s="62">
        <f t="shared" si="31"/>
        <v>0</v>
      </c>
      <c r="H949" s="60"/>
      <c r="J949" s="6"/>
      <c r="X949" s="60"/>
      <c r="Z949" t="s">
        <v>1105</v>
      </c>
    </row>
    <row r="950" spans="1:26">
      <c r="A950" t="s">
        <v>1026</v>
      </c>
      <c r="B950" s="74" t="s">
        <v>33</v>
      </c>
      <c r="C950" s="60" t="str">
        <v>Maruti Suzuki India Ltd</v>
      </c>
      <c r="D950" s="4">
        <v>0.015</v>
      </c>
      <c r="E950" s="62">
        <f t="shared" si="30"/>
        <v>0</v>
      </c>
      <c r="F950" s="60" t="str">
        <v>Consumer Discretionary</v>
      </c>
      <c r="G950" s="62">
        <f t="shared" si="31"/>
        <v>0</v>
      </c>
      <c r="H950" s="60"/>
      <c r="J950" s="6"/>
      <c r="X950" s="60"/>
      <c r="Z950" t="s">
        <v>1026</v>
      </c>
    </row>
    <row r="951" spans="1:26">
      <c r="A951" t="s">
        <v>1682</v>
      </c>
      <c r="B951" s="74" t="s">
        <v>33</v>
      </c>
      <c r="C951" s="60" t="str">
        <v>JK Tyre &amp; Industries Ltd</v>
      </c>
      <c r="D951" s="4">
        <v>0.006</v>
      </c>
      <c r="E951" s="62">
        <f t="shared" si="30"/>
        <v>0</v>
      </c>
      <c r="F951" s="60" t="str">
        <v>Consumer Discretionary</v>
      </c>
      <c r="G951" s="62">
        <f t="shared" si="31"/>
        <v>0</v>
      </c>
      <c r="H951" s="60"/>
      <c r="J951" s="6"/>
      <c r="X951" s="60"/>
      <c r="Z951" t="s">
        <v>1682</v>
      </c>
    </row>
    <row r="952" spans="1:26">
      <c r="A952" t="s">
        <v>1115</v>
      </c>
      <c r="B952" s="74" t="s">
        <v>33</v>
      </c>
      <c r="C952" s="60" t="str">
        <v>UNO Minda Ltd</v>
      </c>
      <c r="D952" s="4">
        <v>0.016</v>
      </c>
      <c r="E952" s="62">
        <f t="shared" si="30"/>
        <v>0</v>
      </c>
      <c r="F952" s="60" t="str">
        <v>Consumer Discretionary</v>
      </c>
      <c r="G952" s="62">
        <f t="shared" si="31"/>
        <v>0</v>
      </c>
      <c r="H952" s="60"/>
      <c r="J952" s="6"/>
      <c r="X952" s="60"/>
      <c r="Z952" t="s">
        <v>1115</v>
      </c>
    </row>
    <row r="953" spans="1:26">
      <c r="A953" t="s">
        <v>963</v>
      </c>
      <c r="B953" s="74" t="s">
        <v>33</v>
      </c>
      <c r="C953" s="60" t="str">
        <v>HDFC Life Insurance Co Ltd</v>
      </c>
      <c r="D953" s="4">
        <v>0.01</v>
      </c>
      <c r="E953" s="62">
        <f t="shared" si="30"/>
        <v>0</v>
      </c>
      <c r="F953" s="60" t="str">
        <v>Financials</v>
      </c>
      <c r="G953" s="62">
        <f t="shared" si="31"/>
        <v>0</v>
      </c>
      <c r="H953" s="60"/>
      <c r="J953" s="6"/>
      <c r="X953" s="60"/>
      <c r="Z953" t="s">
        <v>963</v>
      </c>
    </row>
    <row r="954" spans="1:26">
      <c r="A954" t="s">
        <v>1008</v>
      </c>
      <c r="B954" s="74" t="s">
        <v>33</v>
      </c>
      <c r="C954" s="60" t="str">
        <v>Kotak Mahindra Bank Ltd</v>
      </c>
      <c r="D954" s="4">
        <v>0.013</v>
      </c>
      <c r="E954" s="62">
        <f t="shared" si="30"/>
        <v>0</v>
      </c>
      <c r="F954" s="60" t="str">
        <v>Financials</v>
      </c>
      <c r="G954" s="62">
        <f t="shared" si="31"/>
        <v>0</v>
      </c>
      <c r="H954" s="60"/>
      <c r="J954" s="6"/>
      <c r="X954" s="60"/>
      <c r="Z954" t="s">
        <v>1008</v>
      </c>
    </row>
    <row r="955" spans="1:26">
      <c r="A955" t="s">
        <v>1347</v>
      </c>
      <c r="B955" s="74" t="s">
        <v>33</v>
      </c>
      <c r="C955" s="60" t="str">
        <v>Shriram Finance Ltd</v>
      </c>
      <c r="D955" s="4">
        <v>0.017</v>
      </c>
      <c r="E955" s="62">
        <f t="shared" si="30"/>
        <v>0</v>
      </c>
      <c r="F955" s="60" t="str">
        <v>Financials</v>
      </c>
      <c r="G955" s="62">
        <f t="shared" si="31"/>
        <v>0</v>
      </c>
      <c r="H955" s="60"/>
      <c r="J955" s="6"/>
      <c r="X955" s="60"/>
      <c r="Z955" t="s">
        <v>1347</v>
      </c>
    </row>
    <row r="956" spans="1:26">
      <c r="A956" t="s">
        <v>1436</v>
      </c>
      <c r="B956" s="74" t="s">
        <v>33</v>
      </c>
      <c r="C956" s="60" t="str">
        <v>PNB Housing Finance Ltd</v>
      </c>
      <c r="D956" s="4">
        <v>0.018</v>
      </c>
      <c r="E956" s="62">
        <f t="shared" si="30"/>
        <v>0</v>
      </c>
      <c r="F956" s="60" t="str">
        <v>Financials</v>
      </c>
      <c r="G956" s="62">
        <f t="shared" si="31"/>
        <v>0</v>
      </c>
      <c r="H956" s="60"/>
      <c r="J956" s="6"/>
      <c r="X956" s="60"/>
      <c r="Z956" t="s">
        <v>1436</v>
      </c>
    </row>
    <row r="957" spans="1:26">
      <c r="A957" t="s">
        <v>1077</v>
      </c>
      <c r="B957" s="74" t="s">
        <v>33</v>
      </c>
      <c r="C957" s="60" t="str">
        <v>State Bank of India</v>
      </c>
      <c r="D957" s="4">
        <v>0.024</v>
      </c>
      <c r="E957" s="62">
        <f t="shared" si="30"/>
        <v>0</v>
      </c>
      <c r="F957" s="60" t="str">
        <v>Financials</v>
      </c>
      <c r="G957" s="62">
        <f t="shared" si="31"/>
        <v>0</v>
      </c>
      <c r="H957" s="60"/>
      <c r="J957" s="6"/>
      <c r="X957" s="60"/>
      <c r="Z957" t="s">
        <v>1077</v>
      </c>
    </row>
    <row r="958" spans="1:26">
      <c r="A958" t="s">
        <v>878</v>
      </c>
      <c r="B958" s="74" t="s">
        <v>33</v>
      </c>
      <c r="C958" s="60" t="str">
        <v>Bajaj Finance Ltd</v>
      </c>
      <c r="D958" s="4">
        <v>0.024</v>
      </c>
      <c r="E958" s="62">
        <f t="shared" si="30"/>
        <v>0</v>
      </c>
      <c r="F958" s="60" t="str">
        <v>Financials</v>
      </c>
      <c r="G958" s="62">
        <f t="shared" si="31"/>
        <v>0</v>
      </c>
      <c r="H958" s="60"/>
      <c r="J958" s="6"/>
      <c r="X958" s="60"/>
      <c r="Z958" t="s">
        <v>878</v>
      </c>
    </row>
    <row r="959" spans="1:26">
      <c r="A959" t="s">
        <v>1625</v>
      </c>
      <c r="B959" s="74" t="s">
        <v>33</v>
      </c>
      <c r="C959" s="60" t="str">
        <v>Aadhar Housing Finance Ltd</v>
      </c>
      <c r="D959" s="4">
        <v>0.03</v>
      </c>
      <c r="E959" s="62">
        <f t="shared" si="30"/>
        <v>0</v>
      </c>
      <c r="F959" s="60" t="str">
        <v>Financials</v>
      </c>
      <c r="G959" s="62">
        <f t="shared" si="31"/>
        <v>0</v>
      </c>
      <c r="H959" s="60"/>
      <c r="J959" s="6"/>
      <c r="X959" s="60"/>
      <c r="Z959" t="s">
        <v>1625</v>
      </c>
    </row>
    <row r="960" spans="1:26">
      <c r="A960" t="s">
        <v>912</v>
      </c>
      <c r="B960" s="74" t="s">
        <v>33</v>
      </c>
      <c r="C960" s="60" t="str">
        <v>Cholamandalam Investment and F</v>
      </c>
      <c r="D960" s="4">
        <v>0.019</v>
      </c>
      <c r="E960" s="62">
        <f t="shared" si="30"/>
        <v>0</v>
      </c>
      <c r="F960" s="60" t="str">
        <v>Financials</v>
      </c>
      <c r="G960" s="62">
        <f t="shared" si="31"/>
        <v>0</v>
      </c>
      <c r="H960" s="60"/>
      <c r="J960" s="6"/>
      <c r="X960" s="60"/>
      <c r="Z960" t="s">
        <v>912</v>
      </c>
    </row>
    <row r="961" spans="1:26">
      <c r="A961" t="s">
        <v>972</v>
      </c>
      <c r="B961" s="74" t="s">
        <v>33</v>
      </c>
      <c r="C961" s="60" t="str">
        <v>ICICI Bank Ltd</v>
      </c>
      <c r="D961" s="4">
        <v>0.059</v>
      </c>
      <c r="E961" s="62">
        <f t="shared" si="30"/>
        <v>0</v>
      </c>
      <c r="F961" s="60" t="str">
        <v>Financials</v>
      </c>
      <c r="G961" s="62">
        <f t="shared" si="31"/>
        <v>0</v>
      </c>
      <c r="H961" s="60"/>
      <c r="J961" s="6"/>
      <c r="X961" s="60"/>
      <c r="Z961" t="s">
        <v>972</v>
      </c>
    </row>
    <row r="962" spans="1:26">
      <c r="A962" t="s">
        <v>960</v>
      </c>
      <c r="B962" s="74" t="s">
        <v>33</v>
      </c>
      <c r="C962" s="60" t="str">
        <v>HDFC Bank Ltd</v>
      </c>
      <c r="D962" s="4">
        <v>0.069</v>
      </c>
      <c r="E962" s="62">
        <f t="shared" si="30"/>
        <v>0</v>
      </c>
      <c r="F962" s="60" t="str">
        <v>Financials</v>
      </c>
      <c r="G962" s="62">
        <f t="shared" si="31"/>
        <v>0</v>
      </c>
      <c r="H962" s="60"/>
      <c r="J962" s="6"/>
      <c r="X962" s="60"/>
      <c r="Z962" t="s">
        <v>960</v>
      </c>
    </row>
    <row r="963" spans="1:26">
      <c r="A963" t="s">
        <v>979</v>
      </c>
      <c r="B963" s="74" t="s">
        <v>33</v>
      </c>
      <c r="C963" s="60" t="str">
        <v>JK Cement Ltd</v>
      </c>
      <c r="D963" s="4">
        <v>0.014</v>
      </c>
      <c r="E963" s="62">
        <f t="shared" si="30"/>
        <v>0</v>
      </c>
      <c r="F963" s="60" t="str">
        <v>Materials</v>
      </c>
      <c r="G963" s="62">
        <f t="shared" si="31"/>
        <v>0</v>
      </c>
      <c r="H963" s="60"/>
      <c r="J963" s="6"/>
      <c r="X963" s="60"/>
      <c r="Z963" t="s">
        <v>979</v>
      </c>
    </row>
    <row r="964" spans="1:26">
      <c r="A964" t="s">
        <v>1627</v>
      </c>
      <c r="B964" s="74" t="s">
        <v>33</v>
      </c>
      <c r="C964" s="60" t="str">
        <v>Sudarshan Chemical Industries</v>
      </c>
      <c r="D964" s="4">
        <v>0.02</v>
      </c>
      <c r="E964" s="62">
        <f t="shared" si="30"/>
        <v>0</v>
      </c>
      <c r="F964" s="60" t="str">
        <v>Materials</v>
      </c>
      <c r="G964" s="62">
        <f t="shared" si="31"/>
        <v>0</v>
      </c>
      <c r="H964" s="60"/>
      <c r="J964" s="6"/>
      <c r="X964" s="60"/>
      <c r="Z964" t="s">
        <v>1627</v>
      </c>
    </row>
    <row r="965" spans="1:26">
      <c r="A965" t="s">
        <v>1022</v>
      </c>
      <c r="B965" s="74" t="s">
        <v>33</v>
      </c>
      <c r="C965" s="60" t="str">
        <v>Navin Fluorine International L</v>
      </c>
      <c r="D965" s="4">
        <v>0.021</v>
      </c>
      <c r="E965" s="62">
        <f t="shared" si="30"/>
        <v>0</v>
      </c>
      <c r="F965" s="60" t="str">
        <v>Materials</v>
      </c>
      <c r="G965" s="62">
        <f t="shared" si="31"/>
        <v>0</v>
      </c>
      <c r="H965" s="60"/>
      <c r="J965" s="6"/>
      <c r="X965" s="60"/>
      <c r="Z965" t="s">
        <v>1022</v>
      </c>
    </row>
    <row r="966" spans="1:26">
      <c r="A966" t="s">
        <v>1132</v>
      </c>
      <c r="B966" s="74" t="s">
        <v>33</v>
      </c>
      <c r="C966" s="60" t="str">
        <v>Vinati Organics Ltd</v>
      </c>
      <c r="D966" s="4">
        <v>0.015</v>
      </c>
      <c r="E966" s="62">
        <f t="shared" si="30"/>
        <v>0</v>
      </c>
      <c r="F966" s="60" t="str">
        <v>Materials</v>
      </c>
      <c r="G966" s="62">
        <f t="shared" si="31"/>
        <v>0</v>
      </c>
      <c r="H966" s="60"/>
      <c r="J966" s="6"/>
      <c r="X966" s="60"/>
      <c r="Z966" t="s">
        <v>1132</v>
      </c>
    </row>
    <row r="967" spans="1:26">
      <c r="A967" t="s">
        <v>1633</v>
      </c>
      <c r="B967" s="74" t="s">
        <v>33</v>
      </c>
      <c r="C967" s="60" t="str">
        <v>Jubilant Ingrevia Ltd</v>
      </c>
      <c r="D967" s="4">
        <v>0.017</v>
      </c>
      <c r="E967" s="62">
        <f t="shared" si="30"/>
        <v>0</v>
      </c>
      <c r="F967" s="60" t="str">
        <v>Materials</v>
      </c>
      <c r="G967" s="62">
        <f t="shared" si="31"/>
        <v>0</v>
      </c>
      <c r="H967" s="60"/>
      <c r="J967" s="6"/>
      <c r="X967" s="60"/>
      <c r="Z967" t="s">
        <v>1633</v>
      </c>
    </row>
    <row r="968" spans="1:26">
      <c r="A968" t="s">
        <v>1046</v>
      </c>
      <c r="B968" s="74" t="s">
        <v>33</v>
      </c>
      <c r="C968" s="60" t="str">
        <v>Pidilite Industries Ltd</v>
      </c>
      <c r="D968" s="4">
        <v>0.012</v>
      </c>
      <c r="E968" s="62">
        <f t="shared" si="30"/>
        <v>0</v>
      </c>
      <c r="F968" s="60" t="str">
        <v>Materials</v>
      </c>
      <c r="G968" s="62">
        <f t="shared" si="31"/>
        <v>0</v>
      </c>
      <c r="H968" s="60"/>
      <c r="J968" s="6"/>
      <c r="X968" s="60"/>
      <c r="Z968" t="s">
        <v>1046</v>
      </c>
    </row>
    <row r="969" spans="1:26">
      <c r="A969" t="s">
        <v>1403</v>
      </c>
      <c r="B969" s="74" t="s">
        <v>33</v>
      </c>
      <c r="C969" s="60" t="str">
        <v>Finolex Cables Ltd</v>
      </c>
      <c r="D969" s="4">
        <v>0.006</v>
      </c>
      <c r="E969" s="62">
        <f t="shared" si="30"/>
        <v>0</v>
      </c>
      <c r="F969" s="60" t="str">
        <v>Industrials</v>
      </c>
      <c r="G969" s="62">
        <f t="shared" si="31"/>
        <v>0</v>
      </c>
      <c r="H969" s="60"/>
      <c r="J969" s="6"/>
      <c r="X969" s="60"/>
      <c r="Z969" t="s">
        <v>1403</v>
      </c>
    </row>
    <row r="970" spans="1:26">
      <c r="A970" t="s">
        <v>1118</v>
      </c>
      <c r="B970" s="74" t="s">
        <v>33</v>
      </c>
      <c r="C970" s="60" t="str">
        <v>Varun Beverages Ltd</v>
      </c>
      <c r="D970" s="4">
        <v>0.014</v>
      </c>
      <c r="E970" s="62">
        <f t="shared" si="30"/>
        <v>0</v>
      </c>
      <c r="F970" s="60" t="str">
        <v>Consumer Staples</v>
      </c>
      <c r="G970" s="62">
        <f t="shared" si="31"/>
        <v>0</v>
      </c>
      <c r="H970" s="60"/>
      <c r="J970" s="6"/>
      <c r="X970" s="60"/>
      <c r="Z970" t="s">
        <v>1118</v>
      </c>
    </row>
    <row r="971" spans="1:26">
      <c r="A971" t="s">
        <v>1103</v>
      </c>
      <c r="B971" s="74" t="s">
        <v>33</v>
      </c>
      <c r="C971" s="60" t="str">
        <v>Trent Ltd</v>
      </c>
      <c r="D971" s="4">
        <v>0.016</v>
      </c>
      <c r="E971" s="62">
        <f t="shared" si="30"/>
        <v>0</v>
      </c>
      <c r="F971" s="60" t="str">
        <v>Consumer Discretionary</v>
      </c>
      <c r="G971" s="62">
        <f t="shared" si="31"/>
        <v>0</v>
      </c>
      <c r="H971" s="60"/>
      <c r="J971" s="6"/>
      <c r="X971" s="60"/>
      <c r="Z971" t="s">
        <v>1103</v>
      </c>
    </row>
    <row r="972" spans="1:26">
      <c r="A972" t="s">
        <v>928</v>
      </c>
      <c r="B972" s="74" t="s">
        <v>33</v>
      </c>
      <c r="C972" s="60" t="str">
        <v>Dixon Technologies India Ltd</v>
      </c>
      <c r="D972" s="4">
        <v>0.017</v>
      </c>
      <c r="E972" s="62">
        <f t="shared" si="30"/>
        <v>0</v>
      </c>
      <c r="F972" s="60" t="str">
        <v>Consumer Discretionary</v>
      </c>
      <c r="G972" s="62">
        <f t="shared" si="31"/>
        <v>0</v>
      </c>
      <c r="H972" s="60"/>
      <c r="J972" s="6"/>
      <c r="X972" s="60"/>
      <c r="Z972" t="s">
        <v>928</v>
      </c>
    </row>
    <row r="973" spans="1:26">
      <c r="A973" t="s">
        <v>1232</v>
      </c>
      <c r="B973" s="74" t="s">
        <v>33</v>
      </c>
      <c r="C973" s="60" t="str">
        <v>Polycab India Ltd</v>
      </c>
      <c r="D973" s="4">
        <v>0.015</v>
      </c>
      <c r="E973" s="62">
        <f t="shared" si="30"/>
        <v>0</v>
      </c>
      <c r="F973" s="60" t="str">
        <v>Industrials</v>
      </c>
      <c r="G973" s="62">
        <f t="shared" si="31"/>
        <v>0</v>
      </c>
      <c r="H973" s="60"/>
      <c r="J973" s="6"/>
      <c r="X973" s="60"/>
      <c r="Z973" t="s">
        <v>1232</v>
      </c>
    </row>
    <row r="974" spans="1:26">
      <c r="A974" t="s">
        <v>1684</v>
      </c>
      <c r="B974" s="74" t="s">
        <v>33</v>
      </c>
      <c r="C974" s="60" t="str">
        <v>Kirloskar Pneumatic Co Ltd</v>
      </c>
      <c r="D974" s="4">
        <v>0.015</v>
      </c>
      <c r="E974" s="62">
        <f t="shared" si="30"/>
        <v>0</v>
      </c>
      <c r="F974" s="60" t="str">
        <v>Industrials</v>
      </c>
      <c r="G974" s="62">
        <f t="shared" si="31"/>
        <v>0</v>
      </c>
      <c r="H974" s="60"/>
      <c r="J974" s="6"/>
      <c r="X974" s="60"/>
      <c r="Z974" t="s">
        <v>1684</v>
      </c>
    </row>
    <row r="975" spans="1:26">
      <c r="A975" t="s">
        <v>1480</v>
      </c>
      <c r="B975" s="74" t="s">
        <v>33</v>
      </c>
      <c r="C975" s="60" t="str">
        <v>Bharat Heavy Electricals Ltd</v>
      </c>
      <c r="D975" s="4">
        <v>0.019</v>
      </c>
      <c r="E975" s="62">
        <f t="shared" si="30"/>
        <v>0</v>
      </c>
      <c r="F975" s="60" t="str">
        <v>Industrials</v>
      </c>
      <c r="G975" s="62">
        <f t="shared" si="31"/>
        <v>0</v>
      </c>
      <c r="H975" s="60"/>
      <c r="J975" s="6"/>
      <c r="X975" s="60"/>
      <c r="Z975" t="s">
        <v>1480</v>
      </c>
    </row>
    <row r="976" spans="1:26">
      <c r="A976" t="s">
        <v>1229</v>
      </c>
      <c r="B976" s="74" t="s">
        <v>33</v>
      </c>
      <c r="C976" s="60" t="str">
        <v>KSB Ltd</v>
      </c>
      <c r="D976" s="4">
        <v>0.021</v>
      </c>
      <c r="E976" s="62">
        <f t="shared" si="30"/>
        <v>0</v>
      </c>
      <c r="F976" s="60" t="str">
        <v>Industrials</v>
      </c>
      <c r="G976" s="62">
        <f t="shared" si="31"/>
        <v>0</v>
      </c>
      <c r="H976" s="60"/>
      <c r="J976" s="6"/>
      <c r="X976" s="60"/>
      <c r="Z976" t="s">
        <v>1229</v>
      </c>
    </row>
    <row r="977" spans="1:26">
      <c r="A977" t="s">
        <v>1407</v>
      </c>
      <c r="B977" s="74" t="s">
        <v>33</v>
      </c>
      <c r="C977" s="60" t="str">
        <v>Hitachi Energy India Ltd</v>
      </c>
      <c r="D977" s="4">
        <v>0.033</v>
      </c>
      <c r="E977" s="62">
        <f t="shared" si="30"/>
        <v>0</v>
      </c>
      <c r="F977" s="60" t="str">
        <v>Industrials</v>
      </c>
      <c r="G977" s="62">
        <f t="shared" si="31"/>
        <v>0</v>
      </c>
      <c r="H977" s="60"/>
      <c r="J977" s="6"/>
      <c r="X977" s="60"/>
      <c r="Z977" t="s">
        <v>1407</v>
      </c>
    </row>
    <row r="978" spans="1:26">
      <c r="A978" t="s">
        <v>1070</v>
      </c>
      <c r="B978" s="74" t="s">
        <v>33</v>
      </c>
      <c r="C978" s="60" t="str">
        <v>Reliance Industries Ltd</v>
      </c>
      <c r="D978" s="4">
        <v>0.036</v>
      </c>
      <c r="E978" s="62">
        <f t="shared" ref="E978:E1012" si="32">_xlfn.IFNA(D978*VLOOKUP($B978,$AK$1:$AM$34,3,FALSE),0)</f>
        <v>0</v>
      </c>
      <c r="F978" s="60" t="str">
        <v>Energy</v>
      </c>
      <c r="G978" s="62">
        <f t="shared" ref="G978:G1012" si="33">_xlfn.IFNA(D978*VLOOKUP($B978,$AK$1:$AM$34,3,FALSE),0)</f>
        <v>0</v>
      </c>
      <c r="H978" s="60"/>
      <c r="J978" s="6"/>
      <c r="X978" s="60"/>
      <c r="Z978" t="s">
        <v>1070</v>
      </c>
    </row>
    <row r="979" spans="1:26">
      <c r="A979" t="s">
        <v>1017</v>
      </c>
      <c r="B979" s="74" t="s">
        <v>33</v>
      </c>
      <c r="C979" s="60" t="str">
        <v>Multi Commodity Exchange of In</v>
      </c>
      <c r="D979" s="4">
        <v>0.028</v>
      </c>
      <c r="E979" s="62">
        <f t="shared" si="32"/>
        <v>0</v>
      </c>
      <c r="F979" s="60" t="str">
        <v>Financials</v>
      </c>
      <c r="G979" s="62">
        <f t="shared" si="33"/>
        <v>0</v>
      </c>
      <c r="H979" s="60"/>
      <c r="J979" s="6"/>
      <c r="X979" s="60"/>
      <c r="Z979" t="s">
        <v>1017</v>
      </c>
    </row>
    <row r="980" spans="1:26">
      <c r="A980" t="s">
        <v>861</v>
      </c>
      <c r="B980" s="74" t="s">
        <v>33</v>
      </c>
      <c r="C980" s="60" t="str">
        <v>Ajanta Pharma Ltd</v>
      </c>
      <c r="D980" s="4">
        <v>0.014</v>
      </c>
      <c r="E980" s="62">
        <f t="shared" si="32"/>
        <v>0</v>
      </c>
      <c r="F980" s="60" t="str">
        <v>Health Care</v>
      </c>
      <c r="G980" s="62">
        <f t="shared" si="33"/>
        <v>0</v>
      </c>
      <c r="H980" s="60"/>
      <c r="J980" s="6"/>
      <c r="X980" s="60"/>
      <c r="Z980" t="s">
        <v>861</v>
      </c>
    </row>
    <row r="981" spans="1:26">
      <c r="A981" t="s">
        <v>1497</v>
      </c>
      <c r="B981" s="74" t="s">
        <v>33</v>
      </c>
      <c r="C981" s="60" t="str">
        <v>Ipca Laboratories Ltd</v>
      </c>
      <c r="D981" s="4">
        <v>0.014</v>
      </c>
      <c r="E981" s="62">
        <f t="shared" si="32"/>
        <v>0</v>
      </c>
      <c r="F981" s="60" t="str">
        <v>Health Care</v>
      </c>
      <c r="G981" s="62">
        <f t="shared" si="33"/>
        <v>0</v>
      </c>
      <c r="H981" s="60"/>
      <c r="J981" s="6"/>
      <c r="X981" s="60"/>
      <c r="Z981" t="s">
        <v>1497</v>
      </c>
    </row>
    <row r="982" spans="1:26">
      <c r="A982" t="s">
        <v>1661</v>
      </c>
      <c r="B982" s="74" t="s">
        <v>33</v>
      </c>
      <c r="C982" s="60" t="str">
        <v>Sequent Scientific Ltd</v>
      </c>
      <c r="D982" s="4">
        <v>0.022</v>
      </c>
      <c r="E982" s="62">
        <f t="shared" si="32"/>
        <v>0</v>
      </c>
      <c r="F982" s="60" t="str">
        <v>Health Care</v>
      </c>
      <c r="G982" s="62">
        <f t="shared" si="33"/>
        <v>0</v>
      </c>
      <c r="H982" s="60"/>
      <c r="J982" s="6"/>
      <c r="X982" s="60"/>
      <c r="Z982" t="s">
        <v>1661</v>
      </c>
    </row>
    <row r="983" spans="1:26">
      <c r="A983" t="s">
        <v>957</v>
      </c>
      <c r="B983" s="74" t="s">
        <v>33</v>
      </c>
      <c r="C983" s="60" t="str">
        <v>Global Health Ltd/India</v>
      </c>
      <c r="D983" s="4">
        <v>0.022</v>
      </c>
      <c r="E983" s="62">
        <f t="shared" si="32"/>
        <v>0</v>
      </c>
      <c r="F983" s="60" t="str">
        <v>Health Care</v>
      </c>
      <c r="G983" s="62">
        <f t="shared" si="33"/>
        <v>0</v>
      </c>
      <c r="H983" s="60"/>
      <c r="J983" s="6"/>
      <c r="X983" s="60"/>
      <c r="Z983" t="s">
        <v>957</v>
      </c>
    </row>
    <row r="984" spans="1:26">
      <c r="A984" t="s">
        <v>1598</v>
      </c>
      <c r="B984" s="74" t="s">
        <v>33</v>
      </c>
      <c r="C984" s="60" t="str">
        <v>Cohance Lifesciences Ltd</v>
      </c>
      <c r="D984" s="4">
        <v>0.014</v>
      </c>
      <c r="E984" s="62">
        <f t="shared" si="32"/>
        <v>0</v>
      </c>
      <c r="F984" s="60" t="str">
        <v>Health Care</v>
      </c>
      <c r="G984" s="62">
        <f t="shared" si="33"/>
        <v>0</v>
      </c>
      <c r="H984" s="60"/>
      <c r="J984" s="6"/>
      <c r="X984" s="60"/>
      <c r="Z984" t="s">
        <v>1598</v>
      </c>
    </row>
    <row r="985" spans="1:26">
      <c r="A985" t="s">
        <v>862</v>
      </c>
      <c r="B985" s="74" t="s">
        <v>33</v>
      </c>
      <c r="C985" s="60" t="str">
        <v>Anthem Biosciences Ltd</v>
      </c>
      <c r="D985" s="4">
        <v>0.011</v>
      </c>
      <c r="E985" s="62">
        <f t="shared" si="32"/>
        <v>0</v>
      </c>
      <c r="F985" s="60" t="str">
        <v>Health Care</v>
      </c>
      <c r="G985" s="62">
        <f t="shared" si="33"/>
        <v>0</v>
      </c>
      <c r="H985" s="60"/>
      <c r="J985" s="6"/>
      <c r="X985" s="60"/>
      <c r="Z985" t="s">
        <v>862</v>
      </c>
    </row>
    <row r="986" spans="1:26">
      <c r="A986" t="s">
        <v>1686</v>
      </c>
      <c r="B986" s="74" t="s">
        <v>33</v>
      </c>
      <c r="C986" s="60" t="str">
        <v>Neuland Laboratories Ltd</v>
      </c>
      <c r="D986" s="4">
        <v>0.011</v>
      </c>
      <c r="E986" s="62">
        <f t="shared" si="32"/>
        <v>0</v>
      </c>
      <c r="F986" s="60" t="str">
        <v>Health Care</v>
      </c>
      <c r="G986" s="62">
        <f t="shared" si="33"/>
        <v>0</v>
      </c>
      <c r="H986" s="60"/>
      <c r="J986" s="6"/>
      <c r="X986" s="60"/>
      <c r="Z986" t="s">
        <v>1686</v>
      </c>
    </row>
    <row r="987" spans="1:26">
      <c r="A987" t="s">
        <v>1099</v>
      </c>
      <c r="B987" s="74" t="s">
        <v>33</v>
      </c>
      <c r="C987" s="60" t="str">
        <v>Tata Power Co Ltd/The</v>
      </c>
      <c r="D987" s="4">
        <v>0.02</v>
      </c>
      <c r="E987" s="62">
        <f t="shared" si="32"/>
        <v>0</v>
      </c>
      <c r="F987" s="60" t="str">
        <v>Utilities</v>
      </c>
      <c r="G987" s="62">
        <f t="shared" si="33"/>
        <v>0</v>
      </c>
      <c r="H987" s="60"/>
      <c r="J987" s="6"/>
      <c r="X987" s="60"/>
      <c r="Z987" t="s">
        <v>1099</v>
      </c>
    </row>
    <row r="988" spans="1:26">
      <c r="A988" t="s">
        <v>1095</v>
      </c>
      <c r="B988" s="74" t="s">
        <v>33</v>
      </c>
      <c r="C988" s="60" t="str">
        <v>Tech Mahindra Ltd</v>
      </c>
      <c r="D988" s="4">
        <v>0.01</v>
      </c>
      <c r="E988" s="62">
        <f t="shared" si="32"/>
        <v>0</v>
      </c>
      <c r="F988" s="60" t="str">
        <v>Information Technology</v>
      </c>
      <c r="G988" s="62">
        <f t="shared" si="33"/>
        <v>0</v>
      </c>
      <c r="H988" s="60"/>
      <c r="J988" s="6"/>
      <c r="X988" s="60"/>
      <c r="Z988" t="s">
        <v>1095</v>
      </c>
    </row>
    <row r="989" spans="1:26">
      <c r="A989" t="s">
        <v>991</v>
      </c>
      <c r="B989" s="74" t="s">
        <v>33</v>
      </c>
      <c r="C989" s="60" t="str">
        <v>Infosys Ltd</v>
      </c>
      <c r="D989" s="4">
        <v>0.029</v>
      </c>
      <c r="E989" s="62">
        <f t="shared" si="32"/>
        <v>0</v>
      </c>
      <c r="F989" s="60" t="str">
        <v>Information Technology</v>
      </c>
      <c r="G989" s="62">
        <f t="shared" si="33"/>
        <v>0</v>
      </c>
      <c r="H989" s="60"/>
      <c r="J989" s="6"/>
      <c r="X989" s="60"/>
      <c r="Z989" t="s">
        <v>991</v>
      </c>
    </row>
    <row r="990" spans="1:26">
      <c r="A990" t="s">
        <v>918</v>
      </c>
      <c r="B990" s="74" t="s">
        <v>33</v>
      </c>
      <c r="C990" s="60" t="str">
        <v>Coforge Ltd</v>
      </c>
      <c r="D990" s="4">
        <v>0.031</v>
      </c>
      <c r="E990" s="62">
        <f t="shared" si="32"/>
        <v>0</v>
      </c>
      <c r="F990" s="60" t="str">
        <v>Information Technology</v>
      </c>
      <c r="G990" s="62">
        <f t="shared" si="33"/>
        <v>0</v>
      </c>
      <c r="H990" s="60"/>
      <c r="J990" s="6"/>
      <c r="X990" s="60"/>
      <c r="Z990" t="s">
        <v>918</v>
      </c>
    </row>
    <row r="991" spans="1:26">
      <c r="A991" t="s">
        <v>1087</v>
      </c>
      <c r="B991" s="74" t="s">
        <v>33</v>
      </c>
      <c r="C991" s="60" t="str">
        <v>Tata Consultancy Services Ltd</v>
      </c>
      <c r="D991" s="4">
        <v>0.019</v>
      </c>
      <c r="E991" s="62">
        <f t="shared" si="32"/>
        <v>0</v>
      </c>
      <c r="F991" s="60" t="str">
        <v>Information Technology</v>
      </c>
      <c r="G991" s="62">
        <f t="shared" si="33"/>
        <v>0</v>
      </c>
      <c r="H991" s="60"/>
      <c r="J991" s="6"/>
      <c r="X991" s="60"/>
      <c r="Z991" t="s">
        <v>1087</v>
      </c>
    </row>
    <row r="992" spans="1:26">
      <c r="A992" t="s">
        <v>1084</v>
      </c>
      <c r="B992" s="74" t="s">
        <v>33</v>
      </c>
      <c r="C992" s="60" t="str">
        <v>Swiggy Ltd</v>
      </c>
      <c r="D992" s="4">
        <v>0.017</v>
      </c>
      <c r="E992" s="62">
        <f t="shared" si="32"/>
        <v>0</v>
      </c>
      <c r="F992" s="60" t="str">
        <v>Consumer Discretionary</v>
      </c>
      <c r="G992" s="62">
        <f t="shared" si="33"/>
        <v>0</v>
      </c>
      <c r="H992" s="60"/>
      <c r="J992" s="6"/>
      <c r="X992" s="60"/>
      <c r="Z992" t="s">
        <v>1084</v>
      </c>
    </row>
    <row r="993" spans="1:26">
      <c r="A993" t="s">
        <v>1038</v>
      </c>
      <c r="B993" s="74" t="s">
        <v>33</v>
      </c>
      <c r="C993" s="60" t="str">
        <v>PB Fintech Ltd</v>
      </c>
      <c r="D993" s="4">
        <v>0.022</v>
      </c>
      <c r="E993" s="62">
        <f t="shared" si="32"/>
        <v>0</v>
      </c>
      <c r="F993" s="60" t="str">
        <v>Financials</v>
      </c>
      <c r="G993" s="62">
        <f t="shared" si="33"/>
        <v>0</v>
      </c>
      <c r="H993" s="60"/>
      <c r="J993" s="6"/>
      <c r="X993" s="60"/>
      <c r="Z993" t="s">
        <v>1038</v>
      </c>
    </row>
    <row r="994" spans="1:26">
      <c r="A994" t="s">
        <v>988</v>
      </c>
      <c r="B994" s="74" t="s">
        <v>33</v>
      </c>
      <c r="C994" s="60" t="str">
        <v>Indus Towers Ltd</v>
      </c>
      <c r="D994" s="4">
        <v>0.009</v>
      </c>
      <c r="E994" s="62">
        <f t="shared" si="32"/>
        <v>0</v>
      </c>
      <c r="F994" s="60" t="str">
        <v>Communication Services</v>
      </c>
      <c r="G994" s="62">
        <f t="shared" si="33"/>
        <v>0</v>
      </c>
      <c r="H994" s="60"/>
      <c r="J994" s="6"/>
      <c r="X994" s="60"/>
      <c r="Z994" t="s">
        <v>988</v>
      </c>
    </row>
    <row r="995" spans="1:26">
      <c r="A995" t="s">
        <v>891</v>
      </c>
      <c r="B995" s="74" t="s">
        <v>33</v>
      </c>
      <c r="C995" s="60" t="str">
        <v>Bharti Airtel Ltd</v>
      </c>
      <c r="D995" s="4">
        <v>0.034</v>
      </c>
      <c r="E995" s="62">
        <f t="shared" si="32"/>
        <v>0</v>
      </c>
      <c r="F995" s="60" t="str">
        <v>Communication Services</v>
      </c>
      <c r="G995" s="62">
        <f t="shared" si="33"/>
        <v>0</v>
      </c>
      <c r="H995" s="60"/>
      <c r="J995" s="6"/>
      <c r="X995" s="60"/>
      <c r="Z995" t="s">
        <v>891</v>
      </c>
    </row>
    <row r="996" spans="1:26">
      <c r="A996" t="s">
        <v>1688</v>
      </c>
      <c r="B996" s="74" t="s">
        <v>33</v>
      </c>
      <c r="C996" s="60" t="str">
        <v>Indo Count Industries Ltd</v>
      </c>
      <c r="D996" s="4">
        <v>0.006</v>
      </c>
      <c r="E996" s="62">
        <f t="shared" si="32"/>
        <v>0</v>
      </c>
      <c r="F996" s="60" t="str">
        <v>Consumer Discretionary</v>
      </c>
      <c r="G996" s="62">
        <f t="shared" si="33"/>
        <v>0</v>
      </c>
      <c r="H996" s="60"/>
      <c r="J996" s="6"/>
      <c r="X996" s="60"/>
      <c r="Z996" t="s">
        <v>1688</v>
      </c>
    </row>
    <row r="997" spans="1:26">
      <c r="A997" s="60" t="s">
        <v>1217</v>
      </c>
      <c r="B997" s="74" t="s">
        <v>36</v>
      </c>
      <c r="C997" s="60" t="str">
        <v>Max Financial Services Ltd</v>
      </c>
      <c r="D997" s="76">
        <v>0.0563</v>
      </c>
      <c r="E997" s="62">
        <f t="shared" si="32"/>
        <v>0</v>
      </c>
      <c r="F997" s="60" t="str">
        <v>Financials</v>
      </c>
      <c r="G997" s="62">
        <f t="shared" si="33"/>
        <v>0</v>
      </c>
      <c r="H997" s="60"/>
      <c r="J997" s="6"/>
      <c r="X997" s="60"/>
      <c r="Z997" s="60" t="s">
        <v>1217</v>
      </c>
    </row>
    <row r="998" spans="1:26">
      <c r="A998" s="60" t="s">
        <v>960</v>
      </c>
      <c r="B998" s="74" t="s">
        <v>36</v>
      </c>
      <c r="C998" s="60" t="str">
        <v>HDFC Bank Ltd</v>
      </c>
      <c r="D998" s="76">
        <v>0.0558</v>
      </c>
      <c r="E998" s="62">
        <f t="shared" si="32"/>
        <v>0</v>
      </c>
      <c r="F998" s="60" t="str">
        <v>Financials</v>
      </c>
      <c r="G998" s="62">
        <f t="shared" si="33"/>
        <v>0</v>
      </c>
      <c r="H998" s="60"/>
      <c r="J998" s="6"/>
      <c r="X998" s="60"/>
      <c r="Z998" s="60" t="s">
        <v>960</v>
      </c>
    </row>
    <row r="999" spans="1:26">
      <c r="A999" s="60" t="s">
        <v>1080</v>
      </c>
      <c r="B999" s="74" t="s">
        <v>36</v>
      </c>
      <c r="C999" s="60" t="str">
        <v>Sun Pharmaceutical Industries</v>
      </c>
      <c r="D999" s="76">
        <v>0.0519</v>
      </c>
      <c r="E999" s="62">
        <f t="shared" si="32"/>
        <v>0</v>
      </c>
      <c r="F999" s="60" t="str">
        <v>Health Care</v>
      </c>
      <c r="G999" s="62">
        <f t="shared" si="33"/>
        <v>0</v>
      </c>
      <c r="H999" s="60"/>
      <c r="J999" s="6"/>
      <c r="X999" s="60"/>
      <c r="Z999" s="60" t="s">
        <v>1080</v>
      </c>
    </row>
    <row r="1000" spans="1:26">
      <c r="A1000" s="60" t="s">
        <v>857</v>
      </c>
      <c r="B1000" s="74" t="s">
        <v>36</v>
      </c>
      <c r="C1000" s="60" t="str">
        <v>Aditya Birla Capital Ltd</v>
      </c>
      <c r="D1000" s="76">
        <v>0.0515</v>
      </c>
      <c r="E1000" s="62">
        <f t="shared" si="32"/>
        <v>0</v>
      </c>
      <c r="F1000" s="60" t="str">
        <v>Financials</v>
      </c>
      <c r="G1000" s="62">
        <f t="shared" si="33"/>
        <v>0</v>
      </c>
      <c r="H1000" s="60"/>
      <c r="J1000" s="6"/>
      <c r="X1000" s="60"/>
      <c r="Z1000" s="60" t="s">
        <v>857</v>
      </c>
    </row>
    <row r="1001" spans="1:26">
      <c r="A1001" s="60" t="s">
        <v>1011</v>
      </c>
      <c r="B1001" s="74" t="s">
        <v>36</v>
      </c>
      <c r="C1001" s="60" t="str">
        <v>Larsen &amp; Toubro Ltd</v>
      </c>
      <c r="D1001" s="76">
        <v>0.0492</v>
      </c>
      <c r="E1001" s="62">
        <f t="shared" si="32"/>
        <v>0</v>
      </c>
      <c r="F1001" s="60" t="str">
        <v>Industrials</v>
      </c>
      <c r="G1001" s="62">
        <f t="shared" si="33"/>
        <v>0</v>
      </c>
      <c r="H1001" s="60"/>
      <c r="J1001" s="6"/>
      <c r="X1001" s="60"/>
      <c r="Z1001" s="60" t="s">
        <v>1011</v>
      </c>
    </row>
    <row r="1002" spans="1:26">
      <c r="A1002" s="60" t="s">
        <v>1077</v>
      </c>
      <c r="B1002" s="74" t="s">
        <v>36</v>
      </c>
      <c r="C1002" s="60" t="str">
        <v>State Bank of India</v>
      </c>
      <c r="D1002" s="76">
        <v>0.0485</v>
      </c>
      <c r="E1002" s="62">
        <f t="shared" si="32"/>
        <v>0</v>
      </c>
      <c r="F1002" s="60" t="str">
        <v>Financials</v>
      </c>
      <c r="G1002" s="62">
        <f t="shared" si="33"/>
        <v>0</v>
      </c>
      <c r="H1002" s="60"/>
      <c r="J1002" s="6"/>
      <c r="X1002" s="60"/>
      <c r="Z1002" s="60" t="s">
        <v>1077</v>
      </c>
    </row>
    <row r="1003" spans="1:26">
      <c r="A1003" s="60" t="s">
        <v>1493</v>
      </c>
      <c r="B1003" s="74" t="s">
        <v>36</v>
      </c>
      <c r="C1003" s="60" t="str">
        <v>IIFL Finance Ltd</v>
      </c>
      <c r="D1003" s="76">
        <v>0.0476</v>
      </c>
      <c r="E1003" s="62">
        <f t="shared" si="32"/>
        <v>0</v>
      </c>
      <c r="F1003" s="60" t="str">
        <v>Financials</v>
      </c>
      <c r="G1003" s="62">
        <f t="shared" si="33"/>
        <v>0</v>
      </c>
      <c r="H1003" s="60"/>
      <c r="J1003" s="6"/>
      <c r="X1003" s="60"/>
      <c r="Z1003" s="60" t="s">
        <v>1493</v>
      </c>
    </row>
    <row r="1004" spans="1:26">
      <c r="A1004" s="60" t="s">
        <v>1690</v>
      </c>
      <c r="B1004" s="74" t="s">
        <v>36</v>
      </c>
      <c r="C1004" s="60" t="str">
        <v>Bharti Airtel Ltd</v>
      </c>
      <c r="D1004" s="76">
        <v>0.0472</v>
      </c>
      <c r="E1004" s="62">
        <f t="shared" si="32"/>
        <v>0</v>
      </c>
      <c r="F1004" s="60" t="str">
        <v>Communication Services</v>
      </c>
      <c r="G1004" s="62">
        <f t="shared" si="33"/>
        <v>0</v>
      </c>
      <c r="H1004" s="60"/>
      <c r="J1004" s="6"/>
      <c r="X1004" s="60"/>
      <c r="Z1004" s="60" t="s">
        <v>1690</v>
      </c>
    </row>
    <row r="1005" spans="1:26">
      <c r="A1005" s="60" t="s">
        <v>879</v>
      </c>
      <c r="B1005" s="74" t="s">
        <v>36</v>
      </c>
      <c r="C1005" s="60" t="str">
        <v>Axis Bank Ltd</v>
      </c>
      <c r="D1005" s="76">
        <v>0.0458</v>
      </c>
      <c r="E1005" s="62">
        <f t="shared" si="32"/>
        <v>0</v>
      </c>
      <c r="F1005" s="60" t="str">
        <v>Financials</v>
      </c>
      <c r="G1005" s="62">
        <f t="shared" si="33"/>
        <v>0</v>
      </c>
      <c r="H1005" s="60"/>
      <c r="J1005" s="6"/>
      <c r="X1005" s="60"/>
      <c r="Z1005" s="60" t="s">
        <v>879</v>
      </c>
    </row>
    <row r="1006" spans="1:26">
      <c r="A1006" s="60" t="s">
        <v>1028</v>
      </c>
      <c r="B1006" s="74" t="s">
        <v>36</v>
      </c>
      <c r="C1006" s="60" t="str">
        <v>NTPC Ltd</v>
      </c>
      <c r="D1006" s="76">
        <v>0.0423</v>
      </c>
      <c r="E1006" s="62">
        <f t="shared" si="32"/>
        <v>0</v>
      </c>
      <c r="F1006" s="60" t="str">
        <v>Utilities</v>
      </c>
      <c r="G1006" s="62">
        <f t="shared" si="33"/>
        <v>0</v>
      </c>
      <c r="H1006" s="60"/>
      <c r="J1006" s="6"/>
      <c r="X1006" s="60"/>
      <c r="Z1006" s="60" t="s">
        <v>1028</v>
      </c>
    </row>
    <row r="1007" spans="1:26">
      <c r="A1007" s="60" t="s">
        <v>1691</v>
      </c>
      <c r="B1007" s="74" t="s">
        <v>36</v>
      </c>
      <c r="C1007" s="60" t="str">
        <v>Jindal Stainless Ltd</v>
      </c>
      <c r="D1007" s="76">
        <v>0.0411</v>
      </c>
      <c r="E1007" s="62">
        <f t="shared" si="32"/>
        <v>0</v>
      </c>
      <c r="F1007" s="60" t="str">
        <v>Materials</v>
      </c>
      <c r="G1007" s="62">
        <f t="shared" si="33"/>
        <v>0</v>
      </c>
      <c r="H1007" s="60"/>
      <c r="J1007" s="6"/>
      <c r="X1007" s="60"/>
      <c r="Z1007" s="60" t="s">
        <v>1691</v>
      </c>
    </row>
    <row r="1008" spans="1:26">
      <c r="A1008" s="60" t="s">
        <v>1232</v>
      </c>
      <c r="B1008" s="74" t="s">
        <v>36</v>
      </c>
      <c r="C1008" s="60" t="str">
        <v>Polycab India Ltd</v>
      </c>
      <c r="D1008" s="76">
        <v>0.0384</v>
      </c>
      <c r="E1008" s="62">
        <f t="shared" si="32"/>
        <v>0</v>
      </c>
      <c r="F1008" s="60" t="str">
        <v>Industrials</v>
      </c>
      <c r="G1008" s="62">
        <f t="shared" si="33"/>
        <v>0</v>
      </c>
      <c r="H1008" s="60"/>
      <c r="J1008" s="6"/>
      <c r="X1008" s="60"/>
      <c r="Z1008" s="60" t="s">
        <v>1232</v>
      </c>
    </row>
    <row r="1009" spans="1:26">
      <c r="A1009" s="60" t="s">
        <v>1383</v>
      </c>
      <c r="B1009" s="74" t="s">
        <v>36</v>
      </c>
      <c r="C1009" s="60" t="str">
        <v>Jindal Steel &amp; Power Ltd</v>
      </c>
      <c r="D1009" s="76">
        <v>0.0326</v>
      </c>
      <c r="E1009" s="62">
        <f t="shared" si="32"/>
        <v>0</v>
      </c>
      <c r="F1009" s="60" t="str">
        <v>Materials</v>
      </c>
      <c r="G1009" s="62">
        <f t="shared" si="33"/>
        <v>0</v>
      </c>
      <c r="H1009" s="60"/>
      <c r="J1009" s="6"/>
      <c r="X1009" s="60"/>
      <c r="Z1009" s="60" t="s">
        <v>1383</v>
      </c>
    </row>
    <row r="1010" spans="1:26">
      <c r="A1010" s="60" t="s">
        <v>955</v>
      </c>
      <c r="B1010" s="74" t="s">
        <v>36</v>
      </c>
      <c r="C1010" s="60" t="str">
        <v>HCL Technologies Ltd</v>
      </c>
      <c r="D1010" s="76">
        <v>0.0319</v>
      </c>
      <c r="E1010" s="62">
        <f t="shared" si="32"/>
        <v>0</v>
      </c>
      <c r="F1010" s="60" t="str">
        <v>Information Technology</v>
      </c>
      <c r="G1010" s="62">
        <f t="shared" si="33"/>
        <v>0</v>
      </c>
      <c r="H1010" s="60"/>
      <c r="J1010" s="6"/>
      <c r="X1010" s="60"/>
      <c r="Z1010" s="60" t="s">
        <v>955</v>
      </c>
    </row>
    <row r="1011" spans="1:26">
      <c r="A1011" s="60" t="s">
        <v>1693</v>
      </c>
      <c r="B1011" s="74" t="s">
        <v>36</v>
      </c>
      <c r="C1011" s="60" t="str">
        <v>DCM Shriram Ltd</v>
      </c>
      <c r="D1011" s="76">
        <v>0.026</v>
      </c>
      <c r="E1011" s="62">
        <f t="shared" si="32"/>
        <v>0</v>
      </c>
      <c r="F1011" s="60" t="str">
        <v>Materials</v>
      </c>
      <c r="G1011" s="62">
        <f t="shared" si="33"/>
        <v>0</v>
      </c>
      <c r="H1011" s="60"/>
      <c r="J1011" s="6"/>
      <c r="X1011" s="60"/>
      <c r="Z1011" s="60" t="s">
        <v>1693</v>
      </c>
    </row>
    <row r="1012" spans="1:26">
      <c r="A1012" s="60" t="s">
        <v>1674</v>
      </c>
      <c r="B1012" s="74" t="s">
        <v>36</v>
      </c>
      <c r="C1012" s="60" t="str">
        <v>Mastek Ltd</v>
      </c>
      <c r="D1012" s="76">
        <v>0.0252</v>
      </c>
      <c r="E1012" s="62">
        <f t="shared" si="32"/>
        <v>0</v>
      </c>
      <c r="F1012" s="60" t="str">
        <v>Information Technology</v>
      </c>
      <c r="G1012" s="62">
        <f t="shared" si="33"/>
        <v>0</v>
      </c>
      <c r="H1012" s="60"/>
      <c r="J1012" s="6"/>
      <c r="X1012" s="60"/>
      <c r="Z1012" s="60" t="s">
        <v>1674</v>
      </c>
    </row>
    <row r="1013" spans="1:26">
      <c r="A1013" s="60" t="s">
        <v>988</v>
      </c>
      <c r="B1013" s="74" t="s">
        <v>36</v>
      </c>
      <c r="C1013" s="60" t="str">
        <v>Indus Towers Ltd</v>
      </c>
      <c r="D1013" s="76">
        <v>0.0242</v>
      </c>
      <c r="E1013" s="62">
        <f t="shared" ref="E1013:E1052" si="34">_xlfn.IFNA(D1013*VLOOKUP($B1013,$AK$1:$AM$34,3,FALSE),0)</f>
        <v>0</v>
      </c>
      <c r="F1013" s="60" t="str">
        <v>Communication Services</v>
      </c>
      <c r="G1013" s="62">
        <f t="shared" ref="G1013:G1052" si="35">_xlfn.IFNA(D1013*VLOOKUP($B1013,$AK$1:$AM$34,3,FALSE),0)</f>
        <v>0</v>
      </c>
      <c r="H1013" s="60"/>
      <c r="J1013" s="6"/>
      <c r="X1013" s="60"/>
      <c r="Z1013" s="60" t="s">
        <v>988</v>
      </c>
    </row>
    <row r="1014" spans="1:26">
      <c r="A1014" s="60" t="s">
        <v>1416</v>
      </c>
      <c r="B1014" s="74" t="s">
        <v>36</v>
      </c>
      <c r="C1014" s="60" t="str">
        <v>KEC International Ltd</v>
      </c>
      <c r="D1014" s="76">
        <v>0.022</v>
      </c>
      <c r="E1014" s="62">
        <f t="shared" si="34"/>
        <v>0</v>
      </c>
      <c r="F1014" s="60" t="str">
        <v>Industrials</v>
      </c>
      <c r="G1014" s="62">
        <f t="shared" si="35"/>
        <v>0</v>
      </c>
      <c r="H1014" s="60"/>
      <c r="J1014" s="6"/>
      <c r="X1014" s="60"/>
      <c r="Z1014" s="60" t="s">
        <v>1416</v>
      </c>
    </row>
    <row r="1015" spans="1:26">
      <c r="A1015" s="60" t="s">
        <v>1695</v>
      </c>
      <c r="B1015" s="74" t="s">
        <v>36</v>
      </c>
      <c r="C1015" s="60" t="str">
        <v>Crizac Ltd</v>
      </c>
      <c r="D1015" s="76">
        <v>0.0204</v>
      </c>
      <c r="E1015" s="62">
        <f t="shared" si="34"/>
        <v>0</v>
      </c>
      <c r="F1015" s="60" t="str">
        <v>Consumer Discretionary</v>
      </c>
      <c r="G1015" s="62">
        <f t="shared" si="35"/>
        <v>0</v>
      </c>
      <c r="H1015" s="60"/>
      <c r="J1015" s="6"/>
      <c r="X1015" s="60"/>
      <c r="Z1015" s="60" t="s">
        <v>1695</v>
      </c>
    </row>
    <row r="1016" spans="1:26">
      <c r="A1016" s="60" t="s">
        <v>1697</v>
      </c>
      <c r="B1016" s="74" t="s">
        <v>36</v>
      </c>
      <c r="C1016" s="60" t="str">
        <v>Akzo Nobel India Ltd</v>
      </c>
      <c r="D1016" s="76">
        <v>0.0203</v>
      </c>
      <c r="E1016" s="62">
        <f t="shared" si="34"/>
        <v>0</v>
      </c>
      <c r="F1016" s="60" t="str">
        <v>Materials</v>
      </c>
      <c r="G1016" s="62">
        <f t="shared" si="35"/>
        <v>0</v>
      </c>
      <c r="H1016" s="60"/>
      <c r="J1016" s="6"/>
      <c r="X1016" s="60"/>
      <c r="Z1016" s="60" t="s">
        <v>1697</v>
      </c>
    </row>
    <row r="1017" spans="1:26">
      <c r="A1017" s="60" t="s">
        <v>972</v>
      </c>
      <c r="B1017" s="74" t="s">
        <v>36</v>
      </c>
      <c r="C1017" s="60" t="str">
        <v>ICICI Bank Ltd</v>
      </c>
      <c r="D1017" s="76">
        <v>0.0191</v>
      </c>
      <c r="E1017" s="62">
        <f t="shared" si="34"/>
        <v>0</v>
      </c>
      <c r="F1017" s="60" t="str">
        <v>Financials</v>
      </c>
      <c r="G1017" s="62">
        <f t="shared" si="35"/>
        <v>0</v>
      </c>
      <c r="H1017" s="60"/>
      <c r="J1017" s="6"/>
      <c r="X1017" s="60"/>
      <c r="Z1017" s="60" t="s">
        <v>972</v>
      </c>
    </row>
    <row r="1018" spans="1:26">
      <c r="A1018" s="60" t="s">
        <v>1699</v>
      </c>
      <c r="B1018" s="74" t="s">
        <v>36</v>
      </c>
      <c r="C1018" s="60" t="str">
        <v>Aarti Pharmalabs Ltd</v>
      </c>
      <c r="D1018" s="76">
        <v>0.0166</v>
      </c>
      <c r="E1018" s="62">
        <f t="shared" si="34"/>
        <v>0</v>
      </c>
      <c r="F1018" s="60" t="str">
        <v>Health Care</v>
      </c>
      <c r="G1018" s="62">
        <f t="shared" si="35"/>
        <v>0</v>
      </c>
      <c r="H1018" s="60"/>
      <c r="J1018" s="6"/>
      <c r="X1018" s="60"/>
      <c r="Z1018" s="60" t="s">
        <v>1699</v>
      </c>
    </row>
    <row r="1019" spans="1:26">
      <c r="A1019" s="60" t="s">
        <v>1621</v>
      </c>
      <c r="B1019" s="74" t="s">
        <v>36</v>
      </c>
      <c r="C1019" s="60" t="str">
        <v>Shriram Pistons &amp; Rings Ltd</v>
      </c>
      <c r="D1019" s="76">
        <v>0.0162</v>
      </c>
      <c r="E1019" s="62">
        <f t="shared" si="34"/>
        <v>0</v>
      </c>
      <c r="F1019" s="60" t="str">
        <v>Consumer Discretionary</v>
      </c>
      <c r="G1019" s="62">
        <f t="shared" si="35"/>
        <v>0</v>
      </c>
      <c r="H1019" s="60"/>
      <c r="J1019" s="6"/>
      <c r="X1019" s="60"/>
      <c r="Z1019" s="60" t="s">
        <v>1621</v>
      </c>
    </row>
    <row r="1020" spans="1:26">
      <c r="A1020" s="60" t="s">
        <v>1701</v>
      </c>
      <c r="B1020" s="74" t="s">
        <v>36</v>
      </c>
      <c r="C1020" s="60" t="str">
        <v>IDFC First Bank Ltd</v>
      </c>
      <c r="D1020" s="76">
        <v>0.0155</v>
      </c>
      <c r="E1020" s="62">
        <f t="shared" si="34"/>
        <v>0</v>
      </c>
      <c r="F1020" s="60" t="str">
        <v>Financials</v>
      </c>
      <c r="G1020" s="62">
        <f t="shared" si="35"/>
        <v>0</v>
      </c>
      <c r="H1020" s="60"/>
      <c r="J1020" s="6"/>
      <c r="X1020" s="60"/>
      <c r="Z1020" s="60" t="s">
        <v>1701</v>
      </c>
    </row>
    <row r="1021" spans="1:26">
      <c r="A1021" s="60" t="s">
        <v>1185</v>
      </c>
      <c r="B1021" s="74" t="s">
        <v>36</v>
      </c>
      <c r="C1021" s="60" t="str">
        <v>Alkem Laboratories Ltd</v>
      </c>
      <c r="D1021" s="76">
        <v>0.0152</v>
      </c>
      <c r="E1021" s="62">
        <f t="shared" si="34"/>
        <v>0</v>
      </c>
      <c r="F1021" s="60" t="str">
        <v>Health Care</v>
      </c>
      <c r="G1021" s="62">
        <f t="shared" si="35"/>
        <v>0</v>
      </c>
      <c r="H1021" s="60"/>
      <c r="J1021" s="6"/>
      <c r="X1021" s="60"/>
      <c r="Z1021" s="60" t="s">
        <v>1185</v>
      </c>
    </row>
    <row r="1022" spans="1:26">
      <c r="A1022" s="60" t="s">
        <v>856</v>
      </c>
      <c r="B1022" s="74" t="s">
        <v>36</v>
      </c>
      <c r="C1022" s="60" t="str">
        <v>Aditya Birla Real Estate Ltd</v>
      </c>
      <c r="D1022" s="76">
        <v>0.0129</v>
      </c>
      <c r="E1022" s="62">
        <f t="shared" si="34"/>
        <v>0</v>
      </c>
      <c r="F1022" s="60" t="str">
        <v>Materials</v>
      </c>
      <c r="G1022" s="62">
        <f t="shared" si="35"/>
        <v>0</v>
      </c>
      <c r="H1022" s="60"/>
      <c r="J1022" s="6"/>
      <c r="X1022" s="60"/>
      <c r="Z1022" s="60" t="s">
        <v>856</v>
      </c>
    </row>
    <row r="1023" spans="1:26">
      <c r="A1023" s="60" t="s">
        <v>1297</v>
      </c>
      <c r="B1023" s="74" t="s">
        <v>36</v>
      </c>
      <c r="C1023" s="60" t="str">
        <v>Birla Corp Ltd</v>
      </c>
      <c r="D1023" s="76">
        <v>0.0126</v>
      </c>
      <c r="E1023" s="62">
        <f t="shared" si="34"/>
        <v>0</v>
      </c>
      <c r="F1023" s="60" t="str">
        <v>Materials</v>
      </c>
      <c r="G1023" s="62">
        <f t="shared" si="35"/>
        <v>0</v>
      </c>
      <c r="H1023" s="60"/>
      <c r="J1023" s="6"/>
      <c r="X1023" s="60"/>
      <c r="Z1023" s="60" t="s">
        <v>1297</v>
      </c>
    </row>
    <row r="1024" spans="1:26">
      <c r="A1024" s="60" t="s">
        <v>933</v>
      </c>
      <c r="B1024" s="74" t="s">
        <v>36</v>
      </c>
      <c r="C1024" s="60" t="str">
        <v>Cummins India Ltd</v>
      </c>
      <c r="D1024" s="76">
        <v>0.0107</v>
      </c>
      <c r="E1024" s="62">
        <f t="shared" si="34"/>
        <v>0</v>
      </c>
      <c r="F1024" s="60" t="str">
        <v>Industrials</v>
      </c>
      <c r="G1024" s="62">
        <f t="shared" si="35"/>
        <v>0</v>
      </c>
      <c r="H1024" s="60"/>
      <c r="J1024" s="6"/>
      <c r="X1024" s="60"/>
      <c r="Z1024" s="60" t="s">
        <v>933</v>
      </c>
    </row>
    <row r="1025" spans="1:26">
      <c r="A1025" s="60" t="s">
        <v>1703</v>
      </c>
      <c r="B1025" s="77" t="s">
        <v>30</v>
      </c>
      <c r="C1025" s="60" t="str">
        <v>Sarda Energy &amp; Minerals Ltd</v>
      </c>
      <c r="D1025" s="76">
        <v>0.071</v>
      </c>
      <c r="E1025" s="62">
        <f t="shared" si="34"/>
        <v>0</v>
      </c>
      <c r="F1025" s="60" t="str">
        <v>Materials</v>
      </c>
      <c r="G1025" s="62">
        <f t="shared" si="35"/>
        <v>0</v>
      </c>
      <c r="H1025" s="60"/>
      <c r="J1025" s="6"/>
      <c r="X1025" s="60"/>
      <c r="Z1025" s="60" t="s">
        <v>1703</v>
      </c>
    </row>
    <row r="1026" spans="1:26">
      <c r="A1026" s="60" t="s">
        <v>1705</v>
      </c>
      <c r="B1026" s="77" t="s">
        <v>30</v>
      </c>
      <c r="C1026" s="60" t="str">
        <v>Jubilant Pharmova Ltd</v>
      </c>
      <c r="D1026" s="76">
        <v>0.0683</v>
      </c>
      <c r="E1026" s="62">
        <f t="shared" si="34"/>
        <v>0</v>
      </c>
      <c r="F1026" s="60" t="str">
        <v>Health Care</v>
      </c>
      <c r="G1026" s="62">
        <f t="shared" si="35"/>
        <v>0</v>
      </c>
      <c r="H1026" s="60"/>
      <c r="J1026" s="6"/>
      <c r="X1026" s="60"/>
      <c r="Z1026" s="60" t="s">
        <v>1705</v>
      </c>
    </row>
    <row r="1027" spans="1:26">
      <c r="A1027" s="60" t="s">
        <v>1707</v>
      </c>
      <c r="B1027" s="77" t="s">
        <v>30</v>
      </c>
      <c r="C1027" s="60" t="str">
        <v>Anup Engineering Limited/The</v>
      </c>
      <c r="D1027" s="76">
        <v>0.0585</v>
      </c>
      <c r="E1027" s="62">
        <f t="shared" si="34"/>
        <v>0</v>
      </c>
      <c r="F1027" s="60" t="str">
        <v>Industrials</v>
      </c>
      <c r="G1027" s="62">
        <f t="shared" si="35"/>
        <v>0</v>
      </c>
      <c r="H1027" s="60"/>
      <c r="J1027" s="6"/>
      <c r="X1027" s="60"/>
      <c r="Z1027" s="60" t="s">
        <v>1707</v>
      </c>
    </row>
    <row r="1028" spans="1:26">
      <c r="A1028" s="60" t="s">
        <v>1709</v>
      </c>
      <c r="B1028" s="77" t="s">
        <v>30</v>
      </c>
      <c r="C1028" s="60" t="str">
        <v>Technocraft Industries India L</v>
      </c>
      <c r="D1028" s="76">
        <v>0.0519</v>
      </c>
      <c r="E1028" s="62">
        <f t="shared" si="34"/>
        <v>0</v>
      </c>
      <c r="F1028" s="60" t="str">
        <v>Industrials</v>
      </c>
      <c r="G1028" s="62">
        <f t="shared" si="35"/>
        <v>0</v>
      </c>
      <c r="H1028" s="60"/>
      <c r="J1028" s="6"/>
      <c r="X1028" s="60"/>
      <c r="Z1028" s="60" t="s">
        <v>1709</v>
      </c>
    </row>
    <row r="1029" spans="1:26">
      <c r="A1029" s="60" t="s">
        <v>1691</v>
      </c>
      <c r="B1029" s="77" t="s">
        <v>30</v>
      </c>
      <c r="C1029" s="60" t="str">
        <v>Jindal Stainless Ltd</v>
      </c>
      <c r="D1029" s="76">
        <v>0.0499</v>
      </c>
      <c r="E1029" s="62">
        <f t="shared" si="34"/>
        <v>0</v>
      </c>
      <c r="F1029" s="60" t="str">
        <v>Materials</v>
      </c>
      <c r="G1029" s="62">
        <f t="shared" si="35"/>
        <v>0</v>
      </c>
      <c r="H1029" s="60"/>
      <c r="J1029" s="6"/>
      <c r="X1029" s="60"/>
      <c r="Z1029" s="60" t="s">
        <v>1691</v>
      </c>
    </row>
    <row r="1030" spans="1:26">
      <c r="A1030" s="60" t="s">
        <v>1711</v>
      </c>
      <c r="B1030" s="77" t="s">
        <v>30</v>
      </c>
      <c r="C1030" s="60" t="str">
        <v>Carysil Ltd</v>
      </c>
      <c r="D1030" s="76">
        <v>0.0419</v>
      </c>
      <c r="E1030" s="62">
        <f t="shared" si="34"/>
        <v>0</v>
      </c>
      <c r="F1030" s="60" t="str">
        <v>Industrials</v>
      </c>
      <c r="G1030" s="62">
        <f t="shared" si="35"/>
        <v>0</v>
      </c>
      <c r="H1030" s="60"/>
      <c r="J1030" s="6"/>
      <c r="X1030" s="60"/>
      <c r="Z1030" s="60" t="s">
        <v>1711</v>
      </c>
    </row>
    <row r="1031" spans="1:26">
      <c r="A1031" s="60" t="s">
        <v>1713</v>
      </c>
      <c r="B1031" s="77" t="s">
        <v>30</v>
      </c>
      <c r="C1031" s="60" t="str">
        <v>Dynamatic Technologies Ltd</v>
      </c>
      <c r="D1031" s="76">
        <v>0.0411</v>
      </c>
      <c r="E1031" s="62">
        <f t="shared" si="34"/>
        <v>0</v>
      </c>
      <c r="F1031" s="60" t="str">
        <v>Consumer Discretionary</v>
      </c>
      <c r="G1031" s="62">
        <f t="shared" si="35"/>
        <v>0</v>
      </c>
      <c r="H1031" s="60"/>
      <c r="J1031" s="6"/>
      <c r="X1031" s="60"/>
      <c r="Z1031" s="60" t="s">
        <v>1713</v>
      </c>
    </row>
    <row r="1032" spans="1:26">
      <c r="A1032" s="60" t="s">
        <v>1053</v>
      </c>
      <c r="B1032" s="77" t="s">
        <v>30</v>
      </c>
      <c r="C1032" s="60" t="str">
        <v>Radico Khaitan Ltd</v>
      </c>
      <c r="D1032" s="76">
        <v>0.0409</v>
      </c>
      <c r="E1032" s="62">
        <f t="shared" si="34"/>
        <v>0</v>
      </c>
      <c r="F1032" s="60" t="str">
        <v>Consumer Staples</v>
      </c>
      <c r="G1032" s="62">
        <f t="shared" si="35"/>
        <v>0</v>
      </c>
      <c r="H1032" s="60"/>
      <c r="J1032" s="6"/>
      <c r="X1032" s="60"/>
      <c r="Z1032" s="60" t="s">
        <v>1053</v>
      </c>
    </row>
    <row r="1033" spans="1:26">
      <c r="A1033" s="60" t="s">
        <v>1715</v>
      </c>
      <c r="B1033" s="77" t="s">
        <v>30</v>
      </c>
      <c r="C1033" s="60" t="str">
        <v>ION Exchange India Ltd</v>
      </c>
      <c r="D1033" s="76">
        <v>0.0392</v>
      </c>
      <c r="E1033" s="62">
        <f t="shared" si="34"/>
        <v>0</v>
      </c>
      <c r="F1033" s="60" t="str">
        <v>Industrials</v>
      </c>
      <c r="G1033" s="62">
        <f t="shared" si="35"/>
        <v>0</v>
      </c>
      <c r="H1033" s="60"/>
      <c r="J1033" s="6"/>
      <c r="X1033" s="60"/>
      <c r="Z1033" s="60" t="s">
        <v>1715</v>
      </c>
    </row>
    <row r="1034" spans="1:26">
      <c r="A1034" s="60" t="s">
        <v>1717</v>
      </c>
      <c r="B1034" s="77" t="s">
        <v>30</v>
      </c>
      <c r="C1034" s="60" t="str">
        <v>IIFL Capital Services Ltd</v>
      </c>
      <c r="D1034" s="76">
        <v>0.0385</v>
      </c>
      <c r="E1034" s="62">
        <f t="shared" si="34"/>
        <v>0</v>
      </c>
      <c r="F1034" s="60" t="str">
        <v>Financials</v>
      </c>
      <c r="G1034" s="62">
        <f t="shared" si="35"/>
        <v>0</v>
      </c>
      <c r="H1034" s="60"/>
      <c r="J1034" s="6"/>
      <c r="X1034" s="60"/>
      <c r="Z1034" s="60" t="s">
        <v>1717</v>
      </c>
    </row>
    <row r="1035" spans="1:26">
      <c r="A1035" s="60" t="s">
        <v>1493</v>
      </c>
      <c r="B1035" s="77" t="s">
        <v>30</v>
      </c>
      <c r="C1035" s="60" t="str">
        <v>IIFL Finance Ltd</v>
      </c>
      <c r="D1035" s="76">
        <v>0.0382</v>
      </c>
      <c r="E1035" s="62">
        <f t="shared" si="34"/>
        <v>0</v>
      </c>
      <c r="F1035" s="60" t="str">
        <v>Financials</v>
      </c>
      <c r="G1035" s="62">
        <f t="shared" si="35"/>
        <v>0</v>
      </c>
      <c r="H1035" s="60"/>
      <c r="J1035" s="6"/>
      <c r="X1035" s="60"/>
      <c r="Z1035" s="60" t="s">
        <v>1493</v>
      </c>
    </row>
    <row r="1036" spans="1:26">
      <c r="A1036" s="60" t="s">
        <v>1321</v>
      </c>
      <c r="B1036" s="77" t="s">
        <v>30</v>
      </c>
      <c r="C1036" s="60" t="str">
        <v>Canara Bank</v>
      </c>
      <c r="D1036" s="76">
        <v>0.0378</v>
      </c>
      <c r="E1036" s="62">
        <f t="shared" si="34"/>
        <v>0</v>
      </c>
      <c r="F1036" s="60" t="str">
        <v>Financials</v>
      </c>
      <c r="G1036" s="62">
        <f t="shared" si="35"/>
        <v>0</v>
      </c>
      <c r="H1036" s="60"/>
      <c r="J1036" s="6"/>
      <c r="X1036" s="60"/>
      <c r="Z1036" s="60" t="s">
        <v>1321</v>
      </c>
    </row>
    <row r="1037" spans="1:26">
      <c r="A1037" s="60" t="s">
        <v>1097</v>
      </c>
      <c r="B1037" s="77" t="s">
        <v>30</v>
      </c>
      <c r="C1037" s="60" t="str">
        <v>Federal Bank Ltd</v>
      </c>
      <c r="D1037" s="76">
        <v>0.0366</v>
      </c>
      <c r="E1037" s="62">
        <f t="shared" si="34"/>
        <v>0</v>
      </c>
      <c r="F1037" s="60" t="str">
        <v>Financials</v>
      </c>
      <c r="G1037" s="62">
        <f t="shared" si="35"/>
        <v>0</v>
      </c>
      <c r="H1037" s="60"/>
      <c r="J1037" s="6"/>
      <c r="X1037" s="60"/>
      <c r="Z1037" s="60" t="s">
        <v>1097</v>
      </c>
    </row>
    <row r="1038" spans="1:26">
      <c r="A1038" s="60" t="s">
        <v>1621</v>
      </c>
      <c r="B1038" s="77" t="s">
        <v>30</v>
      </c>
      <c r="C1038" s="60" t="str">
        <v>Shriram Pistons &amp; Rings Ltd</v>
      </c>
      <c r="D1038" s="76">
        <v>0.034</v>
      </c>
      <c r="E1038" s="62">
        <f t="shared" si="34"/>
        <v>0</v>
      </c>
      <c r="F1038" s="60" t="str">
        <v>Consumer Discretionary</v>
      </c>
      <c r="G1038" s="62">
        <f t="shared" si="35"/>
        <v>0</v>
      </c>
      <c r="H1038" s="60"/>
      <c r="J1038" s="6"/>
      <c r="X1038" s="60"/>
      <c r="Z1038" s="60" t="s">
        <v>1621</v>
      </c>
    </row>
    <row r="1039" spans="1:26">
      <c r="A1039" s="60" t="s">
        <v>1674</v>
      </c>
      <c r="B1039" s="77" t="s">
        <v>30</v>
      </c>
      <c r="C1039" s="60" t="str">
        <v>Mastek Ltd</v>
      </c>
      <c r="D1039" s="76">
        <v>0.0318</v>
      </c>
      <c r="E1039" s="62">
        <f t="shared" si="34"/>
        <v>0</v>
      </c>
      <c r="F1039" s="60" t="str">
        <v>Information Technology</v>
      </c>
      <c r="G1039" s="62">
        <f t="shared" si="35"/>
        <v>0</v>
      </c>
      <c r="H1039" s="60"/>
      <c r="J1039" s="6"/>
      <c r="X1039" s="60"/>
      <c r="Z1039" s="60" t="s">
        <v>1674</v>
      </c>
    </row>
    <row r="1040" spans="1:26">
      <c r="A1040" s="60" t="s">
        <v>1720</v>
      </c>
      <c r="B1040" s="77" t="s">
        <v>30</v>
      </c>
      <c r="C1040" s="60" t="str">
        <v>HG Infra Engineering Ltd</v>
      </c>
      <c r="D1040" s="76">
        <v>0.0286</v>
      </c>
      <c r="E1040" s="62">
        <f t="shared" si="34"/>
        <v>0</v>
      </c>
      <c r="F1040" s="60" t="str">
        <v>Industrials</v>
      </c>
      <c r="G1040" s="62">
        <f t="shared" si="35"/>
        <v>0</v>
      </c>
      <c r="H1040" s="60"/>
      <c r="J1040" s="6"/>
      <c r="X1040" s="60"/>
      <c r="Z1040" s="60" t="s">
        <v>1720</v>
      </c>
    </row>
    <row r="1041" spans="1:26">
      <c r="A1041" s="60" t="s">
        <v>1701</v>
      </c>
      <c r="B1041" s="77" t="s">
        <v>30</v>
      </c>
      <c r="C1041" s="60" t="str">
        <v>IDFC First Bank Ltd</v>
      </c>
      <c r="D1041" s="76">
        <v>0.0279</v>
      </c>
      <c r="E1041" s="62">
        <f t="shared" si="34"/>
        <v>0</v>
      </c>
      <c r="F1041" s="60" t="str">
        <v>Financials</v>
      </c>
      <c r="G1041" s="62">
        <f t="shared" si="35"/>
        <v>0</v>
      </c>
      <c r="H1041" s="60"/>
      <c r="J1041" s="6"/>
      <c r="X1041" s="60"/>
      <c r="Z1041" s="60" t="s">
        <v>1701</v>
      </c>
    </row>
    <row r="1042" spans="1:26">
      <c r="A1042" s="60" t="s">
        <v>1722</v>
      </c>
      <c r="B1042" s="77" t="s">
        <v>30</v>
      </c>
      <c r="C1042" s="60" t="str">
        <v>JK Lakshmi Cement Ltd</v>
      </c>
      <c r="D1042" s="76">
        <v>0.0235</v>
      </c>
      <c r="E1042" s="62">
        <f t="shared" si="34"/>
        <v>0</v>
      </c>
      <c r="F1042" s="60" t="str">
        <v>Materials</v>
      </c>
      <c r="G1042" s="62">
        <f t="shared" si="35"/>
        <v>0</v>
      </c>
      <c r="H1042" s="60"/>
      <c r="J1042" s="6"/>
      <c r="X1042" s="60"/>
      <c r="Z1042" s="60" t="s">
        <v>1722</v>
      </c>
    </row>
    <row r="1043" spans="1:26">
      <c r="A1043" s="60" t="s">
        <v>1724</v>
      </c>
      <c r="B1043" s="77" t="s">
        <v>30</v>
      </c>
      <c r="C1043" s="60" t="str">
        <v>Himatsingka Seide Ltd</v>
      </c>
      <c r="D1043" s="76">
        <v>0.0222</v>
      </c>
      <c r="E1043" s="62">
        <f t="shared" si="34"/>
        <v>0</v>
      </c>
      <c r="F1043" s="60" t="str">
        <v>Consumer Discretionary</v>
      </c>
      <c r="G1043" s="62">
        <f t="shared" si="35"/>
        <v>0</v>
      </c>
      <c r="H1043" s="60"/>
      <c r="J1043" s="6"/>
      <c r="X1043" s="60"/>
      <c r="Z1043" s="60" t="s">
        <v>1724</v>
      </c>
    </row>
    <row r="1044" spans="1:26">
      <c r="A1044" s="60" t="s">
        <v>1726</v>
      </c>
      <c r="B1044" s="77" t="s">
        <v>30</v>
      </c>
      <c r="C1044" s="60" t="str">
        <v>Indegene Ltd</v>
      </c>
      <c r="D1044" s="76">
        <v>0.0204</v>
      </c>
      <c r="E1044" s="62">
        <f t="shared" si="34"/>
        <v>0</v>
      </c>
      <c r="F1044" s="60" t="str">
        <v>Health Care</v>
      </c>
      <c r="G1044" s="62">
        <f t="shared" si="35"/>
        <v>0</v>
      </c>
      <c r="H1044" s="60"/>
      <c r="J1044" s="6"/>
      <c r="X1044" s="60"/>
      <c r="Z1044" s="60" t="s">
        <v>1726</v>
      </c>
    </row>
    <row r="1045" spans="1:26">
      <c r="A1045" s="60" t="s">
        <v>1436</v>
      </c>
      <c r="B1045" s="77" t="s">
        <v>30</v>
      </c>
      <c r="C1045" s="60" t="str">
        <v>PNB Housing Finance Ltd</v>
      </c>
      <c r="D1045" s="76">
        <v>0.0199</v>
      </c>
      <c r="E1045" s="62">
        <f t="shared" si="34"/>
        <v>0</v>
      </c>
      <c r="F1045" s="60" t="str">
        <v>Financials</v>
      </c>
      <c r="G1045" s="62">
        <f t="shared" si="35"/>
        <v>0</v>
      </c>
      <c r="H1045" s="60"/>
      <c r="J1045" s="6"/>
      <c r="X1045" s="60"/>
      <c r="Z1045" s="60" t="s">
        <v>1436</v>
      </c>
    </row>
    <row r="1046" spans="1:26">
      <c r="A1046" s="60" t="s">
        <v>1728</v>
      </c>
      <c r="B1046" s="77" t="s">
        <v>30</v>
      </c>
      <c r="C1046" s="60" t="str">
        <v>Saregama India Ltd</v>
      </c>
      <c r="D1046" s="76">
        <v>0.0178</v>
      </c>
      <c r="E1046" s="62">
        <f t="shared" si="34"/>
        <v>0</v>
      </c>
      <c r="F1046" s="60" t="str">
        <v>Communication Services</v>
      </c>
      <c r="G1046" s="62">
        <f t="shared" si="35"/>
        <v>0</v>
      </c>
      <c r="H1046" s="60"/>
      <c r="J1046" s="6"/>
      <c r="X1046" s="60"/>
      <c r="Z1046" s="60" t="s">
        <v>1728</v>
      </c>
    </row>
    <row r="1047" spans="1:26">
      <c r="A1047" s="60" t="s">
        <v>1633</v>
      </c>
      <c r="B1047" s="77" t="s">
        <v>30</v>
      </c>
      <c r="C1047" s="60" t="str">
        <v>Jubilant Ingrevia Ltd</v>
      </c>
      <c r="D1047" s="76">
        <v>0.0172</v>
      </c>
      <c r="E1047" s="62">
        <f t="shared" si="34"/>
        <v>0</v>
      </c>
      <c r="F1047" s="60" t="str">
        <v>Materials</v>
      </c>
      <c r="G1047" s="62">
        <f t="shared" si="35"/>
        <v>0</v>
      </c>
      <c r="H1047" s="60"/>
      <c r="J1047" s="6"/>
      <c r="X1047" s="60"/>
      <c r="Z1047" s="60" t="s">
        <v>1633</v>
      </c>
    </row>
    <row r="1048" spans="1:26">
      <c r="A1048" s="60" t="s">
        <v>1217</v>
      </c>
      <c r="B1048" s="77" t="s">
        <v>30</v>
      </c>
      <c r="C1048" s="60" t="str">
        <v>Max Financial Services Ltd</v>
      </c>
      <c r="D1048" s="76">
        <v>0.0159</v>
      </c>
      <c r="E1048" s="62">
        <f t="shared" si="34"/>
        <v>0</v>
      </c>
      <c r="F1048" s="60" t="str">
        <v>Financials</v>
      </c>
      <c r="G1048" s="62">
        <f t="shared" si="35"/>
        <v>0</v>
      </c>
      <c r="H1048" s="60"/>
      <c r="J1048" s="6"/>
      <c r="X1048" s="60"/>
      <c r="Z1048" s="60" t="s">
        <v>1217</v>
      </c>
    </row>
    <row r="1049" spans="1:26">
      <c r="A1049" s="60" t="s">
        <v>1730</v>
      </c>
      <c r="B1049" s="77" t="s">
        <v>30</v>
      </c>
      <c r="C1049" s="60" t="str">
        <v>Siyaram Silk Mills Ltd</v>
      </c>
      <c r="D1049" s="76">
        <v>0.0142</v>
      </c>
      <c r="E1049" s="62">
        <f t="shared" si="34"/>
        <v>0</v>
      </c>
      <c r="F1049" s="60" t="str">
        <v>Consumer Discretionary</v>
      </c>
      <c r="G1049" s="62">
        <f t="shared" si="35"/>
        <v>0</v>
      </c>
      <c r="H1049" s="60"/>
      <c r="J1049" s="6"/>
      <c r="X1049" s="60"/>
      <c r="Z1049" s="60" t="s">
        <v>1730</v>
      </c>
    </row>
    <row r="1050" spans="1:26">
      <c r="A1050" s="60" t="s">
        <v>1732</v>
      </c>
      <c r="B1050" s="77" t="s">
        <v>30</v>
      </c>
      <c r="C1050" s="60" t="str">
        <v>DCM Shriram Industries Ltd</v>
      </c>
      <c r="D1050" s="76">
        <v>0.013</v>
      </c>
      <c r="E1050" s="62">
        <f t="shared" si="34"/>
        <v>0</v>
      </c>
      <c r="F1050" s="60" t="str">
        <v>Consumer Staples</v>
      </c>
      <c r="G1050" s="62">
        <f t="shared" si="35"/>
        <v>0</v>
      </c>
      <c r="H1050" s="60"/>
      <c r="J1050" s="6"/>
      <c r="X1050" s="60"/>
      <c r="Z1050" s="60" t="s">
        <v>1732</v>
      </c>
    </row>
    <row r="1051" spans="1:26">
      <c r="A1051" s="60" t="s">
        <v>1734</v>
      </c>
      <c r="B1051" s="77" t="s">
        <v>30</v>
      </c>
      <c r="C1051" s="60" t="str">
        <v>Ujjivan Small Finance Bank Ltd</v>
      </c>
      <c r="D1051" s="76">
        <v>0.0125</v>
      </c>
      <c r="E1051" s="62">
        <f t="shared" si="34"/>
        <v>0</v>
      </c>
      <c r="F1051" s="60" t="str">
        <v>Financials</v>
      </c>
      <c r="G1051" s="62">
        <f t="shared" si="35"/>
        <v>0</v>
      </c>
      <c r="H1051" s="60"/>
      <c r="J1051" s="6"/>
      <c r="X1051" s="60"/>
      <c r="Z1051" s="60" t="s">
        <v>1734</v>
      </c>
    </row>
    <row r="1052" spans="1:26">
      <c r="A1052" s="60" t="s">
        <v>1736</v>
      </c>
      <c r="B1052" s="77" t="s">
        <v>30</v>
      </c>
      <c r="C1052" s="60" t="str">
        <v>Rupa &amp; Co Ltd</v>
      </c>
      <c r="D1052" s="76">
        <v>0.0116</v>
      </c>
      <c r="E1052" s="62">
        <f t="shared" si="34"/>
        <v>0</v>
      </c>
      <c r="F1052" s="60" t="str">
        <v>Consumer Discretionary</v>
      </c>
      <c r="G1052" s="62">
        <f t="shared" si="35"/>
        <v>0</v>
      </c>
      <c r="H1052" s="60"/>
      <c r="J1052" s="6"/>
      <c r="X1052" s="60"/>
      <c r="Z1052" s="60" t="s">
        <v>1736</v>
      </c>
    </row>
    <row r="1053" spans="1:26">
      <c r="A1053" s="78" t="s">
        <v>960</v>
      </c>
      <c r="B1053" s="74" t="s">
        <v>18</v>
      </c>
      <c r="C1053" s="60" t="str">
        <v>HDFC Bank Ltd</v>
      </c>
      <c r="D1053" s="79">
        <v>0.11834000415731</v>
      </c>
      <c r="E1053" s="62">
        <f t="shared" ref="E1053:E1099" si="36">_xlfn.IFNA(D1053*VLOOKUP($B1053,$AK$1:$AM$34,3,FALSE),0)</f>
        <v>0</v>
      </c>
      <c r="F1053" s="60" t="str">
        <v>Financials</v>
      </c>
      <c r="G1053" s="62">
        <f t="shared" ref="G1053:G1099" si="37">_xlfn.IFNA(D1053*VLOOKUP($B1053,$AK$1:$AM$34,3,FALSE),0)</f>
        <v>0</v>
      </c>
      <c r="H1053" s="60"/>
      <c r="J1053" s="6"/>
      <c r="X1053" s="60"/>
      <c r="Z1053" s="78" t="s">
        <v>960</v>
      </c>
    </row>
    <row r="1054" spans="1:26">
      <c r="A1054" s="78" t="s">
        <v>1070</v>
      </c>
      <c r="B1054" s="74" t="s">
        <v>18</v>
      </c>
      <c r="C1054" s="60" t="str">
        <v>Reliance Industries Ltd</v>
      </c>
      <c r="D1054" s="79">
        <v>0.0700946631842296</v>
      </c>
      <c r="E1054" s="62">
        <f t="shared" si="36"/>
        <v>0</v>
      </c>
      <c r="F1054" s="60" t="str">
        <v>Energy</v>
      </c>
      <c r="G1054" s="62">
        <f t="shared" si="37"/>
        <v>0</v>
      </c>
      <c r="H1054" s="60"/>
      <c r="J1054" s="6"/>
      <c r="X1054" s="60"/>
      <c r="Z1054" s="78" t="s">
        <v>1070</v>
      </c>
    </row>
    <row r="1055" spans="1:26">
      <c r="A1055" s="78" t="s">
        <v>1077</v>
      </c>
      <c r="B1055" s="74" t="s">
        <v>18</v>
      </c>
      <c r="C1055" s="60" t="str">
        <v>State Bank of India</v>
      </c>
      <c r="D1055" s="79">
        <v>0.0640986287478061</v>
      </c>
      <c r="E1055" s="62">
        <f t="shared" si="36"/>
        <v>0</v>
      </c>
      <c r="F1055" s="60" t="str">
        <v>Financials</v>
      </c>
      <c r="G1055" s="62">
        <f t="shared" si="37"/>
        <v>0</v>
      </c>
      <c r="H1055" s="60"/>
      <c r="J1055" s="6"/>
      <c r="X1055" s="60"/>
      <c r="Z1055" s="78" t="s">
        <v>1077</v>
      </c>
    </row>
    <row r="1056" spans="1:26">
      <c r="A1056" s="78" t="s">
        <v>972</v>
      </c>
      <c r="B1056" s="74" t="s">
        <v>18</v>
      </c>
      <c r="C1056" s="60" t="str">
        <v>ICICI Bank Ltd</v>
      </c>
      <c r="D1056" s="79">
        <v>0.0618551557799602</v>
      </c>
      <c r="E1056" s="62">
        <f t="shared" si="36"/>
        <v>0</v>
      </c>
      <c r="F1056" s="60" t="str">
        <v>Financials</v>
      </c>
      <c r="G1056" s="62">
        <f t="shared" si="37"/>
        <v>0</v>
      </c>
      <c r="H1056" s="60"/>
      <c r="J1056" s="6"/>
      <c r="X1056" s="60"/>
      <c r="Z1056" s="78" t="s">
        <v>972</v>
      </c>
    </row>
    <row r="1057" spans="1:26">
      <c r="A1057" s="78" t="s">
        <v>1095</v>
      </c>
      <c r="B1057" s="74" t="s">
        <v>18</v>
      </c>
      <c r="C1057" s="60" t="str">
        <v>Tech Mahindra Ltd</v>
      </c>
      <c r="D1057" s="79">
        <v>0.060457166958428</v>
      </c>
      <c r="E1057" s="62">
        <f t="shared" si="36"/>
        <v>0</v>
      </c>
      <c r="F1057" s="60" t="str">
        <v>Information Technology</v>
      </c>
      <c r="G1057" s="62">
        <f t="shared" si="37"/>
        <v>0</v>
      </c>
      <c r="H1057" s="60"/>
      <c r="J1057" s="6"/>
      <c r="X1057" s="60"/>
      <c r="Z1057" s="78" t="s">
        <v>1095</v>
      </c>
    </row>
    <row r="1058" spans="1:26">
      <c r="A1058" s="78" t="s">
        <v>962</v>
      </c>
      <c r="B1058" s="74" t="s">
        <v>18</v>
      </c>
      <c r="C1058" s="60" t="str">
        <v>HDFC Asset Management Co Ltd</v>
      </c>
      <c r="D1058" s="79">
        <v>0.0565937027659655</v>
      </c>
      <c r="E1058" s="62">
        <f t="shared" si="36"/>
        <v>0</v>
      </c>
      <c r="F1058" s="60" t="str">
        <v>Financials</v>
      </c>
      <c r="G1058" s="62">
        <f t="shared" si="37"/>
        <v>0</v>
      </c>
      <c r="H1058" s="60"/>
      <c r="J1058" s="6"/>
      <c r="X1058" s="60"/>
      <c r="Z1058" s="78" t="s">
        <v>962</v>
      </c>
    </row>
    <row r="1059" spans="1:26">
      <c r="A1059" s="78" t="s">
        <v>1008</v>
      </c>
      <c r="B1059" s="74" t="s">
        <v>18</v>
      </c>
      <c r="C1059" s="60" t="str">
        <v>Kotak Mahindra Bank Ltd</v>
      </c>
      <c r="D1059" s="79">
        <v>0.0565615596586572</v>
      </c>
      <c r="E1059" s="62">
        <f t="shared" si="36"/>
        <v>0</v>
      </c>
      <c r="F1059" s="60" t="str">
        <v>Financials</v>
      </c>
      <c r="G1059" s="62">
        <f t="shared" si="37"/>
        <v>0</v>
      </c>
      <c r="H1059" s="60"/>
      <c r="J1059" s="6"/>
      <c r="X1059" s="60"/>
      <c r="Z1059" s="78" t="s">
        <v>1008</v>
      </c>
    </row>
    <row r="1060" spans="1:26">
      <c r="A1060" s="78" t="s">
        <v>991</v>
      </c>
      <c r="B1060" s="74" t="s">
        <v>18</v>
      </c>
      <c r="C1060" s="60" t="str">
        <v>Infosys Ltd</v>
      </c>
      <c r="D1060" s="79">
        <v>0.0482322181218477</v>
      </c>
      <c r="E1060" s="62">
        <f t="shared" si="36"/>
        <v>0</v>
      </c>
      <c r="F1060" s="60" t="str">
        <v>Information Technology</v>
      </c>
      <c r="G1060" s="62">
        <f t="shared" si="37"/>
        <v>0</v>
      </c>
      <c r="H1060" s="60"/>
      <c r="J1060" s="6"/>
      <c r="X1060" s="60"/>
      <c r="Z1060" s="78" t="s">
        <v>991</v>
      </c>
    </row>
    <row r="1061" spans="1:26">
      <c r="A1061" s="78" t="s">
        <v>1155</v>
      </c>
      <c r="B1061" s="74" t="s">
        <v>18</v>
      </c>
      <c r="C1061" s="60" t="str">
        <v>Info Edge India Ltd</v>
      </c>
      <c r="D1061" s="79">
        <v>0.0430918532351393</v>
      </c>
      <c r="E1061" s="62">
        <f t="shared" si="36"/>
        <v>0</v>
      </c>
      <c r="F1061" s="60" t="str">
        <v>Communication Services</v>
      </c>
      <c r="G1061" s="62">
        <f t="shared" si="37"/>
        <v>0</v>
      </c>
      <c r="H1061" s="60"/>
      <c r="J1061" s="6"/>
      <c r="X1061" s="60"/>
      <c r="Z1061" s="78" t="s">
        <v>1155</v>
      </c>
    </row>
    <row r="1062" spans="1:26">
      <c r="A1062" s="78" t="s">
        <v>1112</v>
      </c>
      <c r="B1062" s="74" t="s">
        <v>18</v>
      </c>
      <c r="C1062" s="60" t="str">
        <v>United Spirits Ltd</v>
      </c>
      <c r="D1062" s="79">
        <v>0.0408760159115494</v>
      </c>
      <c r="E1062" s="62">
        <f t="shared" si="36"/>
        <v>0</v>
      </c>
      <c r="F1062" s="60" t="str">
        <v>Consumer Staples</v>
      </c>
      <c r="G1062" s="62">
        <f t="shared" si="37"/>
        <v>0</v>
      </c>
      <c r="H1062" s="60"/>
      <c r="J1062" s="6"/>
      <c r="X1062" s="60"/>
      <c r="Z1062" s="78" t="s">
        <v>1112</v>
      </c>
    </row>
    <row r="1063" spans="1:26">
      <c r="A1063" s="78" t="s">
        <v>1386</v>
      </c>
      <c r="B1063" s="74" t="s">
        <v>18</v>
      </c>
      <c r="C1063" s="60" t="str">
        <v>Jubilant Foodworks Ltd</v>
      </c>
      <c r="D1063" s="79">
        <v>0.0347474755668998</v>
      </c>
      <c r="E1063" s="62">
        <f t="shared" si="36"/>
        <v>0</v>
      </c>
      <c r="F1063" s="60" t="str">
        <v>Consumer Discretionary</v>
      </c>
      <c r="G1063" s="62">
        <f t="shared" si="37"/>
        <v>0</v>
      </c>
      <c r="H1063" s="60"/>
      <c r="J1063" s="6"/>
      <c r="X1063" s="60"/>
      <c r="Z1063" s="78" t="s">
        <v>1386</v>
      </c>
    </row>
    <row r="1064" spans="1:26">
      <c r="A1064" s="78" t="s">
        <v>1092</v>
      </c>
      <c r="B1064" s="74" t="s">
        <v>18</v>
      </c>
      <c r="C1064" s="60" t="str">
        <v>Tata Steel Ltd</v>
      </c>
      <c r="D1064" s="79">
        <v>0.0331157536837582</v>
      </c>
      <c r="E1064" s="62">
        <f t="shared" si="36"/>
        <v>0</v>
      </c>
      <c r="F1064" s="60" t="str">
        <v>Materials</v>
      </c>
      <c r="G1064" s="62">
        <f t="shared" si="37"/>
        <v>0</v>
      </c>
      <c r="H1064" s="60"/>
      <c r="J1064" s="6"/>
      <c r="X1064" s="60"/>
      <c r="Z1064" s="78" t="s">
        <v>1092</v>
      </c>
    </row>
    <row r="1065" spans="1:26">
      <c r="A1065" s="78" t="s">
        <v>1097</v>
      </c>
      <c r="B1065" s="74" t="s">
        <v>18</v>
      </c>
      <c r="C1065" s="60" t="str">
        <v>Federal Bank Ltd</v>
      </c>
      <c r="D1065" s="79">
        <v>0.0278859823389067</v>
      </c>
      <c r="E1065" s="62">
        <f t="shared" si="36"/>
        <v>0</v>
      </c>
      <c r="F1065" s="60" t="str">
        <v>Financials</v>
      </c>
      <c r="G1065" s="62">
        <f t="shared" si="37"/>
        <v>0</v>
      </c>
      <c r="H1065" s="60"/>
      <c r="J1065" s="6"/>
      <c r="X1065" s="60"/>
      <c r="Z1065" s="78" t="s">
        <v>1097</v>
      </c>
    </row>
    <row r="1066" spans="1:26">
      <c r="A1066" s="78" t="s">
        <v>1738</v>
      </c>
      <c r="B1066" s="74" t="s">
        <v>18</v>
      </c>
      <c r="C1066" s="60" t="str">
        <v>Alembic Pharmaceuticals Ltd</v>
      </c>
      <c r="D1066" s="79">
        <v>0.0277347746794851</v>
      </c>
      <c r="E1066" s="62">
        <f t="shared" si="36"/>
        <v>0</v>
      </c>
      <c r="F1066" s="60" t="str">
        <v>Health Care</v>
      </c>
      <c r="G1066" s="62">
        <f t="shared" si="37"/>
        <v>0</v>
      </c>
      <c r="H1066" s="60"/>
      <c r="I1066" s="4"/>
      <c r="J1066" s="6"/>
      <c r="X1066" s="60"/>
      <c r="Z1066" s="78" t="s">
        <v>1738</v>
      </c>
    </row>
    <row r="1067" spans="1:26">
      <c r="A1067" s="78" t="s">
        <v>1080</v>
      </c>
      <c r="B1067" s="74" t="s">
        <v>18</v>
      </c>
      <c r="C1067" s="60" t="str">
        <v>Sun Pharmaceutical Industries</v>
      </c>
      <c r="D1067" s="79">
        <v>0.0236260954933137</v>
      </c>
      <c r="E1067" s="62">
        <f t="shared" si="36"/>
        <v>0</v>
      </c>
      <c r="F1067" s="60" t="str">
        <v>Health Care</v>
      </c>
      <c r="G1067" s="62">
        <f t="shared" si="37"/>
        <v>0</v>
      </c>
      <c r="H1067" s="60"/>
      <c r="J1067" s="6"/>
      <c r="X1067" s="60"/>
      <c r="Z1067" s="78" t="s">
        <v>1080</v>
      </c>
    </row>
    <row r="1068" spans="1:26">
      <c r="A1068" s="78" t="s">
        <v>850</v>
      </c>
      <c r="B1068" s="74" t="s">
        <v>18</v>
      </c>
      <c r="C1068" s="60" t="str">
        <v>ABB India Ltd</v>
      </c>
      <c r="D1068" s="79">
        <v>0.0223246035212427</v>
      </c>
      <c r="E1068" s="62">
        <f t="shared" si="36"/>
        <v>0</v>
      </c>
      <c r="F1068" s="60" t="str">
        <v>Industrials</v>
      </c>
      <c r="G1068" s="62">
        <f t="shared" si="37"/>
        <v>0</v>
      </c>
      <c r="H1068" s="60"/>
      <c r="J1068" s="6"/>
      <c r="X1068" s="60"/>
      <c r="Z1068" s="78" t="s">
        <v>850</v>
      </c>
    </row>
    <row r="1069" spans="1:26">
      <c r="A1069" s="78" t="s">
        <v>1740</v>
      </c>
      <c r="B1069" s="74" t="s">
        <v>18</v>
      </c>
      <c r="C1069" s="60" t="str">
        <v>Natco Pharma Ltd</v>
      </c>
      <c r="D1069" s="79">
        <v>0.0214602510558105</v>
      </c>
      <c r="E1069" s="62">
        <f t="shared" si="36"/>
        <v>0</v>
      </c>
      <c r="F1069" s="60" t="str">
        <v>Health Care</v>
      </c>
      <c r="G1069" s="62">
        <f t="shared" si="37"/>
        <v>0</v>
      </c>
      <c r="H1069" s="60"/>
      <c r="J1069" s="6"/>
      <c r="X1069" s="60"/>
      <c r="Z1069" s="78" t="s">
        <v>1740</v>
      </c>
    </row>
    <row r="1070" spans="1:26">
      <c r="A1070" s="78" t="s">
        <v>1339</v>
      </c>
      <c r="B1070" s="74" t="s">
        <v>18</v>
      </c>
      <c r="C1070" s="60" t="str">
        <v>Godrej Consumer Products Ltd</v>
      </c>
      <c r="D1070" s="79">
        <v>0.0212542920699067</v>
      </c>
      <c r="E1070" s="62">
        <f t="shared" si="36"/>
        <v>0</v>
      </c>
      <c r="F1070" s="60" t="str">
        <v>Consumer Staples</v>
      </c>
      <c r="G1070" s="62">
        <f t="shared" si="37"/>
        <v>0</v>
      </c>
      <c r="H1070" s="60"/>
      <c r="J1070" s="6"/>
      <c r="X1070" s="60"/>
      <c r="Z1070" s="78" t="s">
        <v>1339</v>
      </c>
    </row>
    <row r="1071" spans="1:26">
      <c r="A1071" s="78" t="s">
        <v>1094</v>
      </c>
      <c r="B1071" s="74" t="s">
        <v>18</v>
      </c>
      <c r="C1071" s="60" t="str">
        <v>Tata Consumer Products Ltd</v>
      </c>
      <c r="D1071" s="79">
        <v>0.0208956758334675</v>
      </c>
      <c r="E1071" s="62">
        <f t="shared" si="36"/>
        <v>0</v>
      </c>
      <c r="F1071" s="60" t="str">
        <v>Consumer Staples</v>
      </c>
      <c r="G1071" s="62">
        <f t="shared" si="37"/>
        <v>0</v>
      </c>
      <c r="H1071" s="60"/>
      <c r="J1071" s="6"/>
      <c r="X1071" s="60"/>
      <c r="Z1071" s="78" t="s">
        <v>1094</v>
      </c>
    </row>
    <row r="1072" spans="1:26">
      <c r="A1072" s="78" t="s">
        <v>1011</v>
      </c>
      <c r="B1072" s="74" t="s">
        <v>18</v>
      </c>
      <c r="C1072" s="60" t="str">
        <v>Larsen &amp; Toubro Ltd</v>
      </c>
      <c r="D1072" s="79">
        <v>0.0204636571650028</v>
      </c>
      <c r="E1072" s="62">
        <f t="shared" si="36"/>
        <v>0</v>
      </c>
      <c r="F1072" s="60" t="str">
        <v>Industrials</v>
      </c>
      <c r="G1072" s="62">
        <f t="shared" si="37"/>
        <v>0</v>
      </c>
      <c r="H1072" s="60"/>
      <c r="J1072" s="6"/>
      <c r="X1072" s="60"/>
      <c r="Z1072" s="78" t="s">
        <v>1011</v>
      </c>
    </row>
    <row r="1073" spans="1:26">
      <c r="A1073" s="78" t="s">
        <v>1153</v>
      </c>
      <c r="B1073" s="74" t="s">
        <v>18</v>
      </c>
      <c r="C1073" s="60" t="str">
        <v>ICICI Lombard General Insuranc</v>
      </c>
      <c r="D1073" s="79">
        <v>0.0201694621982528</v>
      </c>
      <c r="E1073" s="62">
        <f t="shared" si="36"/>
        <v>0</v>
      </c>
      <c r="F1073" s="60" t="str">
        <v>Financials</v>
      </c>
      <c r="G1073" s="62">
        <f t="shared" si="37"/>
        <v>0</v>
      </c>
      <c r="H1073" s="60"/>
      <c r="J1073" s="6"/>
      <c r="X1073" s="60"/>
      <c r="Z1073" s="78" t="s">
        <v>1153</v>
      </c>
    </row>
    <row r="1074" spans="1:26">
      <c r="A1074" s="78" t="s">
        <v>930</v>
      </c>
      <c r="B1074" s="74" t="s">
        <v>18</v>
      </c>
      <c r="C1074" s="60" t="str">
        <v>Crompton Greaves Consumer Elec</v>
      </c>
      <c r="D1074" s="79">
        <v>0.0195575501729201</v>
      </c>
      <c r="E1074" s="62">
        <f t="shared" si="36"/>
        <v>0</v>
      </c>
      <c r="F1074" s="60" t="str">
        <v>Consumer Discretionary</v>
      </c>
      <c r="G1074" s="62">
        <f t="shared" si="37"/>
        <v>0</v>
      </c>
      <c r="H1074" s="60"/>
      <c r="J1074" s="6"/>
      <c r="X1074" s="60"/>
      <c r="Z1074" s="78" t="s">
        <v>930</v>
      </c>
    </row>
    <row r="1075" spans="1:26">
      <c r="A1075" s="78" t="s">
        <v>1090</v>
      </c>
      <c r="B1075" s="74" t="s">
        <v>18</v>
      </c>
      <c r="C1075" s="60" t="str">
        <v>Tata Motors Ltd</v>
      </c>
      <c r="D1075" s="79">
        <v>0.0192621340832209</v>
      </c>
      <c r="E1075" s="62">
        <f t="shared" si="36"/>
        <v>0</v>
      </c>
      <c r="F1075" s="60" t="str">
        <v>Consumer Discretionary</v>
      </c>
      <c r="G1075" s="62">
        <f t="shared" si="37"/>
        <v>0</v>
      </c>
      <c r="H1075" s="60"/>
      <c r="J1075" s="6"/>
      <c r="X1075" s="60"/>
      <c r="Z1075" s="78" t="s">
        <v>1090</v>
      </c>
    </row>
    <row r="1076" spans="1:26">
      <c r="A1076" s="78" t="s">
        <v>1028</v>
      </c>
      <c r="B1076" s="74" t="s">
        <v>18</v>
      </c>
      <c r="C1076" s="60" t="str">
        <v>NTPC Ltd</v>
      </c>
      <c r="D1076" s="79">
        <v>0.0179816262930744</v>
      </c>
      <c r="E1076" s="62">
        <f t="shared" si="36"/>
        <v>0</v>
      </c>
      <c r="F1076" s="60" t="str">
        <v>Utilities</v>
      </c>
      <c r="G1076" s="62">
        <f t="shared" si="37"/>
        <v>0</v>
      </c>
      <c r="H1076" s="60"/>
      <c r="J1076" s="6"/>
      <c r="X1076" s="60"/>
      <c r="Z1076" s="78" t="s">
        <v>1028</v>
      </c>
    </row>
    <row r="1077" spans="1:26">
      <c r="A1077" s="78" t="s">
        <v>891</v>
      </c>
      <c r="B1077" s="74" t="s">
        <v>18</v>
      </c>
      <c r="C1077" s="60" t="str">
        <v>Bharti Airtel Ltd</v>
      </c>
      <c r="D1077" s="79">
        <v>0.0170202817762476</v>
      </c>
      <c r="E1077" s="62">
        <f t="shared" si="36"/>
        <v>0</v>
      </c>
      <c r="F1077" s="60" t="str">
        <v>Communication Services</v>
      </c>
      <c r="G1077" s="62">
        <f t="shared" si="37"/>
        <v>0</v>
      </c>
      <c r="H1077" s="60"/>
      <c r="J1077" s="6"/>
      <c r="X1077" s="60"/>
      <c r="Z1077" s="78" t="s">
        <v>891</v>
      </c>
    </row>
    <row r="1078" spans="1:26">
      <c r="A1078" s="78" t="s">
        <v>1323</v>
      </c>
      <c r="B1078" s="74" t="s">
        <v>18</v>
      </c>
      <c r="C1078" s="60" t="str">
        <v>Wipro Ltd</v>
      </c>
      <c r="D1078" s="79">
        <v>0.0160405134965835</v>
      </c>
      <c r="E1078" s="62">
        <f t="shared" si="36"/>
        <v>0</v>
      </c>
      <c r="F1078" s="60" t="str">
        <v>Information Technology</v>
      </c>
      <c r="G1078" s="62">
        <f t="shared" si="37"/>
        <v>0</v>
      </c>
      <c r="H1078" s="60"/>
      <c r="J1078" s="6"/>
      <c r="X1078" s="60"/>
      <c r="Z1078" s="78" t="s">
        <v>1323</v>
      </c>
    </row>
    <row r="1079" spans="1:26">
      <c r="A1079" s="78" t="s">
        <v>960</v>
      </c>
      <c r="B1079" s="74" t="s">
        <v>37</v>
      </c>
      <c r="C1079" s="60" t="str">
        <v>HDFC Bank Ltd</v>
      </c>
      <c r="D1079" s="80">
        <v>0.0954968421028572</v>
      </c>
      <c r="E1079" s="62">
        <f t="shared" si="36"/>
        <v>0</v>
      </c>
      <c r="F1079" s="60" t="str">
        <v>Financials</v>
      </c>
      <c r="G1079" s="62">
        <f t="shared" si="37"/>
        <v>0</v>
      </c>
      <c r="H1079" s="60"/>
      <c r="J1079" s="6"/>
      <c r="X1079" s="60"/>
      <c r="Z1079" s="78" t="s">
        <v>960</v>
      </c>
    </row>
    <row r="1080" spans="1:26">
      <c r="A1080" s="78" t="s">
        <v>962</v>
      </c>
      <c r="B1080" s="74" t="s">
        <v>37</v>
      </c>
      <c r="C1080" s="60" t="str">
        <v>HDFC Asset Management Co Ltd</v>
      </c>
      <c r="D1080" s="80">
        <v>0.0604319592507508</v>
      </c>
      <c r="E1080" s="62">
        <f t="shared" si="36"/>
        <v>0</v>
      </c>
      <c r="F1080" s="60" t="str">
        <v>Financials</v>
      </c>
      <c r="G1080" s="62">
        <f t="shared" si="37"/>
        <v>0</v>
      </c>
      <c r="H1080" s="60"/>
      <c r="J1080" s="6"/>
      <c r="X1080" s="60"/>
      <c r="Z1080" s="78" t="s">
        <v>962</v>
      </c>
    </row>
    <row r="1081" spans="1:26">
      <c r="A1081" s="78" t="s">
        <v>1095</v>
      </c>
      <c r="B1081" s="74" t="s">
        <v>37</v>
      </c>
      <c r="C1081" s="60" t="str">
        <v>Tech Mahindra Ltd</v>
      </c>
      <c r="D1081" s="80">
        <v>0.0581980694388626</v>
      </c>
      <c r="E1081" s="62">
        <f t="shared" si="36"/>
        <v>0</v>
      </c>
      <c r="F1081" s="60" t="str">
        <v>Information Technology</v>
      </c>
      <c r="G1081" s="62">
        <f t="shared" si="37"/>
        <v>0</v>
      </c>
      <c r="H1081" s="60"/>
      <c r="J1081" s="6"/>
      <c r="X1081" s="60"/>
      <c r="Z1081" s="78" t="s">
        <v>1095</v>
      </c>
    </row>
    <row r="1082" spans="1:26">
      <c r="A1082" s="78" t="s">
        <v>1070</v>
      </c>
      <c r="B1082" s="74" t="s">
        <v>37</v>
      </c>
      <c r="C1082" s="60" t="str">
        <v>Reliance Industries Ltd</v>
      </c>
      <c r="D1082" s="80">
        <v>0.0538210191359775</v>
      </c>
      <c r="E1082" s="62">
        <f t="shared" si="36"/>
        <v>0</v>
      </c>
      <c r="F1082" s="60" t="str">
        <v>Energy</v>
      </c>
      <c r="G1082" s="62">
        <f t="shared" si="37"/>
        <v>0</v>
      </c>
      <c r="H1082" s="60"/>
      <c r="J1082" s="6"/>
      <c r="X1082" s="60"/>
      <c r="Z1082" s="78" t="s">
        <v>1070</v>
      </c>
    </row>
    <row r="1083" spans="1:26">
      <c r="A1083" s="78" t="s">
        <v>991</v>
      </c>
      <c r="B1083" s="74" t="s">
        <v>37</v>
      </c>
      <c r="C1083" s="60" t="str">
        <v>Infosys Ltd</v>
      </c>
      <c r="D1083" s="80">
        <v>0.0466660751279259</v>
      </c>
      <c r="E1083" s="62">
        <f t="shared" si="36"/>
        <v>0</v>
      </c>
      <c r="F1083" s="60" t="str">
        <v>Information Technology</v>
      </c>
      <c r="G1083" s="62">
        <f t="shared" si="37"/>
        <v>0</v>
      </c>
      <c r="H1083" s="60"/>
      <c r="J1083" s="6"/>
      <c r="X1083" s="60"/>
      <c r="Z1083" s="78" t="s">
        <v>991</v>
      </c>
    </row>
    <row r="1084" spans="1:26">
      <c r="A1084" s="78" t="s">
        <v>1357</v>
      </c>
      <c r="B1084" s="74" t="s">
        <v>37</v>
      </c>
      <c r="C1084" s="60" t="str">
        <v>One 97 Communications Ltd</v>
      </c>
      <c r="D1084" s="80">
        <v>0.0455932276481915</v>
      </c>
      <c r="E1084" s="62">
        <f t="shared" si="36"/>
        <v>0</v>
      </c>
      <c r="F1084" s="60" t="str">
        <v>Financials</v>
      </c>
      <c r="G1084" s="62">
        <f t="shared" si="37"/>
        <v>0</v>
      </c>
      <c r="H1084" s="60"/>
      <c r="J1084" s="6"/>
      <c r="X1084" s="60"/>
      <c r="Z1084" s="78" t="s">
        <v>1357</v>
      </c>
    </row>
    <row r="1085" spans="1:26">
      <c r="A1085" s="78" t="s">
        <v>1077</v>
      </c>
      <c r="B1085" s="74" t="s">
        <v>37</v>
      </c>
      <c r="C1085" s="60" t="str">
        <v>State Bank of India</v>
      </c>
      <c r="D1085" s="80">
        <v>0.0425065763905428</v>
      </c>
      <c r="E1085" s="62">
        <f t="shared" si="36"/>
        <v>0</v>
      </c>
      <c r="F1085" s="60" t="str">
        <v>Financials</v>
      </c>
      <c r="G1085" s="62">
        <f t="shared" si="37"/>
        <v>0</v>
      </c>
      <c r="H1085" s="60"/>
      <c r="J1085" s="6"/>
      <c r="X1085" s="60"/>
      <c r="Z1085" s="78" t="s">
        <v>1077</v>
      </c>
    </row>
    <row r="1086" spans="1:26">
      <c r="A1086" s="78" t="s">
        <v>1509</v>
      </c>
      <c r="B1086" s="74" t="s">
        <v>37</v>
      </c>
      <c r="C1086" s="60" t="str">
        <v>Motilal Oswal Financial Servic</v>
      </c>
      <c r="D1086" s="80">
        <v>0.0412001102103152</v>
      </c>
      <c r="E1086" s="62">
        <f t="shared" si="36"/>
        <v>0</v>
      </c>
      <c r="F1086" s="60" t="str">
        <v>Financials</v>
      </c>
      <c r="G1086" s="62">
        <f t="shared" si="37"/>
        <v>0</v>
      </c>
      <c r="H1086" s="60"/>
      <c r="J1086" s="6"/>
      <c r="X1086" s="60"/>
      <c r="Z1086" s="78" t="s">
        <v>1509</v>
      </c>
    </row>
    <row r="1087" spans="1:26">
      <c r="A1087" s="78" t="s">
        <v>1008</v>
      </c>
      <c r="B1087" s="74" t="s">
        <v>37</v>
      </c>
      <c r="C1087" s="60" t="str">
        <v>Kotak Mahindra Bank Ltd</v>
      </c>
      <c r="D1087" s="80">
        <v>0.0377252609273948</v>
      </c>
      <c r="E1087" s="62">
        <f t="shared" si="36"/>
        <v>0</v>
      </c>
      <c r="F1087" s="60" t="str">
        <v>Financials</v>
      </c>
      <c r="G1087" s="62">
        <f t="shared" si="37"/>
        <v>0</v>
      </c>
      <c r="H1087" s="60"/>
      <c r="J1087" s="6"/>
      <c r="X1087" s="60"/>
      <c r="Z1087" s="78" t="s">
        <v>1008</v>
      </c>
    </row>
    <row r="1088" spans="1:26">
      <c r="A1088" s="78" t="s">
        <v>1742</v>
      </c>
      <c r="B1088" s="74" t="s">
        <v>37</v>
      </c>
      <c r="C1088" s="60" t="str">
        <v>Balrampur Chini Mills Ltd</v>
      </c>
      <c r="D1088" s="80">
        <v>0.0366504893443022</v>
      </c>
      <c r="E1088" s="62">
        <f t="shared" si="36"/>
        <v>0</v>
      </c>
      <c r="F1088" s="60" t="str">
        <v>Consumer Staples</v>
      </c>
      <c r="G1088" s="62">
        <f t="shared" si="37"/>
        <v>0</v>
      </c>
      <c r="H1088" s="60"/>
      <c r="J1088" s="6"/>
      <c r="X1088" s="60"/>
      <c r="Z1088" s="78" t="s">
        <v>1742</v>
      </c>
    </row>
    <row r="1089" spans="1:26">
      <c r="A1089" s="78" t="s">
        <v>1738</v>
      </c>
      <c r="B1089" s="74" t="s">
        <v>37</v>
      </c>
      <c r="C1089" s="60" t="str">
        <v>Alembic Pharmaceuticals Ltd</v>
      </c>
      <c r="D1089" s="80">
        <v>0.034334583900145</v>
      </c>
      <c r="E1089" s="62">
        <f t="shared" si="36"/>
        <v>0</v>
      </c>
      <c r="F1089" s="60" t="str">
        <v>Health Care</v>
      </c>
      <c r="G1089" s="62">
        <f t="shared" si="37"/>
        <v>0</v>
      </c>
      <c r="H1089" s="60"/>
      <c r="J1089" s="6"/>
      <c r="X1089" s="60"/>
      <c r="Z1089" s="78" t="s">
        <v>1738</v>
      </c>
    </row>
    <row r="1090" spans="1:26">
      <c r="A1090" s="78" t="s">
        <v>1386</v>
      </c>
      <c r="B1090" s="74" t="s">
        <v>37</v>
      </c>
      <c r="C1090" s="60" t="str">
        <v>Jubilant Foodworks Ltd</v>
      </c>
      <c r="D1090" s="80">
        <v>0.0320075465589154</v>
      </c>
      <c r="E1090" s="62">
        <f t="shared" si="36"/>
        <v>0</v>
      </c>
      <c r="F1090" s="60" t="str">
        <v>Consumer Discretionary</v>
      </c>
      <c r="G1090" s="62">
        <f t="shared" si="37"/>
        <v>0</v>
      </c>
      <c r="H1090" s="60"/>
      <c r="J1090" s="6"/>
      <c r="X1090" s="60"/>
      <c r="Z1090" s="78" t="s">
        <v>1386</v>
      </c>
    </row>
    <row r="1091" spans="1:26">
      <c r="A1091" s="78" t="s">
        <v>972</v>
      </c>
      <c r="B1091" s="74" t="s">
        <v>37</v>
      </c>
      <c r="C1091" s="60" t="str">
        <v>ICICI Bank Ltd</v>
      </c>
      <c r="D1091" s="80">
        <v>0.0318621052718382</v>
      </c>
      <c r="E1091" s="62">
        <f t="shared" si="36"/>
        <v>0</v>
      </c>
      <c r="F1091" s="60" t="str">
        <v>Financials</v>
      </c>
      <c r="G1091" s="62">
        <f t="shared" si="37"/>
        <v>0</v>
      </c>
      <c r="H1091" s="60"/>
      <c r="J1091" s="6"/>
      <c r="X1091" s="60"/>
      <c r="Z1091" s="78" t="s">
        <v>972</v>
      </c>
    </row>
    <row r="1092" spans="1:26">
      <c r="A1092" s="78" t="s">
        <v>1155</v>
      </c>
      <c r="B1092" s="74" t="s">
        <v>37</v>
      </c>
      <c r="C1092" s="60" t="str">
        <v>Info Edge India Ltd</v>
      </c>
      <c r="D1092" s="80">
        <v>0.0291363890643857</v>
      </c>
      <c r="E1092" s="62">
        <f t="shared" si="36"/>
        <v>0</v>
      </c>
      <c r="F1092" s="60" t="str">
        <v>Communication Services</v>
      </c>
      <c r="G1092" s="62">
        <f t="shared" si="37"/>
        <v>0</v>
      </c>
      <c r="H1092" s="60"/>
      <c r="J1092" s="6"/>
      <c r="X1092" s="60"/>
      <c r="Z1092" s="78" t="s">
        <v>1155</v>
      </c>
    </row>
    <row r="1093" spans="1:26">
      <c r="A1093" s="78" t="s">
        <v>1097</v>
      </c>
      <c r="B1093" s="74" t="s">
        <v>37</v>
      </c>
      <c r="C1093" s="60" t="str">
        <v>Federal Bank Ltd</v>
      </c>
      <c r="D1093" s="80">
        <v>0.0289709894193928</v>
      </c>
      <c r="E1093" s="62">
        <f t="shared" si="36"/>
        <v>0</v>
      </c>
      <c r="F1093" s="60" t="str">
        <v>Financials</v>
      </c>
      <c r="G1093" s="62">
        <f t="shared" si="37"/>
        <v>0</v>
      </c>
      <c r="H1093" s="60"/>
      <c r="J1093" s="6"/>
      <c r="X1093" s="60"/>
      <c r="Z1093" s="78" t="s">
        <v>1097</v>
      </c>
    </row>
    <row r="1094" spans="1:26">
      <c r="A1094" s="78" t="s">
        <v>1339</v>
      </c>
      <c r="B1094" s="74" t="s">
        <v>37</v>
      </c>
      <c r="C1094" s="60" t="str">
        <v>Godrej Consumer Products Ltd</v>
      </c>
      <c r="D1094" s="80">
        <v>0.0283960452465542</v>
      </c>
      <c r="E1094" s="62">
        <f t="shared" si="36"/>
        <v>0</v>
      </c>
      <c r="F1094" s="60" t="str">
        <v>Consumer Staples</v>
      </c>
      <c r="G1094" s="62">
        <f t="shared" si="37"/>
        <v>0</v>
      </c>
      <c r="H1094" s="60"/>
      <c r="J1094" s="6"/>
      <c r="X1094" s="60"/>
      <c r="Z1094" s="78" t="s">
        <v>1339</v>
      </c>
    </row>
    <row r="1095" spans="1:26">
      <c r="A1095" s="78" t="s">
        <v>1436</v>
      </c>
      <c r="B1095" s="74" t="s">
        <v>37</v>
      </c>
      <c r="C1095" s="60" t="str">
        <v>PNB Housing Finance Ltd</v>
      </c>
      <c r="D1095" s="80">
        <v>0.0283199414363858</v>
      </c>
      <c r="E1095" s="62">
        <f t="shared" si="36"/>
        <v>0</v>
      </c>
      <c r="F1095" s="60" t="str">
        <v>Financials</v>
      </c>
      <c r="G1095" s="62">
        <f t="shared" si="37"/>
        <v>0</v>
      </c>
      <c r="H1095" s="60"/>
      <c r="J1095" s="6"/>
      <c r="X1095" s="60"/>
      <c r="Z1095" s="78" t="s">
        <v>1436</v>
      </c>
    </row>
    <row r="1096" spans="1:26">
      <c r="A1096" s="78" t="s">
        <v>1112</v>
      </c>
      <c r="B1096" s="74" t="s">
        <v>37</v>
      </c>
      <c r="C1096" s="60" t="str">
        <v>United Spirits Ltd</v>
      </c>
      <c r="D1096" s="80">
        <v>0.025397304004272</v>
      </c>
      <c r="E1096" s="62">
        <f t="shared" si="36"/>
        <v>0</v>
      </c>
      <c r="F1096" s="60" t="str">
        <v>Consumer Staples</v>
      </c>
      <c r="G1096" s="62">
        <f t="shared" si="37"/>
        <v>0</v>
      </c>
      <c r="H1096" s="60"/>
      <c r="J1096" s="6"/>
      <c r="X1096" s="60"/>
      <c r="Z1096" s="78" t="s">
        <v>1112</v>
      </c>
    </row>
    <row r="1097" spans="1:26">
      <c r="A1097" s="78" t="s">
        <v>930</v>
      </c>
      <c r="B1097" s="74" t="s">
        <v>37</v>
      </c>
      <c r="C1097" s="60" t="str">
        <v>Crompton Greaves Consumer Elec</v>
      </c>
      <c r="D1097" s="80">
        <v>0.0247843114141498</v>
      </c>
      <c r="E1097" s="62">
        <f t="shared" si="36"/>
        <v>0</v>
      </c>
      <c r="F1097" s="60" t="str">
        <v>Consumer Discretionary</v>
      </c>
      <c r="G1097" s="62">
        <f t="shared" si="37"/>
        <v>0</v>
      </c>
      <c r="H1097" s="60"/>
      <c r="J1097" s="6"/>
      <c r="X1097" s="60"/>
      <c r="Z1097" s="78" t="s">
        <v>930</v>
      </c>
    </row>
    <row r="1098" spans="1:26">
      <c r="A1098" s="78" t="s">
        <v>1086</v>
      </c>
      <c r="B1098" s="74" t="s">
        <v>37</v>
      </c>
      <c r="C1098" s="60" t="str">
        <v>Syngene International Ltd</v>
      </c>
      <c r="D1098" s="80">
        <v>0.0244048387035025</v>
      </c>
      <c r="E1098" s="62">
        <f t="shared" si="36"/>
        <v>0</v>
      </c>
      <c r="F1098" s="60" t="str">
        <v>Health Care</v>
      </c>
      <c r="G1098" s="62">
        <f t="shared" si="37"/>
        <v>0</v>
      </c>
      <c r="H1098" s="60"/>
      <c r="J1098" s="6"/>
      <c r="X1098" s="60"/>
      <c r="Z1098" s="78" t="s">
        <v>1086</v>
      </c>
    </row>
    <row r="1099" spans="1:26">
      <c r="A1099" s="78" t="s">
        <v>1080</v>
      </c>
      <c r="B1099" s="74" t="s">
        <v>37</v>
      </c>
      <c r="C1099" s="60" t="str">
        <v>Sun Pharmaceutical Industries</v>
      </c>
      <c r="D1099" s="80">
        <v>0.0240089384517969</v>
      </c>
      <c r="E1099" s="62">
        <f t="shared" si="36"/>
        <v>0</v>
      </c>
      <c r="F1099" s="60" t="str">
        <v>Health Care</v>
      </c>
      <c r="G1099" s="62">
        <f t="shared" si="37"/>
        <v>0</v>
      </c>
      <c r="H1099" s="60"/>
      <c r="J1099" s="6"/>
      <c r="X1099" s="60"/>
      <c r="Z1099" s="78" t="s">
        <v>1080</v>
      </c>
    </row>
    <row r="1100" spans="1:26">
      <c r="A1100" s="78" t="s">
        <v>850</v>
      </c>
      <c r="B1100" s="74" t="s">
        <v>37</v>
      </c>
      <c r="C1100" s="60" t="str">
        <v>ABB India Ltd</v>
      </c>
      <c r="D1100" s="80">
        <v>0.0237019306126406</v>
      </c>
      <c r="E1100" s="62">
        <f t="shared" ref="E1100:E1163" si="38">_xlfn.IFNA(D1100*VLOOKUP($B1100,$AK$1:$AM$34,3,FALSE),0)</f>
        <v>0</v>
      </c>
      <c r="F1100" s="60" t="str">
        <v>Industrials</v>
      </c>
      <c r="G1100" s="62">
        <f t="shared" ref="G1100:G1163" si="39">_xlfn.IFNA(D1100*VLOOKUP($B1100,$AK$1:$AM$34,3,FALSE),0)</f>
        <v>0</v>
      </c>
      <c r="H1100" s="60"/>
      <c r="J1100" s="6"/>
      <c r="X1100" s="60"/>
      <c r="Z1100" s="78" t="s">
        <v>850</v>
      </c>
    </row>
    <row r="1101" spans="1:26">
      <c r="A1101" s="78" t="s">
        <v>1744</v>
      </c>
      <c r="B1101" s="74" t="s">
        <v>37</v>
      </c>
      <c r="C1101" s="60" t="str">
        <v>Varroc Engineering Ltd</v>
      </c>
      <c r="D1101" s="80">
        <v>0.02334725616461</v>
      </c>
      <c r="E1101" s="62">
        <f t="shared" si="38"/>
        <v>0</v>
      </c>
      <c r="F1101" s="60" t="str">
        <v>Consumer Discretionary</v>
      </c>
      <c r="G1101" s="62">
        <f t="shared" si="39"/>
        <v>0</v>
      </c>
      <c r="H1101" s="60"/>
      <c r="J1101" s="6"/>
      <c r="X1101" s="60"/>
      <c r="Z1101" s="78" t="s">
        <v>1744</v>
      </c>
    </row>
    <row r="1102" spans="1:26">
      <c r="A1102" s="78" t="s">
        <v>1090</v>
      </c>
      <c r="B1102" s="74" t="s">
        <v>37</v>
      </c>
      <c r="C1102" s="60" t="str">
        <v>Tata Motors Ltd</v>
      </c>
      <c r="D1102" s="80">
        <v>0.022994738339981</v>
      </c>
      <c r="E1102" s="62">
        <f t="shared" si="38"/>
        <v>0</v>
      </c>
      <c r="F1102" s="60" t="str">
        <v>Consumer Discretionary</v>
      </c>
      <c r="G1102" s="62">
        <f t="shared" si="39"/>
        <v>0</v>
      </c>
      <c r="H1102" s="60"/>
      <c r="J1102" s="6"/>
      <c r="X1102" s="60"/>
      <c r="Z1102" s="78" t="s">
        <v>1090</v>
      </c>
    </row>
    <row r="1103" spans="1:26">
      <c r="A1103" s="78" t="s">
        <v>1666</v>
      </c>
      <c r="B1103" s="74" t="s">
        <v>37</v>
      </c>
      <c r="C1103" s="60" t="str">
        <v>Onesource Specialty Pharma Ltd</v>
      </c>
      <c r="D1103" s="80">
        <v>0.0204252581626152</v>
      </c>
      <c r="E1103" s="62">
        <f t="shared" si="38"/>
        <v>0</v>
      </c>
      <c r="F1103" s="60" t="str">
        <v>Health Care</v>
      </c>
      <c r="G1103" s="62">
        <f t="shared" si="39"/>
        <v>0</v>
      </c>
      <c r="H1103" s="60"/>
      <c r="J1103" s="6"/>
      <c r="X1103" s="60"/>
      <c r="Z1103" s="78" t="s">
        <v>1666</v>
      </c>
    </row>
    <row r="1104" spans="1:26">
      <c r="A1104" s="78" t="s">
        <v>1011</v>
      </c>
      <c r="B1104" s="74" t="s">
        <v>37</v>
      </c>
      <c r="C1104" s="60" t="str">
        <v>Larsen &amp; Toubro Ltd</v>
      </c>
      <c r="D1104" s="80">
        <v>0.0202934192980705</v>
      </c>
      <c r="E1104" s="62">
        <f t="shared" si="38"/>
        <v>0</v>
      </c>
      <c r="F1104" s="60" t="str">
        <v>Industrials</v>
      </c>
      <c r="G1104" s="62">
        <f t="shared" si="39"/>
        <v>0</v>
      </c>
      <c r="H1104" s="60"/>
      <c r="J1104" s="6"/>
      <c r="X1104" s="60"/>
      <c r="Z1104" s="78" t="s">
        <v>1011</v>
      </c>
    </row>
    <row r="1105" spans="1:26">
      <c r="A1105" s="78" t="s">
        <v>1401</v>
      </c>
      <c r="B1105" s="74" t="s">
        <v>37</v>
      </c>
      <c r="C1105" s="60" t="str">
        <v>Exide Industries Ltd</v>
      </c>
      <c r="D1105" s="80">
        <v>0.019792675758846</v>
      </c>
      <c r="E1105" s="62">
        <f t="shared" si="38"/>
        <v>0</v>
      </c>
      <c r="F1105" s="60" t="str">
        <v>Consumer Discretionary</v>
      </c>
      <c r="G1105" s="62">
        <f t="shared" si="39"/>
        <v>0</v>
      </c>
      <c r="H1105" s="60"/>
      <c r="J1105" s="6"/>
      <c r="X1105" s="60"/>
      <c r="Z1105" s="78" t="s">
        <v>1401</v>
      </c>
    </row>
    <row r="1106" spans="1:26">
      <c r="A1106" s="78" t="s">
        <v>1746</v>
      </c>
      <c r="B1106" s="74" t="s">
        <v>37</v>
      </c>
      <c r="C1106" s="60" t="str">
        <v>Strides Pharma Science Ltd</v>
      </c>
      <c r="D1106" s="80">
        <v>0.0180888735156454</v>
      </c>
      <c r="E1106" s="62">
        <f t="shared" si="38"/>
        <v>0</v>
      </c>
      <c r="F1106" s="60" t="str">
        <v>Health Care</v>
      </c>
      <c r="G1106" s="62">
        <f t="shared" si="39"/>
        <v>0</v>
      </c>
      <c r="H1106" s="60"/>
      <c r="J1106" s="6"/>
      <c r="X1106" s="60"/>
      <c r="Z1106" s="78" t="s">
        <v>1746</v>
      </c>
    </row>
    <row r="1107" spans="1:26">
      <c r="A1107" s="78" t="s">
        <v>1748</v>
      </c>
      <c r="B1107" s="74" t="s">
        <v>37</v>
      </c>
      <c r="C1107" s="60" t="str">
        <v>Sunteck Realty Ltd</v>
      </c>
      <c r="D1107" s="80">
        <v>0.018043032189111</v>
      </c>
      <c r="E1107" s="62">
        <f t="shared" si="38"/>
        <v>0</v>
      </c>
      <c r="F1107" s="60" t="str">
        <v>Real Estate</v>
      </c>
      <c r="G1107" s="62">
        <f t="shared" si="39"/>
        <v>0</v>
      </c>
      <c r="H1107" s="60"/>
      <c r="J1107" s="6"/>
      <c r="X1107" s="60"/>
      <c r="Z1107" s="78" t="s">
        <v>1748</v>
      </c>
    </row>
    <row r="1108" spans="1:26">
      <c r="A1108" s="60" t="s">
        <v>879</v>
      </c>
      <c r="B1108" s="74" t="s">
        <v>39</v>
      </c>
      <c r="C1108" s="60" t="str">
        <v>Axis Bank Ltd</v>
      </c>
      <c r="D1108" s="81">
        <v>0.051</v>
      </c>
      <c r="E1108" s="62">
        <f t="shared" si="38"/>
        <v>0</v>
      </c>
      <c r="F1108" s="60" t="str">
        <v>Financials</v>
      </c>
      <c r="G1108" s="62">
        <f t="shared" si="39"/>
        <v>0</v>
      </c>
      <c r="H1108" s="60"/>
      <c r="J1108" s="6"/>
      <c r="X1108" s="60"/>
      <c r="Z1108" s="60" t="s">
        <v>879</v>
      </c>
    </row>
    <row r="1109" spans="1:26">
      <c r="A1109" s="60" t="s">
        <v>1077</v>
      </c>
      <c r="B1109" s="74" t="s">
        <v>39</v>
      </c>
      <c r="C1109" s="60" t="str">
        <v>State Bank of India</v>
      </c>
      <c r="D1109" s="81">
        <v>0.046</v>
      </c>
      <c r="E1109" s="62">
        <f t="shared" si="38"/>
        <v>0</v>
      </c>
      <c r="F1109" s="60" t="str">
        <v>Financials</v>
      </c>
      <c r="G1109" s="62">
        <f t="shared" si="39"/>
        <v>0</v>
      </c>
      <c r="H1109" s="60"/>
      <c r="J1109" s="6"/>
      <c r="X1109" s="60"/>
      <c r="Z1109" s="60" t="s">
        <v>1077</v>
      </c>
    </row>
    <row r="1110" spans="1:26">
      <c r="A1110" s="60" t="s">
        <v>972</v>
      </c>
      <c r="B1110" s="74" t="s">
        <v>39</v>
      </c>
      <c r="C1110" s="60" t="str">
        <v>ICICI Bank Ltd</v>
      </c>
      <c r="D1110" s="81">
        <v>0.046</v>
      </c>
      <c r="E1110" s="62">
        <f t="shared" si="38"/>
        <v>0</v>
      </c>
      <c r="F1110" s="60" t="str">
        <v>Financials</v>
      </c>
      <c r="G1110" s="62">
        <f t="shared" si="39"/>
        <v>0</v>
      </c>
      <c r="H1110" s="60"/>
      <c r="J1110" s="6"/>
      <c r="X1110" s="60"/>
      <c r="Z1110" s="60" t="s">
        <v>972</v>
      </c>
    </row>
    <row r="1111" spans="1:26">
      <c r="A1111" s="60" t="s">
        <v>1357</v>
      </c>
      <c r="B1111" s="74" t="s">
        <v>39</v>
      </c>
      <c r="C1111" s="60" t="str">
        <v>One 97 Communications Ltd</v>
      </c>
      <c r="D1111" s="81">
        <v>0.04</v>
      </c>
      <c r="E1111" s="62">
        <f t="shared" si="38"/>
        <v>0</v>
      </c>
      <c r="F1111" s="60" t="str">
        <v>Financials</v>
      </c>
      <c r="G1111" s="62">
        <f t="shared" si="39"/>
        <v>0</v>
      </c>
      <c r="H1111" s="60"/>
      <c r="J1111" s="6"/>
      <c r="X1111" s="60"/>
      <c r="Z1111" s="60" t="s">
        <v>1357</v>
      </c>
    </row>
    <row r="1112" spans="1:26">
      <c r="A1112" s="60" t="s">
        <v>1217</v>
      </c>
      <c r="B1112" s="74" t="s">
        <v>39</v>
      </c>
      <c r="C1112" s="60" t="str">
        <v>Max Financial Services Ltd</v>
      </c>
      <c r="D1112" s="81">
        <v>0.035</v>
      </c>
      <c r="E1112" s="62">
        <f t="shared" si="38"/>
        <v>0</v>
      </c>
      <c r="F1112" s="60" t="str">
        <v>Financials</v>
      </c>
      <c r="G1112" s="62">
        <f t="shared" si="39"/>
        <v>0</v>
      </c>
      <c r="H1112" s="60"/>
      <c r="J1112" s="6"/>
      <c r="X1112" s="60"/>
      <c r="Z1112" s="60" t="s">
        <v>1217</v>
      </c>
    </row>
    <row r="1113" spans="1:26">
      <c r="A1113" s="60" t="s">
        <v>960</v>
      </c>
      <c r="B1113" s="74" t="s">
        <v>39</v>
      </c>
      <c r="C1113" s="60" t="str">
        <v>HDFC Bank Ltd</v>
      </c>
      <c r="D1113" s="81">
        <v>0.034</v>
      </c>
      <c r="E1113" s="62">
        <f t="shared" si="38"/>
        <v>0</v>
      </c>
      <c r="F1113" s="60" t="str">
        <v>Financials</v>
      </c>
      <c r="G1113" s="62">
        <f t="shared" si="39"/>
        <v>0</v>
      </c>
      <c r="H1113" s="60"/>
      <c r="J1113" s="6"/>
      <c r="X1113" s="60"/>
      <c r="Z1113" s="60" t="s">
        <v>960</v>
      </c>
    </row>
    <row r="1114" spans="1:26">
      <c r="A1114" s="60" t="s">
        <v>1281</v>
      </c>
      <c r="B1114" s="74" t="s">
        <v>39</v>
      </c>
      <c r="C1114" s="60" t="str">
        <v>Vedanta Ltd</v>
      </c>
      <c r="D1114" s="81">
        <v>0.031</v>
      </c>
      <c r="E1114" s="62">
        <f t="shared" si="38"/>
        <v>0</v>
      </c>
      <c r="F1114" s="60" t="str">
        <v>Materials</v>
      </c>
      <c r="G1114" s="62">
        <f t="shared" si="39"/>
        <v>0</v>
      </c>
      <c r="H1114" s="60"/>
      <c r="J1114" s="6"/>
      <c r="X1114" s="60"/>
      <c r="Z1114" s="60" t="s">
        <v>1281</v>
      </c>
    </row>
    <row r="1115" spans="1:26">
      <c r="A1115" s="60" t="s">
        <v>997</v>
      </c>
      <c r="B1115" s="74" t="s">
        <v>39</v>
      </c>
      <c r="C1115" s="60" t="str">
        <v>ITC Ltd</v>
      </c>
      <c r="D1115" s="81">
        <v>0.03</v>
      </c>
      <c r="E1115" s="62">
        <f t="shared" si="38"/>
        <v>0</v>
      </c>
      <c r="F1115" s="60" t="str">
        <v>Consumer Staples</v>
      </c>
      <c r="G1115" s="62">
        <f t="shared" si="39"/>
        <v>0</v>
      </c>
      <c r="H1115" s="60"/>
      <c r="J1115" s="6"/>
      <c r="X1115" s="60"/>
      <c r="Z1115" s="60" t="s">
        <v>997</v>
      </c>
    </row>
    <row r="1116" spans="1:26">
      <c r="A1116" s="60" t="s">
        <v>889</v>
      </c>
      <c r="B1116" s="74" t="s">
        <v>39</v>
      </c>
      <c r="C1116" s="60" t="str">
        <v>Bharat Petroleum Corp Ltd</v>
      </c>
      <c r="D1116" s="81">
        <v>0.029</v>
      </c>
      <c r="E1116" s="62">
        <f t="shared" si="38"/>
        <v>0</v>
      </c>
      <c r="F1116" s="60" t="str">
        <v>Energy</v>
      </c>
      <c r="G1116" s="62">
        <f t="shared" si="39"/>
        <v>0</v>
      </c>
      <c r="H1116" s="60"/>
      <c r="J1116" s="6"/>
      <c r="X1116" s="60"/>
      <c r="Z1116" s="60" t="s">
        <v>889</v>
      </c>
    </row>
    <row r="1117" spans="1:26">
      <c r="A1117" s="60" t="s">
        <v>1331</v>
      </c>
      <c r="B1117" s="74" t="s">
        <v>39</v>
      </c>
      <c r="C1117" s="60" t="str">
        <v>Dalmia Bharat Ltd</v>
      </c>
      <c r="D1117" s="81">
        <v>0.029</v>
      </c>
      <c r="E1117" s="62">
        <f t="shared" si="38"/>
        <v>0</v>
      </c>
      <c r="F1117" s="60" t="str">
        <v>Materials</v>
      </c>
      <c r="G1117" s="62">
        <f t="shared" si="39"/>
        <v>0</v>
      </c>
      <c r="H1117" s="60"/>
      <c r="J1117" s="6"/>
      <c r="X1117" s="60"/>
      <c r="Z1117" s="60" t="s">
        <v>1331</v>
      </c>
    </row>
    <row r="1118" spans="1:26">
      <c r="A1118" s="60" t="s">
        <v>1022</v>
      </c>
      <c r="B1118" s="74" t="s">
        <v>39</v>
      </c>
      <c r="C1118" s="60" t="str">
        <v>Navin Fluorine International L</v>
      </c>
      <c r="D1118" s="81">
        <v>0.029</v>
      </c>
      <c r="E1118" s="62">
        <f t="shared" si="38"/>
        <v>0</v>
      </c>
      <c r="F1118" s="60" t="str">
        <v>Materials</v>
      </c>
      <c r="G1118" s="62">
        <f t="shared" si="39"/>
        <v>0</v>
      </c>
      <c r="H1118" s="60"/>
      <c r="J1118" s="6"/>
      <c r="X1118" s="60"/>
      <c r="Z1118" s="60" t="s">
        <v>1022</v>
      </c>
    </row>
    <row r="1119" spans="1:26">
      <c r="A1119" s="60" t="s">
        <v>1153</v>
      </c>
      <c r="B1119" s="74" t="s">
        <v>39</v>
      </c>
      <c r="C1119" s="60" t="str">
        <v>ICICI Lombard General Insuranc</v>
      </c>
      <c r="D1119" s="81">
        <v>0.028</v>
      </c>
      <c r="E1119" s="62">
        <f t="shared" si="38"/>
        <v>0</v>
      </c>
      <c r="F1119" s="60" t="str">
        <v>Financials</v>
      </c>
      <c r="G1119" s="62">
        <f t="shared" si="39"/>
        <v>0</v>
      </c>
      <c r="H1119" s="60"/>
      <c r="J1119" s="6"/>
      <c r="X1119" s="60"/>
      <c r="Z1119" s="60" t="s">
        <v>1153</v>
      </c>
    </row>
    <row r="1120" spans="1:26">
      <c r="A1120" s="60" t="s">
        <v>988</v>
      </c>
      <c r="B1120" s="74" t="s">
        <v>39</v>
      </c>
      <c r="C1120" s="60" t="str">
        <v>Indus Towers Ltd</v>
      </c>
      <c r="D1120" s="81">
        <v>0.028</v>
      </c>
      <c r="E1120" s="62">
        <f t="shared" si="38"/>
        <v>0</v>
      </c>
      <c r="F1120" s="60" t="str">
        <v>Communication Services</v>
      </c>
      <c r="G1120" s="62">
        <f t="shared" si="39"/>
        <v>0</v>
      </c>
      <c r="H1120" s="60"/>
      <c r="J1120" s="6"/>
      <c r="X1120" s="60"/>
      <c r="Z1120" s="60" t="s">
        <v>988</v>
      </c>
    </row>
    <row r="1121" spans="1:26">
      <c r="A1121" s="60" t="s">
        <v>1107</v>
      </c>
      <c r="B1121" s="74" t="s">
        <v>39</v>
      </c>
      <c r="C1121" s="60" t="str">
        <v>UltraTech Cement Ltd</v>
      </c>
      <c r="D1121" s="81">
        <v>0.027</v>
      </c>
      <c r="E1121" s="62">
        <f t="shared" si="38"/>
        <v>0</v>
      </c>
      <c r="F1121" s="60" t="str">
        <v>Materials</v>
      </c>
      <c r="G1121" s="62">
        <f t="shared" si="39"/>
        <v>0</v>
      </c>
      <c r="H1121" s="60"/>
      <c r="J1121" s="6"/>
      <c r="X1121" s="60"/>
      <c r="Z1121" s="60" t="s">
        <v>1107</v>
      </c>
    </row>
    <row r="1122" spans="1:26">
      <c r="A1122" s="60" t="s">
        <v>951</v>
      </c>
      <c r="B1122" s="74" t="s">
        <v>39</v>
      </c>
      <c r="C1122" s="60" t="str">
        <v>Glenmark Pharmaceuticals Ltd</v>
      </c>
      <c r="D1122" s="81">
        <v>0.025</v>
      </c>
      <c r="E1122" s="62">
        <f t="shared" si="38"/>
        <v>0</v>
      </c>
      <c r="F1122" s="60" t="str">
        <v>Health Care</v>
      </c>
      <c r="G1122" s="62">
        <f t="shared" si="39"/>
        <v>0</v>
      </c>
      <c r="H1122" s="60"/>
      <c r="J1122" s="6"/>
      <c r="X1122" s="60"/>
      <c r="Z1122" s="60" t="s">
        <v>951</v>
      </c>
    </row>
    <row r="1123" spans="1:26">
      <c r="A1123" s="60" t="s">
        <v>1726</v>
      </c>
      <c r="B1123" s="74" t="s">
        <v>39</v>
      </c>
      <c r="C1123" s="60" t="str">
        <v>Indegene Ltd</v>
      </c>
      <c r="D1123" s="81">
        <v>0.024</v>
      </c>
      <c r="E1123" s="62">
        <f t="shared" si="38"/>
        <v>0</v>
      </c>
      <c r="F1123" s="60" t="str">
        <v>Health Care</v>
      </c>
      <c r="G1123" s="62">
        <f t="shared" si="39"/>
        <v>0</v>
      </c>
      <c r="H1123" s="60"/>
      <c r="J1123" s="6"/>
      <c r="X1123" s="60"/>
      <c r="Z1123" s="60" t="s">
        <v>1726</v>
      </c>
    </row>
    <row r="1124" spans="1:26">
      <c r="A1124" s="60" t="s">
        <v>1011</v>
      </c>
      <c r="B1124" s="74" t="s">
        <v>39</v>
      </c>
      <c r="C1124" s="60" t="str">
        <v>Larsen &amp; Toubro Ltd</v>
      </c>
      <c r="D1124" s="81">
        <v>0.024</v>
      </c>
      <c r="E1124" s="62">
        <f t="shared" si="38"/>
        <v>0</v>
      </c>
      <c r="F1124" s="60" t="str">
        <v>Industrials</v>
      </c>
      <c r="G1124" s="62">
        <f t="shared" si="39"/>
        <v>0</v>
      </c>
      <c r="H1124" s="60"/>
      <c r="J1124" s="6"/>
      <c r="X1124" s="60"/>
      <c r="Z1124" s="60" t="s">
        <v>1011</v>
      </c>
    </row>
    <row r="1125" spans="1:26">
      <c r="A1125" s="60" t="s">
        <v>1208</v>
      </c>
      <c r="B1125" s="74" t="s">
        <v>39</v>
      </c>
      <c r="C1125" s="60" t="str">
        <v>LIC Housing Finance Ltd</v>
      </c>
      <c r="D1125" s="81">
        <v>0.024</v>
      </c>
      <c r="E1125" s="62">
        <f t="shared" si="38"/>
        <v>0</v>
      </c>
      <c r="F1125" s="60" t="str">
        <v>Financials</v>
      </c>
      <c r="G1125" s="62">
        <f t="shared" si="39"/>
        <v>0</v>
      </c>
      <c r="H1125" s="60"/>
      <c r="J1125" s="6"/>
      <c r="X1125" s="60"/>
      <c r="Z1125" s="60" t="s">
        <v>1208</v>
      </c>
    </row>
    <row r="1126" spans="1:26">
      <c r="A1126" s="60" t="s">
        <v>1701</v>
      </c>
      <c r="B1126" s="74" t="s">
        <v>39</v>
      </c>
      <c r="C1126" s="60" t="str">
        <v>IDFC First Bank Ltd</v>
      </c>
      <c r="D1126" s="81">
        <v>0.022</v>
      </c>
      <c r="E1126" s="62">
        <f t="shared" si="38"/>
        <v>0</v>
      </c>
      <c r="F1126" s="60" t="str">
        <v>Financials</v>
      </c>
      <c r="G1126" s="62">
        <f t="shared" si="39"/>
        <v>0</v>
      </c>
      <c r="H1126" s="60"/>
      <c r="J1126" s="6"/>
      <c r="X1126" s="60"/>
      <c r="Z1126" s="60" t="s">
        <v>1701</v>
      </c>
    </row>
    <row r="1127" spans="1:26">
      <c r="A1127" s="60" t="s">
        <v>1148</v>
      </c>
      <c r="B1127" s="74" t="s">
        <v>39</v>
      </c>
      <c r="C1127" s="60" t="str">
        <v>Divi's Laboratories Ltd</v>
      </c>
      <c r="D1127" s="81">
        <v>0.021</v>
      </c>
      <c r="E1127" s="62">
        <f t="shared" si="38"/>
        <v>0</v>
      </c>
      <c r="F1127" s="60" t="str">
        <v>Health Care</v>
      </c>
      <c r="G1127" s="62">
        <f t="shared" si="39"/>
        <v>0</v>
      </c>
      <c r="H1127" s="60"/>
      <c r="J1127" s="6"/>
      <c r="X1127" s="60"/>
      <c r="Z1127" s="60" t="s">
        <v>1148</v>
      </c>
    </row>
    <row r="1128" spans="1:26">
      <c r="A1128" s="60" t="s">
        <v>1631</v>
      </c>
      <c r="B1128" s="74" t="s">
        <v>39</v>
      </c>
      <c r="C1128" s="60" t="str">
        <v>Camlin Fine Sciences Ltd</v>
      </c>
      <c r="D1128" s="81">
        <v>0.021</v>
      </c>
      <c r="E1128" s="62">
        <f t="shared" si="38"/>
        <v>0</v>
      </c>
      <c r="F1128" s="60" t="str">
        <v>Materials</v>
      </c>
      <c r="G1128" s="62">
        <f t="shared" si="39"/>
        <v>0</v>
      </c>
      <c r="H1128" s="60"/>
      <c r="J1128" s="6"/>
      <c r="X1128" s="60"/>
      <c r="Z1128" s="60" t="s">
        <v>1631</v>
      </c>
    </row>
    <row r="1129" spans="1:26">
      <c r="A1129" s="60" t="s">
        <v>1359</v>
      </c>
      <c r="B1129" s="74" t="s">
        <v>39</v>
      </c>
      <c r="C1129" s="60" t="str">
        <v>PVR Inox Ltd</v>
      </c>
      <c r="D1129" s="81">
        <v>0.02</v>
      </c>
      <c r="E1129" s="62">
        <f t="shared" si="38"/>
        <v>0</v>
      </c>
      <c r="F1129" s="60" t="str">
        <v>Communication Services</v>
      </c>
      <c r="G1129" s="62">
        <f t="shared" si="39"/>
        <v>0</v>
      </c>
      <c r="H1129" s="60"/>
      <c r="J1129" s="6"/>
      <c r="X1129" s="60"/>
      <c r="Z1129" s="60" t="s">
        <v>1359</v>
      </c>
    </row>
    <row r="1130" spans="1:26">
      <c r="A1130" s="60" t="s">
        <v>1347</v>
      </c>
      <c r="B1130" s="74" t="s">
        <v>39</v>
      </c>
      <c r="C1130" s="60" t="str">
        <v>Shriram Finance Ltd</v>
      </c>
      <c r="D1130" s="81">
        <v>0.015</v>
      </c>
      <c r="E1130" s="62">
        <f t="shared" si="38"/>
        <v>0</v>
      </c>
      <c r="F1130" s="60" t="str">
        <v>Financials</v>
      </c>
      <c r="G1130" s="62">
        <f t="shared" si="39"/>
        <v>0</v>
      </c>
      <c r="H1130" s="60"/>
      <c r="J1130" s="6"/>
      <c r="X1130" s="60"/>
      <c r="Z1130" s="60" t="s">
        <v>1347</v>
      </c>
    </row>
    <row r="1131" spans="1:26">
      <c r="A1131" s="60" t="s">
        <v>1174</v>
      </c>
      <c r="B1131" s="74" t="s">
        <v>39</v>
      </c>
      <c r="C1131" s="60" t="str">
        <v>SBI Life Insurance Co Ltd</v>
      </c>
      <c r="D1131" s="81">
        <v>0.014</v>
      </c>
      <c r="E1131" s="62">
        <f t="shared" si="38"/>
        <v>0</v>
      </c>
      <c r="F1131" s="60" t="str">
        <v>Financials</v>
      </c>
      <c r="G1131" s="62">
        <f t="shared" si="39"/>
        <v>0</v>
      </c>
      <c r="H1131" s="60"/>
      <c r="J1131" s="6"/>
      <c r="X1131" s="60"/>
      <c r="Z1131" s="60" t="s">
        <v>1174</v>
      </c>
    </row>
    <row r="1132" spans="1:26">
      <c r="A1132" s="60" t="s">
        <v>1189</v>
      </c>
      <c r="B1132" s="74" t="s">
        <v>39</v>
      </c>
      <c r="C1132" s="60" t="str">
        <v>AWL Agri Business Ltd</v>
      </c>
      <c r="D1132" s="81">
        <v>0.014</v>
      </c>
      <c r="E1132" s="62">
        <f t="shared" si="38"/>
        <v>0</v>
      </c>
      <c r="F1132" s="60" t="str">
        <v>Consumer Staples</v>
      </c>
      <c r="G1132" s="62">
        <f t="shared" si="39"/>
        <v>0</v>
      </c>
      <c r="H1132" s="60"/>
      <c r="J1132" s="6"/>
      <c r="X1132" s="60"/>
      <c r="Z1132" s="60" t="s">
        <v>1189</v>
      </c>
    </row>
    <row r="1133" spans="1:26">
      <c r="A1133" s="60" t="s">
        <v>1751</v>
      </c>
      <c r="B1133" s="74" t="s">
        <v>39</v>
      </c>
      <c r="C1133" s="60" t="str">
        <v>Campus Activewear Ltd</v>
      </c>
      <c r="D1133" s="81">
        <v>0.012</v>
      </c>
      <c r="E1133" s="62">
        <f t="shared" si="38"/>
        <v>0</v>
      </c>
      <c r="F1133" s="60" t="str">
        <v>Consumer Discretionary</v>
      </c>
      <c r="G1133" s="62">
        <f t="shared" si="39"/>
        <v>0</v>
      </c>
      <c r="H1133" s="60"/>
      <c r="J1133" s="6"/>
      <c r="X1133" s="60"/>
      <c r="Z1133" s="60" t="s">
        <v>1751</v>
      </c>
    </row>
    <row r="1134" spans="1:26">
      <c r="A1134" s="60" t="s">
        <v>1753</v>
      </c>
      <c r="B1134" s="74" t="s">
        <v>39</v>
      </c>
      <c r="C1134" s="60" t="str">
        <v>Ramkrishna Forgings Ltd</v>
      </c>
      <c r="D1134" s="81">
        <v>0.011</v>
      </c>
      <c r="E1134" s="62">
        <f t="shared" si="38"/>
        <v>0</v>
      </c>
      <c r="F1134" s="60" t="str">
        <v>Materials</v>
      </c>
      <c r="G1134" s="62">
        <f t="shared" si="39"/>
        <v>0</v>
      </c>
      <c r="H1134" s="60"/>
      <c r="J1134" s="6"/>
      <c r="X1134" s="60"/>
      <c r="Z1134" s="60" t="s">
        <v>1753</v>
      </c>
    </row>
    <row r="1135" spans="1:26">
      <c r="A1135" s="60" t="s">
        <v>1755</v>
      </c>
      <c r="B1135" s="74" t="s">
        <v>39</v>
      </c>
      <c r="C1135" s="60" t="str">
        <v>Manappuram Finance Ltd</v>
      </c>
      <c r="D1135" s="81">
        <v>0.011</v>
      </c>
      <c r="E1135" s="62">
        <f t="shared" si="38"/>
        <v>0</v>
      </c>
      <c r="F1135" s="60" t="str">
        <v>Financials</v>
      </c>
      <c r="G1135" s="62">
        <f t="shared" si="39"/>
        <v>0</v>
      </c>
      <c r="H1135" s="60"/>
      <c r="J1135" s="6"/>
      <c r="X1135" s="60"/>
      <c r="Z1135" s="60" t="s">
        <v>1755</v>
      </c>
    </row>
    <row r="1136" spans="1:26">
      <c r="A1136" s="60" t="s">
        <v>1636</v>
      </c>
      <c r="B1136" s="74" t="s">
        <v>39</v>
      </c>
      <c r="C1136" s="60" t="str">
        <v>V2 Retail Ltd</v>
      </c>
      <c r="D1136" s="81">
        <v>0.011</v>
      </c>
      <c r="E1136" s="62">
        <f t="shared" si="38"/>
        <v>0</v>
      </c>
      <c r="F1136" s="60" t="str">
        <v>Consumer Discretionary</v>
      </c>
      <c r="G1136" s="62">
        <f t="shared" si="39"/>
        <v>0</v>
      </c>
      <c r="H1136" s="60"/>
      <c r="J1136" s="6"/>
      <c r="X1136" s="60"/>
      <c r="Z1136" s="60" t="s">
        <v>1636</v>
      </c>
    </row>
    <row r="1137" spans="1:26">
      <c r="A1137" s="60" t="s">
        <v>994</v>
      </c>
      <c r="B1137" s="74" t="s">
        <v>39</v>
      </c>
      <c r="C1137" s="60" t="str">
        <v>InterGlobe Aviation Ltd</v>
      </c>
      <c r="D1137" s="81">
        <v>0.01</v>
      </c>
      <c r="E1137" s="62">
        <f t="shared" si="38"/>
        <v>0</v>
      </c>
      <c r="F1137" s="60" t="str">
        <v>Industrials</v>
      </c>
      <c r="G1137" s="62">
        <f t="shared" si="39"/>
        <v>0</v>
      </c>
      <c r="H1137" s="60"/>
      <c r="J1137" s="6"/>
      <c r="X1137" s="60"/>
      <c r="Z1137" s="60" t="s">
        <v>994</v>
      </c>
    </row>
    <row r="1138" spans="1:26">
      <c r="A1138" s="60" t="s">
        <v>1757</v>
      </c>
      <c r="B1138" s="74" t="s">
        <v>39</v>
      </c>
      <c r="C1138" s="60" t="str">
        <v>Deepak Fertilisers &amp; Petrochem</v>
      </c>
      <c r="D1138" s="81">
        <v>0.01</v>
      </c>
      <c r="E1138" s="62">
        <f t="shared" si="38"/>
        <v>0</v>
      </c>
      <c r="F1138" s="60" t="str">
        <v>Materials</v>
      </c>
      <c r="G1138" s="62">
        <f t="shared" si="39"/>
        <v>0</v>
      </c>
      <c r="H1138" s="60"/>
      <c r="J1138" s="6"/>
      <c r="X1138" s="60"/>
      <c r="Z1138" s="60" t="s">
        <v>1757</v>
      </c>
    </row>
    <row r="1139" spans="1:26">
      <c r="A1139" s="60" t="s">
        <v>1080</v>
      </c>
      <c r="B1139" s="74" t="s">
        <v>39</v>
      </c>
      <c r="C1139" s="60" t="str">
        <v>Sun Pharmaceutical Industries</v>
      </c>
      <c r="D1139" s="81">
        <v>0.009</v>
      </c>
      <c r="E1139" s="62">
        <f t="shared" si="38"/>
        <v>0</v>
      </c>
      <c r="F1139" s="60" t="str">
        <v>Health Care</v>
      </c>
      <c r="G1139" s="62">
        <f t="shared" si="39"/>
        <v>0</v>
      </c>
      <c r="H1139" s="60"/>
      <c r="J1139" s="6"/>
      <c r="X1139" s="60"/>
      <c r="Z1139" s="60" t="s">
        <v>1080</v>
      </c>
    </row>
    <row r="1140" spans="1:26">
      <c r="A1140" s="60" t="s">
        <v>1661</v>
      </c>
      <c r="B1140" s="74" t="s">
        <v>39</v>
      </c>
      <c r="C1140" s="60" t="str">
        <v>Sequent Scientific Ltd</v>
      </c>
      <c r="D1140" s="81">
        <v>0.009</v>
      </c>
      <c r="E1140" s="62">
        <f t="shared" si="38"/>
        <v>0</v>
      </c>
      <c r="F1140" s="60" t="str">
        <v>Health Care</v>
      </c>
      <c r="G1140" s="62">
        <f t="shared" si="39"/>
        <v>0</v>
      </c>
      <c r="H1140" s="60"/>
      <c r="J1140" s="6"/>
      <c r="X1140" s="60"/>
      <c r="Z1140" s="60" t="s">
        <v>1661</v>
      </c>
    </row>
    <row r="1141" spans="1:26">
      <c r="A1141" s="60" t="s">
        <v>1759</v>
      </c>
      <c r="B1141" s="74" t="s">
        <v>39</v>
      </c>
      <c r="C1141" s="60" t="str">
        <v>Chambal Fertilisers and Chemic</v>
      </c>
      <c r="D1141" s="81">
        <v>0.008</v>
      </c>
      <c r="E1141" s="62">
        <f t="shared" si="38"/>
        <v>0</v>
      </c>
      <c r="F1141" s="60" t="str">
        <v>Materials</v>
      </c>
      <c r="G1141" s="62">
        <f t="shared" si="39"/>
        <v>0</v>
      </c>
      <c r="H1141" s="60"/>
      <c r="J1141" s="6"/>
      <c r="X1141" s="60"/>
      <c r="Z1141" s="60" t="s">
        <v>1759</v>
      </c>
    </row>
    <row r="1142" spans="1:26">
      <c r="A1142" s="60" t="s">
        <v>1761</v>
      </c>
      <c r="B1142" s="74" t="s">
        <v>39</v>
      </c>
      <c r="C1142" s="60" t="str">
        <v>Smartworks Coworking Spaces Lt</v>
      </c>
      <c r="D1142" s="81">
        <v>0.007</v>
      </c>
      <c r="E1142" s="62">
        <f t="shared" si="38"/>
        <v>0</v>
      </c>
      <c r="F1142" s="60" t="str">
        <v>Real Estate</v>
      </c>
      <c r="G1142" s="62">
        <f t="shared" si="39"/>
        <v>0</v>
      </c>
      <c r="H1142" s="60"/>
      <c r="J1142" s="6"/>
      <c r="X1142" s="60"/>
      <c r="Z1142" s="60" t="s">
        <v>1761</v>
      </c>
    </row>
    <row r="1143" spans="1:26">
      <c r="A1143" s="60" t="s">
        <v>1763</v>
      </c>
      <c r="B1143" s="74" t="s">
        <v>39</v>
      </c>
      <c r="C1143" s="60" t="str">
        <v>Sai Silks Kalamandir Ltd</v>
      </c>
      <c r="D1143" s="81">
        <v>0.005</v>
      </c>
      <c r="E1143" s="62">
        <f t="shared" si="38"/>
        <v>0</v>
      </c>
      <c r="F1143" s="60" t="str">
        <v>Consumer Discretionary</v>
      </c>
      <c r="G1143" s="62">
        <f t="shared" si="39"/>
        <v>0</v>
      </c>
      <c r="H1143" s="60"/>
      <c r="J1143" s="6"/>
      <c r="X1143" s="60"/>
      <c r="Z1143" s="60" t="s">
        <v>1763</v>
      </c>
    </row>
    <row r="1144" spans="1:26">
      <c r="A1144" s="82" t="s">
        <v>1070</v>
      </c>
      <c r="B1144" s="83" t="s">
        <v>41</v>
      </c>
      <c r="C1144" s="60" t="str">
        <v>Reliance Industries Ltd</v>
      </c>
      <c r="D1144" s="81">
        <v>0.087</v>
      </c>
      <c r="E1144" s="62">
        <f t="shared" si="38"/>
        <v>0</v>
      </c>
      <c r="F1144" s="60" t="str">
        <v>Energy</v>
      </c>
      <c r="G1144" s="62">
        <f t="shared" si="39"/>
        <v>0</v>
      </c>
      <c r="H1144" s="60"/>
      <c r="J1144" s="6"/>
      <c r="X1144" s="60"/>
      <c r="Z1144" s="82" t="s">
        <v>1070</v>
      </c>
    </row>
    <row r="1145" spans="1:26">
      <c r="A1145" s="82" t="s">
        <v>1008</v>
      </c>
      <c r="B1145" s="83" t="s">
        <v>41</v>
      </c>
      <c r="C1145" s="60" t="str">
        <v>Kotak Mahindra Bank Ltd</v>
      </c>
      <c r="D1145" s="81">
        <v>0.082</v>
      </c>
      <c r="E1145" s="62">
        <f t="shared" si="38"/>
        <v>0</v>
      </c>
      <c r="F1145" s="60" t="str">
        <v>Financials</v>
      </c>
      <c r="G1145" s="62">
        <f t="shared" si="39"/>
        <v>0</v>
      </c>
      <c r="H1145" s="60"/>
      <c r="J1145" s="6"/>
      <c r="X1145" s="60"/>
      <c r="Z1145" s="82" t="s">
        <v>1008</v>
      </c>
    </row>
    <row r="1146" spans="1:26">
      <c r="A1146" s="82" t="s">
        <v>1107</v>
      </c>
      <c r="B1146" s="83" t="s">
        <v>41</v>
      </c>
      <c r="C1146" s="60" t="str">
        <v>UltraTech Cement Ltd</v>
      </c>
      <c r="D1146" s="81">
        <v>0.075</v>
      </c>
      <c r="E1146" s="62">
        <f t="shared" si="38"/>
        <v>0</v>
      </c>
      <c r="F1146" s="60" t="str">
        <v>Materials</v>
      </c>
      <c r="G1146" s="62">
        <f t="shared" si="39"/>
        <v>0</v>
      </c>
      <c r="H1146" s="60"/>
      <c r="J1146" s="6"/>
      <c r="X1146" s="60"/>
      <c r="Z1146" s="82" t="s">
        <v>1107</v>
      </c>
    </row>
    <row r="1147" spans="1:26">
      <c r="A1147" s="82" t="s">
        <v>994</v>
      </c>
      <c r="B1147" s="83" t="s">
        <v>41</v>
      </c>
      <c r="C1147" s="60" t="str">
        <v>InterGlobe Aviation Ltd</v>
      </c>
      <c r="D1147" s="81">
        <v>0.06</v>
      </c>
      <c r="E1147" s="62">
        <f t="shared" si="38"/>
        <v>0</v>
      </c>
      <c r="F1147" s="60" t="str">
        <v>Industrials</v>
      </c>
      <c r="G1147" s="62">
        <f t="shared" si="39"/>
        <v>0</v>
      </c>
      <c r="H1147" s="60"/>
      <c r="J1147" s="6"/>
      <c r="X1147" s="60"/>
      <c r="Z1147" s="82" t="s">
        <v>994</v>
      </c>
    </row>
    <row r="1148" spans="1:26">
      <c r="A1148" s="82" t="s">
        <v>884</v>
      </c>
      <c r="B1148" s="83" t="s">
        <v>41</v>
      </c>
      <c r="C1148" s="60" t="str">
        <v>Bajaj Finserv Ltd</v>
      </c>
      <c r="D1148" s="81">
        <v>0.05</v>
      </c>
      <c r="E1148" s="62">
        <f t="shared" si="38"/>
        <v>0</v>
      </c>
      <c r="F1148" s="60" t="str">
        <v>Financials</v>
      </c>
      <c r="G1148" s="62">
        <f t="shared" si="39"/>
        <v>0</v>
      </c>
      <c r="H1148" s="60"/>
      <c r="J1148" s="6"/>
      <c r="X1148" s="60"/>
      <c r="Z1148" s="82" t="s">
        <v>884</v>
      </c>
    </row>
    <row r="1149" spans="1:26">
      <c r="A1149" s="82" t="s">
        <v>912</v>
      </c>
      <c r="B1149" s="83" t="s">
        <v>41</v>
      </c>
      <c r="C1149" s="60" t="str">
        <v>Cholamandalam Investment and F</v>
      </c>
      <c r="D1149" s="81">
        <v>0.047</v>
      </c>
      <c r="E1149" s="62">
        <f t="shared" si="38"/>
        <v>0</v>
      </c>
      <c r="F1149" s="60" t="str">
        <v>Financials</v>
      </c>
      <c r="G1149" s="62">
        <f t="shared" si="39"/>
        <v>0</v>
      </c>
      <c r="H1149" s="60"/>
      <c r="J1149" s="6"/>
      <c r="X1149" s="60"/>
      <c r="Z1149" s="82" t="s">
        <v>912</v>
      </c>
    </row>
    <row r="1150" spans="1:26">
      <c r="A1150" s="82" t="s">
        <v>1105</v>
      </c>
      <c r="B1150" s="83" t="s">
        <v>41</v>
      </c>
      <c r="C1150" s="60" t="str">
        <v>TVS Motor Co Ltd</v>
      </c>
      <c r="D1150" s="81">
        <v>0.04</v>
      </c>
      <c r="E1150" s="62">
        <f t="shared" si="38"/>
        <v>0</v>
      </c>
      <c r="F1150" s="60" t="str">
        <v>Consumer Discretionary</v>
      </c>
      <c r="G1150" s="62">
        <f t="shared" si="39"/>
        <v>0</v>
      </c>
      <c r="H1150" s="60"/>
      <c r="J1150" s="6"/>
      <c r="X1150" s="60"/>
      <c r="Z1150" s="82" t="s">
        <v>1105</v>
      </c>
    </row>
    <row r="1151" spans="1:26">
      <c r="A1151" s="82" t="s">
        <v>875</v>
      </c>
      <c r="B1151" s="83" t="s">
        <v>41</v>
      </c>
      <c r="C1151" s="60" t="str">
        <v>Bajaj Auto Ltd</v>
      </c>
      <c r="D1151" s="81">
        <v>0.039</v>
      </c>
      <c r="E1151" s="62">
        <f t="shared" si="38"/>
        <v>0</v>
      </c>
      <c r="F1151" s="60" t="str">
        <v>Consumer Discretionary</v>
      </c>
      <c r="G1151" s="62">
        <f t="shared" si="39"/>
        <v>0</v>
      </c>
      <c r="H1151" s="60"/>
      <c r="J1151" s="6"/>
      <c r="X1151" s="60"/>
      <c r="Z1151" s="82" t="s">
        <v>875</v>
      </c>
    </row>
    <row r="1152" spans="1:26">
      <c r="A1152" s="82" t="s">
        <v>868</v>
      </c>
      <c r="B1152" s="83" t="s">
        <v>41</v>
      </c>
      <c r="C1152" s="60" t="str">
        <v>APL Apollo Tubes Ltd</v>
      </c>
      <c r="D1152" s="81">
        <v>0.037</v>
      </c>
      <c r="E1152" s="62">
        <f t="shared" si="38"/>
        <v>0</v>
      </c>
      <c r="F1152" s="60" t="str">
        <v>Materials</v>
      </c>
      <c r="G1152" s="62">
        <f t="shared" si="39"/>
        <v>0</v>
      </c>
      <c r="H1152" s="60"/>
      <c r="J1152" s="6"/>
      <c r="X1152" s="60"/>
      <c r="Z1152" s="82" t="s">
        <v>868</v>
      </c>
    </row>
    <row r="1153" spans="1:26">
      <c r="A1153" s="82" t="s">
        <v>891</v>
      </c>
      <c r="B1153" s="83" t="s">
        <v>41</v>
      </c>
      <c r="C1153" s="60" t="str">
        <v>Bharti Airtel Ltd</v>
      </c>
      <c r="D1153" s="81">
        <v>0.037</v>
      </c>
      <c r="E1153" s="62">
        <f t="shared" si="38"/>
        <v>0</v>
      </c>
      <c r="F1153" s="60" t="str">
        <v>Communication Services</v>
      </c>
      <c r="G1153" s="62">
        <f t="shared" si="39"/>
        <v>0</v>
      </c>
      <c r="H1153" s="60"/>
      <c r="J1153" s="6"/>
      <c r="X1153" s="60"/>
      <c r="Z1153" s="82" t="s">
        <v>891</v>
      </c>
    </row>
    <row r="1154" spans="1:26">
      <c r="A1154" s="82" t="s">
        <v>1148</v>
      </c>
      <c r="B1154" s="83" t="s">
        <v>41</v>
      </c>
      <c r="C1154" s="60" t="str">
        <v>Divi's Laboratories Ltd</v>
      </c>
      <c r="D1154" s="81">
        <v>0.036</v>
      </c>
      <c r="E1154" s="62">
        <f t="shared" si="38"/>
        <v>0</v>
      </c>
      <c r="F1154" s="60" t="str">
        <v>Health Care</v>
      </c>
      <c r="G1154" s="62">
        <f t="shared" si="39"/>
        <v>0</v>
      </c>
      <c r="H1154" s="60"/>
      <c r="J1154" s="6"/>
      <c r="X1154" s="60"/>
      <c r="Z1154" s="82" t="s">
        <v>1148</v>
      </c>
    </row>
    <row r="1155" spans="1:26">
      <c r="A1155" s="82" t="s">
        <v>872</v>
      </c>
      <c r="B1155" s="83" t="s">
        <v>41</v>
      </c>
      <c r="C1155" s="60" t="str">
        <v>AU Small Finance Bank Ltd</v>
      </c>
      <c r="D1155" s="81">
        <v>0.034</v>
      </c>
      <c r="E1155" s="62">
        <f t="shared" si="38"/>
        <v>0</v>
      </c>
      <c r="F1155" s="60" t="str">
        <v>Financials</v>
      </c>
      <c r="G1155" s="62">
        <f t="shared" si="39"/>
        <v>0</v>
      </c>
      <c r="H1155" s="60"/>
      <c r="J1155" s="6"/>
      <c r="X1155" s="60"/>
      <c r="Z1155" s="82" t="s">
        <v>872</v>
      </c>
    </row>
    <row r="1156" spans="1:26">
      <c r="A1156" s="82" t="s">
        <v>1690</v>
      </c>
      <c r="B1156" s="83" t="s">
        <v>41</v>
      </c>
      <c r="C1156" s="60" t="str">
        <v>Bharti Airtel Ltd</v>
      </c>
      <c r="D1156" s="81">
        <v>0.031</v>
      </c>
      <c r="E1156" s="62">
        <f t="shared" si="38"/>
        <v>0</v>
      </c>
      <c r="F1156" s="60" t="str">
        <v>Communication Services</v>
      </c>
      <c r="G1156" s="62">
        <f t="shared" si="39"/>
        <v>0</v>
      </c>
      <c r="H1156" s="60"/>
      <c r="J1156" s="6"/>
      <c r="X1156" s="60"/>
      <c r="Z1156" s="82" t="s">
        <v>1690</v>
      </c>
    </row>
    <row r="1157" spans="1:26">
      <c r="A1157" s="82" t="s">
        <v>1591</v>
      </c>
      <c r="B1157" s="83" t="s">
        <v>41</v>
      </c>
      <c r="C1157" s="60" t="str">
        <v>Affle 3i Ltd</v>
      </c>
      <c r="D1157" s="81">
        <v>0.031</v>
      </c>
      <c r="E1157" s="62">
        <f t="shared" si="38"/>
        <v>0</v>
      </c>
      <c r="F1157" s="60" t="str">
        <v>Communication Services</v>
      </c>
      <c r="G1157" s="62">
        <f t="shared" si="39"/>
        <v>0</v>
      </c>
      <c r="H1157" s="60"/>
      <c r="J1157" s="6"/>
      <c r="X1157" s="60"/>
      <c r="Z1157" s="82" t="s">
        <v>1591</v>
      </c>
    </row>
    <row r="1158" spans="1:26">
      <c r="A1158" s="82" t="s">
        <v>1191</v>
      </c>
      <c r="B1158" s="83" t="s">
        <v>41</v>
      </c>
      <c r="C1158" s="60" t="str">
        <v>IndusInd Bank Ltd</v>
      </c>
      <c r="D1158" s="81">
        <v>0.029</v>
      </c>
      <c r="E1158" s="62">
        <f t="shared" si="38"/>
        <v>0</v>
      </c>
      <c r="F1158" s="60" t="str">
        <v>Financials</v>
      </c>
      <c r="G1158" s="62">
        <f t="shared" si="39"/>
        <v>0</v>
      </c>
      <c r="H1158" s="60"/>
      <c r="J1158" s="6"/>
      <c r="X1158" s="60"/>
      <c r="Z1158" s="82" t="s">
        <v>1191</v>
      </c>
    </row>
    <row r="1159" spans="1:26">
      <c r="A1159" s="82" t="s">
        <v>1043</v>
      </c>
      <c r="B1159" s="83" t="s">
        <v>41</v>
      </c>
      <c r="C1159" s="60" t="str">
        <v>PI Industries Ltd</v>
      </c>
      <c r="D1159" s="81">
        <v>0.027</v>
      </c>
      <c r="E1159" s="62">
        <f t="shared" si="38"/>
        <v>0</v>
      </c>
      <c r="F1159" s="60" t="str">
        <v>Materials</v>
      </c>
      <c r="G1159" s="62">
        <f t="shared" si="39"/>
        <v>0</v>
      </c>
      <c r="H1159" s="60"/>
      <c r="J1159" s="6"/>
      <c r="X1159" s="60"/>
      <c r="Z1159" s="82" t="s">
        <v>1043</v>
      </c>
    </row>
    <row r="1160" spans="1:26">
      <c r="A1160" s="82" t="s">
        <v>878</v>
      </c>
      <c r="B1160" s="83" t="s">
        <v>41</v>
      </c>
      <c r="C1160" s="60" t="str">
        <v>Bajaj Finance Ltd</v>
      </c>
      <c r="D1160" s="81">
        <v>0.025</v>
      </c>
      <c r="E1160" s="62">
        <f t="shared" si="38"/>
        <v>0</v>
      </c>
      <c r="F1160" s="60" t="str">
        <v>Financials</v>
      </c>
      <c r="G1160" s="62">
        <f t="shared" si="39"/>
        <v>0</v>
      </c>
      <c r="H1160" s="60"/>
      <c r="J1160" s="6"/>
      <c r="X1160" s="60"/>
      <c r="Z1160" s="82" t="s">
        <v>878</v>
      </c>
    </row>
    <row r="1161" spans="1:26">
      <c r="A1161" s="82" t="s">
        <v>1155</v>
      </c>
      <c r="B1161" s="83" t="s">
        <v>41</v>
      </c>
      <c r="C1161" s="60" t="str">
        <v>Info Edge India Ltd</v>
      </c>
      <c r="D1161" s="81">
        <v>0.023</v>
      </c>
      <c r="E1161" s="62">
        <f t="shared" si="38"/>
        <v>0</v>
      </c>
      <c r="F1161" s="60" t="str">
        <v>Communication Services</v>
      </c>
      <c r="G1161" s="62">
        <f t="shared" si="39"/>
        <v>0</v>
      </c>
      <c r="H1161" s="60"/>
      <c r="J1161" s="6"/>
      <c r="X1161" s="60"/>
      <c r="Z1161" s="82" t="s">
        <v>1155</v>
      </c>
    </row>
    <row r="1162" spans="1:26">
      <c r="A1162" s="82" t="s">
        <v>1765</v>
      </c>
      <c r="B1162" s="83" t="s">
        <v>41</v>
      </c>
      <c r="C1162" s="60" t="str">
        <v>Amber Enterprises India Ltd</v>
      </c>
      <c r="D1162" s="81">
        <v>0.023</v>
      </c>
      <c r="E1162" s="62">
        <f t="shared" si="38"/>
        <v>0</v>
      </c>
      <c r="F1162" s="60" t="str">
        <v>Consumer Discretionary</v>
      </c>
      <c r="G1162" s="62">
        <f t="shared" si="39"/>
        <v>0</v>
      </c>
      <c r="H1162" s="60"/>
      <c r="J1162" s="6"/>
      <c r="X1162" s="60"/>
      <c r="Z1162" s="82" t="s">
        <v>1765</v>
      </c>
    </row>
    <row r="1163" spans="1:26">
      <c r="A1163" s="82" t="s">
        <v>865</v>
      </c>
      <c r="B1163" s="83" t="s">
        <v>41</v>
      </c>
      <c r="C1163" s="60" t="str">
        <v>Apollo Hospitals Enterprise Lt</v>
      </c>
      <c r="D1163" s="81">
        <v>0.021</v>
      </c>
      <c r="E1163" s="62">
        <f t="shared" si="38"/>
        <v>0</v>
      </c>
      <c r="F1163" s="60" t="str">
        <v>Health Care</v>
      </c>
      <c r="G1163" s="62">
        <f t="shared" si="39"/>
        <v>0</v>
      </c>
      <c r="H1163" s="60"/>
      <c r="J1163" s="6"/>
      <c r="X1163" s="60"/>
      <c r="Z1163" s="82" t="s">
        <v>865</v>
      </c>
    </row>
    <row r="1164" spans="1:26">
      <c r="A1164" s="82" t="s">
        <v>1177</v>
      </c>
      <c r="B1164" s="83" t="s">
        <v>41</v>
      </c>
      <c r="C1164" s="60" t="str">
        <v>Torrent Pharmaceuticals Ltd</v>
      </c>
      <c r="D1164" s="81">
        <v>0.02</v>
      </c>
      <c r="E1164" s="62">
        <f t="shared" ref="E1164:E1175" si="40">_xlfn.IFNA(D1164*VLOOKUP($B1164,$AK$1:$AM$34,3,FALSE),0)</f>
        <v>0</v>
      </c>
      <c r="F1164" s="60" t="str">
        <v>Health Care</v>
      </c>
      <c r="G1164" s="62">
        <f t="shared" ref="G1164:G1175" si="41">_xlfn.IFNA(D1164*VLOOKUP($B1164,$AK$1:$AM$34,3,FALSE),0)</f>
        <v>0</v>
      </c>
      <c r="H1164" s="60"/>
      <c r="J1164" s="6"/>
      <c r="X1164" s="60"/>
      <c r="Z1164" s="82" t="s">
        <v>1177</v>
      </c>
    </row>
    <row r="1165" spans="1:26">
      <c r="A1165" s="82" t="s">
        <v>1767</v>
      </c>
      <c r="B1165" s="83" t="s">
        <v>41</v>
      </c>
      <c r="C1165" s="60" t="str">
        <v>Gravita India Ltd</v>
      </c>
      <c r="D1165" s="81">
        <v>0.019</v>
      </c>
      <c r="E1165" s="62">
        <f t="shared" si="40"/>
        <v>0</v>
      </c>
      <c r="F1165" s="60" t="str">
        <v>Materials</v>
      </c>
      <c r="G1165" s="62">
        <f t="shared" si="41"/>
        <v>0</v>
      </c>
      <c r="H1165" s="60"/>
      <c r="J1165" s="6"/>
      <c r="X1165" s="60"/>
      <c r="Z1165" s="82" t="s">
        <v>1767</v>
      </c>
    </row>
    <row r="1166" spans="1:26">
      <c r="A1166" s="82" t="s">
        <v>1256</v>
      </c>
      <c r="B1166" s="83" t="s">
        <v>41</v>
      </c>
      <c r="C1166" s="60" t="str">
        <v>Ratnamani Metals &amp; Tubes Ltd</v>
      </c>
      <c r="D1166" s="81">
        <v>0.019</v>
      </c>
      <c r="E1166" s="62">
        <f t="shared" si="40"/>
        <v>0</v>
      </c>
      <c r="F1166" s="60" t="str">
        <v>Materials</v>
      </c>
      <c r="G1166" s="62">
        <f t="shared" si="41"/>
        <v>0</v>
      </c>
      <c r="H1166" s="60"/>
      <c r="J1166" s="6"/>
      <c r="X1166" s="60"/>
      <c r="Z1166" s="82" t="s">
        <v>1256</v>
      </c>
    </row>
    <row r="1167" spans="1:26">
      <c r="A1167" s="82" t="s">
        <v>1769</v>
      </c>
      <c r="B1167" s="83" t="s">
        <v>41</v>
      </c>
      <c r="C1167" s="60" t="str">
        <v>Apar Industries Ltd</v>
      </c>
      <c r="D1167" s="81">
        <v>0.018</v>
      </c>
      <c r="E1167" s="62">
        <f t="shared" si="40"/>
        <v>0</v>
      </c>
      <c r="F1167" s="60" t="str">
        <v>Industrials</v>
      </c>
      <c r="G1167" s="62">
        <f t="shared" si="41"/>
        <v>0</v>
      </c>
      <c r="H1167" s="60"/>
      <c r="J1167" s="6"/>
      <c r="X1167" s="60"/>
      <c r="Z1167" s="82" t="s">
        <v>1769</v>
      </c>
    </row>
    <row r="1168" spans="1:26">
      <c r="A1168" s="82" t="s">
        <v>1232</v>
      </c>
      <c r="B1168" s="83" t="s">
        <v>41</v>
      </c>
      <c r="C1168" s="60" t="str">
        <v>Polycab India Ltd</v>
      </c>
      <c r="D1168" s="81">
        <v>0.017</v>
      </c>
      <c r="E1168" s="62">
        <f t="shared" si="40"/>
        <v>0</v>
      </c>
      <c r="F1168" s="60" t="str">
        <v>Industrials</v>
      </c>
      <c r="G1168" s="62">
        <f t="shared" si="41"/>
        <v>0</v>
      </c>
      <c r="H1168" s="60"/>
      <c r="J1168" s="6"/>
      <c r="X1168" s="60"/>
      <c r="Z1168" s="82" t="s">
        <v>1232</v>
      </c>
    </row>
    <row r="1169" spans="1:26">
      <c r="A1169" s="82" t="s">
        <v>1118</v>
      </c>
      <c r="B1169" s="83" t="s">
        <v>41</v>
      </c>
      <c r="C1169" s="60" t="str">
        <v>Varun Beverages Ltd</v>
      </c>
      <c r="D1169" s="81">
        <v>0.017</v>
      </c>
      <c r="E1169" s="62">
        <f t="shared" si="40"/>
        <v>0</v>
      </c>
      <c r="F1169" s="60" t="str">
        <v>Consumer Staples</v>
      </c>
      <c r="G1169" s="62">
        <f t="shared" si="41"/>
        <v>0</v>
      </c>
      <c r="H1169" s="60"/>
      <c r="J1169" s="6"/>
      <c r="X1169" s="60"/>
      <c r="Z1169" s="82" t="s">
        <v>1118</v>
      </c>
    </row>
    <row r="1170" spans="1:26">
      <c r="A1170" s="82" t="s">
        <v>905</v>
      </c>
      <c r="B1170" s="83" t="s">
        <v>41</v>
      </c>
      <c r="C1170" s="60" t="str">
        <v>Carborundum Universal Ltd</v>
      </c>
      <c r="D1170" s="81">
        <v>0.01</v>
      </c>
      <c r="E1170" s="62">
        <f t="shared" si="40"/>
        <v>0</v>
      </c>
      <c r="F1170" s="60" t="str">
        <v>Materials</v>
      </c>
      <c r="G1170" s="62">
        <f t="shared" si="41"/>
        <v>0</v>
      </c>
      <c r="H1170" s="60"/>
      <c r="J1170" s="6"/>
      <c r="X1170" s="60"/>
      <c r="Z1170" s="82" t="s">
        <v>905</v>
      </c>
    </row>
    <row r="1171" spans="1:26">
      <c r="A1171" s="82" t="s">
        <v>1172</v>
      </c>
      <c r="B1171" s="83" t="s">
        <v>41</v>
      </c>
      <c r="C1171" s="60" t="str">
        <v>Havells India Ltd</v>
      </c>
      <c r="D1171" s="81">
        <v>0.01</v>
      </c>
      <c r="E1171" s="62">
        <f t="shared" si="40"/>
        <v>0</v>
      </c>
      <c r="F1171" s="60" t="str">
        <v>Industrials</v>
      </c>
      <c r="G1171" s="62">
        <f t="shared" si="41"/>
        <v>0</v>
      </c>
      <c r="H1171" s="60"/>
      <c r="J1171" s="6"/>
      <c r="X1171" s="60"/>
      <c r="Z1171" s="82" t="s">
        <v>1172</v>
      </c>
    </row>
    <row r="1172" spans="1:26">
      <c r="A1172" s="82" t="s">
        <v>1771</v>
      </c>
      <c r="B1172" s="83" t="s">
        <v>41</v>
      </c>
      <c r="C1172" s="60" t="str">
        <v>Sundaram Finance Ltd</v>
      </c>
      <c r="D1172" s="81">
        <v>0.01</v>
      </c>
      <c r="E1172" s="62">
        <f t="shared" si="40"/>
        <v>0</v>
      </c>
      <c r="F1172" s="60" t="str">
        <v>Financials</v>
      </c>
      <c r="G1172" s="62">
        <f t="shared" si="41"/>
        <v>0</v>
      </c>
      <c r="H1172" s="60"/>
      <c r="J1172" s="6"/>
      <c r="X1172" s="60"/>
      <c r="Z1172" s="82" t="s">
        <v>1771</v>
      </c>
    </row>
    <row r="1173" spans="1:26">
      <c r="A1173" s="82" t="s">
        <v>1609</v>
      </c>
      <c r="B1173" s="83" t="s">
        <v>41</v>
      </c>
      <c r="C1173" s="60" t="str">
        <v>Poly Medicure Ltd</v>
      </c>
      <c r="D1173" s="81">
        <v>0.009</v>
      </c>
      <c r="E1173" s="62">
        <f t="shared" si="40"/>
        <v>0</v>
      </c>
      <c r="F1173" s="60" t="str">
        <v>Health Care</v>
      </c>
      <c r="G1173" s="62">
        <f t="shared" si="41"/>
        <v>0</v>
      </c>
      <c r="H1173" s="60"/>
      <c r="J1173" s="6"/>
      <c r="X1173" s="60"/>
      <c r="Z1173" s="82" t="s">
        <v>1609</v>
      </c>
    </row>
    <row r="1174" spans="1:26">
      <c r="A1174" s="82" t="s">
        <v>1460</v>
      </c>
      <c r="B1174" s="83" t="s">
        <v>41</v>
      </c>
      <c r="C1174" s="60" t="str">
        <v>Triveni Turbine Ltd</v>
      </c>
      <c r="D1174" s="81">
        <v>0.004</v>
      </c>
      <c r="E1174" s="62">
        <f t="shared" si="40"/>
        <v>0</v>
      </c>
      <c r="F1174" s="60" t="str">
        <v>Industrials</v>
      </c>
      <c r="G1174" s="62">
        <f t="shared" si="41"/>
        <v>0</v>
      </c>
      <c r="H1174" s="60"/>
      <c r="J1174" s="6"/>
      <c r="X1174" s="60"/>
      <c r="Z1174" s="82" t="s">
        <v>1460</v>
      </c>
    </row>
    <row r="1175" spans="1:26">
      <c r="A1175" s="82" t="s">
        <v>1072</v>
      </c>
      <c r="B1175" s="83" t="s">
        <v>41</v>
      </c>
      <c r="C1175" s="60" t="str">
        <v>Sona Blw Precision Forgings Lt</v>
      </c>
      <c r="D1175" s="81">
        <v>0</v>
      </c>
      <c r="E1175" s="62">
        <f t="shared" si="40"/>
        <v>0</v>
      </c>
      <c r="F1175" s="60" t="str">
        <v>Consumer Discretionary</v>
      </c>
      <c r="G1175" s="62">
        <f t="shared" si="41"/>
        <v>0</v>
      </c>
      <c r="H1175" s="60"/>
      <c r="J1175" s="6"/>
      <c r="X1175" s="60"/>
      <c r="Z1175" s="82" t="s">
        <v>1072</v>
      </c>
    </row>
    <row r="1176" spans="1:26">
      <c r="A1176" s="60"/>
      <c r="B1176" s="77"/>
      <c r="C1176" s="60"/>
      <c r="D1176" s="81"/>
      <c r="E1176" s="62"/>
      <c r="F1176" s="60"/>
      <c r="G1176" s="62"/>
      <c r="H1176" s="60"/>
      <c r="J1176" s="6"/>
      <c r="X1176" s="60"/>
      <c r="Z1176" s="58" t="s">
        <v>847</v>
      </c>
    </row>
    <row r="1177" spans="1:26">
      <c r="A1177" s="60"/>
      <c r="B1177" s="77"/>
      <c r="C1177" s="60"/>
      <c r="D1177" s="81"/>
      <c r="E1177" s="62"/>
      <c r="F1177" s="60"/>
      <c r="G1177" s="62"/>
      <c r="H1177" s="60"/>
      <c r="J1177" s="6"/>
      <c r="X1177" s="60"/>
      <c r="Z1177" s="63" t="s">
        <v>851</v>
      </c>
    </row>
    <row r="1178" spans="1:26">
      <c r="A1178" s="60"/>
      <c r="B1178" s="77"/>
      <c r="C1178" s="60"/>
      <c r="D1178" s="81"/>
      <c r="E1178" s="62"/>
      <c r="F1178" s="60"/>
      <c r="G1178" s="62"/>
      <c r="H1178" s="60"/>
      <c r="J1178" s="6"/>
      <c r="X1178" s="60"/>
      <c r="Z1178" s="58" t="s">
        <v>853</v>
      </c>
    </row>
    <row r="1179" spans="1:26">
      <c r="A1179" s="60"/>
      <c r="B1179" s="77"/>
      <c r="C1179" s="60"/>
      <c r="D1179" s="81"/>
      <c r="E1179" s="62"/>
      <c r="F1179" s="60"/>
      <c r="G1179" s="62"/>
      <c r="H1179" s="60"/>
      <c r="J1179" s="6"/>
      <c r="X1179" s="60"/>
      <c r="Z1179" s="63" t="s">
        <v>857</v>
      </c>
    </row>
    <row r="1180" spans="1:26">
      <c r="A1180" s="60"/>
      <c r="B1180" s="77"/>
      <c r="C1180" s="60"/>
      <c r="D1180" s="81"/>
      <c r="E1180" s="62"/>
      <c r="F1180" s="60"/>
      <c r="G1180" s="62"/>
      <c r="H1180" s="60"/>
      <c r="J1180" s="6"/>
      <c r="X1180" s="60"/>
      <c r="Z1180" s="58" t="s">
        <v>862</v>
      </c>
    </row>
    <row r="1181" spans="1:26">
      <c r="A1181" s="60"/>
      <c r="B1181" s="77"/>
      <c r="C1181" s="60"/>
      <c r="D1181" s="81"/>
      <c r="E1181" s="62"/>
      <c r="F1181" s="60"/>
      <c r="G1181" s="62"/>
      <c r="H1181" s="60"/>
      <c r="J1181" s="6"/>
      <c r="X1181" s="60"/>
      <c r="Z1181" s="63" t="s">
        <v>865</v>
      </c>
    </row>
    <row r="1182" spans="1:26">
      <c r="A1182" s="60"/>
      <c r="B1182" s="77"/>
      <c r="C1182" s="60"/>
      <c r="D1182" s="81"/>
      <c r="E1182" s="62"/>
      <c r="F1182" s="60"/>
      <c r="G1182" s="62"/>
      <c r="H1182" s="60"/>
      <c r="J1182" s="6"/>
      <c r="X1182" s="60"/>
      <c r="Z1182" s="58" t="s">
        <v>869</v>
      </c>
    </row>
    <row r="1183" spans="1:26">
      <c r="A1183" s="60"/>
      <c r="B1183" s="77"/>
      <c r="C1183" s="60"/>
      <c r="D1183" s="81"/>
      <c r="E1183" s="62"/>
      <c r="F1183" s="60"/>
      <c r="G1183" s="62"/>
      <c r="H1183" s="60"/>
      <c r="J1183" s="6"/>
      <c r="X1183" s="60"/>
      <c r="Z1183" s="63" t="s">
        <v>872</v>
      </c>
    </row>
    <row r="1184" spans="1:26">
      <c r="A1184" s="60"/>
      <c r="B1184" s="77"/>
      <c r="C1184" s="60"/>
      <c r="D1184" s="81"/>
      <c r="E1184" s="62"/>
      <c r="F1184" s="60"/>
      <c r="G1184" s="62"/>
      <c r="H1184" s="60"/>
      <c r="J1184" s="6"/>
      <c r="X1184" s="60"/>
      <c r="Z1184" s="58" t="s">
        <v>876</v>
      </c>
    </row>
    <row r="1185" spans="1:26">
      <c r="A1185" s="60"/>
      <c r="B1185" s="77"/>
      <c r="C1185" s="60"/>
      <c r="D1185" s="81"/>
      <c r="E1185" s="62"/>
      <c r="F1185" s="60"/>
      <c r="G1185" s="62"/>
      <c r="H1185" s="60"/>
      <c r="J1185" s="6"/>
      <c r="X1185" s="60"/>
      <c r="Z1185" s="63" t="s">
        <v>879</v>
      </c>
    </row>
    <row r="1186" spans="1:26">
      <c r="A1186" s="60"/>
      <c r="B1186" s="77"/>
      <c r="C1186" s="60"/>
      <c r="D1186" s="81"/>
      <c r="E1186" s="62"/>
      <c r="F1186" s="60"/>
      <c r="G1186" s="62"/>
      <c r="H1186" s="60"/>
      <c r="J1186" s="6"/>
      <c r="X1186" s="60"/>
      <c r="Z1186" s="58" t="s">
        <v>878</v>
      </c>
    </row>
    <row r="1187" spans="1:26">
      <c r="A1187" s="60"/>
      <c r="B1187" s="77"/>
      <c r="C1187" s="60"/>
      <c r="D1187" s="81"/>
      <c r="E1187" s="62"/>
      <c r="F1187" s="60"/>
      <c r="G1187" s="62"/>
      <c r="H1187" s="60"/>
      <c r="J1187" s="6"/>
      <c r="X1187" s="60"/>
      <c r="Z1187" s="63" t="s">
        <v>884</v>
      </c>
    </row>
    <row r="1188" spans="1:26">
      <c r="A1188" s="60"/>
      <c r="B1188" s="77"/>
      <c r="C1188" s="60"/>
      <c r="D1188" s="81"/>
      <c r="E1188" s="62"/>
      <c r="F1188" s="60"/>
      <c r="G1188" s="62"/>
      <c r="H1188" s="60"/>
      <c r="J1188" s="6"/>
      <c r="X1188" s="60"/>
      <c r="Z1188" s="58" t="s">
        <v>886</v>
      </c>
    </row>
    <row r="1189" spans="1:26">
      <c r="A1189" s="60"/>
      <c r="B1189" s="77"/>
      <c r="C1189" s="60"/>
      <c r="D1189" s="81"/>
      <c r="E1189" s="62"/>
      <c r="F1189" s="60"/>
      <c r="G1189" s="62"/>
      <c r="H1189" s="60"/>
      <c r="J1189" s="6"/>
      <c r="X1189" s="60"/>
      <c r="Z1189" s="63" t="s">
        <v>889</v>
      </c>
    </row>
    <row r="1190" spans="1:26">
      <c r="A1190" s="60"/>
      <c r="B1190" s="77"/>
      <c r="C1190" s="60"/>
      <c r="D1190" s="81"/>
      <c r="E1190" s="62"/>
      <c r="F1190" s="60"/>
      <c r="G1190" s="62"/>
      <c r="H1190" s="60"/>
      <c r="J1190" s="6"/>
      <c r="X1190" s="60"/>
      <c r="Z1190" s="58" t="s">
        <v>891</v>
      </c>
    </row>
    <row r="1191" spans="1:26">
      <c r="A1191" s="60"/>
      <c r="B1191" s="77"/>
      <c r="C1191" s="60"/>
      <c r="D1191" s="81"/>
      <c r="E1191" s="62"/>
      <c r="F1191" s="60"/>
      <c r="G1191" s="62"/>
      <c r="H1191" s="60"/>
      <c r="J1191" s="6"/>
      <c r="X1191" s="60"/>
      <c r="Z1191" s="63" t="s">
        <v>895</v>
      </c>
    </row>
    <row r="1192" spans="1:26">
      <c r="A1192" s="60"/>
      <c r="B1192" s="77"/>
      <c r="C1192" s="60"/>
      <c r="D1192" s="81"/>
      <c r="E1192" s="62"/>
      <c r="F1192" s="60"/>
      <c r="G1192" s="62"/>
      <c r="H1192" s="60"/>
      <c r="J1192" s="6"/>
      <c r="X1192" s="60"/>
      <c r="Z1192" s="58" t="s">
        <v>897</v>
      </c>
    </row>
    <row r="1193" spans="1:26">
      <c r="A1193" s="60"/>
      <c r="B1193" s="77"/>
      <c r="C1193" s="60"/>
      <c r="D1193" s="81"/>
      <c r="E1193" s="62"/>
      <c r="F1193" s="60"/>
      <c r="G1193" s="62"/>
      <c r="H1193" s="60"/>
      <c r="J1193" s="6"/>
      <c r="X1193" s="60"/>
      <c r="Z1193" s="63" t="s">
        <v>900</v>
      </c>
    </row>
    <row r="1194" spans="1:26">
      <c r="A1194" s="60"/>
      <c r="B1194" s="77"/>
      <c r="C1194" s="60"/>
      <c r="D1194" s="81"/>
      <c r="E1194" s="62"/>
      <c r="F1194" s="60"/>
      <c r="G1194" s="62"/>
      <c r="H1194" s="60"/>
      <c r="J1194" s="6"/>
      <c r="X1194" s="60"/>
      <c r="Z1194" s="58" t="s">
        <v>903</v>
      </c>
    </row>
    <row r="1195" spans="1:26">
      <c r="A1195" s="60"/>
      <c r="B1195" s="77"/>
      <c r="C1195" s="60"/>
      <c r="D1195" s="81"/>
      <c r="E1195" s="62"/>
      <c r="F1195" s="60"/>
      <c r="G1195" s="62"/>
      <c r="H1195" s="60"/>
      <c r="J1195" s="6"/>
      <c r="X1195" s="60"/>
      <c r="Z1195" s="63" t="s">
        <v>906</v>
      </c>
    </row>
    <row r="1196" spans="1:26">
      <c r="A1196" s="60"/>
      <c r="B1196" s="77"/>
      <c r="C1196" s="60"/>
      <c r="D1196" s="81"/>
      <c r="E1196" s="62"/>
      <c r="F1196" s="60"/>
      <c r="G1196" s="62"/>
      <c r="H1196" s="60"/>
      <c r="J1196" s="6"/>
      <c r="X1196" s="60"/>
      <c r="Z1196" s="58" t="s">
        <v>909</v>
      </c>
    </row>
    <row r="1197" spans="1:26">
      <c r="A1197" s="60"/>
      <c r="B1197" s="77"/>
      <c r="C1197" s="60"/>
      <c r="D1197" s="81"/>
      <c r="E1197" s="62"/>
      <c r="F1197" s="60"/>
      <c r="G1197" s="62"/>
      <c r="H1197" s="60"/>
      <c r="J1197" s="6"/>
      <c r="X1197" s="60"/>
      <c r="Z1197" s="63" t="s">
        <v>912</v>
      </c>
    </row>
    <row r="1198" spans="1:26">
      <c r="A1198" s="60"/>
      <c r="B1198" s="77"/>
      <c r="C1198" s="60"/>
      <c r="D1198" s="81"/>
      <c r="E1198" s="62"/>
      <c r="F1198" s="60"/>
      <c r="G1198" s="62"/>
      <c r="H1198" s="60"/>
      <c r="J1198" s="6"/>
      <c r="X1198" s="60"/>
      <c r="Z1198" s="58" t="s">
        <v>914</v>
      </c>
    </row>
    <row r="1199" spans="1:26">
      <c r="A1199" s="60"/>
      <c r="B1199" s="77"/>
      <c r="C1199" s="60"/>
      <c r="D1199" s="81"/>
      <c r="E1199" s="62"/>
      <c r="F1199" s="60"/>
      <c r="G1199" s="62"/>
      <c r="H1199" s="60"/>
      <c r="J1199" s="6"/>
      <c r="X1199" s="60"/>
      <c r="Z1199" s="63" t="s">
        <v>916</v>
      </c>
    </row>
    <row r="1200" spans="1:26">
      <c r="A1200" s="60"/>
      <c r="B1200" s="77"/>
      <c r="C1200" s="60"/>
      <c r="D1200" s="81"/>
      <c r="E1200" s="62"/>
      <c r="F1200" s="60"/>
      <c r="G1200" s="62"/>
      <c r="H1200" s="60"/>
      <c r="J1200" s="6"/>
      <c r="X1200" s="60"/>
      <c r="Z1200" s="58" t="s">
        <v>918</v>
      </c>
    </row>
    <row r="1201" spans="1:26">
      <c r="A1201" s="60"/>
      <c r="B1201" s="77"/>
      <c r="C1201" s="60"/>
      <c r="D1201" s="81"/>
      <c r="E1201" s="62"/>
      <c r="F1201" s="60"/>
      <c r="G1201" s="62"/>
      <c r="H1201" s="60"/>
      <c r="J1201" s="6"/>
      <c r="X1201" s="60"/>
      <c r="Z1201" s="63" t="s">
        <v>922</v>
      </c>
    </row>
    <row r="1202" spans="1:26">
      <c r="A1202" s="60"/>
      <c r="B1202" s="77"/>
      <c r="C1202" s="60"/>
      <c r="D1202" s="81"/>
      <c r="E1202" s="62"/>
      <c r="F1202" s="60"/>
      <c r="G1202" s="62"/>
      <c r="H1202" s="60"/>
      <c r="J1202" s="6"/>
      <c r="X1202" s="60"/>
      <c r="Z1202" s="58" t="s">
        <v>925</v>
      </c>
    </row>
    <row r="1203" spans="1:26">
      <c r="A1203" s="60"/>
      <c r="B1203" s="77"/>
      <c r="C1203" s="60"/>
      <c r="D1203" s="81"/>
      <c r="E1203" s="62"/>
      <c r="F1203" s="60"/>
      <c r="G1203" s="62"/>
      <c r="H1203" s="60"/>
      <c r="J1203" s="6"/>
      <c r="X1203" s="60"/>
      <c r="Z1203" s="63" t="s">
        <v>928</v>
      </c>
    </row>
    <row r="1204" spans="1:26">
      <c r="A1204" s="60"/>
      <c r="B1204" s="77"/>
      <c r="C1204" s="60"/>
      <c r="D1204" s="81"/>
      <c r="E1204" s="62"/>
      <c r="F1204" s="60"/>
      <c r="G1204" s="62"/>
      <c r="H1204" s="60"/>
      <c r="J1204" s="6"/>
      <c r="X1204" s="60"/>
      <c r="Z1204" s="58" t="s">
        <v>931</v>
      </c>
    </row>
    <row r="1205" spans="1:26">
      <c r="A1205" s="60"/>
      <c r="B1205" s="77"/>
      <c r="C1205" s="60"/>
      <c r="D1205" s="81"/>
      <c r="E1205" s="62"/>
      <c r="F1205" s="60"/>
      <c r="G1205" s="62"/>
      <c r="H1205" s="60"/>
      <c r="J1205" s="6"/>
      <c r="X1205" s="60"/>
      <c r="Z1205" s="63" t="s">
        <v>934</v>
      </c>
    </row>
    <row r="1206" spans="1:26">
      <c r="A1206" s="60"/>
      <c r="B1206" s="77"/>
      <c r="C1206" s="60"/>
      <c r="D1206" s="81"/>
      <c r="E1206" s="62"/>
      <c r="F1206" s="60"/>
      <c r="G1206" s="62"/>
      <c r="H1206" s="60"/>
      <c r="J1206" s="6"/>
      <c r="X1206" s="60"/>
      <c r="Z1206" s="58" t="s">
        <v>937</v>
      </c>
    </row>
    <row r="1207" spans="1:26">
      <c r="A1207" s="60"/>
      <c r="B1207" s="77"/>
      <c r="C1207" s="60"/>
      <c r="D1207" s="81"/>
      <c r="E1207" s="62"/>
      <c r="F1207" s="60"/>
      <c r="G1207" s="62"/>
      <c r="H1207" s="60"/>
      <c r="J1207" s="6"/>
      <c r="X1207" s="60"/>
      <c r="Z1207" s="63" t="s">
        <v>940</v>
      </c>
    </row>
    <row r="1208" spans="1:26">
      <c r="A1208" s="60"/>
      <c r="B1208" s="77"/>
      <c r="C1208" s="60"/>
      <c r="D1208" s="81"/>
      <c r="E1208" s="62"/>
      <c r="F1208" s="60"/>
      <c r="G1208" s="62"/>
      <c r="H1208" s="60"/>
      <c r="J1208" s="6"/>
      <c r="X1208" s="60"/>
      <c r="Z1208" s="58" t="s">
        <v>942</v>
      </c>
    </row>
    <row r="1209" spans="1:26">
      <c r="A1209" s="60"/>
      <c r="B1209" s="77"/>
      <c r="C1209" s="60"/>
      <c r="D1209" s="81"/>
      <c r="E1209" s="62"/>
      <c r="F1209" s="60"/>
      <c r="G1209" s="62"/>
      <c r="H1209" s="60"/>
      <c r="J1209" s="6"/>
      <c r="X1209" s="60"/>
      <c r="Z1209" s="63" t="s">
        <v>945</v>
      </c>
    </row>
    <row r="1210" spans="1:26">
      <c r="A1210" s="60"/>
      <c r="B1210" s="77"/>
      <c r="C1210" s="60"/>
      <c r="D1210" s="81"/>
      <c r="E1210" s="62"/>
      <c r="F1210" s="60"/>
      <c r="G1210" s="62"/>
      <c r="H1210" s="60"/>
      <c r="J1210" s="6"/>
      <c r="X1210" s="60"/>
      <c r="Z1210" s="58" t="s">
        <v>948</v>
      </c>
    </row>
    <row r="1211" spans="1:26">
      <c r="A1211" s="60"/>
      <c r="B1211" s="77"/>
      <c r="C1211" s="60"/>
      <c r="D1211" s="81"/>
      <c r="E1211" s="62"/>
      <c r="F1211" s="60"/>
      <c r="G1211" s="62"/>
      <c r="H1211" s="60"/>
      <c r="J1211" s="6"/>
      <c r="X1211" s="60"/>
      <c r="Z1211" s="63" t="s">
        <v>951</v>
      </c>
    </row>
    <row r="1212" spans="1:26">
      <c r="A1212" s="60"/>
      <c r="B1212" s="77"/>
      <c r="C1212" s="60"/>
      <c r="D1212" s="81"/>
      <c r="E1212" s="62"/>
      <c r="F1212" s="60"/>
      <c r="G1212" s="62"/>
      <c r="H1212" s="60"/>
      <c r="J1212" s="6"/>
      <c r="X1212" s="60"/>
      <c r="Z1212" s="58" t="s">
        <v>953</v>
      </c>
    </row>
    <row r="1213" spans="1:26">
      <c r="A1213" s="60"/>
      <c r="B1213" s="77"/>
      <c r="C1213" s="60"/>
      <c r="D1213" s="81"/>
      <c r="E1213" s="62"/>
      <c r="F1213" s="60"/>
      <c r="G1213" s="62"/>
      <c r="H1213" s="60"/>
      <c r="J1213" s="6"/>
      <c r="X1213" s="60"/>
      <c r="Z1213" s="63" t="s">
        <v>955</v>
      </c>
    </row>
    <row r="1214" spans="1:26">
      <c r="A1214" s="60"/>
      <c r="B1214" s="77"/>
      <c r="C1214" s="60"/>
      <c r="D1214" s="81"/>
      <c r="E1214" s="62"/>
      <c r="F1214" s="60"/>
      <c r="G1214" s="62"/>
      <c r="H1214" s="60"/>
      <c r="J1214" s="6"/>
      <c r="X1214" s="60"/>
      <c r="Z1214" s="58" t="s">
        <v>958</v>
      </c>
    </row>
    <row r="1215" spans="1:26">
      <c r="A1215" s="60"/>
      <c r="B1215" s="77"/>
      <c r="C1215" s="60"/>
      <c r="D1215" s="81"/>
      <c r="E1215" s="62"/>
      <c r="F1215" s="60"/>
      <c r="G1215" s="62"/>
      <c r="H1215" s="60"/>
      <c r="J1215" s="6"/>
      <c r="X1215" s="60"/>
      <c r="Z1215" s="63" t="s">
        <v>960</v>
      </c>
    </row>
    <row r="1216" spans="1:26">
      <c r="A1216" s="60"/>
      <c r="B1216" s="77"/>
      <c r="C1216" s="60"/>
      <c r="D1216" s="81"/>
      <c r="E1216" s="62"/>
      <c r="F1216" s="60"/>
      <c r="G1216" s="62"/>
      <c r="H1216" s="60"/>
      <c r="J1216" s="6"/>
      <c r="X1216" s="60"/>
      <c r="Z1216" s="58" t="s">
        <v>963</v>
      </c>
    </row>
    <row r="1217" spans="1:26">
      <c r="A1217" s="60"/>
      <c r="B1217" s="77"/>
      <c r="C1217" s="60"/>
      <c r="D1217" s="81"/>
      <c r="E1217" s="62"/>
      <c r="F1217" s="60"/>
      <c r="G1217" s="62"/>
      <c r="H1217" s="60"/>
      <c r="J1217" s="6"/>
      <c r="X1217" s="60"/>
      <c r="Z1217" s="63" t="s">
        <v>965</v>
      </c>
    </row>
    <row r="1218" spans="1:26">
      <c r="A1218" s="60"/>
      <c r="B1218" s="77"/>
      <c r="C1218" s="60"/>
      <c r="D1218" s="81"/>
      <c r="E1218" s="62"/>
      <c r="F1218" s="60"/>
      <c r="G1218" s="62"/>
      <c r="H1218" s="60"/>
      <c r="J1218" s="6"/>
      <c r="X1218" s="60"/>
      <c r="Z1218" s="58" t="s">
        <v>967</v>
      </c>
    </row>
    <row r="1219" spans="1:26">
      <c r="A1219" s="60"/>
      <c r="B1219" s="77"/>
      <c r="C1219" s="60"/>
      <c r="D1219" s="81"/>
      <c r="E1219" s="62"/>
      <c r="F1219" s="60"/>
      <c r="G1219" s="62"/>
      <c r="H1219" s="60"/>
      <c r="J1219" s="6"/>
      <c r="X1219" s="60"/>
      <c r="Z1219" s="63" t="s">
        <v>970</v>
      </c>
    </row>
    <row r="1220" spans="1:26">
      <c r="A1220" s="60"/>
      <c r="B1220" s="77"/>
      <c r="C1220" s="60"/>
      <c r="D1220" s="81"/>
      <c r="E1220" s="62"/>
      <c r="F1220" s="60"/>
      <c r="G1220" s="62"/>
      <c r="H1220" s="60"/>
      <c r="J1220" s="6"/>
      <c r="X1220" s="60"/>
      <c r="Z1220" s="58" t="s">
        <v>969</v>
      </c>
    </row>
    <row r="1221" spans="1:26">
      <c r="A1221" s="60"/>
      <c r="B1221" s="77"/>
      <c r="C1221" s="60"/>
      <c r="D1221" s="81"/>
      <c r="E1221" s="62"/>
      <c r="F1221" s="60"/>
      <c r="G1221" s="62"/>
      <c r="H1221" s="60"/>
      <c r="J1221" s="6"/>
      <c r="X1221" s="60"/>
      <c r="Z1221" s="63" t="s">
        <v>975</v>
      </c>
    </row>
    <row r="1222" spans="1:26">
      <c r="A1222" s="60"/>
      <c r="B1222" s="77"/>
      <c r="C1222" s="60"/>
      <c r="D1222" s="81"/>
      <c r="E1222" s="62"/>
      <c r="F1222" s="60"/>
      <c r="G1222" s="62"/>
      <c r="H1222" s="60"/>
      <c r="J1222" s="6"/>
      <c r="X1222" s="60"/>
      <c r="Z1222" s="58" t="s">
        <v>972</v>
      </c>
    </row>
    <row r="1223" spans="1:26">
      <c r="A1223" s="60"/>
      <c r="B1223" s="77"/>
      <c r="C1223" s="60"/>
      <c r="D1223" s="81"/>
      <c r="E1223" s="62"/>
      <c r="F1223" s="60"/>
      <c r="G1223" s="62"/>
      <c r="H1223" s="60"/>
      <c r="J1223" s="6"/>
      <c r="X1223" s="60"/>
      <c r="Z1223" s="63" t="s">
        <v>974</v>
      </c>
    </row>
    <row r="1224" spans="1:26">
      <c r="A1224" s="60"/>
      <c r="B1224" s="77"/>
      <c r="C1224" s="60"/>
      <c r="D1224" s="81"/>
      <c r="E1224" s="62"/>
      <c r="F1224" s="60"/>
      <c r="G1224" s="62"/>
      <c r="H1224" s="60"/>
      <c r="J1224" s="6"/>
      <c r="X1224" s="60"/>
      <c r="Z1224" s="58" t="s">
        <v>982</v>
      </c>
    </row>
    <row r="1225" spans="1:26">
      <c r="A1225" s="60"/>
      <c r="B1225" s="77"/>
      <c r="C1225" s="60"/>
      <c r="D1225" s="81"/>
      <c r="E1225" s="62"/>
      <c r="F1225" s="60"/>
      <c r="G1225" s="62"/>
      <c r="H1225" s="60"/>
      <c r="J1225" s="6"/>
      <c r="X1225" s="60"/>
      <c r="Z1225" s="63" t="s">
        <v>985</v>
      </c>
    </row>
    <row r="1226" spans="1:26">
      <c r="A1226" s="60"/>
      <c r="B1226" s="77"/>
      <c r="C1226" s="60"/>
      <c r="D1226" s="81"/>
      <c r="E1226" s="62"/>
      <c r="F1226" s="60"/>
      <c r="G1226" s="62"/>
      <c r="H1226" s="60"/>
      <c r="J1226" s="6"/>
      <c r="X1226" s="60"/>
      <c r="Z1226" s="58" t="s">
        <v>988</v>
      </c>
    </row>
    <row r="1227" spans="1:26">
      <c r="A1227" s="60"/>
      <c r="B1227" s="77"/>
      <c r="C1227" s="60"/>
      <c r="D1227" s="81"/>
      <c r="E1227" s="62"/>
      <c r="F1227" s="60"/>
      <c r="G1227" s="62"/>
      <c r="H1227" s="60"/>
      <c r="J1227" s="6"/>
      <c r="X1227" s="60"/>
      <c r="Z1227" s="63" t="s">
        <v>991</v>
      </c>
    </row>
    <row r="1228" spans="1:26">
      <c r="A1228" s="60"/>
      <c r="B1228" s="77"/>
      <c r="C1228" s="60"/>
      <c r="D1228" s="81"/>
      <c r="E1228" s="62"/>
      <c r="F1228" s="60"/>
      <c r="G1228" s="62"/>
      <c r="H1228" s="60"/>
      <c r="J1228" s="6"/>
      <c r="X1228" s="60"/>
      <c r="Z1228" s="58" t="s">
        <v>994</v>
      </c>
    </row>
    <row r="1229" spans="1:26">
      <c r="A1229" s="60"/>
      <c r="B1229" s="77"/>
      <c r="C1229" s="60"/>
      <c r="D1229" s="81"/>
      <c r="E1229" s="62"/>
      <c r="F1229" s="60"/>
      <c r="G1229" s="62"/>
      <c r="H1229" s="60"/>
      <c r="J1229" s="6"/>
      <c r="X1229" s="60"/>
      <c r="Z1229" s="63" t="s">
        <v>997</v>
      </c>
    </row>
    <row r="1230" spans="1:26">
      <c r="A1230" s="60"/>
      <c r="B1230" s="77"/>
      <c r="C1230" s="60"/>
      <c r="D1230" s="81"/>
      <c r="E1230" s="62"/>
      <c r="F1230" s="60"/>
      <c r="G1230" s="62"/>
      <c r="H1230" s="60"/>
      <c r="J1230" s="6"/>
      <c r="X1230" s="60"/>
      <c r="Z1230" s="58" t="s">
        <v>1000</v>
      </c>
    </row>
    <row r="1231" spans="1:26">
      <c r="A1231" s="60"/>
      <c r="B1231" s="77"/>
      <c r="C1231" s="60"/>
      <c r="D1231" s="81"/>
      <c r="E1231" s="62"/>
      <c r="F1231" s="60"/>
      <c r="G1231" s="62"/>
      <c r="H1231" s="60"/>
      <c r="J1231" s="6"/>
      <c r="X1231" s="60"/>
      <c r="Z1231" s="63" t="s">
        <v>1003</v>
      </c>
    </row>
    <row r="1232" spans="1:26">
      <c r="A1232" s="60"/>
      <c r="B1232" s="77"/>
      <c r="C1232" s="60"/>
      <c r="D1232" s="81"/>
      <c r="E1232" s="62"/>
      <c r="F1232" s="60"/>
      <c r="G1232" s="62"/>
      <c r="H1232" s="60"/>
      <c r="J1232" s="6"/>
      <c r="X1232" s="60"/>
      <c r="Z1232" s="58" t="s">
        <v>987</v>
      </c>
    </row>
    <row r="1233" spans="1:26">
      <c r="A1233" s="60"/>
      <c r="B1233" s="77"/>
      <c r="C1233" s="60"/>
      <c r="D1233" s="81"/>
      <c r="E1233" s="62"/>
      <c r="F1233" s="60"/>
      <c r="G1233" s="62"/>
      <c r="H1233" s="60"/>
      <c r="J1233" s="6"/>
      <c r="X1233" s="60"/>
      <c r="Z1233" s="63" t="s">
        <v>1008</v>
      </c>
    </row>
    <row r="1234" spans="1:26">
      <c r="A1234" s="60"/>
      <c r="B1234" s="77"/>
      <c r="C1234" s="60"/>
      <c r="D1234" s="81"/>
      <c r="E1234" s="62"/>
      <c r="F1234" s="60"/>
      <c r="G1234" s="62"/>
      <c r="H1234" s="60"/>
      <c r="J1234" s="6"/>
      <c r="X1234" s="60"/>
      <c r="Z1234" s="58" t="s">
        <v>1011</v>
      </c>
    </row>
    <row r="1235" spans="1:26">
      <c r="A1235" s="60"/>
      <c r="B1235" s="77"/>
      <c r="C1235" s="60"/>
      <c r="D1235" s="81"/>
      <c r="E1235" s="62"/>
      <c r="F1235" s="60"/>
      <c r="G1235" s="62"/>
      <c r="H1235" s="60"/>
      <c r="J1235" s="6"/>
      <c r="X1235" s="60"/>
      <c r="Z1235" s="63" t="s">
        <v>1014</v>
      </c>
    </row>
    <row r="1236" spans="1:26">
      <c r="A1236" s="60"/>
      <c r="B1236" s="77"/>
      <c r="C1236" s="60"/>
      <c r="D1236" s="81"/>
      <c r="E1236" s="62"/>
      <c r="F1236" s="60"/>
      <c r="G1236" s="62"/>
      <c r="H1236" s="60"/>
      <c r="J1236" s="6"/>
      <c r="X1236" s="60"/>
      <c r="Z1236" s="58" t="s">
        <v>1018</v>
      </c>
    </row>
    <row r="1237" spans="1:26">
      <c r="A1237" s="60"/>
      <c r="B1237" s="77"/>
      <c r="C1237" s="60"/>
      <c r="D1237" s="81"/>
      <c r="E1237" s="62"/>
      <c r="F1237" s="60"/>
      <c r="G1237" s="62"/>
      <c r="H1237" s="60"/>
      <c r="J1237" s="6"/>
      <c r="X1237" s="60"/>
      <c r="Z1237" s="63" t="s">
        <v>1002</v>
      </c>
    </row>
    <row r="1238" spans="1:26">
      <c r="A1238" s="60"/>
      <c r="B1238" s="77"/>
      <c r="C1238" s="60"/>
      <c r="D1238" s="81"/>
      <c r="E1238" s="62"/>
      <c r="F1238" s="60"/>
      <c r="G1238" s="62"/>
      <c r="H1238" s="60"/>
      <c r="J1238" s="6"/>
      <c r="X1238" s="60"/>
      <c r="Z1238" s="58" t="s">
        <v>1023</v>
      </c>
    </row>
    <row r="1239" spans="1:26">
      <c r="A1239" s="60"/>
      <c r="B1239" s="77"/>
      <c r="C1239" s="60"/>
      <c r="D1239" s="81"/>
      <c r="E1239" s="62"/>
      <c r="F1239" s="60"/>
      <c r="G1239" s="62"/>
      <c r="H1239" s="60"/>
      <c r="J1239" s="6"/>
      <c r="X1239" s="60"/>
      <c r="Z1239" s="63" t="s">
        <v>1026</v>
      </c>
    </row>
    <row r="1240" spans="1:26">
      <c r="A1240" s="60"/>
      <c r="B1240" s="77"/>
      <c r="C1240" s="60"/>
      <c r="D1240" s="81"/>
      <c r="E1240" s="62"/>
      <c r="F1240" s="60"/>
      <c r="G1240" s="62"/>
      <c r="H1240" s="60"/>
      <c r="J1240" s="6"/>
      <c r="X1240" s="60"/>
      <c r="Z1240" s="58" t="s">
        <v>1007</v>
      </c>
    </row>
    <row r="1241" spans="1:26">
      <c r="A1241" s="60"/>
      <c r="B1241" s="77"/>
      <c r="C1241" s="60"/>
      <c r="D1241" s="81"/>
      <c r="E1241" s="62"/>
      <c r="F1241" s="60"/>
      <c r="G1241" s="62"/>
      <c r="H1241" s="60"/>
      <c r="J1241" s="6"/>
      <c r="X1241" s="60"/>
      <c r="Z1241" s="63" t="s">
        <v>1032</v>
      </c>
    </row>
    <row r="1242" spans="1:26">
      <c r="A1242" s="60"/>
      <c r="B1242" s="77"/>
      <c r="C1242" s="60"/>
      <c r="D1242" s="81"/>
      <c r="E1242" s="62"/>
      <c r="F1242" s="60"/>
      <c r="G1242" s="62"/>
      <c r="H1242" s="60"/>
      <c r="J1242" s="6"/>
      <c r="X1242" s="60"/>
      <c r="Z1242" s="58" t="s">
        <v>1017</v>
      </c>
    </row>
    <row r="1243" spans="1:26">
      <c r="A1243" s="60"/>
      <c r="B1243" s="77"/>
      <c r="C1243" s="60"/>
      <c r="D1243" s="81"/>
      <c r="E1243" s="62"/>
      <c r="F1243" s="60"/>
      <c r="G1243" s="62"/>
      <c r="H1243" s="60"/>
      <c r="J1243" s="6"/>
      <c r="X1243" s="60"/>
      <c r="Z1243" s="63" t="s">
        <v>1039</v>
      </c>
    </row>
    <row r="1244" spans="1:26">
      <c r="A1244" s="60"/>
      <c r="B1244" s="77"/>
      <c r="C1244" s="60"/>
      <c r="D1244" s="81"/>
      <c r="E1244" s="62"/>
      <c r="F1244" s="60"/>
      <c r="G1244" s="62"/>
      <c r="H1244" s="60"/>
      <c r="J1244" s="6"/>
      <c r="X1244" s="60"/>
      <c r="Z1244" s="58" t="s">
        <v>1028</v>
      </c>
    </row>
    <row r="1245" spans="1:26">
      <c r="A1245" s="60"/>
      <c r="B1245" s="77"/>
      <c r="C1245" s="60"/>
      <c r="D1245" s="81"/>
      <c r="E1245" s="62"/>
      <c r="F1245" s="60"/>
      <c r="G1245" s="62"/>
      <c r="H1245" s="60"/>
      <c r="J1245" s="6"/>
      <c r="X1245" s="60"/>
      <c r="Z1245" s="63" t="s">
        <v>1044</v>
      </c>
    </row>
    <row r="1246" spans="1:26">
      <c r="A1246" s="60"/>
      <c r="B1246" s="77"/>
      <c r="C1246" s="60"/>
      <c r="D1246" s="81"/>
      <c r="E1246" s="62"/>
      <c r="F1246" s="60"/>
      <c r="G1246" s="62"/>
      <c r="H1246" s="60"/>
      <c r="J1246" s="6"/>
      <c r="X1246" s="60"/>
      <c r="Z1246" s="58" t="s">
        <v>1038</v>
      </c>
    </row>
    <row r="1247" spans="1:26">
      <c r="A1247" s="60"/>
      <c r="B1247" s="77"/>
      <c r="C1247" s="60"/>
      <c r="D1247" s="81"/>
      <c r="E1247" s="62"/>
      <c r="F1247" s="60"/>
      <c r="G1247" s="62"/>
      <c r="H1247" s="60"/>
      <c r="J1247" s="6"/>
      <c r="X1247" s="60"/>
      <c r="Z1247" s="63" t="s">
        <v>1041</v>
      </c>
    </row>
    <row r="1248" spans="1:26">
      <c r="A1248" s="60"/>
      <c r="B1248" s="77"/>
      <c r="C1248" s="60"/>
      <c r="D1248" s="81"/>
      <c r="E1248" s="62"/>
      <c r="F1248" s="60"/>
      <c r="G1248" s="62"/>
      <c r="H1248" s="60"/>
      <c r="J1248" s="6"/>
      <c r="X1248" s="60"/>
      <c r="Z1248" s="58" t="s">
        <v>1051</v>
      </c>
    </row>
    <row r="1249" spans="1:26">
      <c r="A1249" s="60"/>
      <c r="B1249" s="77"/>
      <c r="C1249" s="60"/>
      <c r="D1249" s="81"/>
      <c r="E1249" s="62"/>
      <c r="F1249" s="60"/>
      <c r="G1249" s="62"/>
      <c r="H1249" s="60"/>
      <c r="J1249" s="6"/>
      <c r="X1249" s="60"/>
      <c r="Z1249" s="63" t="s">
        <v>1046</v>
      </c>
    </row>
    <row r="1250" spans="1:26">
      <c r="A1250" s="60"/>
      <c r="B1250" s="77"/>
      <c r="C1250" s="60"/>
      <c r="D1250" s="81"/>
      <c r="E1250" s="62"/>
      <c r="F1250" s="60"/>
      <c r="G1250" s="62"/>
      <c r="H1250" s="60"/>
      <c r="J1250" s="6"/>
      <c r="X1250" s="60"/>
      <c r="Z1250" s="58" t="s">
        <v>1056</v>
      </c>
    </row>
    <row r="1251" spans="1:26">
      <c r="A1251" s="60"/>
      <c r="B1251" s="77"/>
      <c r="C1251" s="60"/>
      <c r="D1251" s="81"/>
      <c r="E1251" s="62"/>
      <c r="F1251" s="60"/>
      <c r="G1251" s="62"/>
      <c r="H1251" s="60"/>
      <c r="J1251" s="6"/>
      <c r="X1251" s="60"/>
      <c r="Z1251" s="63" t="s">
        <v>1059</v>
      </c>
    </row>
    <row r="1252" spans="1:26">
      <c r="A1252" s="60"/>
      <c r="B1252" s="77"/>
      <c r="C1252" s="60"/>
      <c r="D1252" s="81"/>
      <c r="E1252" s="62"/>
      <c r="F1252" s="60"/>
      <c r="G1252" s="62"/>
      <c r="H1252" s="60"/>
      <c r="J1252" s="6"/>
      <c r="X1252" s="60"/>
      <c r="Z1252" s="58" t="s">
        <v>1050</v>
      </c>
    </row>
    <row r="1253" spans="1:26">
      <c r="A1253" s="60"/>
      <c r="B1253" s="77"/>
      <c r="C1253" s="60"/>
      <c r="D1253" s="81"/>
      <c r="E1253" s="62"/>
      <c r="F1253" s="60"/>
      <c r="G1253" s="62"/>
      <c r="H1253" s="60"/>
      <c r="J1253" s="6"/>
      <c r="X1253" s="60"/>
      <c r="Z1253" s="63" t="s">
        <v>1064</v>
      </c>
    </row>
    <row r="1254" spans="1:26">
      <c r="A1254" s="60"/>
      <c r="B1254" s="77"/>
      <c r="C1254" s="60"/>
      <c r="D1254" s="81"/>
      <c r="E1254" s="62"/>
      <c r="F1254" s="60"/>
      <c r="G1254" s="62"/>
      <c r="H1254" s="60"/>
      <c r="J1254" s="6"/>
      <c r="X1254" s="60"/>
      <c r="Z1254" s="58" t="s">
        <v>1067</v>
      </c>
    </row>
    <row r="1255" spans="1:26">
      <c r="A1255" s="60"/>
      <c r="B1255" s="77"/>
      <c r="C1255" s="60"/>
      <c r="D1255" s="81"/>
      <c r="E1255" s="62"/>
      <c r="F1255" s="60"/>
      <c r="G1255" s="62"/>
      <c r="H1255" s="60"/>
      <c r="J1255" s="6"/>
      <c r="X1255" s="60"/>
      <c r="Z1255" s="63" t="s">
        <v>1070</v>
      </c>
    </row>
    <row r="1256" spans="1:26">
      <c r="A1256" s="60"/>
      <c r="B1256" s="77"/>
      <c r="C1256" s="60"/>
      <c r="D1256" s="81"/>
      <c r="E1256" s="62"/>
      <c r="F1256" s="60"/>
      <c r="G1256" s="62"/>
      <c r="H1256" s="60"/>
      <c r="J1256" s="6"/>
      <c r="X1256" s="60"/>
      <c r="Z1256" s="58" t="s">
        <v>1073</v>
      </c>
    </row>
    <row r="1257" spans="1:26">
      <c r="A1257" s="60"/>
      <c r="B1257" s="77"/>
      <c r="C1257" s="60"/>
      <c r="D1257" s="81"/>
      <c r="E1257" s="62"/>
      <c r="F1257" s="60"/>
      <c r="G1257" s="62"/>
      <c r="H1257" s="60"/>
      <c r="J1257" s="6"/>
      <c r="X1257" s="60"/>
      <c r="Z1257" s="63" t="s">
        <v>1058</v>
      </c>
    </row>
    <row r="1258" spans="1:26">
      <c r="A1258" s="60"/>
      <c r="B1258" s="77"/>
      <c r="C1258" s="60"/>
      <c r="D1258" s="81"/>
      <c r="E1258" s="62"/>
      <c r="F1258" s="60"/>
      <c r="G1258" s="62"/>
      <c r="H1258" s="60"/>
      <c r="J1258" s="6"/>
      <c r="X1258" s="60"/>
      <c r="Z1258" s="58" t="s">
        <v>1078</v>
      </c>
    </row>
    <row r="1259" spans="1:26">
      <c r="A1259" s="60"/>
      <c r="B1259" s="77"/>
      <c r="C1259" s="60"/>
      <c r="D1259" s="81"/>
      <c r="E1259" s="62"/>
      <c r="F1259" s="60"/>
      <c r="G1259" s="62"/>
      <c r="H1259" s="60"/>
      <c r="J1259" s="6"/>
      <c r="X1259" s="60"/>
      <c r="Z1259" s="63" t="s">
        <v>1077</v>
      </c>
    </row>
    <row r="1260" spans="1:26">
      <c r="A1260" s="60"/>
      <c r="B1260" s="77"/>
      <c r="C1260" s="60"/>
      <c r="D1260" s="81"/>
      <c r="E1260" s="62"/>
      <c r="F1260" s="60"/>
      <c r="G1260" s="62"/>
      <c r="H1260" s="60"/>
      <c r="J1260" s="6"/>
      <c r="X1260" s="60"/>
      <c r="Z1260" s="58" t="s">
        <v>1080</v>
      </c>
    </row>
    <row r="1261" spans="1:26">
      <c r="A1261" s="60"/>
      <c r="B1261" s="77"/>
      <c r="C1261" s="60"/>
      <c r="D1261" s="81"/>
      <c r="E1261" s="62"/>
      <c r="F1261" s="60"/>
      <c r="G1261" s="62"/>
      <c r="H1261" s="60"/>
      <c r="J1261" s="6"/>
      <c r="X1261" s="60"/>
      <c r="Z1261" s="63" t="s">
        <v>1082</v>
      </c>
    </row>
    <row r="1262" spans="1:26">
      <c r="A1262" s="60"/>
      <c r="B1262" s="77"/>
      <c r="C1262" s="60"/>
      <c r="D1262" s="81"/>
      <c r="E1262" s="62"/>
      <c r="F1262" s="60"/>
      <c r="G1262" s="62"/>
      <c r="H1262" s="60"/>
      <c r="J1262" s="6"/>
      <c r="X1262" s="60"/>
      <c r="Z1262" s="58" t="s">
        <v>1087</v>
      </c>
    </row>
    <row r="1263" spans="1:26">
      <c r="A1263" s="60"/>
      <c r="B1263" s="77"/>
      <c r="C1263" s="60"/>
      <c r="D1263" s="81"/>
      <c r="E1263" s="62"/>
      <c r="F1263" s="60"/>
      <c r="G1263" s="62"/>
      <c r="H1263" s="60"/>
      <c r="J1263" s="6"/>
      <c r="X1263" s="60"/>
      <c r="Z1263" s="63" t="s">
        <v>1090</v>
      </c>
    </row>
    <row r="1264" spans="1:26">
      <c r="A1264" s="60"/>
      <c r="B1264" s="77"/>
      <c r="C1264" s="60"/>
      <c r="D1264" s="81"/>
      <c r="E1264" s="62"/>
      <c r="F1264" s="60"/>
      <c r="G1264" s="62"/>
      <c r="H1264" s="60"/>
      <c r="J1264" s="6"/>
      <c r="X1264" s="60"/>
      <c r="Z1264" s="58" t="s">
        <v>1092</v>
      </c>
    </row>
    <row r="1265" spans="1:26">
      <c r="A1265" s="60"/>
      <c r="B1265" s="77"/>
      <c r="C1265" s="60"/>
      <c r="D1265" s="81"/>
      <c r="E1265" s="62"/>
      <c r="F1265" s="60"/>
      <c r="G1265" s="62"/>
      <c r="H1265" s="60"/>
      <c r="J1265" s="6"/>
      <c r="X1265" s="60"/>
      <c r="Z1265" s="63" t="s">
        <v>1095</v>
      </c>
    </row>
    <row r="1266" spans="1:26">
      <c r="A1266" s="60"/>
      <c r="B1266" s="77"/>
      <c r="C1266" s="60"/>
      <c r="D1266" s="81"/>
      <c r="E1266" s="62"/>
      <c r="F1266" s="60"/>
      <c r="G1266" s="62"/>
      <c r="H1266" s="60"/>
      <c r="J1266" s="6"/>
      <c r="X1266" s="60"/>
      <c r="Z1266" s="58" t="s">
        <v>1097</v>
      </c>
    </row>
    <row r="1267" spans="1:26">
      <c r="A1267" s="60"/>
      <c r="B1267" s="77"/>
      <c r="C1267" s="60"/>
      <c r="D1267" s="81"/>
      <c r="E1267" s="62"/>
      <c r="F1267" s="60"/>
      <c r="G1267" s="62"/>
      <c r="H1267" s="60"/>
      <c r="J1267" s="6"/>
      <c r="X1267" s="60"/>
      <c r="Z1267" s="63" t="s">
        <v>1100</v>
      </c>
    </row>
    <row r="1268" spans="1:26">
      <c r="A1268" s="60"/>
      <c r="B1268" s="77"/>
      <c r="C1268" s="60"/>
      <c r="D1268" s="81"/>
      <c r="E1268" s="62"/>
      <c r="F1268" s="60"/>
      <c r="G1268" s="62"/>
      <c r="H1268" s="60"/>
      <c r="J1268" s="6"/>
      <c r="X1268" s="60"/>
      <c r="Z1268" s="58" t="s">
        <v>1103</v>
      </c>
    </row>
    <row r="1269" spans="1:26">
      <c r="A1269" s="60"/>
      <c r="B1269" s="77"/>
      <c r="C1269" s="60"/>
      <c r="D1269" s="81"/>
      <c r="E1269" s="62"/>
      <c r="F1269" s="60"/>
      <c r="G1269" s="62"/>
      <c r="H1269" s="60"/>
      <c r="J1269" s="6"/>
      <c r="X1269" s="60"/>
      <c r="Z1269" s="63" t="s">
        <v>1105</v>
      </c>
    </row>
    <row r="1270" spans="1:26">
      <c r="A1270" s="60"/>
      <c r="B1270" s="77"/>
      <c r="C1270" s="60"/>
      <c r="D1270" s="81"/>
      <c r="E1270" s="62"/>
      <c r="F1270" s="60"/>
      <c r="G1270" s="62"/>
      <c r="H1270" s="60"/>
      <c r="J1270" s="6"/>
      <c r="X1270" s="60"/>
      <c r="Z1270" s="58" t="s">
        <v>1107</v>
      </c>
    </row>
    <row r="1271" spans="1:26">
      <c r="A1271" s="60"/>
      <c r="B1271" s="77"/>
      <c r="C1271" s="60"/>
      <c r="D1271" s="81"/>
      <c r="E1271" s="62"/>
      <c r="F1271" s="60"/>
      <c r="G1271" s="62"/>
      <c r="H1271" s="60"/>
      <c r="J1271" s="6"/>
      <c r="X1271" s="60"/>
      <c r="Z1271" s="63" t="s">
        <v>1109</v>
      </c>
    </row>
    <row r="1272" spans="1:26">
      <c r="A1272" s="60"/>
      <c r="B1272" s="77"/>
      <c r="C1272" s="60"/>
      <c r="D1272" s="81"/>
      <c r="E1272" s="62"/>
      <c r="F1272" s="60"/>
      <c r="G1272" s="62"/>
      <c r="H1272" s="60"/>
      <c r="X1272" s="60"/>
      <c r="Z1272" s="58" t="s">
        <v>1112</v>
      </c>
    </row>
    <row r="1273" spans="1:26">
      <c r="A1273" s="60"/>
      <c r="B1273" s="77"/>
      <c r="C1273" s="60"/>
      <c r="D1273" s="81"/>
      <c r="E1273" s="62"/>
      <c r="F1273" s="60"/>
      <c r="G1273" s="62"/>
      <c r="H1273" s="60"/>
      <c r="X1273" s="60"/>
      <c r="Z1273" s="63" t="s">
        <v>1115</v>
      </c>
    </row>
    <row r="1274" spans="1:26">
      <c r="A1274" s="60"/>
      <c r="B1274" s="77"/>
      <c r="C1274" s="60"/>
      <c r="D1274" s="81"/>
      <c r="E1274" s="62"/>
      <c r="F1274" s="60"/>
      <c r="G1274" s="62"/>
      <c r="H1274" s="60"/>
      <c r="X1274" s="60"/>
      <c r="Z1274" s="58" t="s">
        <v>1118</v>
      </c>
    </row>
    <row r="1275" spans="1:26">
      <c r="A1275" s="60"/>
      <c r="B1275" s="77"/>
      <c r="C1275" s="60"/>
      <c r="D1275" s="81"/>
      <c r="E1275" s="62"/>
      <c r="F1275" s="60"/>
      <c r="G1275" s="62"/>
      <c r="H1275" s="60"/>
      <c r="X1275" s="60"/>
      <c r="Z1275" s="63" t="s">
        <v>1121</v>
      </c>
    </row>
    <row r="1276" spans="1:26">
      <c r="A1276" s="60"/>
      <c r="B1276" s="77"/>
      <c r="C1276" s="60"/>
      <c r="D1276" s="81"/>
      <c r="E1276" s="62"/>
      <c r="F1276" s="60"/>
      <c r="G1276" s="62"/>
      <c r="H1276" s="60"/>
      <c r="X1276" s="60"/>
      <c r="Z1276" s="58" t="s">
        <v>1123</v>
      </c>
    </row>
    <row r="1277" spans="1:26">
      <c r="A1277" s="60"/>
      <c r="B1277" s="77"/>
      <c r="C1277" s="60"/>
      <c r="D1277" s="81"/>
      <c r="E1277" s="62"/>
      <c r="F1277" s="60"/>
      <c r="G1277" s="62"/>
      <c r="H1277" s="60"/>
      <c r="X1277" s="60"/>
      <c r="Z1277" s="63" t="s">
        <v>847</v>
      </c>
    </row>
    <row r="1278" spans="1:26">
      <c r="A1278" s="60"/>
      <c r="B1278" s="77"/>
      <c r="C1278" s="60"/>
      <c r="D1278" s="81"/>
      <c r="E1278" s="62"/>
      <c r="F1278" s="60"/>
      <c r="G1278" s="62"/>
      <c r="H1278" s="60"/>
      <c r="X1278" s="60"/>
      <c r="Z1278" s="58" t="s">
        <v>850</v>
      </c>
    </row>
    <row r="1279" spans="1:26">
      <c r="A1279" s="60"/>
      <c r="B1279" s="77"/>
      <c r="C1279" s="60"/>
      <c r="D1279" s="81"/>
      <c r="E1279" s="62"/>
      <c r="F1279" s="60"/>
      <c r="G1279" s="62"/>
      <c r="H1279" s="60"/>
      <c r="X1279" s="60"/>
      <c r="Z1279" s="63" t="s">
        <v>1128</v>
      </c>
    </row>
    <row r="1280" spans="1:26">
      <c r="A1280" s="60"/>
      <c r="B1280" s="77"/>
      <c r="C1280" s="60"/>
      <c r="D1280" s="81"/>
      <c r="E1280" s="62"/>
      <c r="F1280" s="60"/>
      <c r="G1280" s="62"/>
      <c r="H1280" s="60"/>
      <c r="X1280" s="60"/>
      <c r="Z1280" s="58" t="s">
        <v>1130</v>
      </c>
    </row>
    <row r="1281" spans="1:26">
      <c r="A1281" s="60"/>
      <c r="B1281" s="77"/>
      <c r="C1281" s="60"/>
      <c r="D1281" s="81"/>
      <c r="E1281" s="62"/>
      <c r="F1281" s="60"/>
      <c r="G1281" s="62"/>
      <c r="H1281" s="60"/>
      <c r="X1281" s="60"/>
      <c r="Z1281" s="63" t="s">
        <v>1133</v>
      </c>
    </row>
    <row r="1282" spans="1:26">
      <c r="A1282" s="60"/>
      <c r="B1282" s="77"/>
      <c r="C1282" s="60"/>
      <c r="D1282" s="81"/>
      <c r="E1282" s="62"/>
      <c r="F1282" s="60"/>
      <c r="G1282" s="62"/>
      <c r="H1282" s="60"/>
      <c r="X1282" s="60"/>
      <c r="Z1282" s="58" t="s">
        <v>865</v>
      </c>
    </row>
    <row r="1283" spans="1:26">
      <c r="A1283" s="60"/>
      <c r="B1283" s="77"/>
      <c r="C1283" s="60"/>
      <c r="D1283" s="81"/>
      <c r="E1283" s="62"/>
      <c r="F1283" s="60"/>
      <c r="G1283" s="62"/>
      <c r="H1283" s="60"/>
      <c r="X1283" s="60"/>
      <c r="Z1283" s="63" t="s">
        <v>1137</v>
      </c>
    </row>
    <row r="1284" spans="1:26">
      <c r="A1284" s="60"/>
      <c r="B1284" s="77"/>
      <c r="C1284" s="60"/>
      <c r="D1284" s="81"/>
      <c r="E1284" s="62"/>
      <c r="F1284" s="60"/>
      <c r="G1284" s="62"/>
      <c r="H1284" s="60"/>
      <c r="X1284" s="60"/>
      <c r="Z1284" s="58" t="s">
        <v>1140</v>
      </c>
    </row>
    <row r="1285" spans="1:26">
      <c r="A1285" s="60"/>
      <c r="B1285" s="77"/>
      <c r="C1285" s="60"/>
      <c r="D1285" s="81"/>
      <c r="E1285" s="62"/>
      <c r="F1285" s="60"/>
      <c r="G1285" s="62"/>
      <c r="H1285" s="60"/>
      <c r="X1285" s="60"/>
      <c r="Z1285" s="63" t="s">
        <v>876</v>
      </c>
    </row>
    <row r="1286" spans="1:26">
      <c r="A1286" s="60"/>
      <c r="B1286" s="77"/>
      <c r="C1286" s="60"/>
      <c r="D1286" s="81"/>
      <c r="E1286" s="62"/>
      <c r="F1286" s="60"/>
      <c r="G1286" s="62"/>
      <c r="H1286" s="60"/>
      <c r="X1286" s="60"/>
      <c r="Z1286" s="58" t="s">
        <v>879</v>
      </c>
    </row>
    <row r="1287" spans="1:26">
      <c r="A1287" s="60"/>
      <c r="B1287" s="77"/>
      <c r="C1287" s="60"/>
      <c r="D1287" s="81"/>
      <c r="E1287" s="62"/>
      <c r="F1287" s="60"/>
      <c r="G1287" s="62"/>
      <c r="H1287" s="60"/>
      <c r="X1287" s="60"/>
      <c r="Z1287" s="63" t="s">
        <v>1145</v>
      </c>
    </row>
    <row r="1288" spans="1:26">
      <c r="A1288" s="60"/>
      <c r="B1288" s="77"/>
      <c r="C1288" s="60"/>
      <c r="D1288" s="81"/>
      <c r="E1288" s="62"/>
      <c r="F1288" s="60"/>
      <c r="G1288" s="62"/>
      <c r="H1288" s="60"/>
      <c r="X1288" s="60"/>
      <c r="Z1288" s="58" t="s">
        <v>878</v>
      </c>
    </row>
    <row r="1289" spans="1:26">
      <c r="A1289" s="60"/>
      <c r="B1289" s="77"/>
      <c r="C1289" s="60"/>
      <c r="D1289" s="81"/>
      <c r="E1289" s="62"/>
      <c r="F1289" s="60"/>
      <c r="G1289" s="62"/>
      <c r="H1289" s="60"/>
      <c r="X1289" s="60"/>
      <c r="Z1289" s="63" t="s">
        <v>884</v>
      </c>
    </row>
    <row r="1290" spans="1:26">
      <c r="A1290" s="60"/>
      <c r="B1290" s="77"/>
      <c r="C1290" s="60"/>
      <c r="D1290" s="81"/>
      <c r="E1290" s="62"/>
      <c r="F1290" s="60"/>
      <c r="G1290" s="62"/>
      <c r="H1290" s="60"/>
      <c r="X1290" s="60"/>
      <c r="Z1290" s="58" t="s">
        <v>889</v>
      </c>
    </row>
    <row r="1291" spans="1:26">
      <c r="A1291" s="60"/>
      <c r="B1291" s="77"/>
      <c r="C1291" s="60"/>
      <c r="D1291" s="81"/>
      <c r="E1291" s="62"/>
      <c r="F1291" s="60"/>
      <c r="G1291" s="62"/>
      <c r="H1291" s="60"/>
      <c r="X1291" s="60"/>
      <c r="Z1291" s="63" t="s">
        <v>891</v>
      </c>
    </row>
    <row r="1292" spans="1:26">
      <c r="A1292" s="60"/>
      <c r="B1292" s="77"/>
      <c r="C1292" s="60"/>
      <c r="D1292" s="81"/>
      <c r="E1292" s="62"/>
      <c r="F1292" s="60"/>
      <c r="G1292" s="62"/>
      <c r="H1292" s="60"/>
      <c r="X1292" s="60"/>
      <c r="Z1292" s="58" t="s">
        <v>900</v>
      </c>
    </row>
    <row r="1293" spans="1:26">
      <c r="A1293" s="60"/>
      <c r="B1293" s="77"/>
      <c r="C1293" s="60"/>
      <c r="D1293" s="81"/>
      <c r="E1293" s="62"/>
      <c r="F1293" s="60"/>
      <c r="G1293" s="62"/>
      <c r="H1293" s="60"/>
      <c r="X1293" s="60"/>
      <c r="Z1293" s="63" t="s">
        <v>912</v>
      </c>
    </row>
    <row r="1294" spans="1:26">
      <c r="A1294" s="60"/>
      <c r="B1294" s="77"/>
      <c r="C1294" s="60"/>
      <c r="D1294" s="81"/>
      <c r="E1294" s="62"/>
      <c r="F1294" s="60"/>
      <c r="G1294" s="62"/>
      <c r="H1294" s="60"/>
      <c r="X1294" s="60"/>
      <c r="Z1294" s="58" t="s">
        <v>914</v>
      </c>
    </row>
    <row r="1295" spans="1:26">
      <c r="A1295" s="60"/>
      <c r="B1295" s="77"/>
      <c r="C1295" s="60"/>
      <c r="D1295" s="81"/>
      <c r="E1295" s="62"/>
      <c r="F1295" s="60"/>
      <c r="G1295" s="62"/>
      <c r="H1295" s="60"/>
      <c r="X1295" s="60"/>
      <c r="Z1295" s="63" t="s">
        <v>1157</v>
      </c>
    </row>
    <row r="1296" spans="1:26">
      <c r="A1296" s="60"/>
      <c r="B1296" s="77"/>
      <c r="C1296" s="60"/>
      <c r="D1296" s="81"/>
      <c r="E1296" s="62"/>
      <c r="F1296" s="60"/>
      <c r="G1296" s="62"/>
      <c r="H1296" s="60"/>
      <c r="X1296" s="60"/>
      <c r="Z1296" s="58" t="s">
        <v>916</v>
      </c>
    </row>
    <row r="1297" spans="1:26">
      <c r="A1297" s="60"/>
      <c r="B1297" s="77"/>
      <c r="C1297" s="60"/>
      <c r="D1297" s="81"/>
      <c r="E1297" s="62"/>
      <c r="F1297" s="60"/>
      <c r="G1297" s="62"/>
      <c r="H1297" s="60"/>
      <c r="X1297" s="60"/>
      <c r="Z1297" s="63" t="s">
        <v>1160</v>
      </c>
    </row>
    <row r="1298" spans="1:26">
      <c r="A1298" s="60"/>
      <c r="B1298" s="77"/>
      <c r="C1298" s="60"/>
      <c r="D1298" s="81"/>
      <c r="E1298" s="62"/>
      <c r="F1298" s="60"/>
      <c r="G1298" s="62"/>
      <c r="H1298" s="60"/>
      <c r="X1298" s="60"/>
      <c r="Z1298" s="58" t="s">
        <v>933</v>
      </c>
    </row>
    <row r="1299" spans="1:26">
      <c r="A1299" s="60"/>
      <c r="B1299" s="77"/>
      <c r="C1299" s="60"/>
      <c r="D1299" s="81"/>
      <c r="E1299" s="62"/>
      <c r="F1299" s="60"/>
      <c r="G1299" s="62"/>
      <c r="H1299" s="60"/>
      <c r="X1299" s="60"/>
      <c r="Z1299" s="63" t="s">
        <v>931</v>
      </c>
    </row>
    <row r="1300" spans="1:26">
      <c r="A1300" s="60"/>
      <c r="B1300" s="77"/>
      <c r="C1300" s="60"/>
      <c r="D1300" s="81"/>
      <c r="E1300" s="62"/>
      <c r="F1300" s="60"/>
      <c r="G1300" s="62"/>
      <c r="H1300" s="60"/>
      <c r="X1300" s="60"/>
      <c r="Z1300" s="58" t="s">
        <v>1164</v>
      </c>
    </row>
    <row r="1301" spans="1:26">
      <c r="A1301" s="60"/>
      <c r="B1301" s="77"/>
      <c r="C1301" s="60"/>
      <c r="D1301" s="81"/>
      <c r="E1301" s="62"/>
      <c r="F1301" s="60"/>
      <c r="G1301" s="62"/>
      <c r="H1301" s="60"/>
      <c r="X1301" s="60"/>
      <c r="Z1301" s="63" t="s">
        <v>937</v>
      </c>
    </row>
    <row r="1302" spans="1:26">
      <c r="A1302" s="60"/>
      <c r="B1302" s="77"/>
      <c r="C1302" s="60"/>
      <c r="D1302" s="81"/>
      <c r="E1302" s="62"/>
      <c r="F1302" s="60"/>
      <c r="G1302" s="62"/>
      <c r="H1302" s="60"/>
      <c r="X1302" s="60"/>
      <c r="Z1302" s="58" t="s">
        <v>1168</v>
      </c>
    </row>
    <row r="1303" spans="1:26">
      <c r="A1303" s="60"/>
      <c r="B1303" s="77"/>
      <c r="C1303" s="60"/>
      <c r="D1303" s="81"/>
      <c r="E1303" s="62"/>
      <c r="F1303" s="60"/>
      <c r="G1303" s="62"/>
      <c r="H1303" s="60"/>
      <c r="X1303" s="60"/>
      <c r="Z1303" s="63" t="s">
        <v>1170</v>
      </c>
    </row>
    <row r="1304" spans="1:26">
      <c r="A1304" s="60"/>
      <c r="B1304" s="77"/>
      <c r="C1304" s="60"/>
      <c r="D1304" s="81"/>
      <c r="E1304" s="62"/>
      <c r="F1304" s="60"/>
      <c r="G1304" s="62"/>
      <c r="H1304" s="60"/>
      <c r="X1304" s="60"/>
      <c r="Z1304" s="58" t="s">
        <v>1172</v>
      </c>
    </row>
    <row r="1305" spans="1:26">
      <c r="A1305" s="60"/>
      <c r="B1305" s="77"/>
      <c r="C1305" s="60"/>
      <c r="D1305" s="81"/>
      <c r="E1305" s="62"/>
      <c r="F1305" s="60"/>
      <c r="G1305" s="62"/>
      <c r="H1305" s="60"/>
      <c r="X1305" s="60"/>
      <c r="Z1305" s="63" t="s">
        <v>955</v>
      </c>
    </row>
    <row r="1306" spans="1:26">
      <c r="A1306" s="60"/>
      <c r="B1306" s="77"/>
      <c r="C1306" s="60"/>
      <c r="D1306" s="81"/>
      <c r="E1306" s="62"/>
      <c r="F1306" s="60"/>
      <c r="G1306" s="62"/>
      <c r="H1306" s="60"/>
      <c r="X1306" s="60"/>
      <c r="Z1306" s="58" t="s">
        <v>962</v>
      </c>
    </row>
    <row r="1307" spans="1:26">
      <c r="A1307" s="60"/>
      <c r="B1307" s="77"/>
      <c r="C1307" s="60"/>
      <c r="D1307" s="81"/>
      <c r="E1307" s="62"/>
      <c r="F1307" s="60"/>
      <c r="G1307" s="62"/>
      <c r="H1307" s="60"/>
      <c r="X1307" s="60"/>
      <c r="Z1307" s="63" t="s">
        <v>960</v>
      </c>
    </row>
    <row r="1308" spans="1:26">
      <c r="A1308" s="60"/>
      <c r="B1308" s="77"/>
      <c r="C1308" s="60"/>
      <c r="D1308" s="81"/>
      <c r="E1308" s="62"/>
      <c r="F1308" s="60"/>
      <c r="G1308" s="62"/>
      <c r="H1308" s="60"/>
      <c r="X1308" s="60"/>
      <c r="Z1308" s="58" t="s">
        <v>963</v>
      </c>
    </row>
    <row r="1309" spans="1:26">
      <c r="A1309" s="60"/>
      <c r="B1309" s="77"/>
      <c r="C1309" s="60"/>
      <c r="D1309" s="81"/>
      <c r="E1309" s="62"/>
      <c r="F1309" s="60"/>
      <c r="G1309" s="62"/>
      <c r="H1309" s="60"/>
      <c r="X1309" s="60"/>
      <c r="Z1309" s="63" t="s">
        <v>967</v>
      </c>
    </row>
    <row r="1310" spans="1:26">
      <c r="A1310" s="60"/>
      <c r="B1310" s="77"/>
      <c r="C1310" s="60"/>
      <c r="D1310" s="81"/>
      <c r="E1310" s="62"/>
      <c r="F1310" s="60"/>
      <c r="G1310" s="62"/>
      <c r="H1310" s="60"/>
      <c r="X1310" s="60"/>
      <c r="Z1310" s="58" t="s">
        <v>1181</v>
      </c>
    </row>
    <row r="1311" spans="1:26">
      <c r="A1311" s="60"/>
      <c r="B1311" s="77"/>
      <c r="C1311" s="60"/>
      <c r="D1311" s="81"/>
      <c r="E1311" s="62"/>
      <c r="F1311" s="60"/>
      <c r="G1311" s="62"/>
      <c r="H1311" s="60"/>
      <c r="X1311" s="60"/>
      <c r="Z1311" s="63" t="s">
        <v>970</v>
      </c>
    </row>
    <row r="1312" spans="1:26">
      <c r="A1312" s="60"/>
      <c r="B1312" s="77"/>
      <c r="C1312" s="60"/>
      <c r="D1312" s="81"/>
      <c r="E1312" s="62"/>
      <c r="F1312" s="60"/>
      <c r="G1312" s="62"/>
      <c r="H1312" s="60"/>
      <c r="X1312" s="60"/>
      <c r="Z1312" s="58" t="s">
        <v>972</v>
      </c>
    </row>
    <row r="1313" spans="1:26">
      <c r="A1313" s="60"/>
      <c r="B1313" s="77"/>
      <c r="C1313" s="60"/>
      <c r="D1313" s="81"/>
      <c r="E1313" s="62"/>
      <c r="F1313" s="60"/>
      <c r="G1313" s="62"/>
      <c r="H1313" s="60"/>
      <c r="X1313" s="60"/>
      <c r="Z1313" s="63" t="s">
        <v>1153</v>
      </c>
    </row>
    <row r="1314" spans="1:26">
      <c r="A1314" s="60"/>
      <c r="B1314" s="77"/>
      <c r="C1314" s="60"/>
      <c r="D1314" s="81"/>
      <c r="E1314" s="62"/>
      <c r="F1314" s="60"/>
      <c r="G1314" s="62"/>
      <c r="H1314" s="60"/>
      <c r="X1314" s="60"/>
      <c r="Z1314" s="58" t="s">
        <v>1188</v>
      </c>
    </row>
    <row r="1315" spans="1:26">
      <c r="A1315" s="60"/>
      <c r="B1315" s="77"/>
      <c r="C1315" s="60"/>
      <c r="D1315" s="81"/>
      <c r="E1315" s="62"/>
      <c r="F1315" s="60"/>
      <c r="G1315" s="62"/>
      <c r="H1315" s="60"/>
      <c r="X1315" s="60"/>
      <c r="Z1315" s="63" t="s">
        <v>1191</v>
      </c>
    </row>
    <row r="1316" spans="1:26">
      <c r="A1316" s="60"/>
      <c r="B1316" s="77"/>
      <c r="C1316" s="60"/>
      <c r="D1316" s="81"/>
      <c r="E1316" s="62"/>
      <c r="F1316" s="60"/>
      <c r="G1316" s="62"/>
      <c r="H1316" s="60"/>
      <c r="X1316" s="60"/>
      <c r="Z1316" s="58" t="s">
        <v>1155</v>
      </c>
    </row>
    <row r="1317" spans="1:26">
      <c r="A1317" s="60"/>
      <c r="B1317" s="77"/>
      <c r="C1317" s="60"/>
      <c r="D1317" s="81"/>
      <c r="E1317" s="62"/>
      <c r="F1317" s="60"/>
      <c r="G1317" s="62"/>
      <c r="H1317" s="60"/>
      <c r="X1317" s="60"/>
      <c r="Z1317" s="63" t="s">
        <v>991</v>
      </c>
    </row>
    <row r="1318" spans="1:26">
      <c r="A1318" s="60"/>
      <c r="B1318" s="77"/>
      <c r="C1318" s="60"/>
      <c r="D1318" s="81"/>
      <c r="E1318" s="62"/>
      <c r="F1318" s="60"/>
      <c r="G1318" s="62"/>
      <c r="H1318" s="60"/>
      <c r="X1318" s="60"/>
      <c r="Z1318" s="58" t="s">
        <v>994</v>
      </c>
    </row>
    <row r="1319" spans="1:26">
      <c r="A1319" s="60"/>
      <c r="B1319" s="77"/>
      <c r="C1319" s="60"/>
      <c r="D1319" s="81"/>
      <c r="E1319" s="62"/>
      <c r="F1319" s="60"/>
      <c r="G1319" s="62"/>
      <c r="H1319" s="60"/>
      <c r="X1319" s="60"/>
      <c r="Z1319" s="63" t="s">
        <v>1199</v>
      </c>
    </row>
    <row r="1320" spans="1:26">
      <c r="A1320" s="60"/>
      <c r="B1320" s="77"/>
      <c r="C1320" s="60"/>
      <c r="D1320" s="81"/>
      <c r="E1320" s="62"/>
      <c r="F1320" s="60"/>
      <c r="G1320" s="62"/>
      <c r="H1320" s="60"/>
      <c r="X1320" s="60"/>
      <c r="Z1320" s="58" t="s">
        <v>997</v>
      </c>
    </row>
    <row r="1321" spans="1:26">
      <c r="A1321" s="60"/>
      <c r="B1321" s="77"/>
      <c r="C1321" s="60"/>
      <c r="D1321" s="81"/>
      <c r="E1321" s="62"/>
      <c r="F1321" s="60"/>
      <c r="G1321" s="62"/>
      <c r="H1321" s="60"/>
      <c r="X1321" s="60"/>
      <c r="Z1321" s="63" t="s">
        <v>1203</v>
      </c>
    </row>
    <row r="1322" spans="1:26">
      <c r="A1322" s="60"/>
      <c r="B1322" s="77"/>
      <c r="C1322" s="60"/>
      <c r="D1322" s="81"/>
      <c r="E1322" s="62"/>
      <c r="F1322" s="60"/>
      <c r="G1322" s="62"/>
      <c r="H1322" s="60"/>
      <c r="X1322" s="60"/>
      <c r="Z1322" s="58" t="s">
        <v>1008</v>
      </c>
    </row>
    <row r="1323" spans="1:26">
      <c r="A1323" s="60"/>
      <c r="B1323" s="77"/>
      <c r="C1323" s="60"/>
      <c r="D1323" s="81"/>
      <c r="E1323" s="62"/>
      <c r="F1323" s="60"/>
      <c r="G1323" s="62"/>
      <c r="H1323" s="60"/>
      <c r="X1323" s="60"/>
      <c r="Z1323" s="63" t="s">
        <v>1011</v>
      </c>
    </row>
    <row r="1324" spans="1:26">
      <c r="A1324" s="60"/>
      <c r="B1324" s="77"/>
      <c r="C1324" s="60"/>
      <c r="D1324" s="81"/>
      <c r="E1324" s="62"/>
      <c r="F1324" s="60"/>
      <c r="G1324" s="62"/>
      <c r="H1324" s="60"/>
      <c r="X1324" s="60"/>
      <c r="Z1324" s="58" t="s">
        <v>1208</v>
      </c>
    </row>
    <row r="1325" spans="1:26">
      <c r="A1325" s="60"/>
      <c r="B1325" s="77"/>
      <c r="C1325" s="60"/>
      <c r="D1325" s="81"/>
      <c r="E1325" s="62"/>
      <c r="F1325" s="60"/>
      <c r="G1325" s="62"/>
      <c r="H1325" s="60"/>
      <c r="X1325" s="60"/>
      <c r="Z1325" s="63" t="s">
        <v>999</v>
      </c>
    </row>
    <row r="1326" spans="1:26">
      <c r="A1326" s="60"/>
      <c r="B1326" s="77"/>
      <c r="C1326" s="60"/>
      <c r="D1326" s="81"/>
      <c r="E1326" s="62"/>
      <c r="F1326" s="60"/>
      <c r="G1326" s="62"/>
      <c r="H1326" s="60"/>
      <c r="X1326" s="60"/>
      <c r="Z1326" s="58" t="s">
        <v>1014</v>
      </c>
    </row>
    <row r="1327" spans="1:26">
      <c r="A1327" s="60"/>
      <c r="B1327" s="77"/>
      <c r="C1327" s="60"/>
      <c r="D1327" s="81"/>
      <c r="E1327" s="62"/>
      <c r="F1327" s="60"/>
      <c r="G1327" s="62"/>
      <c r="H1327" s="60"/>
      <c r="X1327" s="60"/>
      <c r="Z1327" s="63" t="s">
        <v>1002</v>
      </c>
    </row>
    <row r="1328" spans="1:26">
      <c r="A1328" s="60"/>
      <c r="B1328" s="77"/>
      <c r="C1328" s="60"/>
      <c r="D1328" s="81"/>
      <c r="E1328" s="62"/>
      <c r="F1328" s="60"/>
      <c r="G1328" s="62"/>
      <c r="H1328" s="60"/>
      <c r="X1328" s="60"/>
      <c r="Z1328" s="58" t="s">
        <v>1026</v>
      </c>
    </row>
    <row r="1329" spans="1:26">
      <c r="A1329" s="60"/>
      <c r="B1329" s="77"/>
      <c r="C1329" s="60"/>
      <c r="D1329" s="81"/>
      <c r="E1329" s="62"/>
      <c r="F1329" s="60"/>
      <c r="G1329" s="62"/>
      <c r="H1329" s="60"/>
      <c r="X1329" s="60"/>
      <c r="Z1329" s="63" t="s">
        <v>1217</v>
      </c>
    </row>
    <row r="1330" spans="1:26">
      <c r="A1330" s="60"/>
      <c r="B1330" s="77"/>
      <c r="C1330" s="60"/>
      <c r="D1330" s="81"/>
      <c r="E1330" s="62"/>
      <c r="F1330" s="60"/>
      <c r="G1330" s="62"/>
      <c r="H1330" s="60"/>
      <c r="X1330" s="60"/>
      <c r="Z1330" s="58" t="s">
        <v>1219</v>
      </c>
    </row>
    <row r="1331" spans="1:26">
      <c r="A1331" s="60"/>
      <c r="B1331" s="77"/>
      <c r="C1331" s="60"/>
      <c r="D1331" s="81"/>
      <c r="E1331" s="62"/>
      <c r="F1331" s="60"/>
      <c r="G1331" s="62"/>
      <c r="H1331" s="60"/>
      <c r="X1331" s="60"/>
      <c r="Z1331" s="63" t="s">
        <v>1010</v>
      </c>
    </row>
    <row r="1332" spans="1:26">
      <c r="A1332" s="60"/>
      <c r="B1332" s="77"/>
      <c r="C1332" s="60"/>
      <c r="D1332" s="81"/>
      <c r="E1332" s="62"/>
      <c r="F1332" s="60"/>
      <c r="G1332" s="62"/>
      <c r="H1332" s="60"/>
      <c r="X1332" s="60"/>
      <c r="Z1332" s="58" t="s">
        <v>1025</v>
      </c>
    </row>
    <row r="1333" spans="1:26">
      <c r="A1333" s="60"/>
      <c r="B1333" s="77"/>
      <c r="C1333" s="60"/>
      <c r="D1333" s="81"/>
      <c r="E1333" s="62"/>
      <c r="F1333" s="60"/>
      <c r="G1333" s="62"/>
      <c r="H1333" s="60"/>
      <c r="X1333" s="60"/>
      <c r="Z1333" s="63" t="s">
        <v>1028</v>
      </c>
    </row>
    <row r="1334" spans="1:26">
      <c r="A1334" s="60"/>
      <c r="B1334" s="77"/>
      <c r="C1334" s="60"/>
      <c r="D1334" s="81"/>
      <c r="E1334" s="62"/>
      <c r="F1334" s="60"/>
      <c r="G1334" s="62"/>
      <c r="H1334" s="60"/>
      <c r="X1334" s="60"/>
      <c r="Z1334" s="58" t="s">
        <v>1227</v>
      </c>
    </row>
    <row r="1335" spans="1:26">
      <c r="A1335" s="60"/>
      <c r="B1335" s="77"/>
      <c r="C1335" s="60"/>
      <c r="D1335" s="81"/>
      <c r="E1335" s="62"/>
      <c r="F1335" s="60"/>
      <c r="G1335" s="62"/>
      <c r="H1335" s="60"/>
      <c r="X1335" s="60"/>
      <c r="Z1335" s="63" t="s">
        <v>1043</v>
      </c>
    </row>
    <row r="1336" spans="1:26">
      <c r="A1336" s="60"/>
      <c r="B1336" s="77"/>
      <c r="C1336" s="60"/>
      <c r="D1336" s="81"/>
      <c r="E1336" s="62"/>
      <c r="F1336" s="60"/>
      <c r="G1336" s="62"/>
      <c r="H1336" s="60"/>
      <c r="X1336" s="60"/>
      <c r="Z1336" s="58" t="s">
        <v>1046</v>
      </c>
    </row>
    <row r="1337" spans="1:26">
      <c r="A1337" s="60"/>
      <c r="B1337" s="77"/>
      <c r="C1337" s="60"/>
      <c r="D1337" s="81"/>
      <c r="E1337" s="62"/>
      <c r="F1337" s="60"/>
      <c r="G1337" s="62"/>
      <c r="H1337" s="60"/>
      <c r="X1337" s="60"/>
      <c r="Z1337" s="63" t="s">
        <v>1232</v>
      </c>
    </row>
    <row r="1338" spans="1:26">
      <c r="A1338" s="60"/>
      <c r="B1338" s="77"/>
      <c r="C1338" s="60"/>
      <c r="D1338" s="81"/>
      <c r="E1338" s="62"/>
      <c r="F1338" s="60"/>
      <c r="G1338" s="62"/>
      <c r="H1338" s="60"/>
      <c r="X1338" s="60"/>
      <c r="Z1338" s="58" t="s">
        <v>1056</v>
      </c>
    </row>
    <row r="1339" spans="1:26">
      <c r="A1339" s="60"/>
      <c r="B1339" s="77"/>
      <c r="C1339" s="60"/>
      <c r="D1339" s="81"/>
      <c r="E1339" s="62"/>
      <c r="F1339" s="60"/>
      <c r="G1339" s="62"/>
      <c r="H1339" s="60"/>
      <c r="X1339" s="60"/>
      <c r="Z1339" s="63" t="s">
        <v>1059</v>
      </c>
    </row>
    <row r="1340" spans="1:26">
      <c r="A1340" s="60"/>
      <c r="B1340" s="77"/>
      <c r="C1340" s="60"/>
      <c r="D1340" s="81"/>
      <c r="E1340" s="62"/>
      <c r="F1340" s="60"/>
      <c r="G1340" s="62"/>
      <c r="H1340" s="60"/>
      <c r="X1340" s="60"/>
      <c r="Z1340" s="58" t="s">
        <v>1067</v>
      </c>
    </row>
    <row r="1341" spans="1:26">
      <c r="A1341" s="60"/>
      <c r="B1341" s="77"/>
      <c r="C1341" s="60"/>
      <c r="D1341" s="81"/>
      <c r="E1341" s="62"/>
      <c r="F1341" s="60"/>
      <c r="G1341" s="62"/>
      <c r="H1341" s="60"/>
      <c r="X1341" s="60"/>
      <c r="Z1341" s="63" t="s">
        <v>1070</v>
      </c>
    </row>
    <row r="1342" spans="1:26">
      <c r="A1342" s="60"/>
      <c r="B1342" s="77"/>
      <c r="C1342" s="60"/>
      <c r="D1342" s="81"/>
      <c r="E1342" s="62"/>
      <c r="F1342" s="60"/>
      <c r="G1342" s="62"/>
      <c r="H1342" s="60"/>
      <c r="X1342" s="60"/>
      <c r="Z1342" s="58" t="s">
        <v>1241</v>
      </c>
    </row>
    <row r="1343" spans="1:26">
      <c r="A1343" s="60"/>
      <c r="B1343" s="77"/>
      <c r="C1343" s="60"/>
      <c r="D1343" s="81"/>
      <c r="E1343" s="62"/>
      <c r="F1343" s="60"/>
      <c r="G1343" s="62"/>
      <c r="H1343" s="60"/>
      <c r="X1343" s="60"/>
      <c r="Z1343" s="63" t="s">
        <v>1244</v>
      </c>
    </row>
    <row r="1344" spans="1:26">
      <c r="A1344" s="60"/>
      <c r="B1344" s="77"/>
      <c r="C1344" s="60"/>
      <c r="D1344" s="81"/>
      <c r="E1344" s="62"/>
      <c r="F1344" s="60"/>
      <c r="G1344" s="62"/>
      <c r="H1344" s="60"/>
      <c r="X1344" s="60"/>
      <c r="Z1344" s="58" t="s">
        <v>1055</v>
      </c>
    </row>
    <row r="1345" spans="1:26">
      <c r="A1345" s="60"/>
      <c r="B1345" s="77"/>
      <c r="C1345" s="60"/>
      <c r="D1345" s="81"/>
      <c r="E1345" s="62"/>
      <c r="F1345" s="60"/>
      <c r="G1345" s="62"/>
      <c r="H1345" s="60"/>
      <c r="X1345" s="60"/>
      <c r="Z1345" s="63" t="s">
        <v>1174</v>
      </c>
    </row>
    <row r="1346" spans="1:26">
      <c r="A1346" s="60"/>
      <c r="B1346" s="77"/>
      <c r="C1346" s="60"/>
      <c r="D1346" s="81"/>
      <c r="E1346" s="62"/>
      <c r="F1346" s="60"/>
      <c r="G1346" s="62"/>
      <c r="H1346" s="60"/>
      <c r="X1346" s="60"/>
      <c r="Z1346" s="58" t="s">
        <v>1063</v>
      </c>
    </row>
    <row r="1347" spans="1:26">
      <c r="A1347" s="60"/>
      <c r="B1347" s="77"/>
      <c r="C1347" s="60"/>
      <c r="D1347" s="81"/>
      <c r="E1347" s="62"/>
      <c r="F1347" s="60"/>
      <c r="G1347" s="62"/>
      <c r="H1347" s="60"/>
      <c r="X1347" s="60"/>
      <c r="Z1347" s="63" t="s">
        <v>1072</v>
      </c>
    </row>
    <row r="1348" spans="1:26">
      <c r="A1348" s="60"/>
      <c r="B1348" s="77"/>
      <c r="C1348" s="60"/>
      <c r="D1348" s="81"/>
      <c r="E1348" s="62"/>
      <c r="F1348" s="60"/>
      <c r="G1348" s="62"/>
      <c r="H1348" s="60"/>
      <c r="X1348" s="60"/>
      <c r="Z1348" s="58" t="s">
        <v>1077</v>
      </c>
    </row>
    <row r="1349" spans="1:26">
      <c r="A1349" s="60"/>
      <c r="B1349" s="77"/>
      <c r="C1349" s="60"/>
      <c r="D1349" s="81"/>
      <c r="E1349" s="62"/>
      <c r="F1349" s="60"/>
      <c r="G1349" s="62"/>
      <c r="H1349" s="60"/>
      <c r="X1349" s="60"/>
      <c r="Z1349" s="63" t="s">
        <v>1080</v>
      </c>
    </row>
    <row r="1350" spans="1:26">
      <c r="A1350" s="60"/>
      <c r="B1350" s="77"/>
      <c r="C1350" s="60"/>
      <c r="D1350" s="81"/>
      <c r="E1350" s="62"/>
      <c r="F1350" s="60"/>
      <c r="G1350" s="62"/>
      <c r="H1350" s="60"/>
      <c r="X1350" s="60"/>
      <c r="Z1350" s="58" t="s">
        <v>1086</v>
      </c>
    </row>
    <row r="1351" spans="1:26">
      <c r="A1351" s="60"/>
      <c r="B1351" s="77"/>
      <c r="C1351" s="60"/>
      <c r="D1351" s="81"/>
      <c r="E1351" s="62"/>
      <c r="F1351" s="60"/>
      <c r="G1351" s="62"/>
      <c r="H1351" s="60"/>
      <c r="X1351" s="60"/>
      <c r="Z1351" s="63" t="s">
        <v>1087</v>
      </c>
    </row>
    <row r="1352" spans="1:26">
      <c r="A1352" s="60"/>
      <c r="B1352" s="77"/>
      <c r="C1352" s="60"/>
      <c r="D1352" s="81"/>
      <c r="E1352" s="62"/>
      <c r="F1352" s="60"/>
      <c r="G1352" s="62"/>
      <c r="H1352" s="60"/>
      <c r="X1352" s="60"/>
      <c r="Z1352" s="58" t="s">
        <v>1092</v>
      </c>
    </row>
    <row r="1353" spans="1:26">
      <c r="A1353" s="60"/>
      <c r="B1353" s="77"/>
      <c r="C1353" s="60"/>
      <c r="D1353" s="81"/>
      <c r="E1353" s="62"/>
      <c r="F1353" s="60"/>
      <c r="G1353" s="62"/>
      <c r="H1353" s="60"/>
      <c r="X1353" s="60"/>
      <c r="Z1353" s="63" t="s">
        <v>1095</v>
      </c>
    </row>
    <row r="1354" spans="1:26">
      <c r="A1354" s="60"/>
      <c r="B1354" s="77"/>
      <c r="C1354" s="60"/>
      <c r="D1354" s="81"/>
      <c r="E1354" s="62"/>
      <c r="F1354" s="60"/>
      <c r="G1354" s="62"/>
      <c r="H1354" s="60"/>
      <c r="X1354" s="60"/>
      <c r="Z1354" s="58" t="s">
        <v>1100</v>
      </c>
    </row>
    <row r="1355" spans="1:26">
      <c r="A1355" s="60"/>
      <c r="B1355" s="77"/>
      <c r="C1355" s="60"/>
      <c r="D1355" s="81"/>
      <c r="E1355" s="62"/>
      <c r="F1355" s="60"/>
      <c r="G1355" s="62"/>
      <c r="H1355" s="60"/>
      <c r="X1355" s="60"/>
      <c r="Z1355" s="63" t="s">
        <v>1268</v>
      </c>
    </row>
    <row r="1356" spans="1:26">
      <c r="A1356" s="60"/>
      <c r="B1356" s="77"/>
      <c r="C1356" s="60"/>
      <c r="D1356" s="81"/>
      <c r="E1356" s="62"/>
      <c r="F1356" s="60"/>
      <c r="G1356" s="62"/>
      <c r="H1356" s="60"/>
      <c r="X1356" s="60"/>
      <c r="Z1356" s="58" t="s">
        <v>1117</v>
      </c>
    </row>
    <row r="1357" spans="1:26">
      <c r="A1357" s="60"/>
      <c r="B1357" s="77"/>
      <c r="C1357" s="60"/>
      <c r="D1357" s="81"/>
      <c r="E1357" s="62"/>
      <c r="F1357" s="60"/>
      <c r="G1357" s="62"/>
      <c r="H1357" s="60"/>
      <c r="X1357" s="60"/>
      <c r="Z1357" s="63" t="s">
        <v>1273</v>
      </c>
    </row>
    <row r="1358" spans="1:26">
      <c r="A1358" s="60"/>
      <c r="B1358" s="77"/>
      <c r="C1358" s="60"/>
      <c r="D1358" s="81"/>
      <c r="E1358" s="62"/>
      <c r="F1358" s="60"/>
      <c r="G1358" s="62"/>
      <c r="H1358" s="60"/>
      <c r="X1358" s="60"/>
      <c r="Z1358" s="58" t="s">
        <v>1103</v>
      </c>
    </row>
    <row r="1359" spans="1:26">
      <c r="A1359" s="60"/>
      <c r="B1359" s="77"/>
      <c r="C1359" s="60"/>
      <c r="D1359" s="81"/>
      <c r="E1359" s="62"/>
      <c r="F1359" s="60"/>
      <c r="G1359" s="62"/>
      <c r="H1359" s="60"/>
      <c r="X1359" s="60"/>
      <c r="Z1359" s="63" t="s">
        <v>1105</v>
      </c>
    </row>
    <row r="1360" spans="1:26">
      <c r="A1360" s="60"/>
      <c r="B1360" s="77"/>
      <c r="C1360" s="60"/>
      <c r="D1360" s="81"/>
      <c r="E1360" s="62"/>
      <c r="F1360" s="60"/>
      <c r="G1360" s="62"/>
      <c r="H1360" s="60"/>
      <c r="X1360" s="60"/>
      <c r="Z1360" s="58" t="s">
        <v>1107</v>
      </c>
    </row>
    <row r="1361" spans="1:26">
      <c r="A1361" s="60"/>
      <c r="B1361" s="77"/>
      <c r="C1361" s="60"/>
      <c r="D1361" s="81"/>
      <c r="E1361" s="62"/>
      <c r="F1361" s="60"/>
      <c r="G1361" s="62"/>
      <c r="H1361" s="60"/>
      <c r="X1361" s="60"/>
      <c r="Z1361" s="63" t="s">
        <v>1281</v>
      </c>
    </row>
    <row r="1362" spans="1:26">
      <c r="A1362" s="60"/>
      <c r="B1362" s="77"/>
      <c r="C1362" s="60"/>
      <c r="D1362" s="81"/>
      <c r="E1362" s="62"/>
      <c r="F1362" s="60"/>
      <c r="G1362" s="62"/>
      <c r="H1362" s="60"/>
      <c r="X1362" s="60"/>
      <c r="Z1362" s="58" t="s">
        <v>1284</v>
      </c>
    </row>
    <row r="1363" spans="1:26">
      <c r="A1363" s="60"/>
      <c r="B1363" s="77"/>
      <c r="C1363" s="60"/>
      <c r="D1363" s="81"/>
      <c r="E1363" s="62"/>
      <c r="F1363" s="60"/>
      <c r="G1363" s="62"/>
      <c r="H1363" s="60"/>
      <c r="X1363" s="60"/>
      <c r="Z1363" s="63" t="s">
        <v>1286</v>
      </c>
    </row>
    <row r="1364" spans="1:26">
      <c r="A1364" s="60"/>
      <c r="B1364" s="77"/>
      <c r="C1364" s="60"/>
      <c r="D1364" s="81"/>
      <c r="E1364" s="62"/>
      <c r="F1364" s="60"/>
      <c r="G1364" s="62"/>
      <c r="H1364" s="60"/>
      <c r="X1364" s="60"/>
      <c r="Z1364" s="58" t="s">
        <v>1288</v>
      </c>
    </row>
    <row r="1365" spans="1:26">
      <c r="A1365" s="60"/>
      <c r="B1365" s="77"/>
      <c r="C1365" s="60"/>
      <c r="D1365" s="81"/>
      <c r="E1365" s="62"/>
      <c r="F1365" s="60"/>
      <c r="G1365" s="62"/>
      <c r="H1365" s="60"/>
      <c r="X1365" s="60"/>
      <c r="Z1365" s="63" t="s">
        <v>1130</v>
      </c>
    </row>
    <row r="1366" spans="1:26">
      <c r="A1366" s="60"/>
      <c r="B1366" s="77"/>
      <c r="C1366" s="60"/>
      <c r="D1366" s="81"/>
      <c r="E1366" s="62"/>
      <c r="F1366" s="60"/>
      <c r="G1366" s="62"/>
      <c r="H1366" s="60"/>
      <c r="X1366" s="60"/>
      <c r="Z1366" s="58" t="s">
        <v>1133</v>
      </c>
    </row>
    <row r="1367" spans="1:26">
      <c r="A1367" s="60"/>
      <c r="B1367" s="77"/>
      <c r="C1367" s="60"/>
      <c r="D1367" s="81"/>
      <c r="E1367" s="62"/>
      <c r="F1367" s="60"/>
      <c r="G1367" s="62"/>
      <c r="H1367" s="60"/>
      <c r="X1367" s="60"/>
      <c r="Z1367" s="63" t="s">
        <v>865</v>
      </c>
    </row>
    <row r="1368" spans="1:26">
      <c r="A1368" s="60"/>
      <c r="B1368" s="77"/>
      <c r="C1368" s="60"/>
      <c r="D1368" s="81"/>
      <c r="E1368" s="62"/>
      <c r="F1368" s="60"/>
      <c r="G1368" s="62"/>
      <c r="H1368" s="60"/>
      <c r="X1368" s="60"/>
      <c r="Z1368" s="58" t="s">
        <v>1296</v>
      </c>
    </row>
    <row r="1369" spans="1:26">
      <c r="A1369" s="60"/>
      <c r="B1369" s="77"/>
      <c r="C1369" s="60"/>
      <c r="D1369" s="81"/>
      <c r="E1369" s="62"/>
      <c r="F1369" s="60"/>
      <c r="G1369" s="62"/>
      <c r="H1369" s="60"/>
      <c r="X1369" s="60"/>
      <c r="Z1369" s="63" t="s">
        <v>1299</v>
      </c>
    </row>
    <row r="1370" spans="1:26">
      <c r="A1370" s="60"/>
      <c r="B1370" s="77"/>
      <c r="C1370" s="60"/>
      <c r="D1370" s="81"/>
      <c r="E1370" s="62"/>
      <c r="F1370" s="60"/>
      <c r="G1370" s="62"/>
      <c r="H1370" s="60"/>
      <c r="X1370" s="60"/>
      <c r="Z1370" s="58" t="s">
        <v>1291</v>
      </c>
    </row>
    <row r="1371" spans="1:26">
      <c r="A1371" s="60"/>
      <c r="B1371" s="77"/>
      <c r="C1371" s="60"/>
      <c r="D1371" s="81"/>
      <c r="E1371" s="62"/>
      <c r="F1371" s="60"/>
      <c r="G1371" s="62"/>
      <c r="H1371" s="60"/>
      <c r="X1371" s="60"/>
      <c r="Z1371" s="63" t="s">
        <v>879</v>
      </c>
    </row>
    <row r="1372" spans="1:26">
      <c r="A1372" s="60"/>
      <c r="B1372" s="77"/>
      <c r="C1372" s="60"/>
      <c r="D1372" s="81"/>
      <c r="E1372" s="62"/>
      <c r="F1372" s="60"/>
      <c r="G1372" s="62"/>
      <c r="H1372" s="60"/>
      <c r="X1372" s="60"/>
      <c r="Z1372" s="58" t="s">
        <v>875</v>
      </c>
    </row>
    <row r="1373" spans="1:26">
      <c r="A1373" s="60"/>
      <c r="B1373" s="77"/>
      <c r="C1373" s="60"/>
      <c r="D1373" s="81"/>
      <c r="E1373" s="62"/>
      <c r="F1373" s="60"/>
      <c r="G1373" s="62"/>
      <c r="H1373" s="60"/>
      <c r="X1373" s="60"/>
      <c r="Z1373" s="63" t="s">
        <v>878</v>
      </c>
    </row>
    <row r="1374" spans="1:26">
      <c r="A1374" s="60"/>
      <c r="B1374" s="77"/>
      <c r="C1374" s="60"/>
      <c r="D1374" s="81"/>
      <c r="E1374" s="62"/>
      <c r="F1374" s="60"/>
      <c r="G1374" s="62"/>
      <c r="H1374" s="60"/>
      <c r="X1374" s="60"/>
      <c r="Z1374" s="58" t="s">
        <v>884</v>
      </c>
    </row>
    <row r="1375" spans="1:26">
      <c r="A1375" s="60"/>
      <c r="B1375" s="77"/>
      <c r="C1375" s="60"/>
      <c r="D1375" s="81"/>
      <c r="E1375" s="62"/>
      <c r="F1375" s="60"/>
      <c r="G1375" s="62"/>
      <c r="H1375" s="60"/>
      <c r="X1375" s="60"/>
      <c r="Z1375" s="63" t="s">
        <v>1293</v>
      </c>
    </row>
    <row r="1376" spans="1:26">
      <c r="A1376" s="60"/>
      <c r="B1376" s="77"/>
      <c r="C1376" s="60"/>
      <c r="D1376" s="81"/>
      <c r="E1376" s="62"/>
      <c r="F1376" s="60"/>
      <c r="G1376" s="62"/>
      <c r="H1376" s="60"/>
      <c r="X1376" s="60"/>
      <c r="Z1376" s="58" t="s">
        <v>886</v>
      </c>
    </row>
    <row r="1377" spans="1:26">
      <c r="A1377" s="60"/>
      <c r="B1377" s="77"/>
      <c r="C1377" s="60"/>
      <c r="D1377" s="81"/>
      <c r="E1377" s="62"/>
      <c r="F1377" s="60"/>
      <c r="G1377" s="62"/>
      <c r="H1377" s="60"/>
      <c r="X1377" s="60"/>
      <c r="Z1377" s="63" t="s">
        <v>889</v>
      </c>
    </row>
    <row r="1378" spans="1:26">
      <c r="A1378" s="60"/>
      <c r="B1378" s="77"/>
      <c r="C1378" s="60"/>
      <c r="D1378" s="81"/>
      <c r="E1378" s="62"/>
      <c r="F1378" s="60"/>
      <c r="G1378" s="62"/>
      <c r="H1378" s="60"/>
      <c r="X1378" s="60"/>
      <c r="Z1378" s="58" t="s">
        <v>891</v>
      </c>
    </row>
    <row r="1379" spans="1:26">
      <c r="A1379" s="60"/>
      <c r="B1379" s="77"/>
      <c r="C1379" s="60"/>
      <c r="D1379" s="81"/>
      <c r="E1379" s="62"/>
      <c r="F1379" s="60"/>
      <c r="G1379" s="62"/>
      <c r="H1379" s="60"/>
      <c r="X1379" s="60"/>
      <c r="Z1379" s="63" t="s">
        <v>895</v>
      </c>
    </row>
    <row r="1380" spans="1:26">
      <c r="A1380" s="60"/>
      <c r="B1380" s="77"/>
      <c r="C1380" s="60"/>
      <c r="D1380" s="81"/>
      <c r="E1380" s="62"/>
      <c r="F1380" s="60"/>
      <c r="G1380" s="62"/>
      <c r="H1380" s="60"/>
      <c r="X1380" s="60"/>
      <c r="Z1380" s="58" t="s">
        <v>1319</v>
      </c>
    </row>
    <row r="1381" spans="1:26">
      <c r="A1381" s="60"/>
      <c r="B1381" s="77"/>
      <c r="C1381" s="60"/>
      <c r="D1381" s="81"/>
      <c r="E1381" s="62"/>
      <c r="F1381" s="60"/>
      <c r="G1381" s="62"/>
      <c r="H1381" s="60"/>
      <c r="X1381" s="60"/>
      <c r="Z1381" s="63" t="s">
        <v>1321</v>
      </c>
    </row>
    <row r="1382" spans="1:26">
      <c r="A1382" s="60"/>
      <c r="B1382" s="77"/>
      <c r="C1382" s="60"/>
      <c r="D1382" s="81"/>
      <c r="E1382" s="62"/>
      <c r="F1382" s="60"/>
      <c r="G1382" s="62"/>
      <c r="H1382" s="60"/>
      <c r="X1382" s="60"/>
      <c r="Z1382" s="58" t="s">
        <v>905</v>
      </c>
    </row>
    <row r="1383" spans="1:26">
      <c r="A1383" s="60"/>
      <c r="B1383" s="77"/>
      <c r="C1383" s="60"/>
      <c r="D1383" s="81"/>
      <c r="E1383" s="62"/>
      <c r="F1383" s="60"/>
      <c r="G1383" s="62"/>
      <c r="H1383" s="60"/>
      <c r="X1383" s="60"/>
      <c r="Z1383" s="63" t="s">
        <v>914</v>
      </c>
    </row>
    <row r="1384" spans="1:26">
      <c r="A1384" s="60"/>
      <c r="B1384" s="77"/>
      <c r="C1384" s="60"/>
      <c r="D1384" s="81"/>
      <c r="E1384" s="62"/>
      <c r="F1384" s="60"/>
      <c r="G1384" s="62"/>
      <c r="H1384" s="60"/>
      <c r="X1384" s="60"/>
      <c r="Z1384" s="58" t="s">
        <v>916</v>
      </c>
    </row>
    <row r="1385" spans="1:26">
      <c r="A1385" s="60"/>
      <c r="B1385" s="77"/>
      <c r="C1385" s="60"/>
      <c r="D1385" s="81"/>
      <c r="E1385" s="62"/>
      <c r="F1385" s="60"/>
      <c r="G1385" s="62"/>
      <c r="H1385" s="60"/>
      <c r="X1385" s="60"/>
      <c r="Z1385" s="63" t="s">
        <v>924</v>
      </c>
    </row>
    <row r="1386" spans="1:26">
      <c r="A1386" s="60"/>
      <c r="B1386" s="77"/>
      <c r="C1386" s="60"/>
      <c r="D1386" s="81"/>
      <c r="E1386" s="62"/>
      <c r="F1386" s="60"/>
      <c r="G1386" s="62"/>
      <c r="H1386" s="60"/>
      <c r="X1386" s="60"/>
      <c r="Z1386" s="58" t="s">
        <v>922</v>
      </c>
    </row>
    <row r="1387" spans="1:26">
      <c r="A1387" s="60"/>
      <c r="B1387" s="77"/>
      <c r="C1387" s="60"/>
      <c r="D1387" s="81"/>
      <c r="E1387" s="62"/>
      <c r="F1387" s="60"/>
      <c r="G1387" s="62"/>
      <c r="H1387" s="60"/>
      <c r="X1387" s="60"/>
      <c r="Z1387" s="63" t="s">
        <v>933</v>
      </c>
    </row>
    <row r="1388" spans="1:26">
      <c r="A1388" s="60"/>
      <c r="B1388" s="77"/>
      <c r="C1388" s="60"/>
      <c r="D1388" s="81"/>
      <c r="E1388" s="62"/>
      <c r="F1388" s="60"/>
      <c r="G1388" s="62"/>
      <c r="H1388" s="60"/>
      <c r="X1388" s="60"/>
      <c r="Z1388" s="58" t="s">
        <v>1331</v>
      </c>
    </row>
    <row r="1389" spans="1:26">
      <c r="A1389" s="60"/>
      <c r="B1389" s="77"/>
      <c r="C1389" s="60"/>
      <c r="D1389" s="81"/>
      <c r="E1389" s="62"/>
      <c r="F1389" s="60"/>
      <c r="G1389" s="62"/>
      <c r="H1389" s="60"/>
      <c r="X1389" s="60"/>
      <c r="Z1389" s="63" t="s">
        <v>939</v>
      </c>
    </row>
    <row r="1390" spans="1:26">
      <c r="A1390" s="60"/>
      <c r="B1390" s="77"/>
      <c r="C1390" s="60"/>
      <c r="D1390" s="81"/>
      <c r="E1390" s="62"/>
      <c r="F1390" s="60"/>
      <c r="G1390" s="62"/>
      <c r="H1390" s="60"/>
      <c r="X1390" s="60"/>
      <c r="Z1390" s="58" t="s">
        <v>928</v>
      </c>
    </row>
    <row r="1391" spans="1:26">
      <c r="A1391" s="60"/>
      <c r="B1391" s="77"/>
      <c r="C1391" s="60"/>
      <c r="D1391" s="81"/>
      <c r="E1391" s="62"/>
      <c r="F1391" s="60"/>
      <c r="G1391" s="62"/>
      <c r="H1391" s="60"/>
      <c r="X1391" s="60"/>
      <c r="Z1391" s="63" t="s">
        <v>1301</v>
      </c>
    </row>
    <row r="1392" spans="1:26">
      <c r="A1392" s="60"/>
      <c r="B1392" s="77"/>
      <c r="C1392" s="60"/>
      <c r="D1392" s="81"/>
      <c r="E1392" s="62"/>
      <c r="F1392" s="60"/>
      <c r="G1392" s="62"/>
      <c r="H1392" s="60"/>
      <c r="X1392" s="60"/>
      <c r="Z1392" s="58" t="s">
        <v>947</v>
      </c>
    </row>
    <row r="1393" spans="1:26">
      <c r="A1393" s="60"/>
      <c r="B1393" s="77"/>
      <c r="C1393" s="60"/>
      <c r="D1393" s="81"/>
      <c r="E1393" s="62"/>
      <c r="F1393" s="60"/>
      <c r="G1393" s="62"/>
      <c r="H1393" s="60"/>
      <c r="X1393" s="60"/>
      <c r="Z1393" s="63" t="s">
        <v>937</v>
      </c>
    </row>
    <row r="1394" spans="1:26">
      <c r="A1394" s="60"/>
      <c r="B1394" s="77"/>
      <c r="C1394" s="60"/>
      <c r="D1394" s="81"/>
      <c r="E1394" s="62"/>
      <c r="F1394" s="60"/>
      <c r="G1394" s="62"/>
      <c r="H1394" s="60"/>
      <c r="X1394" s="60"/>
      <c r="Z1394" s="58" t="s">
        <v>940</v>
      </c>
    </row>
    <row r="1395" spans="1:26">
      <c r="A1395" s="60"/>
      <c r="B1395" s="77"/>
      <c r="C1395" s="60"/>
      <c r="D1395" s="81"/>
      <c r="E1395" s="62"/>
      <c r="F1395" s="60"/>
      <c r="G1395" s="62"/>
      <c r="H1395" s="60"/>
      <c r="X1395" s="60"/>
      <c r="Z1395" s="63" t="s">
        <v>1168</v>
      </c>
    </row>
    <row r="1396" spans="1:26">
      <c r="A1396" s="60"/>
      <c r="B1396" s="77"/>
      <c r="C1396" s="60"/>
      <c r="D1396" s="81"/>
      <c r="E1396" s="62"/>
      <c r="F1396" s="60"/>
      <c r="G1396" s="62"/>
      <c r="H1396" s="60"/>
      <c r="X1396" s="60"/>
      <c r="Z1396" s="58" t="s">
        <v>945</v>
      </c>
    </row>
    <row r="1397" spans="1:26">
      <c r="A1397" s="60"/>
      <c r="B1397" s="77"/>
      <c r="C1397" s="60"/>
      <c r="D1397" s="81"/>
      <c r="E1397" s="62"/>
      <c r="F1397" s="60"/>
      <c r="G1397" s="62"/>
      <c r="H1397" s="60"/>
      <c r="X1397" s="60"/>
      <c r="Z1397" s="63" t="s">
        <v>951</v>
      </c>
    </row>
    <row r="1398" spans="1:26">
      <c r="A1398" s="60"/>
      <c r="B1398" s="77"/>
      <c r="C1398" s="60"/>
      <c r="D1398" s="81"/>
      <c r="E1398" s="62"/>
      <c r="F1398" s="60"/>
      <c r="G1398" s="62"/>
      <c r="H1398" s="60"/>
      <c r="X1398" s="60"/>
      <c r="Z1398" s="58" t="s">
        <v>1339</v>
      </c>
    </row>
    <row r="1399" spans="1:26">
      <c r="A1399" s="60"/>
      <c r="B1399" s="77"/>
      <c r="C1399" s="60"/>
      <c r="D1399" s="81"/>
      <c r="E1399" s="62"/>
      <c r="F1399" s="60"/>
      <c r="G1399" s="62"/>
      <c r="H1399" s="60"/>
      <c r="X1399" s="60"/>
      <c r="Z1399" s="63" t="s">
        <v>1351</v>
      </c>
    </row>
    <row r="1400" spans="1:26">
      <c r="A1400" s="60"/>
      <c r="B1400" s="77"/>
      <c r="C1400" s="60"/>
      <c r="D1400" s="81"/>
      <c r="E1400" s="62"/>
      <c r="F1400" s="60"/>
      <c r="G1400" s="62"/>
      <c r="H1400" s="60"/>
      <c r="X1400" s="60"/>
      <c r="Z1400" s="58" t="s">
        <v>1170</v>
      </c>
    </row>
    <row r="1401" spans="1:26">
      <c r="A1401" s="60"/>
      <c r="B1401" s="77"/>
      <c r="C1401" s="60"/>
      <c r="D1401" s="81"/>
      <c r="E1401" s="62"/>
      <c r="F1401" s="60"/>
      <c r="G1401" s="62"/>
      <c r="H1401" s="60"/>
      <c r="X1401" s="60"/>
      <c r="Z1401" s="63" t="s">
        <v>1341</v>
      </c>
    </row>
    <row r="1402" spans="1:26">
      <c r="A1402" s="60"/>
      <c r="B1402" s="77"/>
      <c r="C1402" s="60"/>
      <c r="D1402" s="81"/>
      <c r="E1402" s="62"/>
      <c r="F1402" s="60"/>
      <c r="G1402" s="62"/>
      <c r="H1402" s="60"/>
      <c r="X1402" s="60"/>
      <c r="Z1402" s="58" t="s">
        <v>1172</v>
      </c>
    </row>
    <row r="1403" spans="1:26">
      <c r="A1403" s="60"/>
      <c r="B1403" s="77"/>
      <c r="C1403" s="60"/>
      <c r="D1403" s="81"/>
      <c r="E1403" s="62"/>
      <c r="F1403" s="60"/>
      <c r="G1403" s="62"/>
      <c r="H1403" s="60"/>
      <c r="X1403" s="60"/>
      <c r="Z1403" s="63" t="s">
        <v>958</v>
      </c>
    </row>
    <row r="1404" spans="1:26">
      <c r="A1404" s="60"/>
      <c r="B1404" s="77"/>
      <c r="C1404" s="60"/>
      <c r="D1404" s="81"/>
      <c r="E1404" s="62"/>
      <c r="F1404" s="60"/>
      <c r="G1404" s="62"/>
      <c r="H1404" s="60"/>
      <c r="X1404" s="60"/>
      <c r="Z1404" s="58" t="s">
        <v>960</v>
      </c>
    </row>
    <row r="1405" spans="1:26">
      <c r="A1405" s="60"/>
      <c r="B1405" s="77"/>
      <c r="C1405" s="60"/>
      <c r="D1405" s="81"/>
      <c r="E1405" s="62"/>
      <c r="F1405" s="60"/>
      <c r="G1405" s="62"/>
      <c r="H1405" s="60"/>
      <c r="X1405" s="60"/>
      <c r="Z1405" s="63" t="s">
        <v>963</v>
      </c>
    </row>
    <row r="1406" spans="1:26">
      <c r="A1406" s="60"/>
      <c r="B1406" s="77"/>
      <c r="C1406" s="60"/>
      <c r="D1406" s="81"/>
      <c r="E1406" s="62"/>
      <c r="F1406" s="60"/>
      <c r="G1406" s="62"/>
      <c r="H1406" s="60"/>
      <c r="X1406" s="60"/>
      <c r="Z1406" s="58" t="s">
        <v>967</v>
      </c>
    </row>
    <row r="1407" spans="1:26">
      <c r="A1407" s="60"/>
      <c r="B1407" s="77"/>
      <c r="C1407" s="60"/>
      <c r="D1407" s="81"/>
      <c r="E1407" s="62"/>
      <c r="F1407" s="60"/>
      <c r="G1407" s="62"/>
      <c r="H1407" s="60"/>
      <c r="X1407" s="60"/>
      <c r="Z1407" s="63" t="s">
        <v>1364</v>
      </c>
    </row>
    <row r="1408" spans="1:26">
      <c r="A1408" s="60"/>
      <c r="B1408" s="77"/>
      <c r="C1408" s="60"/>
      <c r="D1408" s="81"/>
      <c r="E1408" s="62"/>
      <c r="F1408" s="60"/>
      <c r="G1408" s="62"/>
      <c r="H1408" s="60"/>
      <c r="X1408" s="60"/>
      <c r="Z1408" s="58" t="s">
        <v>970</v>
      </c>
    </row>
    <row r="1409" spans="1:26">
      <c r="A1409" s="60"/>
      <c r="B1409" s="77"/>
      <c r="C1409" s="60"/>
      <c r="D1409" s="81"/>
      <c r="E1409" s="62"/>
      <c r="F1409" s="60"/>
      <c r="G1409" s="62"/>
      <c r="H1409" s="60"/>
      <c r="X1409" s="60"/>
      <c r="Z1409" s="63" t="s">
        <v>972</v>
      </c>
    </row>
    <row r="1410" spans="1:26">
      <c r="A1410" s="60"/>
      <c r="B1410" s="77"/>
      <c r="C1410" s="60"/>
      <c r="D1410" s="81"/>
      <c r="E1410" s="62"/>
      <c r="F1410" s="60"/>
      <c r="G1410" s="62"/>
      <c r="H1410" s="60"/>
      <c r="X1410" s="60"/>
      <c r="Z1410" s="58" t="s">
        <v>1153</v>
      </c>
    </row>
    <row r="1411" spans="1:26">
      <c r="A1411" s="60"/>
      <c r="B1411" s="77"/>
      <c r="C1411" s="60"/>
      <c r="D1411" s="81"/>
      <c r="E1411" s="62"/>
      <c r="F1411" s="60"/>
      <c r="G1411" s="62"/>
      <c r="H1411" s="60"/>
      <c r="X1411" s="60"/>
      <c r="Z1411" s="63" t="s">
        <v>988</v>
      </c>
    </row>
    <row r="1412" spans="1:26">
      <c r="A1412" s="60"/>
      <c r="B1412" s="77"/>
      <c r="C1412" s="60"/>
      <c r="D1412" s="81"/>
      <c r="E1412" s="62"/>
      <c r="F1412" s="60"/>
      <c r="G1412" s="62"/>
      <c r="H1412" s="60"/>
      <c r="X1412" s="60"/>
      <c r="Z1412" s="58" t="s">
        <v>991</v>
      </c>
    </row>
    <row r="1413" spans="1:26">
      <c r="A1413" s="60"/>
      <c r="B1413" s="77"/>
      <c r="C1413" s="60"/>
      <c r="D1413" s="81"/>
      <c r="E1413" s="62"/>
      <c r="F1413" s="60"/>
      <c r="G1413" s="62"/>
      <c r="H1413" s="60"/>
      <c r="X1413" s="60"/>
      <c r="Z1413" s="63" t="s">
        <v>994</v>
      </c>
    </row>
    <row r="1414" spans="1:26">
      <c r="A1414" s="60"/>
      <c r="B1414" s="77"/>
      <c r="C1414" s="60"/>
      <c r="D1414" s="81"/>
      <c r="E1414" s="62"/>
      <c r="F1414" s="60"/>
      <c r="G1414" s="62"/>
      <c r="H1414" s="60"/>
      <c r="X1414" s="60"/>
      <c r="Z1414" s="58" t="s">
        <v>997</v>
      </c>
    </row>
    <row r="1415" spans="1:26">
      <c r="A1415" s="60"/>
      <c r="B1415" s="77"/>
      <c r="C1415" s="60"/>
      <c r="D1415" s="81"/>
      <c r="E1415" s="62"/>
      <c r="F1415" s="60"/>
      <c r="G1415" s="62"/>
      <c r="H1415" s="60"/>
      <c r="X1415" s="60"/>
      <c r="Z1415" s="63" t="s">
        <v>1380</v>
      </c>
    </row>
    <row r="1416" spans="1:26">
      <c r="A1416" s="60"/>
      <c r="B1416" s="77"/>
      <c r="C1416" s="60"/>
      <c r="D1416" s="81"/>
      <c r="E1416" s="62"/>
      <c r="F1416" s="60"/>
      <c r="G1416" s="62"/>
      <c r="H1416" s="60"/>
      <c r="X1416" s="60"/>
      <c r="Z1416" s="58" t="s">
        <v>1383</v>
      </c>
    </row>
    <row r="1417" spans="1:26">
      <c r="A1417" s="60"/>
      <c r="B1417" s="77"/>
      <c r="C1417" s="60"/>
      <c r="D1417" s="81"/>
      <c r="E1417" s="62"/>
      <c r="F1417" s="60"/>
      <c r="G1417" s="62"/>
      <c r="H1417" s="60"/>
      <c r="X1417" s="60"/>
      <c r="Z1417" s="63" t="s">
        <v>1386</v>
      </c>
    </row>
    <row r="1418" spans="1:26">
      <c r="A1418" s="60"/>
      <c r="B1418" s="77"/>
      <c r="C1418" s="60"/>
      <c r="D1418" s="81"/>
      <c r="E1418" s="62"/>
      <c r="F1418" s="60"/>
      <c r="G1418" s="62"/>
      <c r="H1418" s="60"/>
      <c r="X1418" s="60"/>
      <c r="Z1418" s="58" t="s">
        <v>1003</v>
      </c>
    </row>
    <row r="1419" spans="1:26">
      <c r="A1419" s="60"/>
      <c r="B1419" s="77"/>
      <c r="C1419" s="60"/>
      <c r="D1419" s="81"/>
      <c r="E1419" s="62"/>
      <c r="F1419" s="60"/>
      <c r="G1419" s="62"/>
      <c r="H1419" s="60"/>
      <c r="X1419" s="60"/>
      <c r="Z1419" s="63" t="s">
        <v>987</v>
      </c>
    </row>
    <row r="1420" spans="1:26">
      <c r="A1420" s="60"/>
      <c r="B1420" s="77"/>
      <c r="C1420" s="60"/>
      <c r="D1420" s="81"/>
      <c r="E1420" s="62"/>
      <c r="F1420" s="60"/>
      <c r="G1420" s="62"/>
      <c r="H1420" s="60"/>
      <c r="X1420" s="60"/>
      <c r="Z1420" s="58" t="s">
        <v>1391</v>
      </c>
    </row>
    <row r="1421" spans="1:26">
      <c r="A1421" s="60"/>
      <c r="B1421" s="77"/>
      <c r="C1421" s="60"/>
      <c r="D1421" s="81"/>
      <c r="E1421" s="62"/>
      <c r="F1421" s="60"/>
      <c r="G1421" s="62"/>
      <c r="H1421" s="60"/>
      <c r="X1421" s="60"/>
      <c r="Z1421" s="63" t="s">
        <v>1008</v>
      </c>
    </row>
    <row r="1422" spans="1:26">
      <c r="A1422" s="60"/>
      <c r="B1422" s="77"/>
      <c r="C1422" s="60"/>
      <c r="D1422" s="81"/>
      <c r="E1422" s="62"/>
      <c r="F1422" s="60"/>
      <c r="G1422" s="62"/>
      <c r="H1422" s="60"/>
      <c r="X1422" s="60"/>
      <c r="Z1422" s="58" t="s">
        <v>1396</v>
      </c>
    </row>
    <row r="1423" spans="1:26">
      <c r="A1423" s="60"/>
      <c r="B1423" s="77"/>
      <c r="C1423" s="60"/>
      <c r="D1423" s="81"/>
      <c r="E1423" s="62"/>
      <c r="F1423" s="60"/>
      <c r="G1423" s="62"/>
      <c r="H1423" s="60"/>
      <c r="X1423" s="60"/>
      <c r="Z1423" s="63" t="s">
        <v>1011</v>
      </c>
    </row>
    <row r="1424" spans="1:26">
      <c r="A1424" s="60"/>
      <c r="B1424" s="77"/>
      <c r="C1424" s="60"/>
      <c r="D1424" s="81"/>
      <c r="E1424" s="62"/>
      <c r="F1424" s="60"/>
      <c r="G1424" s="62"/>
      <c r="H1424" s="60"/>
      <c r="X1424" s="60"/>
      <c r="Z1424" s="58" t="s">
        <v>1208</v>
      </c>
    </row>
    <row r="1425" spans="1:26">
      <c r="A1425" s="60"/>
      <c r="B1425" s="77"/>
      <c r="C1425" s="60"/>
      <c r="D1425" s="81"/>
      <c r="E1425" s="62"/>
      <c r="F1425" s="60"/>
      <c r="G1425" s="62"/>
      <c r="H1425" s="60"/>
      <c r="X1425" s="60"/>
      <c r="Z1425" s="63" t="s">
        <v>1014</v>
      </c>
    </row>
    <row r="1426" spans="1:26">
      <c r="A1426" s="60"/>
      <c r="B1426" s="77"/>
      <c r="C1426" s="60"/>
      <c r="D1426" s="81"/>
      <c r="E1426" s="62"/>
      <c r="F1426" s="60"/>
      <c r="G1426" s="62"/>
      <c r="H1426" s="60"/>
      <c r="X1426" s="60"/>
      <c r="Z1426" s="58" t="s">
        <v>1002</v>
      </c>
    </row>
    <row r="1427" spans="1:26">
      <c r="A1427" s="60"/>
      <c r="B1427" s="77"/>
      <c r="C1427" s="60"/>
      <c r="D1427" s="81"/>
      <c r="E1427" s="62"/>
      <c r="F1427" s="60"/>
      <c r="G1427" s="62"/>
      <c r="H1427" s="60"/>
      <c r="X1427" s="60"/>
      <c r="Z1427" s="63" t="s">
        <v>1343</v>
      </c>
    </row>
    <row r="1428" spans="1:26">
      <c r="A1428" s="60"/>
      <c r="B1428" s="77"/>
      <c r="C1428" s="60"/>
      <c r="D1428" s="81"/>
      <c r="E1428" s="62"/>
      <c r="F1428" s="60"/>
      <c r="G1428" s="62"/>
      <c r="H1428" s="60"/>
      <c r="X1428" s="60"/>
      <c r="Z1428" s="58" t="s">
        <v>1026</v>
      </c>
    </row>
    <row r="1429" spans="1:26">
      <c r="A1429" s="60"/>
      <c r="B1429" s="77"/>
      <c r="C1429" s="60"/>
      <c r="D1429" s="81"/>
      <c r="E1429" s="62"/>
      <c r="F1429" s="60"/>
      <c r="G1429" s="62"/>
      <c r="H1429" s="60"/>
      <c r="X1429" s="60"/>
      <c r="Z1429" s="63" t="s">
        <v>1411</v>
      </c>
    </row>
    <row r="1430" spans="1:26">
      <c r="A1430" s="60"/>
      <c r="B1430" s="77"/>
      <c r="C1430" s="60"/>
      <c r="D1430" s="81"/>
      <c r="E1430" s="62"/>
      <c r="F1430" s="60"/>
      <c r="G1430" s="62"/>
      <c r="H1430" s="60"/>
      <c r="X1430" s="60"/>
      <c r="Z1430" s="58" t="s">
        <v>1010</v>
      </c>
    </row>
    <row r="1431" spans="1:26">
      <c r="A1431" s="60"/>
      <c r="B1431" s="77"/>
      <c r="C1431" s="60"/>
      <c r="D1431" s="81"/>
      <c r="E1431" s="62"/>
      <c r="F1431" s="60"/>
      <c r="G1431" s="62"/>
      <c r="H1431" s="60"/>
      <c r="X1431" s="60"/>
      <c r="Z1431" s="63" t="s">
        <v>1166</v>
      </c>
    </row>
    <row r="1432" spans="1:26">
      <c r="A1432" s="60"/>
      <c r="B1432" s="77"/>
      <c r="C1432" s="60"/>
      <c r="D1432" s="81"/>
      <c r="E1432" s="62"/>
      <c r="F1432" s="60"/>
      <c r="G1432" s="62"/>
      <c r="H1432" s="60"/>
      <c r="X1432" s="60"/>
      <c r="Z1432" s="58" t="s">
        <v>1028</v>
      </c>
    </row>
    <row r="1433" spans="1:26">
      <c r="A1433" s="60"/>
      <c r="B1433" s="77"/>
      <c r="C1433" s="60"/>
      <c r="D1433" s="81"/>
      <c r="E1433" s="62"/>
      <c r="F1433" s="60"/>
      <c r="G1433" s="62"/>
      <c r="H1433" s="60"/>
      <c r="X1433" s="60"/>
      <c r="Z1433" s="63" t="s">
        <v>1418</v>
      </c>
    </row>
    <row r="1434" spans="1:26">
      <c r="A1434" s="60"/>
      <c r="B1434" s="77"/>
      <c r="C1434" s="60"/>
      <c r="D1434" s="81"/>
      <c r="E1434" s="62"/>
      <c r="F1434" s="60"/>
      <c r="G1434" s="62"/>
      <c r="H1434" s="60"/>
      <c r="X1434" s="60"/>
      <c r="Z1434" s="58" t="s">
        <v>1031</v>
      </c>
    </row>
    <row r="1435" spans="1:26">
      <c r="A1435" s="60"/>
      <c r="B1435" s="77"/>
      <c r="C1435" s="60"/>
      <c r="D1435" s="81"/>
      <c r="E1435" s="62"/>
      <c r="F1435" s="60"/>
      <c r="G1435" s="62"/>
      <c r="H1435" s="60"/>
      <c r="X1435" s="60"/>
      <c r="Z1435" s="63" t="s">
        <v>1227</v>
      </c>
    </row>
    <row r="1436" spans="1:26">
      <c r="A1436" s="60"/>
      <c r="B1436" s="77"/>
      <c r="C1436" s="60"/>
      <c r="D1436" s="81"/>
      <c r="E1436" s="62"/>
      <c r="F1436" s="60"/>
      <c r="G1436" s="62"/>
      <c r="H1436" s="60"/>
      <c r="X1436" s="60"/>
      <c r="Z1436" s="58" t="s">
        <v>1038</v>
      </c>
    </row>
    <row r="1437" spans="1:26">
      <c r="A1437" s="60"/>
      <c r="B1437" s="77"/>
      <c r="C1437" s="60"/>
      <c r="D1437" s="81"/>
      <c r="E1437" s="62"/>
      <c r="F1437" s="60"/>
      <c r="G1437" s="62"/>
      <c r="H1437" s="60"/>
      <c r="X1437" s="60"/>
      <c r="Z1437" s="63" t="s">
        <v>1041</v>
      </c>
    </row>
    <row r="1438" spans="1:26">
      <c r="A1438" s="60"/>
      <c r="B1438" s="77"/>
      <c r="C1438" s="60"/>
      <c r="D1438" s="81"/>
      <c r="E1438" s="62"/>
      <c r="F1438" s="60"/>
      <c r="G1438" s="62"/>
      <c r="H1438" s="60"/>
      <c r="X1438" s="60"/>
      <c r="Z1438" s="58" t="s">
        <v>1429</v>
      </c>
    </row>
    <row r="1439" spans="1:26">
      <c r="A1439" s="60"/>
      <c r="B1439" s="77"/>
      <c r="C1439" s="60"/>
      <c r="D1439" s="81"/>
      <c r="E1439" s="62"/>
      <c r="F1439" s="60"/>
      <c r="G1439" s="62"/>
      <c r="H1439" s="60"/>
      <c r="X1439" s="60"/>
      <c r="Z1439" s="63" t="s">
        <v>1056</v>
      </c>
    </row>
    <row r="1440" spans="1:26">
      <c r="A1440" s="60"/>
      <c r="B1440" s="77"/>
      <c r="C1440" s="60"/>
      <c r="D1440" s="81"/>
      <c r="E1440" s="62"/>
      <c r="F1440" s="60"/>
      <c r="G1440" s="62"/>
      <c r="H1440" s="60"/>
      <c r="X1440" s="60"/>
      <c r="Z1440" s="58" t="s">
        <v>1059</v>
      </c>
    </row>
    <row r="1441" spans="1:26">
      <c r="A1441" s="60"/>
      <c r="B1441" s="77"/>
      <c r="C1441" s="60"/>
      <c r="D1441" s="81"/>
      <c r="E1441" s="62"/>
      <c r="F1441" s="60"/>
      <c r="G1441" s="62"/>
      <c r="H1441" s="60"/>
      <c r="X1441" s="60"/>
      <c r="Z1441" s="63" t="s">
        <v>1064</v>
      </c>
    </row>
    <row r="1442" spans="1:26">
      <c r="A1442" s="60"/>
      <c r="B1442" s="77"/>
      <c r="C1442" s="60"/>
      <c r="D1442" s="81"/>
      <c r="E1442" s="62"/>
      <c r="F1442" s="60"/>
      <c r="G1442" s="62"/>
      <c r="H1442" s="60"/>
      <c r="X1442" s="60"/>
      <c r="Z1442" s="58" t="s">
        <v>1438</v>
      </c>
    </row>
    <row r="1443" spans="1:26">
      <c r="A1443" s="60"/>
      <c r="B1443" s="77"/>
      <c r="C1443" s="60"/>
      <c r="D1443" s="81"/>
      <c r="E1443" s="62"/>
      <c r="F1443" s="60"/>
      <c r="G1443" s="62"/>
      <c r="H1443" s="60"/>
      <c r="X1443" s="60"/>
      <c r="Z1443" s="63" t="s">
        <v>1256</v>
      </c>
    </row>
    <row r="1444" spans="1:26">
      <c r="A1444" s="60"/>
      <c r="B1444" s="77"/>
      <c r="C1444" s="60"/>
      <c r="D1444" s="81"/>
      <c r="E1444" s="62"/>
      <c r="F1444" s="60"/>
      <c r="G1444" s="62"/>
      <c r="H1444" s="60"/>
      <c r="X1444" s="60"/>
      <c r="Z1444" s="58" t="s">
        <v>1070</v>
      </c>
    </row>
    <row r="1445" spans="1:26">
      <c r="A1445" s="60"/>
      <c r="B1445" s="77"/>
      <c r="C1445" s="60"/>
      <c r="D1445" s="81"/>
      <c r="E1445" s="62"/>
      <c r="F1445" s="60"/>
      <c r="G1445" s="62"/>
      <c r="H1445" s="60"/>
      <c r="X1445" s="60"/>
      <c r="Z1445" s="63" t="s">
        <v>1055</v>
      </c>
    </row>
    <row r="1446" spans="1:26">
      <c r="A1446" s="60"/>
      <c r="B1446" s="77"/>
      <c r="C1446" s="60"/>
      <c r="D1446" s="81"/>
      <c r="E1446" s="62"/>
      <c r="F1446" s="60"/>
      <c r="G1446" s="62"/>
      <c r="H1446" s="60"/>
      <c r="X1446" s="60"/>
      <c r="Z1446" s="58" t="s">
        <v>1445</v>
      </c>
    </row>
    <row r="1447" spans="1:26">
      <c r="A1447" s="60"/>
      <c r="B1447" s="77"/>
      <c r="C1447" s="60"/>
      <c r="D1447" s="81"/>
      <c r="E1447" s="62"/>
      <c r="F1447" s="60"/>
      <c r="G1447" s="62"/>
      <c r="H1447" s="60"/>
      <c r="X1447" s="60"/>
      <c r="Z1447" s="63" t="s">
        <v>1058</v>
      </c>
    </row>
    <row r="1448" spans="1:26">
      <c r="A1448" s="60"/>
      <c r="B1448" s="77"/>
      <c r="C1448" s="60"/>
      <c r="D1448" s="81"/>
      <c r="E1448" s="62"/>
      <c r="F1448" s="60"/>
      <c r="G1448" s="62"/>
      <c r="H1448" s="60"/>
      <c r="X1448" s="60"/>
      <c r="Z1448" s="58" t="s">
        <v>1347</v>
      </c>
    </row>
    <row r="1449" spans="1:26">
      <c r="A1449" s="60"/>
      <c r="B1449" s="77"/>
      <c r="C1449" s="60"/>
      <c r="D1449" s="81"/>
      <c r="E1449" s="62"/>
      <c r="F1449" s="60"/>
      <c r="G1449" s="62"/>
      <c r="H1449" s="60"/>
      <c r="X1449" s="60"/>
      <c r="Z1449" s="63" t="s">
        <v>1069</v>
      </c>
    </row>
    <row r="1450" spans="1:26">
      <c r="A1450" s="60"/>
      <c r="B1450" s="77"/>
      <c r="C1450" s="60"/>
      <c r="D1450" s="81"/>
      <c r="E1450" s="62"/>
      <c r="F1450" s="60"/>
      <c r="G1450" s="62"/>
      <c r="H1450" s="60"/>
      <c r="X1450" s="60"/>
      <c r="Z1450" s="58" t="s">
        <v>1075</v>
      </c>
    </row>
    <row r="1451" spans="1:26">
      <c r="A1451" s="60"/>
      <c r="B1451" s="77"/>
      <c r="C1451" s="60"/>
      <c r="D1451" s="81"/>
      <c r="E1451" s="62"/>
      <c r="F1451" s="60"/>
      <c r="G1451" s="62"/>
      <c r="H1451" s="60"/>
      <c r="X1451" s="60"/>
      <c r="Z1451" s="63" t="s">
        <v>1077</v>
      </c>
    </row>
    <row r="1452" spans="1:26">
      <c r="A1452" s="60"/>
      <c r="B1452" s="77"/>
      <c r="C1452" s="60"/>
      <c r="D1452" s="81"/>
      <c r="E1452" s="62"/>
      <c r="F1452" s="60"/>
      <c r="G1452" s="62"/>
      <c r="H1452" s="60"/>
      <c r="X1452" s="60"/>
      <c r="Z1452" s="58" t="s">
        <v>1459</v>
      </c>
    </row>
    <row r="1453" spans="1:26">
      <c r="A1453" s="60"/>
      <c r="B1453" s="77"/>
      <c r="C1453" s="60"/>
      <c r="D1453" s="81"/>
      <c r="E1453" s="62"/>
      <c r="F1453" s="60"/>
      <c r="G1453" s="62"/>
      <c r="H1453" s="60"/>
      <c r="X1453" s="60"/>
      <c r="Z1453" s="63" t="s">
        <v>1080</v>
      </c>
    </row>
    <row r="1454" spans="1:26">
      <c r="A1454" s="60"/>
      <c r="B1454" s="77"/>
      <c r="C1454" s="60"/>
      <c r="D1454" s="81"/>
      <c r="E1454" s="62"/>
      <c r="F1454" s="60"/>
      <c r="G1454" s="62"/>
      <c r="H1454" s="60"/>
      <c r="X1454" s="60"/>
      <c r="Z1454" s="58" t="s">
        <v>1082</v>
      </c>
    </row>
    <row r="1455" spans="1:26">
      <c r="A1455" s="60"/>
      <c r="B1455" s="77"/>
      <c r="C1455" s="60"/>
      <c r="D1455" s="81"/>
      <c r="E1455" s="62"/>
      <c r="F1455" s="60"/>
      <c r="G1455" s="62"/>
      <c r="H1455" s="60"/>
      <c r="X1455" s="60"/>
      <c r="Z1455" s="63" t="s">
        <v>1271</v>
      </c>
    </row>
    <row r="1456" spans="1:26">
      <c r="A1456" s="60"/>
      <c r="B1456" s="77"/>
      <c r="C1456" s="60"/>
      <c r="D1456" s="81"/>
      <c r="E1456" s="62"/>
      <c r="F1456" s="60"/>
      <c r="G1456" s="62"/>
      <c r="H1456" s="60"/>
      <c r="X1456" s="60"/>
      <c r="Z1456" s="58" t="s">
        <v>1087</v>
      </c>
    </row>
    <row r="1457" spans="1:26">
      <c r="A1457" s="60"/>
      <c r="B1457" s="77"/>
      <c r="C1457" s="60"/>
      <c r="D1457" s="81"/>
      <c r="E1457" s="62"/>
      <c r="F1457" s="60"/>
      <c r="G1457" s="62"/>
      <c r="H1457" s="60"/>
      <c r="X1457" s="60"/>
      <c r="Z1457" s="63" t="s">
        <v>1090</v>
      </c>
    </row>
    <row r="1458" spans="1:26">
      <c r="A1458" s="60"/>
      <c r="B1458" s="77"/>
      <c r="C1458" s="60"/>
      <c r="D1458" s="81"/>
      <c r="E1458" s="62"/>
      <c r="F1458" s="60"/>
      <c r="G1458" s="62"/>
      <c r="H1458" s="60"/>
      <c r="X1458" s="60"/>
      <c r="Z1458" s="58" t="s">
        <v>1095</v>
      </c>
    </row>
    <row r="1459" spans="1:26">
      <c r="A1459" s="60"/>
      <c r="B1459" s="77"/>
      <c r="C1459" s="60"/>
      <c r="D1459" s="81"/>
      <c r="E1459" s="62"/>
      <c r="F1459" s="60"/>
      <c r="G1459" s="62"/>
      <c r="H1459" s="60"/>
      <c r="X1459" s="60"/>
      <c r="Z1459" s="63" t="s">
        <v>1473</v>
      </c>
    </row>
    <row r="1460" spans="1:26">
      <c r="A1460" s="60"/>
      <c r="B1460" s="77"/>
      <c r="C1460" s="60"/>
      <c r="D1460" s="81"/>
      <c r="E1460" s="62"/>
      <c r="F1460" s="60"/>
      <c r="G1460" s="62"/>
      <c r="H1460" s="60"/>
      <c r="Z1460" s="58" t="s">
        <v>1097</v>
      </c>
    </row>
    <row r="1461" spans="1:26">
      <c r="A1461" s="60"/>
      <c r="B1461" s="77"/>
      <c r="C1461" s="60"/>
      <c r="D1461" s="81"/>
      <c r="E1461" s="62"/>
      <c r="F1461" s="60"/>
      <c r="G1461" s="62"/>
      <c r="H1461" s="60"/>
      <c r="Z1461" s="63" t="s">
        <v>1117</v>
      </c>
    </row>
    <row r="1462" spans="1:26">
      <c r="A1462" s="60"/>
      <c r="B1462" s="77"/>
      <c r="C1462" s="60"/>
      <c r="D1462" s="81"/>
      <c r="E1462" s="62"/>
      <c r="F1462" s="60"/>
      <c r="G1462" s="62"/>
      <c r="H1462" s="60"/>
      <c r="Z1462" s="58" t="s">
        <v>1107</v>
      </c>
    </row>
    <row r="1463" spans="1:26">
      <c r="A1463" s="60"/>
      <c r="B1463" s="77"/>
      <c r="C1463" s="60"/>
      <c r="D1463" s="81"/>
      <c r="E1463" s="62"/>
      <c r="F1463" s="60"/>
      <c r="G1463" s="62"/>
      <c r="H1463" s="60"/>
      <c r="Z1463" s="63" t="s">
        <v>1126</v>
      </c>
    </row>
    <row r="1464" spans="1:26">
      <c r="A1464" s="60"/>
      <c r="B1464" s="77"/>
      <c r="C1464" s="60"/>
      <c r="D1464" s="81"/>
      <c r="E1464" s="62"/>
      <c r="F1464" s="60"/>
      <c r="G1464" s="62"/>
      <c r="H1464" s="60"/>
      <c r="Z1464" s="58" t="s">
        <v>1112</v>
      </c>
    </row>
    <row r="1465" spans="1:26">
      <c r="A1465" s="60"/>
      <c r="B1465" s="77"/>
      <c r="C1465" s="60"/>
      <c r="D1465" s="81"/>
      <c r="E1465" s="62"/>
      <c r="F1465" s="60"/>
      <c r="G1465" s="62"/>
      <c r="H1465" s="60"/>
      <c r="Z1465" s="63" t="s">
        <v>1279</v>
      </c>
    </row>
    <row r="1466" spans="1:26">
      <c r="A1466" s="60"/>
      <c r="B1466" s="77"/>
      <c r="C1466" s="60"/>
      <c r="D1466" s="81"/>
      <c r="E1466" s="62"/>
      <c r="F1466" s="60"/>
      <c r="G1466" s="62"/>
      <c r="H1466" s="60"/>
      <c r="Z1466" s="58" t="s">
        <v>1281</v>
      </c>
    </row>
    <row r="1467" spans="1:26">
      <c r="A1467" s="60"/>
      <c r="B1467" s="77"/>
      <c r="C1467" s="60"/>
      <c r="D1467" s="81"/>
      <c r="E1467" s="62"/>
      <c r="F1467" s="60"/>
      <c r="G1467" s="62"/>
      <c r="H1467" s="60"/>
      <c r="Z1467" s="63" t="s">
        <v>1323</v>
      </c>
    </row>
    <row r="1468" spans="1:26">
      <c r="A1468" s="60"/>
      <c r="B1468" s="77"/>
      <c r="C1468" s="60"/>
      <c r="D1468" s="81"/>
      <c r="E1468" s="62"/>
      <c r="F1468" s="60"/>
      <c r="G1468" s="62"/>
      <c r="H1468" s="60"/>
      <c r="Z1468" s="58" t="s">
        <v>1489</v>
      </c>
    </row>
    <row r="1469" spans="1:26">
      <c r="A1469" s="60"/>
      <c r="B1469" s="77"/>
      <c r="C1469" s="60"/>
      <c r="D1469" s="81"/>
      <c r="E1469" s="62"/>
      <c r="F1469" s="60"/>
      <c r="G1469" s="62"/>
      <c r="H1469" s="60"/>
      <c r="Z1469" s="63" t="s">
        <v>1492</v>
      </c>
    </row>
    <row r="1470" spans="1:26">
      <c r="A1470" s="60"/>
      <c r="B1470" s="77"/>
      <c r="C1470" s="60"/>
      <c r="D1470" s="81"/>
      <c r="E1470" s="62"/>
      <c r="F1470" s="60"/>
      <c r="G1470" s="62"/>
      <c r="H1470" s="60"/>
      <c r="Z1470" s="58" t="s">
        <v>1142</v>
      </c>
    </row>
    <row r="1471" spans="1:26">
      <c r="A1471" s="60"/>
      <c r="B1471" s="77"/>
      <c r="C1471" s="60"/>
      <c r="D1471" s="81"/>
      <c r="E1471" s="62"/>
      <c r="F1471" s="60"/>
      <c r="G1471" s="62"/>
      <c r="H1471" s="60"/>
      <c r="Z1471" s="63" t="s">
        <v>1123</v>
      </c>
    </row>
    <row r="1472" spans="1:26">
      <c r="A1472" s="60"/>
      <c r="B1472" s="77"/>
      <c r="C1472" s="60"/>
      <c r="D1472" s="81"/>
      <c r="E1472" s="62"/>
      <c r="F1472" s="60"/>
      <c r="G1472" s="62"/>
      <c r="H1472" s="60"/>
      <c r="Z1472" s="58" t="s">
        <v>851</v>
      </c>
    </row>
    <row r="1473" spans="1:26">
      <c r="A1473" s="60"/>
      <c r="B1473" s="77"/>
      <c r="C1473" s="60"/>
      <c r="D1473" s="81"/>
      <c r="E1473" s="62"/>
      <c r="F1473" s="60"/>
      <c r="G1473" s="62"/>
      <c r="H1473" s="60"/>
      <c r="Z1473" s="63" t="s">
        <v>850</v>
      </c>
    </row>
    <row r="1474" spans="1:26">
      <c r="A1474" s="60"/>
      <c r="B1474" s="77"/>
      <c r="C1474" s="60"/>
      <c r="D1474" s="81"/>
      <c r="E1474" s="62"/>
      <c r="F1474" s="60"/>
      <c r="G1474" s="62"/>
      <c r="H1474" s="60"/>
      <c r="Z1474" s="58" t="s">
        <v>1128</v>
      </c>
    </row>
    <row r="1475" spans="1:26">
      <c r="A1475" s="60"/>
      <c r="B1475" s="77"/>
      <c r="C1475" s="60"/>
      <c r="D1475" s="81"/>
      <c r="E1475" s="62"/>
      <c r="F1475" s="60"/>
      <c r="G1475" s="62"/>
      <c r="H1475" s="60"/>
      <c r="Z1475" s="63" t="s">
        <v>1502</v>
      </c>
    </row>
    <row r="1476" spans="1:26">
      <c r="A1476" s="60"/>
      <c r="B1476" s="77"/>
      <c r="C1476" s="60"/>
      <c r="D1476" s="81"/>
      <c r="E1476" s="62"/>
      <c r="F1476" s="60"/>
      <c r="G1476" s="62"/>
      <c r="H1476" s="60"/>
      <c r="Z1476" s="58" t="s">
        <v>1130</v>
      </c>
    </row>
    <row r="1477" spans="1:26">
      <c r="A1477" s="60"/>
      <c r="B1477" s="77"/>
      <c r="C1477" s="60"/>
      <c r="D1477" s="81"/>
      <c r="E1477" s="62"/>
      <c r="F1477" s="60"/>
      <c r="G1477" s="62"/>
      <c r="H1477" s="60"/>
      <c r="Z1477" s="63" t="s">
        <v>1185</v>
      </c>
    </row>
    <row r="1478" spans="1:26">
      <c r="A1478" s="60"/>
      <c r="B1478" s="77"/>
      <c r="C1478" s="60"/>
      <c r="D1478" s="81"/>
      <c r="E1478" s="62"/>
      <c r="F1478" s="60"/>
      <c r="G1478" s="62"/>
      <c r="H1478" s="60"/>
      <c r="Z1478" s="58" t="s">
        <v>1133</v>
      </c>
    </row>
    <row r="1479" spans="1:26">
      <c r="A1479" s="60"/>
      <c r="B1479" s="77"/>
      <c r="C1479" s="60"/>
      <c r="D1479" s="81"/>
      <c r="E1479" s="62"/>
      <c r="F1479" s="60"/>
      <c r="G1479" s="62"/>
      <c r="H1479" s="60"/>
      <c r="Z1479" s="63" t="s">
        <v>865</v>
      </c>
    </row>
    <row r="1480" spans="1:26">
      <c r="A1480" s="60"/>
      <c r="B1480" s="77"/>
      <c r="C1480" s="60"/>
      <c r="D1480" s="81"/>
      <c r="E1480" s="62"/>
      <c r="F1480" s="60"/>
      <c r="G1480" s="62"/>
      <c r="H1480" s="60"/>
      <c r="Z1480" s="58" t="s">
        <v>879</v>
      </c>
    </row>
    <row r="1481" spans="1:26">
      <c r="A1481" s="60"/>
      <c r="B1481" s="77"/>
      <c r="C1481" s="60"/>
      <c r="D1481" s="81"/>
      <c r="E1481" s="62"/>
      <c r="F1481" s="60"/>
      <c r="G1481" s="62"/>
      <c r="H1481" s="60"/>
      <c r="Z1481" s="63" t="s">
        <v>875</v>
      </c>
    </row>
    <row r="1482" spans="1:26">
      <c r="A1482" s="60"/>
      <c r="B1482" s="77"/>
      <c r="C1482" s="60"/>
      <c r="D1482" s="81"/>
      <c r="E1482" s="62"/>
      <c r="F1482" s="60"/>
      <c r="G1482" s="62"/>
      <c r="H1482" s="60"/>
      <c r="Z1482" s="58" t="s">
        <v>878</v>
      </c>
    </row>
    <row r="1483" spans="1:26">
      <c r="A1483" s="60"/>
      <c r="B1483" s="77"/>
      <c r="C1483" s="60"/>
      <c r="D1483" s="81"/>
      <c r="E1483" s="62"/>
      <c r="F1483" s="60"/>
      <c r="G1483" s="62"/>
      <c r="H1483" s="60"/>
      <c r="Z1483" s="63" t="s">
        <v>884</v>
      </c>
    </row>
    <row r="1484" spans="1:26">
      <c r="A1484" s="60"/>
      <c r="B1484" s="77"/>
      <c r="C1484" s="60"/>
      <c r="D1484" s="81"/>
      <c r="E1484" s="62"/>
      <c r="F1484" s="60"/>
      <c r="G1484" s="62"/>
      <c r="H1484" s="60"/>
      <c r="Z1484" s="58" t="s">
        <v>889</v>
      </c>
    </row>
    <row r="1485" spans="1:26">
      <c r="A1485" s="60"/>
      <c r="B1485" s="77"/>
      <c r="C1485" s="60"/>
      <c r="D1485" s="81"/>
      <c r="E1485" s="62"/>
      <c r="F1485" s="60"/>
      <c r="G1485" s="62"/>
      <c r="H1485" s="60"/>
      <c r="Z1485" s="63" t="s">
        <v>891</v>
      </c>
    </row>
    <row r="1486" spans="1:26">
      <c r="A1486" s="60"/>
      <c r="B1486" s="77"/>
      <c r="C1486" s="60"/>
      <c r="D1486" s="81"/>
      <c r="E1486" s="62"/>
      <c r="F1486" s="60"/>
      <c r="G1486" s="62"/>
      <c r="H1486" s="60"/>
      <c r="Z1486" s="58" t="s">
        <v>925</v>
      </c>
    </row>
    <row r="1487" spans="1:26">
      <c r="A1487" s="60"/>
      <c r="B1487" s="77"/>
      <c r="C1487" s="60"/>
      <c r="D1487" s="81"/>
      <c r="E1487" s="62"/>
      <c r="F1487" s="60"/>
      <c r="G1487" s="62"/>
      <c r="H1487" s="60"/>
      <c r="Z1487" s="63" t="s">
        <v>933</v>
      </c>
    </row>
    <row r="1488" spans="1:26">
      <c r="A1488" s="60"/>
      <c r="B1488" s="77"/>
      <c r="C1488" s="60"/>
      <c r="D1488" s="81"/>
      <c r="E1488" s="62"/>
      <c r="F1488" s="60"/>
      <c r="G1488" s="62"/>
      <c r="H1488" s="60"/>
      <c r="Z1488" s="58" t="s">
        <v>1197</v>
      </c>
    </row>
    <row r="1489" spans="1:26">
      <c r="A1489" s="60"/>
      <c r="B1489" s="77"/>
      <c r="C1489" s="60"/>
      <c r="D1489" s="81"/>
      <c r="E1489" s="62"/>
      <c r="F1489" s="60"/>
      <c r="G1489" s="62"/>
      <c r="H1489" s="60"/>
      <c r="Z1489" s="63" t="s">
        <v>1392</v>
      </c>
    </row>
    <row r="1490" spans="1:26">
      <c r="A1490" s="60"/>
      <c r="B1490" s="77"/>
      <c r="C1490" s="60"/>
      <c r="D1490" s="81"/>
      <c r="E1490" s="62"/>
      <c r="F1490" s="60"/>
      <c r="G1490" s="62"/>
      <c r="H1490" s="60"/>
      <c r="Z1490" s="58" t="s">
        <v>1301</v>
      </c>
    </row>
    <row r="1491" spans="1:26">
      <c r="A1491" s="60"/>
      <c r="B1491" s="77"/>
      <c r="C1491" s="60"/>
      <c r="D1491" s="81"/>
      <c r="E1491" s="62"/>
      <c r="F1491" s="60"/>
      <c r="G1491" s="62"/>
      <c r="H1491" s="60"/>
      <c r="Z1491" s="63" t="s">
        <v>947</v>
      </c>
    </row>
    <row r="1492" spans="1:26">
      <c r="A1492" s="60"/>
      <c r="B1492" s="77"/>
      <c r="C1492" s="60"/>
      <c r="D1492" s="81"/>
      <c r="E1492" s="62"/>
      <c r="F1492" s="60"/>
      <c r="G1492" s="62"/>
      <c r="H1492" s="60"/>
      <c r="Z1492" s="58" t="s">
        <v>1401</v>
      </c>
    </row>
    <row r="1493" spans="1:26">
      <c r="A1493" s="60"/>
      <c r="B1493" s="77"/>
      <c r="C1493" s="60"/>
      <c r="D1493" s="81"/>
      <c r="E1493" s="62"/>
      <c r="F1493" s="60"/>
      <c r="G1493" s="62"/>
      <c r="H1493" s="60"/>
      <c r="Z1493" s="63" t="s">
        <v>942</v>
      </c>
    </row>
    <row r="1494" spans="1:26">
      <c r="A1494" s="60"/>
      <c r="B1494" s="77"/>
      <c r="C1494" s="60"/>
      <c r="D1494" s="81"/>
      <c r="E1494" s="62"/>
      <c r="F1494" s="60"/>
      <c r="G1494" s="62"/>
      <c r="H1494" s="60"/>
      <c r="Z1494" s="58" t="s">
        <v>1351</v>
      </c>
    </row>
    <row r="1495" spans="1:26">
      <c r="A1495" s="60"/>
      <c r="B1495" s="77"/>
      <c r="C1495" s="60"/>
      <c r="D1495" s="81"/>
      <c r="E1495" s="62"/>
      <c r="F1495" s="60"/>
      <c r="G1495" s="62"/>
      <c r="H1495" s="60"/>
      <c r="Z1495" s="63" t="s">
        <v>1170</v>
      </c>
    </row>
    <row r="1496" spans="1:26">
      <c r="A1496" s="60"/>
      <c r="B1496" s="77"/>
      <c r="C1496" s="60"/>
      <c r="D1496" s="81"/>
      <c r="E1496" s="62"/>
      <c r="F1496" s="60"/>
      <c r="G1496" s="62"/>
      <c r="H1496" s="60"/>
      <c r="Z1496" s="58" t="s">
        <v>955</v>
      </c>
    </row>
    <row r="1497" spans="1:26">
      <c r="A1497" s="60"/>
      <c r="B1497" s="77"/>
      <c r="C1497" s="60"/>
      <c r="D1497" s="81"/>
      <c r="E1497" s="62"/>
      <c r="F1497" s="60"/>
      <c r="G1497" s="62"/>
      <c r="H1497" s="60"/>
      <c r="Z1497" s="63" t="s">
        <v>958</v>
      </c>
    </row>
    <row r="1498" spans="1:26">
      <c r="A1498" s="60"/>
      <c r="B1498" s="77"/>
      <c r="C1498" s="60"/>
      <c r="D1498" s="81"/>
      <c r="E1498" s="62"/>
      <c r="F1498" s="60"/>
      <c r="G1498" s="62"/>
      <c r="H1498" s="60"/>
      <c r="Z1498" s="58" t="s">
        <v>960</v>
      </c>
    </row>
    <row r="1499" spans="1:26">
      <c r="A1499" s="60"/>
      <c r="B1499" s="77"/>
      <c r="C1499" s="60"/>
      <c r="D1499" s="81"/>
      <c r="E1499" s="62"/>
      <c r="F1499" s="60"/>
      <c r="G1499" s="62"/>
      <c r="H1499" s="60"/>
      <c r="Z1499" s="63" t="s">
        <v>963</v>
      </c>
    </row>
    <row r="1500" spans="1:26">
      <c r="A1500" s="60"/>
      <c r="B1500" s="77"/>
      <c r="C1500" s="60"/>
      <c r="D1500" s="81"/>
      <c r="E1500" s="62"/>
      <c r="F1500" s="60"/>
      <c r="G1500" s="62"/>
      <c r="H1500" s="60"/>
      <c r="Z1500" s="58" t="s">
        <v>967</v>
      </c>
    </row>
    <row r="1501" spans="1:26">
      <c r="A1501" s="60"/>
      <c r="B1501" s="77"/>
      <c r="C1501" s="60"/>
      <c r="D1501" s="81"/>
      <c r="E1501" s="62"/>
      <c r="F1501" s="60"/>
      <c r="G1501" s="62"/>
      <c r="H1501" s="60"/>
      <c r="Z1501" s="63" t="s">
        <v>970</v>
      </c>
    </row>
    <row r="1502" spans="1:26">
      <c r="A1502" s="60"/>
      <c r="B1502" s="77"/>
      <c r="C1502" s="60"/>
      <c r="D1502" s="81"/>
      <c r="E1502" s="62"/>
      <c r="F1502" s="60"/>
      <c r="G1502" s="62"/>
      <c r="H1502" s="60"/>
      <c r="Z1502" s="58" t="s">
        <v>972</v>
      </c>
    </row>
    <row r="1503" spans="1:26">
      <c r="A1503" s="60"/>
      <c r="B1503" s="77"/>
      <c r="C1503" s="60"/>
      <c r="D1503" s="81"/>
      <c r="E1503" s="62"/>
      <c r="F1503" s="60"/>
      <c r="G1503" s="62"/>
      <c r="H1503" s="60"/>
      <c r="Z1503" s="63" t="s">
        <v>1153</v>
      </c>
    </row>
    <row r="1504" spans="1:26">
      <c r="A1504" s="60"/>
      <c r="B1504" s="77"/>
      <c r="C1504" s="60"/>
      <c r="D1504" s="81"/>
      <c r="E1504" s="62"/>
      <c r="F1504" s="60"/>
      <c r="G1504" s="62"/>
      <c r="H1504" s="60"/>
      <c r="Z1504" s="58" t="s">
        <v>1188</v>
      </c>
    </row>
    <row r="1505" spans="1:26">
      <c r="A1505" s="60"/>
      <c r="B1505" s="77"/>
      <c r="C1505" s="60"/>
      <c r="D1505" s="81"/>
      <c r="E1505" s="62"/>
      <c r="F1505" s="60"/>
      <c r="G1505" s="62"/>
      <c r="H1505" s="60"/>
      <c r="Z1505" s="63" t="s">
        <v>988</v>
      </c>
    </row>
    <row r="1506" spans="1:26">
      <c r="A1506" s="60"/>
      <c r="B1506" s="77"/>
      <c r="C1506" s="60"/>
      <c r="D1506" s="81"/>
      <c r="E1506" s="62"/>
      <c r="F1506" s="60"/>
      <c r="G1506" s="62"/>
      <c r="H1506" s="60"/>
      <c r="Z1506" s="58" t="s">
        <v>1191</v>
      </c>
    </row>
    <row r="1507" spans="1:26">
      <c r="A1507" s="60"/>
      <c r="B1507" s="77"/>
      <c r="C1507" s="60"/>
      <c r="D1507" s="81"/>
      <c r="E1507" s="62"/>
      <c r="F1507" s="60"/>
      <c r="G1507" s="62"/>
      <c r="H1507" s="60"/>
      <c r="Z1507" s="63" t="s">
        <v>991</v>
      </c>
    </row>
    <row r="1508" spans="1:26">
      <c r="A1508" s="60"/>
      <c r="B1508" s="77"/>
      <c r="C1508" s="60"/>
      <c r="D1508" s="81"/>
      <c r="E1508" s="62"/>
      <c r="F1508" s="60"/>
      <c r="G1508" s="62"/>
      <c r="H1508" s="60"/>
      <c r="Z1508" s="58" t="s">
        <v>1564</v>
      </c>
    </row>
    <row r="1509" spans="1:26">
      <c r="A1509" s="60"/>
      <c r="B1509" s="77"/>
      <c r="C1509" s="60"/>
      <c r="D1509" s="81"/>
      <c r="E1509" s="62"/>
      <c r="F1509" s="60"/>
      <c r="G1509" s="62"/>
      <c r="H1509" s="60"/>
      <c r="Z1509" s="63" t="s">
        <v>997</v>
      </c>
    </row>
    <row r="1510" spans="1:26">
      <c r="A1510" s="60"/>
      <c r="B1510" s="77"/>
      <c r="C1510" s="60"/>
      <c r="D1510" s="81"/>
      <c r="E1510" s="62"/>
      <c r="F1510" s="60"/>
      <c r="G1510" s="62"/>
      <c r="H1510" s="60"/>
      <c r="Z1510" s="58" t="s">
        <v>1416</v>
      </c>
    </row>
    <row r="1511" spans="1:26">
      <c r="A1511" s="60"/>
      <c r="B1511" s="77"/>
      <c r="C1511" s="60"/>
      <c r="D1511" s="81"/>
      <c r="E1511" s="62"/>
      <c r="F1511" s="60"/>
      <c r="G1511" s="62"/>
      <c r="H1511" s="60"/>
      <c r="Z1511" s="63" t="s">
        <v>1008</v>
      </c>
    </row>
    <row r="1512" spans="1:26">
      <c r="A1512" s="60"/>
      <c r="B1512" s="77"/>
      <c r="C1512" s="60"/>
      <c r="D1512" s="81"/>
      <c r="E1512" s="62"/>
      <c r="F1512" s="60"/>
      <c r="G1512" s="62"/>
      <c r="H1512" s="60"/>
      <c r="Z1512" s="58" t="s">
        <v>1011</v>
      </c>
    </row>
    <row r="1513" spans="1:26">
      <c r="A1513" s="60"/>
      <c r="B1513" s="77"/>
      <c r="C1513" s="60"/>
      <c r="D1513" s="81"/>
      <c r="E1513" s="62"/>
      <c r="F1513" s="60"/>
      <c r="G1513" s="62"/>
      <c r="H1513" s="60"/>
      <c r="Z1513" s="63" t="s">
        <v>1002</v>
      </c>
    </row>
    <row r="1514" spans="1:26">
      <c r="A1514" s="60"/>
      <c r="B1514" s="77"/>
      <c r="C1514" s="60"/>
      <c r="D1514" s="81"/>
      <c r="E1514" s="62"/>
      <c r="F1514" s="60"/>
      <c r="G1514" s="62"/>
      <c r="H1514" s="60"/>
      <c r="Z1514" s="58" t="s">
        <v>1007</v>
      </c>
    </row>
    <row r="1515" spans="1:26">
      <c r="A1515" s="60"/>
      <c r="B1515" s="77"/>
      <c r="C1515" s="60"/>
      <c r="D1515" s="81"/>
      <c r="E1515" s="62"/>
      <c r="F1515" s="60"/>
      <c r="G1515" s="62"/>
      <c r="H1515" s="60"/>
      <c r="Z1515" s="63" t="s">
        <v>1411</v>
      </c>
    </row>
    <row r="1516" spans="1:26">
      <c r="A1516" s="60"/>
      <c r="B1516" s="77"/>
      <c r="C1516" s="60"/>
      <c r="D1516" s="81"/>
      <c r="E1516" s="62"/>
      <c r="F1516" s="60"/>
      <c r="G1516" s="62"/>
      <c r="H1516" s="60"/>
      <c r="Z1516" s="58" t="s">
        <v>1017</v>
      </c>
    </row>
    <row r="1517" spans="1:26">
      <c r="A1517" s="60"/>
      <c r="B1517" s="77"/>
      <c r="C1517" s="60"/>
      <c r="D1517" s="81"/>
      <c r="E1517" s="62"/>
      <c r="F1517" s="60"/>
      <c r="G1517" s="62"/>
      <c r="H1517" s="60"/>
      <c r="Z1517" s="63" t="s">
        <v>1427</v>
      </c>
    </row>
    <row r="1518" spans="1:26">
      <c r="A1518" s="60"/>
      <c r="B1518" s="77"/>
      <c r="C1518" s="60"/>
      <c r="D1518" s="81"/>
      <c r="E1518" s="62"/>
      <c r="F1518" s="60"/>
      <c r="G1518" s="62"/>
      <c r="H1518" s="60"/>
      <c r="Z1518" s="58" t="s">
        <v>1028</v>
      </c>
    </row>
    <row r="1519" spans="1:26">
      <c r="A1519" s="60"/>
      <c r="B1519" s="77"/>
      <c r="C1519" s="60"/>
      <c r="D1519" s="81"/>
      <c r="E1519" s="62"/>
      <c r="F1519" s="60"/>
      <c r="G1519" s="62"/>
      <c r="H1519" s="60"/>
      <c r="Z1519" s="63" t="s">
        <v>1038</v>
      </c>
    </row>
    <row r="1520" spans="1:26">
      <c r="A1520" s="60"/>
      <c r="B1520" s="77"/>
      <c r="C1520" s="60"/>
      <c r="D1520" s="81"/>
      <c r="E1520" s="62"/>
      <c r="F1520" s="60"/>
      <c r="G1520" s="62"/>
      <c r="H1520" s="60"/>
      <c r="Z1520" s="58" t="s">
        <v>1043</v>
      </c>
    </row>
    <row r="1521" spans="1:26">
      <c r="A1521" s="60"/>
      <c r="B1521" s="77"/>
      <c r="C1521" s="60"/>
      <c r="D1521" s="81"/>
      <c r="E1521" s="62"/>
      <c r="F1521" s="60"/>
      <c r="G1521" s="62"/>
      <c r="H1521" s="60"/>
      <c r="Z1521" s="63" t="s">
        <v>1436</v>
      </c>
    </row>
    <row r="1522" spans="1:26">
      <c r="A1522" s="60"/>
      <c r="B1522" s="77"/>
      <c r="C1522" s="60"/>
      <c r="D1522" s="81"/>
      <c r="E1522" s="62"/>
      <c r="F1522" s="60"/>
      <c r="G1522" s="62"/>
      <c r="H1522" s="60"/>
      <c r="Z1522" s="58" t="s">
        <v>1232</v>
      </c>
    </row>
    <row r="1523" spans="1:26">
      <c r="A1523" s="60"/>
      <c r="B1523" s="77"/>
      <c r="C1523" s="60"/>
      <c r="D1523" s="81"/>
      <c r="E1523" s="62"/>
      <c r="F1523" s="60"/>
      <c r="G1523" s="62"/>
      <c r="H1523" s="60"/>
      <c r="Z1523" s="63" t="s">
        <v>1059</v>
      </c>
    </row>
    <row r="1524" spans="1:26">
      <c r="A1524" s="60"/>
      <c r="B1524" s="77"/>
      <c r="C1524" s="60"/>
      <c r="D1524" s="81"/>
      <c r="E1524" s="62"/>
      <c r="F1524" s="60"/>
      <c r="G1524" s="62"/>
      <c r="H1524" s="60"/>
      <c r="Z1524" s="58" t="s">
        <v>1359</v>
      </c>
    </row>
    <row r="1525" spans="1:26">
      <c r="A1525" s="60"/>
      <c r="B1525" s="77"/>
      <c r="C1525" s="60"/>
      <c r="D1525" s="81"/>
      <c r="E1525" s="62"/>
      <c r="F1525" s="60"/>
      <c r="G1525" s="62"/>
      <c r="H1525" s="60"/>
      <c r="Z1525" s="63" t="s">
        <v>1070</v>
      </c>
    </row>
    <row r="1526" spans="1:26">
      <c r="A1526" s="60"/>
      <c r="B1526" s="77"/>
      <c r="C1526" s="60"/>
      <c r="D1526" s="81"/>
      <c r="E1526" s="62"/>
      <c r="F1526" s="60"/>
      <c r="G1526" s="62"/>
      <c r="H1526" s="60"/>
      <c r="Z1526" s="58" t="s">
        <v>1174</v>
      </c>
    </row>
    <row r="1527" spans="1:26">
      <c r="A1527" s="60"/>
      <c r="B1527" s="77"/>
      <c r="C1527" s="60"/>
      <c r="D1527" s="81"/>
      <c r="E1527" s="62"/>
      <c r="F1527" s="60"/>
      <c r="G1527" s="62"/>
      <c r="H1527" s="60"/>
      <c r="Z1527" s="63" t="s">
        <v>1061</v>
      </c>
    </row>
    <row r="1528" spans="1:26">
      <c r="A1528" s="60"/>
      <c r="B1528" s="77"/>
      <c r="C1528" s="60"/>
      <c r="D1528" s="81"/>
      <c r="E1528" s="62"/>
      <c r="F1528" s="60"/>
      <c r="G1528" s="62"/>
      <c r="H1528" s="60"/>
      <c r="Z1528" s="58" t="s">
        <v>1347</v>
      </c>
    </row>
    <row r="1529" spans="1:26">
      <c r="A1529" s="60"/>
      <c r="B1529" s="77"/>
      <c r="C1529" s="60"/>
      <c r="D1529" s="81"/>
      <c r="E1529" s="62"/>
      <c r="F1529" s="60"/>
      <c r="G1529" s="62"/>
      <c r="H1529" s="60"/>
      <c r="Z1529" s="63" t="s">
        <v>1063</v>
      </c>
    </row>
    <row r="1530" spans="1:26">
      <c r="A1530" s="60"/>
      <c r="B1530" s="77"/>
      <c r="C1530" s="60"/>
      <c r="D1530" s="81"/>
      <c r="E1530" s="62"/>
      <c r="F1530" s="60"/>
      <c r="G1530" s="62"/>
      <c r="H1530" s="60"/>
      <c r="Z1530" s="58" t="s">
        <v>1066</v>
      </c>
    </row>
    <row r="1531" spans="1:26">
      <c r="A1531" s="60"/>
      <c r="B1531" s="77"/>
      <c r="C1531" s="60"/>
      <c r="D1531" s="81"/>
      <c r="E1531" s="62"/>
      <c r="F1531" s="60"/>
      <c r="G1531" s="62"/>
      <c r="H1531" s="60"/>
      <c r="Z1531" s="63" t="s">
        <v>1077</v>
      </c>
    </row>
    <row r="1532" spans="1:26">
      <c r="A1532" s="60"/>
      <c r="B1532" s="77"/>
      <c r="C1532" s="60"/>
      <c r="D1532" s="81"/>
      <c r="E1532" s="62"/>
      <c r="F1532" s="60"/>
      <c r="G1532" s="62"/>
      <c r="H1532" s="60"/>
      <c r="Z1532" s="58" t="s">
        <v>1080</v>
      </c>
    </row>
    <row r="1533" spans="1:26">
      <c r="A1533" s="60"/>
      <c r="B1533" s="77"/>
      <c r="C1533" s="60"/>
      <c r="D1533" s="81"/>
      <c r="E1533" s="62"/>
      <c r="F1533" s="60"/>
      <c r="G1533" s="62"/>
      <c r="H1533" s="60"/>
      <c r="Z1533" s="63" t="s">
        <v>1089</v>
      </c>
    </row>
    <row r="1534" spans="1:26">
      <c r="A1534" s="60"/>
      <c r="B1534" s="77"/>
      <c r="C1534" s="60"/>
      <c r="D1534" s="81"/>
      <c r="E1534" s="62"/>
      <c r="F1534" s="60"/>
      <c r="G1534" s="62"/>
      <c r="H1534" s="60"/>
      <c r="Z1534" s="58" t="s">
        <v>1087</v>
      </c>
    </row>
    <row r="1535" spans="1:26">
      <c r="A1535" s="60"/>
      <c r="B1535" s="77"/>
      <c r="C1535" s="60"/>
      <c r="D1535" s="81"/>
      <c r="E1535" s="62"/>
      <c r="F1535" s="60"/>
      <c r="G1535" s="62"/>
      <c r="H1535" s="60"/>
      <c r="Z1535" s="63" t="s">
        <v>1090</v>
      </c>
    </row>
    <row r="1536" spans="1:26">
      <c r="A1536" s="60"/>
      <c r="B1536" s="77"/>
      <c r="C1536" s="60"/>
      <c r="D1536" s="81"/>
      <c r="E1536" s="62"/>
      <c r="F1536" s="60"/>
      <c r="G1536" s="62"/>
      <c r="H1536" s="60"/>
      <c r="Z1536" s="58" t="s">
        <v>1099</v>
      </c>
    </row>
    <row r="1537" spans="1:26">
      <c r="A1537" s="60"/>
      <c r="B1537" s="77"/>
      <c r="C1537" s="60"/>
      <c r="D1537" s="81"/>
      <c r="E1537" s="62"/>
      <c r="F1537" s="60"/>
      <c r="G1537" s="62"/>
      <c r="H1537" s="60"/>
      <c r="Z1537" s="63" t="s">
        <v>1092</v>
      </c>
    </row>
    <row r="1538" spans="1:26">
      <c r="A1538" s="60"/>
      <c r="B1538" s="77"/>
      <c r="C1538" s="60"/>
      <c r="D1538" s="81"/>
      <c r="E1538" s="62"/>
      <c r="F1538" s="60"/>
      <c r="G1538" s="62"/>
      <c r="H1538" s="60"/>
      <c r="Z1538" s="58" t="s">
        <v>1095</v>
      </c>
    </row>
    <row r="1539" spans="1:26">
      <c r="A1539" s="60"/>
      <c r="B1539" s="77"/>
      <c r="C1539" s="60"/>
      <c r="D1539" s="81"/>
      <c r="E1539" s="62"/>
      <c r="F1539" s="60"/>
      <c r="G1539" s="62"/>
      <c r="H1539" s="60"/>
      <c r="Z1539" s="63" t="s">
        <v>1097</v>
      </c>
    </row>
    <row r="1540" spans="1:26">
      <c r="A1540" s="60"/>
      <c r="B1540" s="77"/>
      <c r="C1540" s="60"/>
      <c r="D1540" s="81"/>
      <c r="E1540" s="62"/>
      <c r="F1540" s="60"/>
      <c r="G1540" s="62"/>
      <c r="H1540" s="60"/>
      <c r="Z1540" s="58" t="s">
        <v>1105</v>
      </c>
    </row>
    <row r="1541" spans="1:26">
      <c r="A1541" s="60"/>
      <c r="B1541" s="77"/>
      <c r="C1541" s="60"/>
      <c r="D1541" s="81"/>
      <c r="E1541" s="62"/>
      <c r="F1541" s="60"/>
      <c r="G1541" s="62"/>
      <c r="H1541" s="60"/>
      <c r="Z1541" s="63" t="s">
        <v>1107</v>
      </c>
    </row>
    <row r="1542" spans="1:26">
      <c r="A1542" s="60"/>
      <c r="B1542" s="77"/>
      <c r="C1542" s="60"/>
      <c r="D1542" s="81"/>
      <c r="E1542" s="62"/>
      <c r="F1542" s="60"/>
      <c r="G1542" s="62"/>
      <c r="H1542" s="60"/>
      <c r="Z1542" s="58" t="s">
        <v>1112</v>
      </c>
    </row>
    <row r="1543" spans="1:26">
      <c r="A1543" s="60"/>
      <c r="B1543" s="77"/>
      <c r="C1543" s="60"/>
      <c r="D1543" s="81"/>
      <c r="E1543" s="62"/>
      <c r="F1543" s="60"/>
      <c r="G1543" s="62"/>
      <c r="H1543" s="60"/>
      <c r="Z1543" s="63" t="s">
        <v>1277</v>
      </c>
    </row>
    <row r="1544" spans="1:26">
      <c r="A1544" s="60"/>
      <c r="B1544" s="77"/>
      <c r="C1544" s="60"/>
      <c r="D1544" s="81"/>
      <c r="E1544" s="62"/>
      <c r="F1544" s="60"/>
      <c r="G1544" s="62"/>
      <c r="H1544" s="60"/>
      <c r="Z1544" s="58" t="s">
        <v>1118</v>
      </c>
    </row>
    <row r="1545" spans="1:26">
      <c r="A1545" s="60"/>
      <c r="B1545" s="77"/>
      <c r="C1545" s="60"/>
      <c r="D1545" s="81"/>
      <c r="E1545" s="62"/>
      <c r="F1545" s="60"/>
      <c r="G1545" s="62"/>
      <c r="H1545" s="60"/>
      <c r="Z1545" s="63" t="s">
        <v>1121</v>
      </c>
    </row>
    <row r="1546" spans="1:26">
      <c r="A1546" s="60"/>
      <c r="B1546" s="77"/>
      <c r="C1546" s="60"/>
      <c r="D1546" s="81"/>
      <c r="E1546" s="62"/>
      <c r="F1546" s="60"/>
      <c r="G1546" s="62"/>
      <c r="H1546" s="60"/>
      <c r="Z1546" s="58" t="s">
        <v>1635</v>
      </c>
    </row>
    <row r="1547" spans="1:26">
      <c r="A1547" s="60"/>
      <c r="B1547" s="77"/>
      <c r="C1547" s="60"/>
      <c r="D1547" s="81"/>
      <c r="E1547" s="62"/>
      <c r="F1547" s="60"/>
      <c r="G1547" s="62"/>
      <c r="H1547" s="60"/>
      <c r="Z1547" s="63"/>
    </row>
    <row r="1548" spans="1:26">
      <c r="A1548" s="60"/>
      <c r="B1548" s="77"/>
      <c r="C1548" s="60"/>
      <c r="D1548" s="81"/>
      <c r="E1548" s="62"/>
      <c r="F1548" s="60"/>
      <c r="G1548" s="62"/>
      <c r="H1548" s="60"/>
      <c r="Z1548" s="58"/>
    </row>
    <row r="1549" spans="1:26">
      <c r="A1549" s="60"/>
      <c r="B1549" s="77"/>
      <c r="C1549" s="60"/>
      <c r="D1549" s="81"/>
      <c r="E1549" s="62"/>
      <c r="F1549" s="60"/>
      <c r="G1549" s="62"/>
      <c r="H1549" s="60"/>
      <c r="Z1549" s="63"/>
    </row>
    <row r="1550" spans="1:26">
      <c r="A1550" s="60"/>
      <c r="B1550" s="77"/>
      <c r="C1550" s="60"/>
      <c r="D1550" s="81"/>
      <c r="E1550" s="62"/>
      <c r="F1550" s="60"/>
      <c r="G1550" s="62"/>
      <c r="H1550" s="60"/>
      <c r="Z1550" s="58"/>
    </row>
    <row r="1551" spans="1:26">
      <c r="A1551" s="60"/>
      <c r="B1551" s="77"/>
      <c r="C1551" s="60"/>
      <c r="D1551" s="81"/>
      <c r="E1551" s="62"/>
      <c r="F1551" s="60"/>
      <c r="G1551" s="62"/>
      <c r="H1551" s="60"/>
      <c r="Z1551" s="63"/>
    </row>
    <row r="1552" spans="1:26">
      <c r="A1552" s="60"/>
      <c r="B1552" s="77"/>
      <c r="C1552" s="60"/>
      <c r="D1552" s="81"/>
      <c r="E1552" s="62"/>
      <c r="F1552" s="60"/>
      <c r="G1552" s="62"/>
      <c r="H1552" s="60"/>
      <c r="Z1552" s="58"/>
    </row>
    <row r="1553" spans="1:26">
      <c r="A1553" s="60"/>
      <c r="B1553" s="77"/>
      <c r="C1553" s="60"/>
      <c r="D1553" s="81"/>
      <c r="E1553" s="62"/>
      <c r="F1553" s="60"/>
      <c r="G1553" s="62"/>
      <c r="H1553" s="60"/>
      <c r="Z1553" s="63"/>
    </row>
    <row r="1554" spans="1:26">
      <c r="A1554" s="60"/>
      <c r="B1554" s="77"/>
      <c r="C1554" s="60"/>
      <c r="D1554" s="81"/>
      <c r="E1554" s="62"/>
      <c r="F1554" s="60"/>
      <c r="G1554" s="62"/>
      <c r="H1554" s="60"/>
      <c r="Z1554" s="58"/>
    </row>
    <row r="1555" spans="1:26">
      <c r="A1555" s="60"/>
      <c r="B1555" s="77"/>
      <c r="C1555" s="60"/>
      <c r="D1555" s="81"/>
      <c r="E1555" s="62"/>
      <c r="F1555" s="60"/>
      <c r="G1555" s="62"/>
      <c r="H1555" s="60"/>
      <c r="Z1555" s="63"/>
    </row>
    <row r="1556" spans="1:26">
      <c r="A1556" s="60"/>
      <c r="B1556" s="77"/>
      <c r="C1556" s="60"/>
      <c r="D1556" s="81"/>
      <c r="E1556" s="62"/>
      <c r="F1556" s="60"/>
      <c r="G1556" s="62"/>
      <c r="H1556" s="60"/>
      <c r="Z1556" s="58"/>
    </row>
    <row r="1557" spans="1:26">
      <c r="A1557" s="60"/>
      <c r="B1557" s="77"/>
      <c r="C1557" s="60"/>
      <c r="D1557" s="81"/>
      <c r="E1557" s="62"/>
      <c r="F1557" s="60"/>
      <c r="G1557" s="62"/>
      <c r="H1557" s="60"/>
      <c r="Z1557" s="63"/>
    </row>
    <row r="1558" spans="1:26">
      <c r="A1558" s="60"/>
      <c r="B1558" s="77"/>
      <c r="C1558" s="60"/>
      <c r="D1558" s="81"/>
      <c r="E1558" s="62"/>
      <c r="F1558" s="60"/>
      <c r="G1558" s="62"/>
      <c r="H1558" s="60"/>
      <c r="Z1558" s="58"/>
    </row>
    <row r="1559" spans="1:26">
      <c r="A1559" s="60"/>
      <c r="B1559" s="77"/>
      <c r="C1559" s="60"/>
      <c r="D1559" s="81"/>
      <c r="E1559" s="62"/>
      <c r="F1559" s="60"/>
      <c r="G1559" s="62"/>
      <c r="H1559" s="60"/>
      <c r="Z1559" s="63"/>
    </row>
    <row r="1560" spans="1:8">
      <c r="A1560" s="60"/>
      <c r="B1560" s="77"/>
      <c r="C1560" s="60"/>
      <c r="D1560" s="81"/>
      <c r="E1560" s="62"/>
      <c r="F1560" s="60"/>
      <c r="G1560" s="62"/>
      <c r="H1560" s="60"/>
    </row>
    <row r="1561" spans="1:8">
      <c r="A1561" s="60"/>
      <c r="B1561" s="77"/>
      <c r="C1561" s="60"/>
      <c r="D1561" s="81"/>
      <c r="E1561" s="62"/>
      <c r="F1561" s="60"/>
      <c r="G1561" s="62"/>
      <c r="H1561" s="60"/>
    </row>
    <row r="1562" spans="1:8">
      <c r="A1562" s="60"/>
      <c r="B1562" s="77"/>
      <c r="C1562" s="60"/>
      <c r="D1562" s="81"/>
      <c r="E1562" s="62"/>
      <c r="F1562" s="60"/>
      <c r="G1562" s="62"/>
      <c r="H1562" s="60"/>
    </row>
    <row r="1563" spans="1:8">
      <c r="A1563" s="60"/>
      <c r="B1563" s="77"/>
      <c r="C1563" s="60"/>
      <c r="D1563" s="81"/>
      <c r="E1563" s="62"/>
      <c r="F1563" s="60"/>
      <c r="G1563" s="62"/>
      <c r="H1563" s="60"/>
    </row>
    <row r="1564" spans="1:8">
      <c r="A1564" s="60"/>
      <c r="B1564" s="77"/>
      <c r="C1564" s="60"/>
      <c r="D1564" s="81"/>
      <c r="E1564" s="62"/>
      <c r="F1564" s="60"/>
      <c r="G1564" s="62"/>
      <c r="H1564" s="60"/>
    </row>
    <row r="1565" spans="1:8">
      <c r="A1565" s="60"/>
      <c r="B1565" s="77"/>
      <c r="C1565" s="60"/>
      <c r="D1565" s="81"/>
      <c r="E1565" s="62"/>
      <c r="F1565" s="60"/>
      <c r="G1565" s="62"/>
      <c r="H1565" s="60"/>
    </row>
    <row r="1566" spans="1:8">
      <c r="A1566" s="60"/>
      <c r="B1566" s="77"/>
      <c r="C1566" s="60"/>
      <c r="D1566" s="81"/>
      <c r="E1566" s="62"/>
      <c r="F1566" s="60"/>
      <c r="G1566" s="62"/>
      <c r="H1566" s="60"/>
    </row>
    <row r="1567" spans="1:8">
      <c r="A1567" s="60"/>
      <c r="B1567" s="77"/>
      <c r="C1567" s="60"/>
      <c r="D1567" s="81"/>
      <c r="E1567" s="62"/>
      <c r="F1567" s="60"/>
      <c r="G1567" s="62"/>
      <c r="H1567" s="60"/>
    </row>
    <row r="1568" spans="1:8">
      <c r="A1568" s="60"/>
      <c r="B1568" s="77"/>
      <c r="C1568" s="60"/>
      <c r="D1568" s="81"/>
      <c r="E1568" s="62"/>
      <c r="F1568" s="60"/>
      <c r="G1568" s="62"/>
      <c r="H1568" s="60"/>
    </row>
    <row r="1569" spans="1:8">
      <c r="A1569" s="60"/>
      <c r="B1569" s="77"/>
      <c r="C1569" s="60"/>
      <c r="D1569" s="81"/>
      <c r="E1569" s="62"/>
      <c r="F1569" s="60"/>
      <c r="G1569" s="62"/>
      <c r="H1569" s="60"/>
    </row>
    <row r="1570" spans="1:8">
      <c r="A1570" s="60"/>
      <c r="B1570" s="77"/>
      <c r="C1570" s="60"/>
      <c r="D1570" s="81"/>
      <c r="E1570" s="62"/>
      <c r="F1570" s="60"/>
      <c r="G1570" s="62"/>
      <c r="H1570" s="60"/>
    </row>
    <row r="1571" spans="1:8">
      <c r="A1571" s="60"/>
      <c r="B1571" s="77"/>
      <c r="C1571" s="60"/>
      <c r="D1571" s="81"/>
      <c r="E1571" s="62"/>
      <c r="F1571" s="60"/>
      <c r="G1571" s="62"/>
      <c r="H1571" s="60"/>
    </row>
    <row r="1572" spans="1:8">
      <c r="A1572" s="60"/>
      <c r="B1572" s="77"/>
      <c r="C1572" s="60"/>
      <c r="D1572" s="81"/>
      <c r="E1572" s="62"/>
      <c r="F1572" s="60"/>
      <c r="G1572" s="62"/>
      <c r="H1572" s="60"/>
    </row>
    <row r="1573" spans="1:8">
      <c r="A1573" s="60"/>
      <c r="B1573" s="77"/>
      <c r="C1573" s="60"/>
      <c r="D1573" s="81"/>
      <c r="E1573" s="62"/>
      <c r="F1573" s="60"/>
      <c r="G1573" s="62"/>
      <c r="H1573" s="60"/>
    </row>
    <row r="1574" spans="1:8">
      <c r="A1574" s="60"/>
      <c r="B1574" s="77"/>
      <c r="C1574" s="60"/>
      <c r="D1574" s="81"/>
      <c r="E1574" s="62"/>
      <c r="F1574" s="60"/>
      <c r="G1574" s="62"/>
      <c r="H1574" s="60"/>
    </row>
    <row r="1575" spans="1:8">
      <c r="A1575" s="60"/>
      <c r="B1575" s="77"/>
      <c r="C1575" s="60"/>
      <c r="D1575" s="81"/>
      <c r="E1575" s="62"/>
      <c r="F1575" s="60"/>
      <c r="G1575" s="62"/>
      <c r="H1575" s="60"/>
    </row>
    <row r="1576" spans="1:8">
      <c r="A1576" s="60"/>
      <c r="B1576" s="77"/>
      <c r="C1576" s="60"/>
      <c r="D1576" s="81"/>
      <c r="E1576" s="62"/>
      <c r="F1576" s="60"/>
      <c r="G1576" s="62"/>
      <c r="H1576" s="60"/>
    </row>
    <row r="1577" spans="1:8">
      <c r="A1577" s="60"/>
      <c r="B1577" s="77"/>
      <c r="C1577" s="60"/>
      <c r="D1577" s="81"/>
      <c r="E1577" s="62"/>
      <c r="F1577" s="60"/>
      <c r="G1577" s="62"/>
      <c r="H1577" s="60"/>
    </row>
    <row r="1578" spans="1:8">
      <c r="A1578" s="60"/>
      <c r="B1578" s="77"/>
      <c r="C1578" s="60"/>
      <c r="D1578" s="81"/>
      <c r="E1578" s="62"/>
      <c r="F1578" s="60"/>
      <c r="G1578" s="62"/>
      <c r="H1578" s="60"/>
    </row>
    <row r="1579" spans="1:8">
      <c r="A1579" s="60"/>
      <c r="B1579" s="77"/>
      <c r="C1579" s="60"/>
      <c r="D1579" s="81"/>
      <c r="E1579" s="62"/>
      <c r="F1579" s="60"/>
      <c r="G1579" s="62"/>
      <c r="H1579" s="60"/>
    </row>
    <row r="1580" spans="1:8">
      <c r="A1580" s="60"/>
      <c r="B1580" s="77"/>
      <c r="C1580" s="60"/>
      <c r="D1580" s="81"/>
      <c r="E1580" s="62"/>
      <c r="F1580" s="60"/>
      <c r="G1580" s="62"/>
      <c r="H1580" s="60"/>
    </row>
    <row r="1581" spans="1:8">
      <c r="A1581" s="60"/>
      <c r="B1581" s="77"/>
      <c r="C1581" s="60"/>
      <c r="D1581" s="81"/>
      <c r="E1581" s="62"/>
      <c r="F1581" s="60"/>
      <c r="G1581" s="62"/>
      <c r="H1581" s="60"/>
    </row>
    <row r="1582" spans="1:8">
      <c r="A1582" s="60"/>
      <c r="B1582" s="77"/>
      <c r="C1582" s="60"/>
      <c r="D1582" s="81"/>
      <c r="E1582" s="62"/>
      <c r="F1582" s="60"/>
      <c r="G1582" s="62"/>
      <c r="H1582" s="60"/>
    </row>
    <row r="1583" spans="1:8">
      <c r="A1583" s="60"/>
      <c r="B1583" s="77"/>
      <c r="C1583" s="60"/>
      <c r="D1583" s="81"/>
      <c r="E1583" s="62"/>
      <c r="F1583" s="60"/>
      <c r="G1583" s="62"/>
      <c r="H1583" s="60"/>
    </row>
    <row r="1584" spans="1:8">
      <c r="A1584" s="60"/>
      <c r="B1584" s="77"/>
      <c r="C1584" s="60"/>
      <c r="D1584" s="81"/>
      <c r="E1584" s="62"/>
      <c r="F1584" s="60"/>
      <c r="G1584" s="62"/>
      <c r="H1584" s="60"/>
    </row>
    <row r="1585" spans="1:8">
      <c r="A1585" s="60"/>
      <c r="B1585" s="77"/>
      <c r="C1585" s="60"/>
      <c r="D1585" s="81"/>
      <c r="E1585" s="62"/>
      <c r="F1585" s="60"/>
      <c r="G1585" s="62"/>
      <c r="H1585" s="60"/>
    </row>
    <row r="1586" spans="1:8">
      <c r="A1586" s="60"/>
      <c r="B1586" s="77"/>
      <c r="C1586" s="60"/>
      <c r="D1586" s="81"/>
      <c r="E1586" s="62"/>
      <c r="F1586" s="60"/>
      <c r="G1586" s="62"/>
      <c r="H1586" s="60"/>
    </row>
    <row r="1587" spans="1:8">
      <c r="A1587" s="60"/>
      <c r="B1587" s="77"/>
      <c r="C1587" s="60"/>
      <c r="D1587" s="81"/>
      <c r="E1587" s="62"/>
      <c r="F1587" s="60"/>
      <c r="G1587" s="62"/>
      <c r="H1587" s="60"/>
    </row>
    <row r="1588" spans="1:8">
      <c r="A1588" s="60"/>
      <c r="B1588" s="77"/>
      <c r="C1588" s="60"/>
      <c r="D1588" s="81"/>
      <c r="E1588" s="62"/>
      <c r="F1588" s="60"/>
      <c r="G1588" s="62"/>
      <c r="H1588" s="60"/>
    </row>
    <row r="1589" spans="1:8">
      <c r="A1589" s="60"/>
      <c r="B1589" s="77"/>
      <c r="C1589" s="60"/>
      <c r="D1589" s="81"/>
      <c r="E1589" s="62"/>
      <c r="F1589" s="60"/>
      <c r="G1589" s="62"/>
      <c r="H1589" s="60"/>
    </row>
    <row r="1590" spans="1:8">
      <c r="A1590" s="60"/>
      <c r="B1590" s="77"/>
      <c r="C1590" s="60"/>
      <c r="D1590" s="81"/>
      <c r="E1590" s="62"/>
      <c r="F1590" s="60"/>
      <c r="G1590" s="62"/>
      <c r="H1590" s="60"/>
    </row>
    <row r="1591" spans="1:8">
      <c r="A1591" s="60"/>
      <c r="B1591" s="77"/>
      <c r="C1591" s="60"/>
      <c r="D1591" s="81"/>
      <c r="E1591" s="62"/>
      <c r="F1591" s="60"/>
      <c r="G1591" s="62"/>
      <c r="H1591" s="60"/>
    </row>
    <row r="1592" spans="1:8">
      <c r="A1592" s="60"/>
      <c r="B1592" s="77"/>
      <c r="C1592" s="60"/>
      <c r="D1592" s="81"/>
      <c r="E1592" s="62"/>
      <c r="F1592" s="60"/>
      <c r="G1592" s="62"/>
      <c r="H1592" s="60"/>
    </row>
    <row r="1593" spans="1:8">
      <c r="A1593" s="60"/>
      <c r="B1593" s="77"/>
      <c r="C1593" s="60"/>
      <c r="D1593" s="81"/>
      <c r="E1593" s="62"/>
      <c r="F1593" s="60"/>
      <c r="G1593" s="62"/>
      <c r="H1593" s="60"/>
    </row>
    <row r="1594" spans="1:8">
      <c r="A1594" s="60"/>
      <c r="B1594" s="77"/>
      <c r="C1594" s="60"/>
      <c r="D1594" s="81"/>
      <c r="E1594" s="62"/>
      <c r="F1594" s="60"/>
      <c r="G1594" s="62"/>
      <c r="H1594" s="60"/>
    </row>
    <row r="1595" spans="1:8">
      <c r="A1595" s="60"/>
      <c r="B1595" s="77"/>
      <c r="C1595" s="60"/>
      <c r="D1595" s="81"/>
      <c r="E1595" s="62"/>
      <c r="F1595" s="60"/>
      <c r="G1595" s="62"/>
      <c r="H1595" s="60"/>
    </row>
    <row r="1596" spans="1:8">
      <c r="A1596" s="60"/>
      <c r="B1596" s="77"/>
      <c r="C1596" s="60"/>
      <c r="D1596" s="81"/>
      <c r="E1596" s="62"/>
      <c r="F1596" s="60"/>
      <c r="G1596" s="62"/>
      <c r="H1596" s="60"/>
    </row>
    <row r="1597" spans="1:8">
      <c r="A1597" s="60"/>
      <c r="B1597" s="77"/>
      <c r="C1597" s="60"/>
      <c r="D1597" s="81"/>
      <c r="E1597" s="62"/>
      <c r="F1597" s="60"/>
      <c r="G1597" s="62"/>
      <c r="H1597" s="60"/>
    </row>
    <row r="1598" spans="1:8">
      <c r="A1598" s="60"/>
      <c r="B1598" s="77"/>
      <c r="C1598" s="60"/>
      <c r="D1598" s="81"/>
      <c r="E1598" s="62"/>
      <c r="F1598" s="60"/>
      <c r="G1598" s="62"/>
      <c r="H1598" s="60"/>
    </row>
    <row r="1599" spans="1:8">
      <c r="A1599" s="60"/>
      <c r="B1599" s="77"/>
      <c r="C1599" s="60"/>
      <c r="D1599" s="81"/>
      <c r="E1599" s="62"/>
      <c r="F1599" s="60"/>
      <c r="G1599" s="62"/>
      <c r="H1599" s="60"/>
    </row>
    <row r="1600" spans="1:8">
      <c r="A1600" s="60"/>
      <c r="B1600" s="77"/>
      <c r="C1600" s="60"/>
      <c r="D1600" s="81"/>
      <c r="E1600" s="62"/>
      <c r="F1600" s="60"/>
      <c r="G1600" s="62"/>
      <c r="H1600" s="60"/>
    </row>
    <row r="1601" spans="1:8">
      <c r="A1601" s="60"/>
      <c r="B1601" s="77"/>
      <c r="C1601" s="60"/>
      <c r="D1601" s="81"/>
      <c r="E1601" s="62"/>
      <c r="F1601" s="60"/>
      <c r="G1601" s="62"/>
      <c r="H1601" s="60"/>
    </row>
    <row r="1602" spans="1:8">
      <c r="A1602" s="60"/>
      <c r="B1602" s="77"/>
      <c r="C1602" s="60"/>
      <c r="D1602" s="81"/>
      <c r="E1602" s="62"/>
      <c r="F1602" s="60"/>
      <c r="G1602" s="62"/>
      <c r="H1602" s="60"/>
    </row>
    <row r="1603" spans="1:8">
      <c r="A1603" s="60"/>
      <c r="B1603" s="77"/>
      <c r="C1603" s="60"/>
      <c r="D1603" s="81"/>
      <c r="E1603" s="62"/>
      <c r="F1603" s="60"/>
      <c r="G1603" s="62"/>
      <c r="H1603" s="60"/>
    </row>
    <row r="1604" spans="1:8">
      <c r="A1604" s="60"/>
      <c r="B1604" s="77"/>
      <c r="C1604" s="60"/>
      <c r="D1604" s="81"/>
      <c r="E1604" s="62"/>
      <c r="F1604" s="60"/>
      <c r="G1604" s="62"/>
      <c r="H1604" s="60"/>
    </row>
    <row r="1605" spans="1:8">
      <c r="A1605" s="60"/>
      <c r="B1605" s="77"/>
      <c r="C1605" s="60"/>
      <c r="D1605" s="81"/>
      <c r="E1605" s="62"/>
      <c r="F1605" s="60"/>
      <c r="G1605" s="62"/>
      <c r="H1605" s="60"/>
    </row>
    <row r="1606" spans="1:8">
      <c r="A1606" s="60"/>
      <c r="B1606" s="77"/>
      <c r="C1606" s="60"/>
      <c r="D1606" s="81"/>
      <c r="E1606" s="62"/>
      <c r="F1606" s="60"/>
      <c r="G1606" s="62"/>
      <c r="H1606" s="60"/>
    </row>
    <row r="1607" spans="1:8">
      <c r="A1607" s="60"/>
      <c r="B1607" s="77"/>
      <c r="C1607" s="60"/>
      <c r="D1607" s="81"/>
      <c r="E1607" s="62"/>
      <c r="F1607" s="60"/>
      <c r="G1607" s="62"/>
      <c r="H1607" s="60"/>
    </row>
    <row r="1608" spans="1:8">
      <c r="A1608" s="60"/>
      <c r="B1608" s="77"/>
      <c r="C1608" s="60"/>
      <c r="D1608" s="81"/>
      <c r="E1608" s="62"/>
      <c r="F1608" s="60"/>
      <c r="G1608" s="62"/>
      <c r="H1608" s="60"/>
    </row>
    <row r="1609" spans="1:8">
      <c r="A1609" s="60"/>
      <c r="B1609" s="77"/>
      <c r="C1609" s="60"/>
      <c r="D1609" s="81"/>
      <c r="E1609" s="62"/>
      <c r="F1609" s="60"/>
      <c r="G1609" s="62"/>
      <c r="H1609" s="60"/>
    </row>
    <row r="1610" spans="1:8">
      <c r="A1610" s="60"/>
      <c r="B1610" s="77"/>
      <c r="C1610" s="60"/>
      <c r="D1610" s="81"/>
      <c r="E1610" s="62"/>
      <c r="F1610" s="60"/>
      <c r="G1610" s="62"/>
      <c r="H1610" s="60"/>
    </row>
    <row r="1611" spans="1:8">
      <c r="A1611" s="60"/>
      <c r="B1611" s="77"/>
      <c r="C1611" s="60"/>
      <c r="D1611" s="81"/>
      <c r="E1611" s="62"/>
      <c r="F1611" s="60"/>
      <c r="G1611" s="62"/>
      <c r="H1611" s="60"/>
    </row>
    <row r="1612" spans="1:8">
      <c r="A1612" s="60"/>
      <c r="B1612" s="77"/>
      <c r="C1612" s="60"/>
      <c r="D1612" s="81"/>
      <c r="E1612" s="62"/>
      <c r="F1612" s="60"/>
      <c r="G1612" s="62"/>
      <c r="H1612" s="60"/>
    </row>
    <row r="1613" spans="1:8">
      <c r="A1613" s="60"/>
      <c r="B1613" s="77"/>
      <c r="C1613" s="60"/>
      <c r="D1613" s="81"/>
      <c r="E1613" s="62"/>
      <c r="F1613" s="60"/>
      <c r="G1613" s="62"/>
      <c r="H1613" s="60"/>
    </row>
    <row r="1614" spans="1:8">
      <c r="A1614" s="60"/>
      <c r="B1614" s="77"/>
      <c r="C1614" s="60"/>
      <c r="D1614" s="81"/>
      <c r="E1614" s="62"/>
      <c r="F1614" s="60"/>
      <c r="G1614" s="62"/>
      <c r="H1614" s="60"/>
    </row>
    <row r="1615" spans="1:8">
      <c r="A1615" s="60"/>
      <c r="B1615" s="77"/>
      <c r="C1615" s="60"/>
      <c r="D1615" s="81"/>
      <c r="E1615" s="62"/>
      <c r="F1615" s="60"/>
      <c r="G1615" s="62"/>
      <c r="H1615" s="60"/>
    </row>
    <row r="1616" spans="1:8">
      <c r="A1616" s="60"/>
      <c r="B1616" s="77"/>
      <c r="C1616" s="60"/>
      <c r="D1616" s="81"/>
      <c r="E1616" s="62"/>
      <c r="F1616" s="60"/>
      <c r="G1616" s="62"/>
      <c r="H1616" s="60"/>
    </row>
    <row r="1617" spans="1:8">
      <c r="A1617" s="60"/>
      <c r="B1617" s="77"/>
      <c r="C1617" s="60"/>
      <c r="D1617" s="81"/>
      <c r="E1617" s="62"/>
      <c r="F1617" s="60"/>
      <c r="G1617" s="62"/>
      <c r="H1617" s="60"/>
    </row>
    <row r="1618" spans="1:8">
      <c r="A1618" s="60"/>
      <c r="B1618" s="77"/>
      <c r="C1618" s="60"/>
      <c r="D1618" s="81"/>
      <c r="E1618" s="62"/>
      <c r="F1618" s="60"/>
      <c r="G1618" s="62"/>
      <c r="H1618" s="60"/>
    </row>
    <row r="1619" spans="1:8">
      <c r="A1619" s="60"/>
      <c r="B1619" s="77"/>
      <c r="C1619" s="60"/>
      <c r="D1619" s="81"/>
      <c r="E1619" s="62"/>
      <c r="F1619" s="60"/>
      <c r="G1619" s="62"/>
      <c r="H1619" s="60"/>
    </row>
    <row r="1620" spans="1:8">
      <c r="A1620" s="60"/>
      <c r="B1620" s="77"/>
      <c r="C1620" s="60"/>
      <c r="D1620" s="81"/>
      <c r="E1620" s="62"/>
      <c r="F1620" s="60"/>
      <c r="G1620" s="62"/>
      <c r="H1620" s="60"/>
    </row>
    <row r="1621" spans="1:8">
      <c r="A1621" s="60"/>
      <c r="B1621" s="77"/>
      <c r="C1621" s="60"/>
      <c r="D1621" s="81"/>
      <c r="E1621" s="62"/>
      <c r="F1621" s="60"/>
      <c r="G1621" s="62"/>
      <c r="H1621" s="60"/>
    </row>
    <row r="1622" spans="1:8">
      <c r="A1622" s="60"/>
      <c r="B1622" s="77"/>
      <c r="C1622" s="60"/>
      <c r="D1622" s="81"/>
      <c r="E1622" s="62"/>
      <c r="F1622" s="60"/>
      <c r="G1622" s="62"/>
      <c r="H1622" s="60"/>
    </row>
    <row r="1623" spans="1:8">
      <c r="A1623" s="60"/>
      <c r="B1623" s="77"/>
      <c r="C1623" s="60"/>
      <c r="D1623" s="81"/>
      <c r="E1623" s="62"/>
      <c r="F1623" s="60"/>
      <c r="G1623" s="62"/>
      <c r="H1623" s="60"/>
    </row>
    <row r="1624" spans="1:8">
      <c r="A1624" s="60"/>
      <c r="B1624" s="77"/>
      <c r="C1624" s="60"/>
      <c r="D1624" s="81"/>
      <c r="E1624" s="62"/>
      <c r="F1624" s="60"/>
      <c r="G1624" s="62"/>
      <c r="H1624" s="60"/>
    </row>
    <row r="1625" spans="1:8">
      <c r="A1625" s="60"/>
      <c r="B1625" s="77"/>
      <c r="C1625" s="60"/>
      <c r="D1625" s="81"/>
      <c r="E1625" s="62"/>
      <c r="F1625" s="60"/>
      <c r="G1625" s="62"/>
      <c r="H1625" s="60"/>
    </row>
    <row r="1626" spans="1:8">
      <c r="A1626" s="60"/>
      <c r="B1626" s="77"/>
      <c r="C1626" s="60"/>
      <c r="D1626" s="81"/>
      <c r="E1626" s="62"/>
      <c r="F1626" s="60"/>
      <c r="G1626" s="62"/>
      <c r="H1626" s="60"/>
    </row>
    <row r="1627" spans="1:8">
      <c r="A1627" s="60"/>
      <c r="B1627" s="77"/>
      <c r="C1627" s="60"/>
      <c r="D1627" s="81"/>
      <c r="E1627" s="62"/>
      <c r="F1627" s="60"/>
      <c r="G1627" s="62"/>
      <c r="H1627" s="60"/>
    </row>
    <row r="1628" spans="1:8">
      <c r="A1628" s="60"/>
      <c r="B1628" s="77"/>
      <c r="C1628" s="60"/>
      <c r="D1628" s="81"/>
      <c r="E1628" s="62"/>
      <c r="F1628" s="60"/>
      <c r="G1628" s="62"/>
      <c r="H1628" s="60"/>
    </row>
    <row r="1629" spans="1:8">
      <c r="A1629" s="60"/>
      <c r="B1629" s="77"/>
      <c r="C1629" s="60"/>
      <c r="D1629" s="81"/>
      <c r="E1629" s="62"/>
      <c r="F1629" s="60"/>
      <c r="G1629" s="62"/>
      <c r="H1629" s="60"/>
    </row>
    <row r="1630" spans="1:8">
      <c r="A1630" s="60"/>
      <c r="B1630" s="77"/>
      <c r="C1630" s="60"/>
      <c r="D1630" s="81"/>
      <c r="E1630" s="62"/>
      <c r="F1630" s="60"/>
      <c r="G1630" s="62"/>
      <c r="H1630" s="60"/>
    </row>
    <row r="1631" spans="1:8">
      <c r="A1631" s="60"/>
      <c r="B1631" s="77"/>
      <c r="C1631" s="60"/>
      <c r="D1631" s="81"/>
      <c r="E1631" s="62"/>
      <c r="F1631" s="60"/>
      <c r="G1631" s="62"/>
      <c r="H1631" s="60"/>
    </row>
    <row r="1632" spans="1:8">
      <c r="A1632" s="60"/>
      <c r="B1632" s="77"/>
      <c r="C1632" s="60"/>
      <c r="D1632" s="81"/>
      <c r="E1632" s="62"/>
      <c r="F1632" s="60"/>
      <c r="G1632" s="62"/>
      <c r="H1632" s="60"/>
    </row>
    <row r="1633" spans="1:8">
      <c r="A1633" s="60"/>
      <c r="B1633" s="77"/>
      <c r="C1633" s="60"/>
      <c r="D1633" s="81"/>
      <c r="E1633" s="62"/>
      <c r="F1633" s="60"/>
      <c r="G1633" s="62"/>
      <c r="H1633" s="60"/>
    </row>
    <row r="1634" spans="1:8">
      <c r="A1634" s="60"/>
      <c r="B1634" s="77"/>
      <c r="C1634" s="60"/>
      <c r="D1634" s="81"/>
      <c r="E1634" s="62"/>
      <c r="F1634" s="60"/>
      <c r="G1634" s="62"/>
      <c r="H1634" s="60"/>
    </row>
    <row r="1635" spans="1:8">
      <c r="A1635" s="60"/>
      <c r="B1635" s="77"/>
      <c r="C1635" s="60"/>
      <c r="D1635" s="81"/>
      <c r="E1635" s="62"/>
      <c r="F1635" s="60"/>
      <c r="G1635" s="62"/>
      <c r="H1635" s="60"/>
    </row>
    <row r="1636" spans="1:8">
      <c r="A1636" s="60"/>
      <c r="B1636" s="77"/>
      <c r="C1636" s="60"/>
      <c r="D1636" s="81"/>
      <c r="E1636" s="62"/>
      <c r="F1636" s="60"/>
      <c r="G1636" s="62"/>
      <c r="H1636" s="60"/>
    </row>
    <row r="1637" spans="1:8">
      <c r="A1637" s="60"/>
      <c r="B1637" s="77"/>
      <c r="C1637" s="60"/>
      <c r="D1637" s="81"/>
      <c r="E1637" s="62"/>
      <c r="F1637" s="60"/>
      <c r="G1637" s="62"/>
      <c r="H1637" s="60"/>
    </row>
    <row r="1638" spans="1:8">
      <c r="A1638" s="60"/>
      <c r="B1638" s="77"/>
      <c r="C1638" s="60"/>
      <c r="D1638" s="81"/>
      <c r="E1638" s="62"/>
      <c r="F1638" s="60"/>
      <c r="G1638" s="62"/>
      <c r="H1638" s="60"/>
    </row>
    <row r="1639" spans="1:8">
      <c r="A1639" s="60"/>
      <c r="B1639" s="77"/>
      <c r="C1639" s="60"/>
      <c r="D1639" s="81"/>
      <c r="E1639" s="62"/>
      <c r="F1639" s="60"/>
      <c r="G1639" s="62"/>
      <c r="H1639" s="60"/>
    </row>
    <row r="1640" spans="1:8">
      <c r="A1640" s="60"/>
      <c r="B1640" s="77"/>
      <c r="C1640" s="60"/>
      <c r="D1640" s="81"/>
      <c r="E1640" s="62"/>
      <c r="F1640" s="60"/>
      <c r="G1640" s="62"/>
      <c r="H1640" s="60"/>
    </row>
    <row r="1641" spans="1:8">
      <c r="A1641" s="60"/>
      <c r="B1641" s="77"/>
      <c r="C1641" s="60"/>
      <c r="D1641" s="81"/>
      <c r="E1641" s="62"/>
      <c r="F1641" s="60"/>
      <c r="G1641" s="62"/>
      <c r="H1641" s="60"/>
    </row>
    <row r="1642" spans="1:8">
      <c r="A1642" s="60"/>
      <c r="B1642" s="77"/>
      <c r="C1642" s="60"/>
      <c r="D1642" s="81"/>
      <c r="E1642" s="62"/>
      <c r="F1642" s="60"/>
      <c r="G1642" s="62"/>
      <c r="H1642" s="60"/>
    </row>
    <row r="1643" spans="1:8">
      <c r="A1643" s="60"/>
      <c r="B1643" s="77"/>
      <c r="C1643" s="60"/>
      <c r="D1643" s="81"/>
      <c r="E1643" s="62"/>
      <c r="F1643" s="60"/>
      <c r="G1643" s="62"/>
      <c r="H1643" s="60"/>
    </row>
    <row r="1644" spans="1:8">
      <c r="A1644" s="60"/>
      <c r="B1644" s="77"/>
      <c r="C1644" s="60"/>
      <c r="D1644" s="81"/>
      <c r="E1644" s="62"/>
      <c r="F1644" s="60"/>
      <c r="G1644" s="62"/>
      <c r="H1644" s="60"/>
    </row>
    <row r="1645" spans="1:8">
      <c r="A1645" s="60"/>
      <c r="B1645" s="77"/>
      <c r="C1645" s="60"/>
      <c r="D1645" s="81"/>
      <c r="E1645" s="62"/>
      <c r="F1645" s="60"/>
      <c r="G1645" s="62"/>
      <c r="H1645" s="60"/>
    </row>
    <row r="1646" spans="1:8">
      <c r="A1646" s="60"/>
      <c r="B1646" s="77"/>
      <c r="C1646" s="60"/>
      <c r="D1646" s="81"/>
      <c r="E1646" s="62"/>
      <c r="F1646" s="60"/>
      <c r="G1646" s="62"/>
      <c r="H1646" s="60"/>
    </row>
    <row r="1647" spans="1:8">
      <c r="A1647" s="60"/>
      <c r="B1647" s="77"/>
      <c r="C1647" s="60"/>
      <c r="D1647" s="81"/>
      <c r="E1647" s="62"/>
      <c r="F1647" s="60"/>
      <c r="G1647" s="62"/>
      <c r="H1647" s="60"/>
    </row>
    <row r="1648" spans="1:8">
      <c r="A1648" s="60"/>
      <c r="B1648" s="77"/>
      <c r="C1648" s="60"/>
      <c r="D1648" s="81"/>
      <c r="E1648" s="62"/>
      <c r="F1648" s="60"/>
      <c r="G1648" s="62"/>
      <c r="H1648" s="60"/>
    </row>
    <row r="1649" spans="1:8">
      <c r="A1649" s="60"/>
      <c r="B1649" s="77"/>
      <c r="C1649" s="60"/>
      <c r="D1649" s="81"/>
      <c r="E1649" s="62"/>
      <c r="F1649" s="60"/>
      <c r="G1649" s="62"/>
      <c r="H1649" s="60"/>
    </row>
    <row r="1650" spans="1:8">
      <c r="A1650" s="60"/>
      <c r="B1650" s="77"/>
      <c r="C1650" s="60"/>
      <c r="D1650" s="81"/>
      <c r="E1650" s="62"/>
      <c r="F1650" s="60"/>
      <c r="G1650" s="62"/>
      <c r="H1650" s="60"/>
    </row>
    <row r="1651" spans="1:8">
      <c r="A1651" s="60"/>
      <c r="B1651" s="77"/>
      <c r="C1651" s="60"/>
      <c r="D1651" s="81"/>
      <c r="E1651" s="62"/>
      <c r="F1651" s="60"/>
      <c r="G1651" s="62"/>
      <c r="H1651" s="60"/>
    </row>
    <row r="1652" spans="1:8">
      <c r="A1652" s="60"/>
      <c r="B1652" s="77"/>
      <c r="C1652" s="60"/>
      <c r="D1652" s="81"/>
      <c r="E1652" s="62"/>
      <c r="F1652" s="60"/>
      <c r="G1652" s="62"/>
      <c r="H1652" s="60"/>
    </row>
    <row r="1653" spans="1:8">
      <c r="A1653" s="60"/>
      <c r="B1653" s="77"/>
      <c r="C1653" s="60"/>
      <c r="D1653" s="81"/>
      <c r="E1653" s="62"/>
      <c r="F1653" s="60"/>
      <c r="G1653" s="62"/>
      <c r="H1653" s="60"/>
    </row>
    <row r="1654" spans="1:8">
      <c r="A1654" s="60"/>
      <c r="B1654" s="77"/>
      <c r="C1654" s="60"/>
      <c r="D1654" s="81"/>
      <c r="E1654" s="62"/>
      <c r="F1654" s="60"/>
      <c r="G1654" s="62"/>
      <c r="H1654" s="60"/>
    </row>
    <row r="1655" spans="1:8">
      <c r="A1655" s="60"/>
      <c r="B1655" s="77"/>
      <c r="C1655" s="60"/>
      <c r="D1655" s="81"/>
      <c r="E1655" s="62"/>
      <c r="F1655" s="60"/>
      <c r="G1655" s="62"/>
      <c r="H1655" s="60"/>
    </row>
    <row r="1656" spans="1:8">
      <c r="A1656" s="60"/>
      <c r="B1656" s="77"/>
      <c r="C1656" s="60"/>
      <c r="D1656" s="81"/>
      <c r="E1656" s="62"/>
      <c r="F1656" s="60"/>
      <c r="G1656" s="62"/>
      <c r="H1656" s="60"/>
    </row>
    <row r="1657" spans="1:8">
      <c r="A1657" s="60"/>
      <c r="B1657" s="77"/>
      <c r="C1657" s="60"/>
      <c r="D1657" s="81"/>
      <c r="E1657" s="62"/>
      <c r="F1657" s="60"/>
      <c r="G1657" s="62"/>
      <c r="H1657" s="60"/>
    </row>
    <row r="1658" spans="1:8">
      <c r="A1658" s="60"/>
      <c r="B1658" s="77"/>
      <c r="C1658" s="60"/>
      <c r="D1658" s="81"/>
      <c r="E1658" s="62"/>
      <c r="F1658" s="60"/>
      <c r="G1658" s="62"/>
      <c r="H1658" s="60"/>
    </row>
    <row r="1659" spans="1:8">
      <c r="A1659" s="60"/>
      <c r="B1659" s="77"/>
      <c r="C1659" s="60"/>
      <c r="D1659" s="81"/>
      <c r="E1659" s="62"/>
      <c r="F1659" s="60"/>
      <c r="G1659" s="62"/>
      <c r="H1659" s="60"/>
    </row>
    <row r="1660" spans="1:8">
      <c r="A1660" s="60"/>
      <c r="B1660" s="77"/>
      <c r="C1660" s="60"/>
      <c r="D1660" s="81"/>
      <c r="E1660" s="62"/>
      <c r="F1660" s="60"/>
      <c r="G1660" s="62"/>
      <c r="H1660" s="60"/>
    </row>
    <row r="1661" spans="1:8">
      <c r="A1661" s="60"/>
      <c r="B1661" s="77"/>
      <c r="C1661" s="60"/>
      <c r="D1661" s="81"/>
      <c r="E1661" s="62"/>
      <c r="F1661" s="60"/>
      <c r="G1661" s="62"/>
      <c r="H1661" s="60"/>
    </row>
    <row r="1662" spans="1:8">
      <c r="A1662" s="60"/>
      <c r="B1662" s="77"/>
      <c r="C1662" s="60"/>
      <c r="D1662" s="81"/>
      <c r="E1662" s="62"/>
      <c r="F1662" s="60"/>
      <c r="G1662" s="62"/>
      <c r="H1662" s="60"/>
    </row>
    <row r="1663" spans="1:8">
      <c r="A1663" s="60"/>
      <c r="B1663" s="77"/>
      <c r="C1663" s="60"/>
      <c r="D1663" s="81"/>
      <c r="E1663" s="62"/>
      <c r="F1663" s="60"/>
      <c r="G1663" s="62"/>
      <c r="H1663" s="60"/>
    </row>
    <row r="1664" spans="1:8">
      <c r="A1664" s="60"/>
      <c r="B1664" s="77"/>
      <c r="C1664" s="60"/>
      <c r="D1664" s="81"/>
      <c r="E1664" s="62"/>
      <c r="F1664" s="60"/>
      <c r="G1664" s="62"/>
      <c r="H1664" s="60"/>
    </row>
    <row r="1665" spans="1:8">
      <c r="A1665" s="60"/>
      <c r="B1665" s="77"/>
      <c r="C1665" s="60"/>
      <c r="D1665" s="81"/>
      <c r="E1665" s="62"/>
      <c r="F1665" s="60"/>
      <c r="G1665" s="62"/>
      <c r="H1665" s="60"/>
    </row>
    <row r="1666" spans="1:8">
      <c r="A1666" s="60"/>
      <c r="B1666" s="77"/>
      <c r="C1666" s="60"/>
      <c r="D1666" s="81"/>
      <c r="E1666" s="62"/>
      <c r="F1666" s="60"/>
      <c r="G1666" s="62"/>
      <c r="H1666" s="60"/>
    </row>
    <row r="1667" spans="1:8">
      <c r="A1667" s="60"/>
      <c r="B1667" s="77"/>
      <c r="C1667" s="60"/>
      <c r="D1667" s="81"/>
      <c r="E1667" s="62"/>
      <c r="F1667" s="60"/>
      <c r="G1667" s="62"/>
      <c r="H1667" s="60"/>
    </row>
    <row r="1668" spans="1:8">
      <c r="A1668" s="60"/>
      <c r="B1668" s="77"/>
      <c r="C1668" s="60"/>
      <c r="D1668" s="81"/>
      <c r="E1668" s="62"/>
      <c r="F1668" s="60"/>
      <c r="G1668" s="62"/>
      <c r="H1668" s="60"/>
    </row>
    <row r="1669" spans="1:8">
      <c r="A1669" s="60"/>
      <c r="B1669" s="77"/>
      <c r="C1669" s="60"/>
      <c r="D1669" s="81"/>
      <c r="E1669" s="62"/>
      <c r="F1669" s="60"/>
      <c r="G1669" s="62"/>
      <c r="H1669" s="60"/>
    </row>
    <row r="1670" spans="1:8">
      <c r="A1670" s="60"/>
      <c r="B1670" s="77"/>
      <c r="C1670" s="60"/>
      <c r="D1670" s="81"/>
      <c r="E1670" s="62"/>
      <c r="F1670" s="60"/>
      <c r="G1670" s="62"/>
      <c r="H1670" s="60"/>
    </row>
    <row r="1671" spans="1:8">
      <c r="A1671" s="60"/>
      <c r="B1671" s="77"/>
      <c r="C1671" s="60"/>
      <c r="D1671" s="81"/>
      <c r="E1671" s="62"/>
      <c r="F1671" s="60"/>
      <c r="G1671" s="62"/>
      <c r="H1671" s="60"/>
    </row>
    <row r="1672" spans="1:8">
      <c r="A1672" s="60"/>
      <c r="B1672" s="77"/>
      <c r="C1672" s="60"/>
      <c r="D1672" s="81"/>
      <c r="E1672" s="62"/>
      <c r="F1672" s="60"/>
      <c r="G1672" s="62"/>
      <c r="H1672" s="60"/>
    </row>
    <row r="1673" spans="1:8">
      <c r="A1673" s="60"/>
      <c r="B1673" s="77"/>
      <c r="C1673" s="60"/>
      <c r="D1673" s="81"/>
      <c r="E1673" s="62"/>
      <c r="F1673" s="60"/>
      <c r="G1673" s="62"/>
      <c r="H1673" s="60"/>
    </row>
    <row r="1674" spans="1:8">
      <c r="A1674" s="60"/>
      <c r="B1674" s="77"/>
      <c r="C1674" s="60"/>
      <c r="D1674" s="81"/>
      <c r="E1674" s="62"/>
      <c r="F1674" s="60"/>
      <c r="G1674" s="62"/>
      <c r="H1674" s="60"/>
    </row>
    <row r="1675" spans="1:8">
      <c r="A1675" s="60"/>
      <c r="B1675" s="77"/>
      <c r="C1675" s="60"/>
      <c r="D1675" s="81"/>
      <c r="E1675" s="62"/>
      <c r="F1675" s="60"/>
      <c r="G1675" s="62"/>
      <c r="H1675" s="60"/>
    </row>
    <row r="1676" spans="1:8">
      <c r="A1676" s="60"/>
      <c r="B1676" s="77"/>
      <c r="C1676" s="60"/>
      <c r="D1676" s="81"/>
      <c r="E1676" s="62"/>
      <c r="F1676" s="60"/>
      <c r="G1676" s="62"/>
      <c r="H1676" s="60"/>
    </row>
    <row r="1677" spans="1:8">
      <c r="A1677" s="60"/>
      <c r="B1677" s="77"/>
      <c r="C1677" s="60"/>
      <c r="D1677" s="81"/>
      <c r="E1677" s="62"/>
      <c r="F1677" s="60"/>
      <c r="G1677" s="62"/>
      <c r="H1677" s="60"/>
    </row>
    <row r="1678" spans="1:8">
      <c r="A1678" s="60"/>
      <c r="B1678" s="77"/>
      <c r="C1678" s="60"/>
      <c r="D1678" s="81"/>
      <c r="E1678" s="62"/>
      <c r="F1678" s="60"/>
      <c r="G1678" s="62"/>
      <c r="H1678" s="60"/>
    </row>
    <row r="1679" spans="1:8">
      <c r="A1679" s="60"/>
      <c r="B1679" s="77"/>
      <c r="C1679" s="60"/>
      <c r="D1679" s="81"/>
      <c r="E1679" s="62"/>
      <c r="F1679" s="60"/>
      <c r="G1679" s="62"/>
      <c r="H1679" s="60"/>
    </row>
    <row r="1680" spans="1:8">
      <c r="A1680" s="60"/>
      <c r="B1680" s="77"/>
      <c r="C1680" s="60"/>
      <c r="D1680" s="81"/>
      <c r="E1680" s="62"/>
      <c r="F1680" s="60"/>
      <c r="G1680" s="62"/>
      <c r="H1680" s="60"/>
    </row>
    <row r="1681" spans="1:8">
      <c r="A1681" s="60"/>
      <c r="B1681" s="77"/>
      <c r="C1681" s="60"/>
      <c r="D1681" s="81"/>
      <c r="E1681" s="62"/>
      <c r="F1681" s="60"/>
      <c r="G1681" s="62"/>
      <c r="H1681" s="60"/>
    </row>
    <row r="1682" spans="1:8">
      <c r="A1682" s="60"/>
      <c r="B1682" s="77"/>
      <c r="C1682" s="60"/>
      <c r="D1682" s="81"/>
      <c r="E1682" s="62"/>
      <c r="F1682" s="60"/>
      <c r="G1682" s="62"/>
      <c r="H1682" s="60"/>
    </row>
    <row r="1683" spans="1:8">
      <c r="A1683" s="60"/>
      <c r="B1683" s="77"/>
      <c r="C1683" s="60"/>
      <c r="D1683" s="81"/>
      <c r="E1683" s="62"/>
      <c r="F1683" s="60"/>
      <c r="G1683" s="62"/>
      <c r="H1683" s="60"/>
    </row>
    <row r="1684" spans="1:8">
      <c r="A1684" s="60"/>
      <c r="B1684" s="77"/>
      <c r="C1684" s="60"/>
      <c r="D1684" s="81"/>
      <c r="E1684" s="62"/>
      <c r="F1684" s="60"/>
      <c r="G1684" s="62"/>
      <c r="H1684" s="60"/>
    </row>
    <row r="1685" spans="1:8">
      <c r="A1685" s="60"/>
      <c r="B1685" s="77"/>
      <c r="C1685" s="60"/>
      <c r="D1685" s="81"/>
      <c r="E1685" s="62"/>
      <c r="F1685" s="60"/>
      <c r="G1685" s="62"/>
      <c r="H1685" s="60"/>
    </row>
    <row r="1686" spans="1:8">
      <c r="A1686" s="60"/>
      <c r="B1686" s="77"/>
      <c r="C1686" s="60"/>
      <c r="D1686" s="81"/>
      <c r="E1686" s="62"/>
      <c r="F1686" s="60"/>
      <c r="G1686" s="62"/>
      <c r="H1686" s="60"/>
    </row>
    <row r="1687" spans="1:8">
      <c r="A1687" s="60"/>
      <c r="B1687" s="77"/>
      <c r="C1687" s="60"/>
      <c r="D1687" s="81"/>
      <c r="E1687" s="62"/>
      <c r="F1687" s="60"/>
      <c r="G1687" s="62"/>
      <c r="H1687" s="60"/>
    </row>
    <row r="1688" spans="1:8">
      <c r="A1688" s="60"/>
      <c r="B1688" s="77"/>
      <c r="C1688" s="60"/>
      <c r="D1688" s="81"/>
      <c r="E1688" s="62"/>
      <c r="F1688" s="60"/>
      <c r="G1688" s="62"/>
      <c r="H1688" s="60"/>
    </row>
    <row r="1689" spans="1:8">
      <c r="A1689" s="60"/>
      <c r="B1689" s="77"/>
      <c r="C1689" s="60"/>
      <c r="D1689" s="81"/>
      <c r="E1689" s="62"/>
      <c r="F1689" s="60"/>
      <c r="G1689" s="62"/>
      <c r="H1689" s="60"/>
    </row>
    <row r="1690" spans="1:8">
      <c r="A1690" s="60"/>
      <c r="B1690" s="77"/>
      <c r="C1690" s="60"/>
      <c r="D1690" s="81"/>
      <c r="E1690" s="62"/>
      <c r="F1690" s="60"/>
      <c r="G1690" s="62"/>
      <c r="H1690" s="60"/>
    </row>
    <row r="1691" spans="1:8">
      <c r="A1691" s="60"/>
      <c r="B1691" s="77"/>
      <c r="C1691" s="60"/>
      <c r="D1691" s="81"/>
      <c r="E1691" s="62"/>
      <c r="F1691" s="60"/>
      <c r="G1691" s="62"/>
      <c r="H1691" s="60"/>
    </row>
    <row r="1692" spans="1:8">
      <c r="A1692" s="60"/>
      <c r="B1692" s="77"/>
      <c r="C1692" s="60"/>
      <c r="D1692" s="81"/>
      <c r="E1692" s="62"/>
      <c r="F1692" s="60"/>
      <c r="G1692" s="62"/>
      <c r="H1692" s="60"/>
    </row>
    <row r="1693" spans="1:8">
      <c r="A1693" s="60"/>
      <c r="B1693" s="77"/>
      <c r="C1693" s="60"/>
      <c r="D1693" s="81"/>
      <c r="E1693" s="62"/>
      <c r="F1693" s="60"/>
      <c r="G1693" s="62"/>
      <c r="H1693" s="60"/>
    </row>
    <row r="1694" spans="1:8">
      <c r="A1694" s="60"/>
      <c r="B1694" s="77"/>
      <c r="C1694" s="60"/>
      <c r="D1694" s="81"/>
      <c r="E1694" s="62"/>
      <c r="F1694" s="60"/>
      <c r="G1694" s="62"/>
      <c r="H1694" s="60"/>
    </row>
    <row r="1695" spans="1:8">
      <c r="A1695" s="60"/>
      <c r="B1695" s="77"/>
      <c r="C1695" s="60"/>
      <c r="D1695" s="81"/>
      <c r="E1695" s="62"/>
      <c r="F1695" s="60"/>
      <c r="G1695" s="62"/>
      <c r="H1695" s="60"/>
    </row>
    <row r="1696" spans="1:8">
      <c r="A1696" s="60"/>
      <c r="B1696" s="77"/>
      <c r="C1696" s="60"/>
      <c r="D1696" s="81"/>
      <c r="E1696" s="62"/>
      <c r="F1696" s="60"/>
      <c r="G1696" s="62"/>
      <c r="H1696" s="60"/>
    </row>
    <row r="1697" spans="1:8">
      <c r="A1697" s="60"/>
      <c r="B1697" s="77"/>
      <c r="C1697" s="60"/>
      <c r="D1697" s="81"/>
      <c r="E1697" s="62"/>
      <c r="F1697" s="60"/>
      <c r="G1697" s="62"/>
      <c r="H1697" s="60"/>
    </row>
    <row r="1698" spans="1:8">
      <c r="A1698" s="60"/>
      <c r="B1698" s="77"/>
      <c r="C1698" s="60"/>
      <c r="D1698" s="81"/>
      <c r="E1698" s="62"/>
      <c r="F1698" s="60"/>
      <c r="G1698" s="62"/>
      <c r="H1698" s="60"/>
    </row>
    <row r="1699" spans="1:8">
      <c r="A1699" s="60"/>
      <c r="B1699" s="77"/>
      <c r="C1699" s="60"/>
      <c r="D1699" s="81"/>
      <c r="E1699" s="62"/>
      <c r="F1699" s="60"/>
      <c r="G1699" s="62"/>
      <c r="H1699" s="60"/>
    </row>
    <row r="1700" spans="1:8">
      <c r="A1700" s="60"/>
      <c r="B1700" s="77"/>
      <c r="C1700" s="60"/>
      <c r="D1700" s="81"/>
      <c r="E1700" s="62"/>
      <c r="F1700" s="60"/>
      <c r="G1700" s="62"/>
      <c r="H1700" s="60"/>
    </row>
    <row r="1701" spans="1:8">
      <c r="A1701" s="60"/>
      <c r="B1701" s="77"/>
      <c r="C1701" s="60"/>
      <c r="D1701" s="81"/>
      <c r="E1701" s="62"/>
      <c r="F1701" s="60"/>
      <c r="G1701" s="62"/>
      <c r="H1701" s="60"/>
    </row>
    <row r="1702" spans="1:8">
      <c r="A1702" s="60"/>
      <c r="B1702" s="77"/>
      <c r="C1702" s="60"/>
      <c r="D1702" s="81"/>
      <c r="E1702" s="62"/>
      <c r="F1702" s="60"/>
      <c r="G1702" s="62"/>
      <c r="H1702" s="60"/>
    </row>
    <row r="1703" spans="1:8">
      <c r="A1703" s="60"/>
      <c r="B1703" s="77"/>
      <c r="C1703" s="60"/>
      <c r="D1703" s="81"/>
      <c r="E1703" s="62"/>
      <c r="F1703" s="60"/>
      <c r="G1703" s="62"/>
      <c r="H1703" s="60"/>
    </row>
    <row r="1704" spans="1:8">
      <c r="A1704" s="60"/>
      <c r="B1704" s="77"/>
      <c r="C1704" s="60"/>
      <c r="D1704" s="81"/>
      <c r="E1704" s="62"/>
      <c r="F1704" s="60"/>
      <c r="G1704" s="62"/>
      <c r="H1704" s="60"/>
    </row>
    <row r="1705" spans="1:8">
      <c r="A1705" s="60"/>
      <c r="B1705" s="77"/>
      <c r="C1705" s="60"/>
      <c r="D1705" s="81"/>
      <c r="E1705" s="62"/>
      <c r="F1705" s="60"/>
      <c r="G1705" s="62"/>
      <c r="H1705" s="60"/>
    </row>
    <row r="1706" spans="1:8">
      <c r="A1706" s="60"/>
      <c r="B1706" s="77"/>
      <c r="C1706" s="60"/>
      <c r="D1706" s="81"/>
      <c r="E1706" s="62"/>
      <c r="F1706" s="60"/>
      <c r="G1706" s="62"/>
      <c r="H1706" s="60"/>
    </row>
    <row r="1707" spans="1:8">
      <c r="A1707" s="60"/>
      <c r="B1707" s="77"/>
      <c r="C1707" s="60"/>
      <c r="D1707" s="81"/>
      <c r="E1707" s="62"/>
      <c r="F1707" s="60"/>
      <c r="G1707" s="62"/>
      <c r="H1707" s="60"/>
    </row>
    <row r="1708" spans="1:8">
      <c r="A1708" s="60"/>
      <c r="B1708" s="77"/>
      <c r="C1708" s="60"/>
      <c r="D1708" s="81"/>
      <c r="E1708" s="62"/>
      <c r="F1708" s="60"/>
      <c r="G1708" s="62"/>
      <c r="H1708" s="60"/>
    </row>
    <row r="1709" spans="1:8">
      <c r="A1709" s="60"/>
      <c r="B1709" s="77"/>
      <c r="C1709" s="60"/>
      <c r="D1709" s="81"/>
      <c r="E1709" s="62"/>
      <c r="F1709" s="60"/>
      <c r="G1709" s="62"/>
      <c r="H1709" s="60"/>
    </row>
    <row r="1710" spans="1:8">
      <c r="A1710" s="60"/>
      <c r="B1710" s="77"/>
      <c r="C1710" s="60"/>
      <c r="D1710" s="81"/>
      <c r="E1710" s="62"/>
      <c r="F1710" s="60"/>
      <c r="G1710" s="62"/>
      <c r="H1710" s="60"/>
    </row>
    <row r="1711" spans="1:8">
      <c r="A1711" s="60"/>
      <c r="B1711" s="77"/>
      <c r="C1711" s="60"/>
      <c r="D1711" s="81"/>
      <c r="E1711" s="62"/>
      <c r="F1711" s="60"/>
      <c r="G1711" s="62"/>
      <c r="H1711" s="60"/>
    </row>
    <row r="1712" spans="1:8">
      <c r="A1712" s="60"/>
      <c r="B1712" s="77"/>
      <c r="C1712" s="60"/>
      <c r="D1712" s="81"/>
      <c r="E1712" s="62"/>
      <c r="F1712" s="60"/>
      <c r="G1712" s="62"/>
      <c r="H1712" s="60"/>
    </row>
    <row r="1713" spans="1:8">
      <c r="A1713" s="60"/>
      <c r="B1713" s="77"/>
      <c r="C1713" s="60"/>
      <c r="D1713" s="81"/>
      <c r="E1713" s="62"/>
      <c r="F1713" s="60"/>
      <c r="G1713" s="62"/>
      <c r="H1713" s="60"/>
    </row>
    <row r="1714" spans="1:8">
      <c r="A1714" s="60"/>
      <c r="B1714" s="77"/>
      <c r="C1714" s="60"/>
      <c r="D1714" s="81"/>
      <c r="E1714" s="62"/>
      <c r="F1714" s="60"/>
      <c r="G1714" s="62"/>
      <c r="H1714" s="60"/>
    </row>
    <row r="1715" spans="1:8">
      <c r="A1715" s="60"/>
      <c r="B1715" s="77"/>
      <c r="C1715" s="60"/>
      <c r="D1715" s="81"/>
      <c r="E1715" s="62"/>
      <c r="F1715" s="60"/>
      <c r="G1715" s="62"/>
      <c r="H1715" s="60"/>
    </row>
    <row r="1716" spans="1:8">
      <c r="A1716" s="60"/>
      <c r="B1716" s="77"/>
      <c r="C1716" s="60"/>
      <c r="D1716" s="81"/>
      <c r="E1716" s="62"/>
      <c r="F1716" s="60"/>
      <c r="G1716" s="62"/>
      <c r="H1716" s="60"/>
    </row>
    <row r="1717" spans="1:8">
      <c r="A1717" s="60"/>
      <c r="B1717" s="77"/>
      <c r="C1717" s="60"/>
      <c r="D1717" s="81"/>
      <c r="E1717" s="62"/>
      <c r="F1717" s="60"/>
      <c r="G1717" s="62"/>
      <c r="H1717" s="60"/>
    </row>
    <row r="1718" spans="1:8">
      <c r="A1718" s="60"/>
      <c r="B1718" s="77"/>
      <c r="C1718" s="60"/>
      <c r="D1718" s="81"/>
      <c r="E1718" s="62"/>
      <c r="F1718" s="60"/>
      <c r="G1718" s="62"/>
      <c r="H1718" s="60"/>
    </row>
    <row r="1719" spans="1:8">
      <c r="A1719" s="60"/>
      <c r="B1719" s="77"/>
      <c r="C1719" s="60"/>
      <c r="D1719" s="81"/>
      <c r="E1719" s="62"/>
      <c r="F1719" s="60"/>
      <c r="G1719" s="62"/>
      <c r="H1719" s="60"/>
    </row>
    <row r="1720" spans="1:8">
      <c r="A1720" s="60"/>
      <c r="B1720" s="77"/>
      <c r="C1720" s="60"/>
      <c r="D1720" s="81"/>
      <c r="E1720" s="62"/>
      <c r="F1720" s="60"/>
      <c r="G1720" s="62"/>
      <c r="H1720" s="60"/>
    </row>
    <row r="1721" spans="1:8">
      <c r="A1721" s="60"/>
      <c r="B1721" s="77"/>
      <c r="C1721" s="60"/>
      <c r="D1721" s="81"/>
      <c r="E1721" s="62"/>
      <c r="F1721" s="60"/>
      <c r="G1721" s="62"/>
      <c r="H1721" s="60"/>
    </row>
    <row r="1722" spans="1:8">
      <c r="A1722" s="60"/>
      <c r="B1722" s="77"/>
      <c r="C1722" s="60"/>
      <c r="D1722" s="81"/>
      <c r="E1722" s="62"/>
      <c r="F1722" s="60"/>
      <c r="G1722" s="62"/>
      <c r="H1722" s="60"/>
    </row>
    <row r="1723" spans="1:8">
      <c r="A1723" s="60"/>
      <c r="B1723" s="77"/>
      <c r="C1723" s="60"/>
      <c r="D1723" s="81"/>
      <c r="E1723" s="62"/>
      <c r="F1723" s="60"/>
      <c r="G1723" s="62"/>
      <c r="H1723" s="60"/>
    </row>
    <row r="1724" spans="1:8">
      <c r="A1724" s="60"/>
      <c r="B1724" s="77"/>
      <c r="C1724" s="60"/>
      <c r="D1724" s="81"/>
      <c r="E1724" s="62"/>
      <c r="F1724" s="60"/>
      <c r="G1724" s="62"/>
      <c r="H1724" s="60"/>
    </row>
    <row r="1725" spans="1:8">
      <c r="A1725" s="60"/>
      <c r="B1725" s="77"/>
      <c r="C1725" s="60"/>
      <c r="D1725" s="81"/>
      <c r="E1725" s="62"/>
      <c r="F1725" s="60"/>
      <c r="G1725" s="62"/>
      <c r="H1725" s="60"/>
    </row>
    <row r="1726" spans="1:8">
      <c r="A1726" s="60"/>
      <c r="B1726" s="77"/>
      <c r="C1726" s="60"/>
      <c r="D1726" s="81"/>
      <c r="E1726" s="62"/>
      <c r="F1726" s="60"/>
      <c r="G1726" s="62"/>
      <c r="H1726" s="60"/>
    </row>
    <row r="1727" spans="1:8">
      <c r="A1727" s="60"/>
      <c r="B1727" s="77"/>
      <c r="C1727" s="60"/>
      <c r="D1727" s="81"/>
      <c r="E1727" s="62"/>
      <c r="F1727" s="60"/>
      <c r="G1727" s="62"/>
      <c r="H1727" s="60"/>
    </row>
    <row r="1728" spans="1:8">
      <c r="A1728" s="60"/>
      <c r="B1728" s="77"/>
      <c r="C1728" s="60"/>
      <c r="D1728" s="81"/>
      <c r="E1728" s="62"/>
      <c r="F1728" s="60"/>
      <c r="G1728" s="62"/>
      <c r="H1728" s="60"/>
    </row>
    <row r="1729" spans="1:8">
      <c r="A1729" s="60"/>
      <c r="B1729" s="77"/>
      <c r="C1729" s="60"/>
      <c r="D1729" s="81"/>
      <c r="E1729" s="62"/>
      <c r="F1729" s="60"/>
      <c r="G1729" s="62"/>
      <c r="H1729" s="60"/>
    </row>
    <row r="1730" spans="1:8">
      <c r="A1730" s="60"/>
      <c r="B1730" s="77"/>
      <c r="C1730" s="60"/>
      <c r="D1730" s="81"/>
      <c r="E1730" s="62"/>
      <c r="F1730" s="60"/>
      <c r="G1730" s="62"/>
      <c r="H1730" s="60"/>
    </row>
    <row r="1731" spans="1:8">
      <c r="A1731" s="60"/>
      <c r="B1731" s="77"/>
      <c r="C1731" s="60"/>
      <c r="D1731" s="81"/>
      <c r="E1731" s="62"/>
      <c r="F1731" s="60"/>
      <c r="G1731" s="62"/>
      <c r="H1731" s="60"/>
    </row>
    <row r="1732" spans="1:8">
      <c r="A1732" s="60"/>
      <c r="B1732" s="77"/>
      <c r="C1732" s="60"/>
      <c r="D1732" s="81"/>
      <c r="E1732" s="62"/>
      <c r="F1732" s="60"/>
      <c r="G1732" s="62"/>
      <c r="H1732" s="60"/>
    </row>
    <row r="1733" spans="1:8">
      <c r="A1733" s="60"/>
      <c r="B1733" s="77"/>
      <c r="C1733" s="60"/>
      <c r="D1733" s="81"/>
      <c r="E1733" s="62"/>
      <c r="F1733" s="60"/>
      <c r="G1733" s="62"/>
      <c r="H1733" s="60"/>
    </row>
    <row r="1734" spans="1:8">
      <c r="A1734" s="60"/>
      <c r="B1734" s="77"/>
      <c r="C1734" s="60"/>
      <c r="D1734" s="81"/>
      <c r="E1734" s="62"/>
      <c r="F1734" s="60"/>
      <c r="G1734" s="62"/>
      <c r="H1734" s="60"/>
    </row>
    <row r="1735" spans="1:8">
      <c r="A1735" s="60"/>
      <c r="B1735" s="77"/>
      <c r="C1735" s="60"/>
      <c r="D1735" s="81"/>
      <c r="E1735" s="62"/>
      <c r="F1735" s="60"/>
      <c r="G1735" s="62"/>
      <c r="H1735" s="60"/>
    </row>
    <row r="1736" spans="1:8">
      <c r="A1736" s="60"/>
      <c r="B1736" s="77"/>
      <c r="C1736" s="60"/>
      <c r="D1736" s="81"/>
      <c r="E1736" s="62"/>
      <c r="F1736" s="60"/>
      <c r="G1736" s="62"/>
      <c r="H1736" s="60"/>
    </row>
    <row r="1737" spans="1:8">
      <c r="A1737" s="60"/>
      <c r="B1737" s="77"/>
      <c r="C1737" s="60"/>
      <c r="D1737" s="81"/>
      <c r="E1737" s="62"/>
      <c r="F1737" s="60"/>
      <c r="G1737" s="62"/>
      <c r="H1737" s="60"/>
    </row>
    <row r="1738" spans="1:8">
      <c r="A1738" s="60"/>
      <c r="B1738" s="77"/>
      <c r="C1738" s="60"/>
      <c r="D1738" s="81"/>
      <c r="E1738" s="62"/>
      <c r="F1738" s="60"/>
      <c r="G1738" s="62"/>
      <c r="H1738" s="60"/>
    </row>
    <row r="1739" spans="1:8">
      <c r="A1739" s="60"/>
      <c r="B1739" s="77"/>
      <c r="C1739" s="60"/>
      <c r="D1739" s="81"/>
      <c r="E1739" s="62"/>
      <c r="F1739" s="60"/>
      <c r="G1739" s="62"/>
      <c r="H1739" s="60"/>
    </row>
    <row r="1740" spans="1:8">
      <c r="A1740" s="60"/>
      <c r="B1740" s="77"/>
      <c r="C1740" s="60"/>
      <c r="D1740" s="81"/>
      <c r="E1740" s="62"/>
      <c r="F1740" s="60"/>
      <c r="G1740" s="62"/>
      <c r="H1740" s="60"/>
    </row>
    <row r="1741" spans="1:8">
      <c r="A1741" s="60"/>
      <c r="B1741" s="77"/>
      <c r="C1741" s="60"/>
      <c r="D1741" s="81"/>
      <c r="E1741" s="62"/>
      <c r="F1741" s="60"/>
      <c r="G1741" s="62"/>
      <c r="H1741" s="60"/>
    </row>
    <row r="1742" spans="1:8">
      <c r="A1742" s="60"/>
      <c r="B1742" s="77"/>
      <c r="C1742" s="60"/>
      <c r="D1742" s="81"/>
      <c r="E1742" s="62"/>
      <c r="F1742" s="60"/>
      <c r="G1742" s="62"/>
      <c r="H1742" s="60"/>
    </row>
    <row r="1743" spans="1:8">
      <c r="A1743" s="60"/>
      <c r="B1743" s="77"/>
      <c r="C1743" s="60"/>
      <c r="D1743" s="81"/>
      <c r="E1743" s="62"/>
      <c r="F1743" s="60"/>
      <c r="G1743" s="62"/>
      <c r="H1743" s="60"/>
    </row>
    <row r="1744" spans="1:8">
      <c r="A1744" s="60"/>
      <c r="B1744" s="77"/>
      <c r="C1744" s="60"/>
      <c r="D1744" s="81"/>
      <c r="E1744" s="62"/>
      <c r="F1744" s="60"/>
      <c r="G1744" s="62"/>
      <c r="H1744" s="60"/>
    </row>
    <row r="1745" spans="1:8">
      <c r="A1745" s="60"/>
      <c r="B1745" s="77"/>
      <c r="C1745" s="60"/>
      <c r="D1745" s="81"/>
      <c r="E1745" s="62"/>
      <c r="F1745" s="60"/>
      <c r="G1745" s="62"/>
      <c r="H1745" s="60"/>
    </row>
    <row r="1746" spans="1:8">
      <c r="A1746" s="60"/>
      <c r="B1746" s="77"/>
      <c r="C1746" s="60"/>
      <c r="D1746" s="81"/>
      <c r="E1746" s="62"/>
      <c r="F1746" s="60"/>
      <c r="G1746" s="62"/>
      <c r="H1746" s="60"/>
    </row>
    <row r="1747" spans="1:8">
      <c r="A1747" s="60"/>
      <c r="B1747" s="77"/>
      <c r="C1747" s="60"/>
      <c r="D1747" s="81"/>
      <c r="E1747" s="62"/>
      <c r="F1747" s="60"/>
      <c r="G1747" s="62"/>
      <c r="H1747" s="60"/>
    </row>
    <row r="1748" spans="1:8">
      <c r="A1748" s="60"/>
      <c r="B1748" s="77"/>
      <c r="C1748" s="60"/>
      <c r="D1748" s="81"/>
      <c r="E1748" s="62"/>
      <c r="F1748" s="60"/>
      <c r="G1748" s="62"/>
      <c r="H1748" s="60"/>
    </row>
    <row r="1749" spans="1:8">
      <c r="A1749" s="60"/>
      <c r="B1749" s="77"/>
      <c r="C1749" s="60"/>
      <c r="D1749" s="81"/>
      <c r="E1749" s="62"/>
      <c r="F1749" s="60"/>
      <c r="G1749" s="62"/>
      <c r="H1749" s="60"/>
    </row>
    <row r="1750" spans="1:8">
      <c r="A1750" s="60"/>
      <c r="B1750" s="77"/>
      <c r="C1750" s="60"/>
      <c r="D1750" s="81"/>
      <c r="E1750" s="62"/>
      <c r="F1750" s="60"/>
      <c r="G1750" s="62"/>
      <c r="H1750" s="60"/>
    </row>
    <row r="1751" spans="1:8">
      <c r="A1751" s="60"/>
      <c r="B1751" s="77"/>
      <c r="C1751" s="60"/>
      <c r="D1751" s="81"/>
      <c r="E1751" s="62"/>
      <c r="F1751" s="60"/>
      <c r="G1751" s="62"/>
      <c r="H1751" s="60"/>
    </row>
    <row r="1752" spans="1:8">
      <c r="A1752" s="60"/>
      <c r="B1752" s="77"/>
      <c r="C1752" s="60"/>
      <c r="D1752" s="81"/>
      <c r="E1752" s="62"/>
      <c r="F1752" s="60"/>
      <c r="G1752" s="62"/>
      <c r="H1752" s="60"/>
    </row>
    <row r="1753" spans="1:8">
      <c r="A1753" s="60"/>
      <c r="B1753" s="77"/>
      <c r="C1753" s="60"/>
      <c r="D1753" s="81"/>
      <c r="E1753" s="62"/>
      <c r="F1753" s="60"/>
      <c r="G1753" s="62"/>
      <c r="H1753" s="60"/>
    </row>
    <row r="1754" spans="1:8">
      <c r="A1754" s="60"/>
      <c r="B1754" s="77"/>
      <c r="C1754" s="60"/>
      <c r="D1754" s="81"/>
      <c r="E1754" s="62"/>
      <c r="F1754" s="60"/>
      <c r="G1754" s="62"/>
      <c r="H1754" s="60"/>
    </row>
    <row r="1755" spans="1:8">
      <c r="A1755" s="60"/>
      <c r="B1755" s="77"/>
      <c r="C1755" s="60"/>
      <c r="D1755" s="81"/>
      <c r="E1755" s="62"/>
      <c r="F1755" s="60"/>
      <c r="G1755" s="62"/>
      <c r="H1755" s="60"/>
    </row>
    <row r="1756" spans="1:8">
      <c r="A1756" s="60"/>
      <c r="B1756" s="77"/>
      <c r="C1756" s="60"/>
      <c r="D1756" s="81"/>
      <c r="E1756" s="62"/>
      <c r="F1756" s="60"/>
      <c r="G1756" s="62"/>
      <c r="H1756" s="60"/>
    </row>
    <row r="1757" spans="1:8">
      <c r="A1757" s="60"/>
      <c r="B1757" s="77"/>
      <c r="C1757" s="60"/>
      <c r="D1757" s="81"/>
      <c r="E1757" s="62"/>
      <c r="F1757" s="60"/>
      <c r="G1757" s="62"/>
      <c r="H1757" s="60"/>
    </row>
    <row r="1758" spans="1:8">
      <c r="A1758" s="60"/>
      <c r="B1758" s="77"/>
      <c r="C1758" s="60"/>
      <c r="D1758" s="81"/>
      <c r="E1758" s="62"/>
      <c r="F1758" s="60"/>
      <c r="G1758" s="62"/>
      <c r="H1758" s="60"/>
    </row>
    <row r="1759" spans="1:8">
      <c r="A1759" s="60"/>
      <c r="B1759" s="77"/>
      <c r="C1759" s="60"/>
      <c r="D1759" s="81"/>
      <c r="E1759" s="62"/>
      <c r="F1759" s="60"/>
      <c r="G1759" s="62"/>
      <c r="H1759" s="60"/>
    </row>
    <row r="1760" spans="1:8">
      <c r="A1760" s="60"/>
      <c r="B1760" s="77"/>
      <c r="C1760" s="60"/>
      <c r="D1760" s="81"/>
      <c r="E1760" s="62"/>
      <c r="F1760" s="60"/>
      <c r="G1760" s="62"/>
      <c r="H1760" s="60"/>
    </row>
    <row r="1761" spans="1:8">
      <c r="A1761" s="60"/>
      <c r="B1761" s="77"/>
      <c r="C1761" s="60"/>
      <c r="D1761" s="81"/>
      <c r="E1761" s="62"/>
      <c r="F1761" s="60"/>
      <c r="G1761" s="62"/>
      <c r="H1761" s="60"/>
    </row>
    <row r="1762" spans="1:8">
      <c r="A1762" s="60"/>
      <c r="B1762" s="77"/>
      <c r="C1762" s="60"/>
      <c r="D1762" s="81"/>
      <c r="E1762" s="62"/>
      <c r="F1762" s="60"/>
      <c r="G1762" s="62"/>
      <c r="H1762" s="60"/>
    </row>
    <row r="1763" spans="1:8">
      <c r="A1763" s="60"/>
      <c r="B1763" s="77"/>
      <c r="C1763" s="60"/>
      <c r="D1763" s="81"/>
      <c r="E1763" s="62"/>
      <c r="F1763" s="60"/>
      <c r="G1763" s="62"/>
      <c r="H1763" s="60"/>
    </row>
    <row r="1764" spans="1:8">
      <c r="A1764" s="60"/>
      <c r="B1764" s="77"/>
      <c r="C1764" s="60"/>
      <c r="D1764" s="81"/>
      <c r="E1764" s="62"/>
      <c r="F1764" s="60"/>
      <c r="G1764" s="62"/>
      <c r="H1764" s="60"/>
    </row>
    <row r="1765" spans="1:8">
      <c r="A1765" s="60"/>
      <c r="B1765" s="77"/>
      <c r="C1765" s="60"/>
      <c r="D1765" s="81"/>
      <c r="E1765" s="62"/>
      <c r="F1765" s="60"/>
      <c r="G1765" s="62"/>
      <c r="H1765" s="60"/>
    </row>
    <row r="1766" spans="1:8">
      <c r="A1766" s="60"/>
      <c r="B1766" s="77"/>
      <c r="C1766" s="60"/>
      <c r="D1766" s="81"/>
      <c r="E1766" s="62"/>
      <c r="F1766" s="60"/>
      <c r="G1766" s="62"/>
      <c r="H1766" s="60"/>
    </row>
    <row r="1767" spans="1:8">
      <c r="A1767" s="60"/>
      <c r="B1767" s="77"/>
      <c r="C1767" s="60"/>
      <c r="D1767" s="81"/>
      <c r="E1767" s="62"/>
      <c r="F1767" s="60"/>
      <c r="G1767" s="62"/>
      <c r="H1767" s="60"/>
    </row>
    <row r="1768" spans="1:8">
      <c r="A1768" s="60"/>
      <c r="B1768" s="77"/>
      <c r="C1768" s="60"/>
      <c r="D1768" s="81"/>
      <c r="E1768" s="62"/>
      <c r="F1768" s="60"/>
      <c r="G1768" s="62"/>
      <c r="H1768" s="60"/>
    </row>
    <row r="1769" spans="1:8">
      <c r="A1769" s="60"/>
      <c r="B1769" s="77"/>
      <c r="C1769" s="60"/>
      <c r="D1769" s="81"/>
      <c r="E1769" s="62"/>
      <c r="F1769" s="60"/>
      <c r="G1769" s="62"/>
      <c r="H1769" s="60"/>
    </row>
    <row r="1770" spans="1:8">
      <c r="A1770" s="60"/>
      <c r="B1770" s="77"/>
      <c r="C1770" s="60"/>
      <c r="D1770" s="81"/>
      <c r="E1770" s="62"/>
      <c r="F1770" s="60"/>
      <c r="G1770" s="62"/>
      <c r="H1770" s="60"/>
    </row>
    <row r="1771" spans="1:8">
      <c r="A1771" s="60"/>
      <c r="B1771" s="77"/>
      <c r="C1771" s="60"/>
      <c r="D1771" s="81"/>
      <c r="E1771" s="62"/>
      <c r="F1771" s="60"/>
      <c r="G1771" s="62"/>
      <c r="H1771" s="60"/>
    </row>
    <row r="1772" spans="1:8">
      <c r="A1772" s="60"/>
      <c r="B1772" s="77"/>
      <c r="C1772" s="60"/>
      <c r="D1772" s="81"/>
      <c r="E1772" s="62"/>
      <c r="F1772" s="60"/>
      <c r="G1772" s="62"/>
      <c r="H1772" s="60"/>
    </row>
    <row r="1773" spans="1:8">
      <c r="A1773" s="60"/>
      <c r="B1773" s="77"/>
      <c r="C1773" s="60"/>
      <c r="D1773" s="81"/>
      <c r="E1773" s="62"/>
      <c r="F1773" s="60"/>
      <c r="G1773" s="62"/>
      <c r="H1773" s="60"/>
    </row>
    <row r="1774" spans="1:8">
      <c r="A1774" s="60"/>
      <c r="B1774" s="77"/>
      <c r="C1774" s="60"/>
      <c r="D1774" s="81"/>
      <c r="E1774" s="62"/>
      <c r="F1774" s="60"/>
      <c r="G1774" s="62"/>
      <c r="H1774" s="60"/>
    </row>
    <row r="1775" spans="1:8">
      <c r="A1775" s="60"/>
      <c r="B1775" s="77"/>
      <c r="C1775" s="60"/>
      <c r="D1775" s="81"/>
      <c r="E1775" s="62"/>
      <c r="F1775" s="60"/>
      <c r="G1775" s="62"/>
      <c r="H1775" s="60"/>
    </row>
    <row r="1776" spans="1:8">
      <c r="A1776" s="60"/>
      <c r="B1776" s="77"/>
      <c r="C1776" s="60"/>
      <c r="D1776" s="81"/>
      <c r="E1776" s="62"/>
      <c r="F1776" s="60"/>
      <c r="G1776" s="62"/>
      <c r="H1776" s="60"/>
    </row>
    <row r="1777" spans="1:8">
      <c r="A1777" s="60"/>
      <c r="B1777" s="77"/>
      <c r="C1777" s="60"/>
      <c r="D1777" s="81"/>
      <c r="E1777" s="62"/>
      <c r="F1777" s="60"/>
      <c r="G1777" s="62"/>
      <c r="H1777" s="60"/>
    </row>
    <row r="1778" spans="1:8">
      <c r="A1778" s="60"/>
      <c r="B1778" s="77"/>
      <c r="C1778" s="60"/>
      <c r="D1778" s="81"/>
      <c r="E1778" s="62"/>
      <c r="F1778" s="60"/>
      <c r="G1778" s="62"/>
      <c r="H1778" s="60"/>
    </row>
    <row r="1779" spans="1:8">
      <c r="A1779" s="60"/>
      <c r="B1779" s="77"/>
      <c r="C1779" s="60"/>
      <c r="D1779" s="81"/>
      <c r="E1779" s="62"/>
      <c r="F1779" s="60"/>
      <c r="G1779" s="62"/>
      <c r="H1779" s="60"/>
    </row>
    <row r="1780" spans="1:8">
      <c r="A1780" s="60"/>
      <c r="B1780" s="77"/>
      <c r="C1780" s="60"/>
      <c r="D1780" s="81"/>
      <c r="E1780" s="62"/>
      <c r="F1780" s="60"/>
      <c r="G1780" s="62"/>
      <c r="H1780" s="60"/>
    </row>
    <row r="1781" spans="1:8">
      <c r="A1781" s="60"/>
      <c r="B1781" s="77"/>
      <c r="C1781" s="60"/>
      <c r="D1781" s="81"/>
      <c r="E1781" s="62"/>
      <c r="F1781" s="60"/>
      <c r="G1781" s="62"/>
      <c r="H1781" s="60"/>
    </row>
    <row r="1782" spans="1:8">
      <c r="A1782" s="60"/>
      <c r="B1782" s="77"/>
      <c r="C1782" s="60"/>
      <c r="D1782" s="81"/>
      <c r="E1782" s="62"/>
      <c r="F1782" s="60"/>
      <c r="G1782" s="62"/>
      <c r="H1782" s="60"/>
    </row>
    <row r="1783" spans="1:8">
      <c r="A1783" s="60"/>
      <c r="B1783" s="77"/>
      <c r="C1783" s="60"/>
      <c r="D1783" s="81"/>
      <c r="E1783" s="62"/>
      <c r="F1783" s="60"/>
      <c r="G1783" s="62"/>
      <c r="H1783" s="60"/>
    </row>
    <row r="1784" spans="1:8">
      <c r="A1784" s="60"/>
      <c r="B1784" s="77"/>
      <c r="C1784" s="60"/>
      <c r="D1784" s="81"/>
      <c r="E1784" s="62"/>
      <c r="F1784" s="60"/>
      <c r="G1784" s="62"/>
      <c r="H1784" s="60"/>
    </row>
    <row r="1785" spans="1:8">
      <c r="A1785" s="60"/>
      <c r="B1785" s="77"/>
      <c r="C1785" s="60"/>
      <c r="D1785" s="81"/>
      <c r="E1785" s="62"/>
      <c r="F1785" s="60"/>
      <c r="G1785" s="62"/>
      <c r="H1785" s="60"/>
    </row>
    <row r="1786" spans="1:8">
      <c r="A1786" s="60"/>
      <c r="B1786" s="77"/>
      <c r="C1786" s="60"/>
      <c r="D1786" s="81"/>
      <c r="E1786" s="62"/>
      <c r="F1786" s="60"/>
      <c r="G1786" s="62"/>
      <c r="H1786" s="60"/>
    </row>
    <row r="1787" spans="1:8">
      <c r="A1787" s="60"/>
      <c r="B1787" s="77"/>
      <c r="C1787" s="60"/>
      <c r="D1787" s="81"/>
      <c r="E1787" s="62"/>
      <c r="F1787" s="60"/>
      <c r="G1787" s="62"/>
      <c r="H1787" s="60"/>
    </row>
    <row r="1788" spans="1:8">
      <c r="A1788" s="60"/>
      <c r="B1788" s="77"/>
      <c r="C1788" s="60"/>
      <c r="D1788" s="81"/>
      <c r="E1788" s="62"/>
      <c r="F1788" s="60"/>
      <c r="G1788" s="62"/>
      <c r="H1788" s="60"/>
    </row>
    <row r="1789" spans="1:8">
      <c r="A1789" s="60"/>
      <c r="B1789" s="77"/>
      <c r="C1789" s="60"/>
      <c r="D1789" s="81"/>
      <c r="E1789" s="62"/>
      <c r="F1789" s="60"/>
      <c r="G1789" s="62"/>
      <c r="H1789" s="60"/>
    </row>
    <row r="1790" spans="1:8">
      <c r="A1790" s="60"/>
      <c r="B1790" s="77"/>
      <c r="C1790" s="60"/>
      <c r="D1790" s="81"/>
      <c r="E1790" s="62"/>
      <c r="F1790" s="60"/>
      <c r="G1790" s="62"/>
      <c r="H1790" s="60"/>
    </row>
    <row r="1791" spans="1:8">
      <c r="A1791" s="60"/>
      <c r="B1791" s="77"/>
      <c r="C1791" s="60"/>
      <c r="D1791" s="81"/>
      <c r="E1791" s="62"/>
      <c r="F1791" s="60"/>
      <c r="G1791" s="62"/>
      <c r="H1791" s="60"/>
    </row>
    <row r="1792" spans="1:8">
      <c r="A1792" s="60"/>
      <c r="B1792" s="77"/>
      <c r="C1792" s="60"/>
      <c r="D1792" s="81"/>
      <c r="E1792" s="62"/>
      <c r="F1792" s="60"/>
      <c r="G1792" s="62"/>
      <c r="H1792" s="60"/>
    </row>
    <row r="1793" spans="1:8">
      <c r="A1793" s="60"/>
      <c r="B1793" s="77"/>
      <c r="C1793" s="60"/>
      <c r="D1793" s="81"/>
      <c r="E1793" s="62"/>
      <c r="F1793" s="60"/>
      <c r="G1793" s="62"/>
      <c r="H1793" s="60"/>
    </row>
    <row r="1794" spans="1:8">
      <c r="A1794" s="60"/>
      <c r="B1794" s="77"/>
      <c r="C1794" s="60"/>
      <c r="D1794" s="81"/>
      <c r="E1794" s="62"/>
      <c r="F1794" s="60"/>
      <c r="G1794" s="62"/>
      <c r="H1794" s="60"/>
    </row>
    <row r="1795" spans="1:8">
      <c r="A1795" s="60"/>
      <c r="B1795" s="77"/>
      <c r="C1795" s="60"/>
      <c r="D1795" s="81"/>
      <c r="E1795" s="62"/>
      <c r="F1795" s="60"/>
      <c r="G1795" s="62"/>
      <c r="H1795" s="60"/>
    </row>
    <row r="1796" spans="1:8">
      <c r="A1796" s="60"/>
      <c r="B1796" s="77"/>
      <c r="C1796" s="60"/>
      <c r="D1796" s="81"/>
      <c r="E1796" s="62"/>
      <c r="F1796" s="60"/>
      <c r="G1796" s="62"/>
      <c r="H1796" s="60"/>
    </row>
    <row r="1797" spans="1:8">
      <c r="A1797" s="60"/>
      <c r="B1797" s="77"/>
      <c r="C1797" s="60"/>
      <c r="D1797" s="81"/>
      <c r="E1797" s="62"/>
      <c r="F1797" s="60"/>
      <c r="G1797" s="62"/>
      <c r="H1797" s="60"/>
    </row>
    <row r="1798" spans="1:8">
      <c r="A1798" s="60"/>
      <c r="B1798" s="77"/>
      <c r="C1798" s="60"/>
      <c r="D1798" s="81"/>
      <c r="E1798" s="62"/>
      <c r="F1798" s="60"/>
      <c r="G1798" s="62"/>
      <c r="H1798" s="60"/>
    </row>
    <row r="1799" spans="1:8">
      <c r="A1799" s="60"/>
      <c r="B1799" s="77"/>
      <c r="C1799" s="60"/>
      <c r="D1799" s="81"/>
      <c r="E1799" s="62"/>
      <c r="F1799" s="60"/>
      <c r="G1799" s="62"/>
      <c r="H1799" s="60"/>
    </row>
    <row r="1800" spans="1:8">
      <c r="A1800" s="60"/>
      <c r="B1800" s="77"/>
      <c r="C1800" s="60"/>
      <c r="D1800" s="81"/>
      <c r="E1800" s="62"/>
      <c r="F1800" s="60"/>
      <c r="G1800" s="62"/>
      <c r="H1800" s="60"/>
    </row>
    <row r="1801" spans="1:8">
      <c r="A1801" s="60"/>
      <c r="B1801" s="77"/>
      <c r="C1801" s="60"/>
      <c r="D1801" s="81"/>
      <c r="E1801" s="62"/>
      <c r="F1801" s="60"/>
      <c r="G1801" s="62"/>
      <c r="H1801" s="60"/>
    </row>
    <row r="1802" spans="1:8">
      <c r="A1802" s="60"/>
      <c r="B1802" s="77"/>
      <c r="C1802" s="60"/>
      <c r="D1802" s="81"/>
      <c r="E1802" s="62"/>
      <c r="F1802" s="60"/>
      <c r="G1802" s="62"/>
      <c r="H1802" s="60"/>
    </row>
    <row r="1803" spans="1:8">
      <c r="A1803" s="60"/>
      <c r="B1803" s="77"/>
      <c r="C1803" s="60"/>
      <c r="D1803" s="81"/>
      <c r="E1803" s="62"/>
      <c r="F1803" s="60"/>
      <c r="G1803" s="62"/>
      <c r="H1803" s="60"/>
    </row>
    <row r="1804" spans="1:8">
      <c r="A1804" s="60"/>
      <c r="B1804" s="77"/>
      <c r="C1804" s="60"/>
      <c r="D1804" s="81"/>
      <c r="E1804" s="62"/>
      <c r="F1804" s="60"/>
      <c r="G1804" s="62"/>
      <c r="H1804" s="60"/>
    </row>
    <row r="1805" spans="1:8">
      <c r="A1805" s="60"/>
      <c r="B1805" s="77"/>
      <c r="C1805" s="60"/>
      <c r="D1805" s="81"/>
      <c r="E1805" s="62"/>
      <c r="F1805" s="60"/>
      <c r="G1805" s="62"/>
      <c r="H1805" s="60"/>
    </row>
    <row r="1806" spans="1:8">
      <c r="A1806" s="60"/>
      <c r="B1806" s="77"/>
      <c r="C1806" s="60"/>
      <c r="D1806" s="81"/>
      <c r="E1806" s="62"/>
      <c r="F1806" s="60"/>
      <c r="G1806" s="62"/>
      <c r="H1806" s="60"/>
    </row>
    <row r="1807" spans="1:8">
      <c r="A1807" s="60"/>
      <c r="B1807" s="77"/>
      <c r="C1807" s="60"/>
      <c r="D1807" s="81"/>
      <c r="E1807" s="62"/>
      <c r="F1807" s="60"/>
      <c r="G1807" s="62"/>
      <c r="H1807" s="60"/>
    </row>
    <row r="1808" spans="1:8">
      <c r="A1808" s="60"/>
      <c r="B1808" s="77"/>
      <c r="C1808" s="60"/>
      <c r="D1808" s="81"/>
      <c r="E1808" s="62"/>
      <c r="F1808" s="60"/>
      <c r="G1808" s="62"/>
      <c r="H1808" s="60"/>
    </row>
    <row r="1809" spans="1:8">
      <c r="A1809" s="60"/>
      <c r="B1809" s="77"/>
      <c r="C1809" s="60"/>
      <c r="D1809" s="81"/>
      <c r="E1809" s="62"/>
      <c r="F1809" s="60"/>
      <c r="G1809" s="62"/>
      <c r="H1809" s="60"/>
    </row>
    <row r="1810" spans="1:8">
      <c r="A1810" s="60"/>
      <c r="B1810" s="77"/>
      <c r="C1810" s="60"/>
      <c r="D1810" s="81"/>
      <c r="E1810" s="62"/>
      <c r="F1810" s="60"/>
      <c r="G1810" s="62"/>
      <c r="H1810" s="60"/>
    </row>
    <row r="1811" spans="1:8">
      <c r="A1811" s="60"/>
      <c r="B1811" s="77"/>
      <c r="C1811" s="60"/>
      <c r="D1811" s="81"/>
      <c r="E1811" s="62"/>
      <c r="F1811" s="60"/>
      <c r="G1811" s="62"/>
      <c r="H1811" s="60"/>
    </row>
    <row r="1812" spans="1:8">
      <c r="A1812" s="60"/>
      <c r="B1812" s="77"/>
      <c r="C1812" s="60"/>
      <c r="D1812" s="81"/>
      <c r="E1812" s="62"/>
      <c r="F1812" s="60"/>
      <c r="G1812" s="62"/>
      <c r="H1812" s="60"/>
    </row>
    <row r="1813" spans="1:8">
      <c r="A1813" s="60"/>
      <c r="B1813" s="77"/>
      <c r="C1813" s="60"/>
      <c r="D1813" s="81"/>
      <c r="E1813" s="62"/>
      <c r="F1813" s="60"/>
      <c r="G1813" s="62"/>
      <c r="H1813" s="60"/>
    </row>
    <row r="1814" spans="1:8">
      <c r="A1814" s="60"/>
      <c r="B1814" s="77"/>
      <c r="C1814" s="60"/>
      <c r="D1814" s="81"/>
      <c r="E1814" s="62"/>
      <c r="F1814" s="60"/>
      <c r="G1814" s="62"/>
      <c r="H1814" s="60"/>
    </row>
    <row r="1815" spans="1:8">
      <c r="A1815" s="60"/>
      <c r="B1815" s="77"/>
      <c r="C1815" s="60"/>
      <c r="D1815" s="81"/>
      <c r="E1815" s="62"/>
      <c r="F1815" s="60"/>
      <c r="G1815" s="62"/>
      <c r="H1815" s="60"/>
    </row>
    <row r="1816" spans="1:8">
      <c r="A1816" s="60"/>
      <c r="B1816" s="77"/>
      <c r="C1816" s="60"/>
      <c r="D1816" s="81"/>
      <c r="E1816" s="62"/>
      <c r="F1816" s="60"/>
      <c r="G1816" s="62"/>
      <c r="H1816" s="60"/>
    </row>
    <row r="1817" spans="1:8">
      <c r="A1817" s="60"/>
      <c r="B1817" s="77"/>
      <c r="C1817" s="60"/>
      <c r="D1817" s="81"/>
      <c r="E1817" s="62"/>
      <c r="F1817" s="60"/>
      <c r="G1817" s="62"/>
      <c r="H1817" s="60"/>
    </row>
    <row r="1818" spans="1:8">
      <c r="A1818" s="60"/>
      <c r="B1818" s="77"/>
      <c r="C1818" s="60"/>
      <c r="D1818" s="81"/>
      <c r="E1818" s="62"/>
      <c r="F1818" s="60"/>
      <c r="G1818" s="62"/>
      <c r="H1818" s="60"/>
    </row>
    <row r="1819" spans="1:8">
      <c r="A1819" s="60"/>
      <c r="B1819" s="77"/>
      <c r="C1819" s="60"/>
      <c r="D1819" s="81"/>
      <c r="E1819" s="62"/>
      <c r="F1819" s="60"/>
      <c r="G1819" s="62"/>
      <c r="H1819" s="60"/>
    </row>
    <row r="1820" spans="1:8">
      <c r="A1820" s="60"/>
      <c r="B1820" s="77"/>
      <c r="C1820" s="60"/>
      <c r="D1820" s="81"/>
      <c r="E1820" s="62"/>
      <c r="F1820" s="60"/>
      <c r="G1820" s="62"/>
      <c r="H1820" s="60"/>
    </row>
    <row r="1821" spans="1:8">
      <c r="A1821" s="60"/>
      <c r="B1821" s="77"/>
      <c r="C1821" s="60"/>
      <c r="D1821" s="81"/>
      <c r="E1821" s="62"/>
      <c r="F1821" s="60"/>
      <c r="G1821" s="62"/>
      <c r="H1821" s="60"/>
    </row>
    <row r="1822" spans="1:8">
      <c r="A1822" s="60"/>
      <c r="B1822" s="77"/>
      <c r="C1822" s="60"/>
      <c r="D1822" s="81"/>
      <c r="E1822" s="62"/>
      <c r="F1822" s="60"/>
      <c r="G1822" s="62"/>
      <c r="H1822" s="60"/>
    </row>
    <row r="1823" spans="1:8">
      <c r="A1823" s="60"/>
      <c r="B1823" s="77"/>
      <c r="C1823" s="60"/>
      <c r="D1823" s="81"/>
      <c r="E1823" s="62"/>
      <c r="F1823" s="60"/>
      <c r="G1823" s="62"/>
      <c r="H1823" s="60"/>
    </row>
    <row r="1824" spans="1:8">
      <c r="A1824" s="60"/>
      <c r="B1824" s="77"/>
      <c r="C1824" s="60"/>
      <c r="D1824" s="81"/>
      <c r="E1824" s="62"/>
      <c r="F1824" s="60"/>
      <c r="G1824" s="62"/>
      <c r="H1824" s="60"/>
    </row>
    <row r="1825" spans="1:8">
      <c r="A1825" s="60"/>
      <c r="B1825" s="77"/>
      <c r="C1825" s="60"/>
      <c r="D1825" s="81"/>
      <c r="E1825" s="62"/>
      <c r="F1825" s="60"/>
      <c r="G1825" s="62"/>
      <c r="H1825" s="60"/>
    </row>
    <row r="1826" spans="1:8">
      <c r="A1826" s="60"/>
      <c r="B1826" s="77"/>
      <c r="C1826" s="60"/>
      <c r="D1826" s="81"/>
      <c r="E1826" s="62"/>
      <c r="F1826" s="60"/>
      <c r="G1826" s="62"/>
      <c r="H1826" s="60"/>
    </row>
    <row r="1827" spans="1:8">
      <c r="A1827" s="60"/>
      <c r="B1827" s="77"/>
      <c r="C1827" s="60"/>
      <c r="D1827" s="81"/>
      <c r="E1827" s="62"/>
      <c r="F1827" s="60"/>
      <c r="G1827" s="62"/>
      <c r="H1827" s="60"/>
    </row>
    <row r="1828" spans="1:8">
      <c r="A1828" s="60"/>
      <c r="B1828" s="77"/>
      <c r="C1828" s="60"/>
      <c r="D1828" s="81"/>
      <c r="E1828" s="62"/>
      <c r="F1828" s="60"/>
      <c r="G1828" s="62"/>
      <c r="H1828" s="60"/>
    </row>
    <row r="1829" spans="1:8">
      <c r="A1829" s="60"/>
      <c r="B1829" s="77"/>
      <c r="C1829" s="60"/>
      <c r="D1829" s="81"/>
      <c r="E1829" s="62"/>
      <c r="F1829" s="60"/>
      <c r="G1829" s="62"/>
      <c r="H1829" s="60"/>
    </row>
    <row r="1830" spans="1:8">
      <c r="A1830" s="60"/>
      <c r="B1830" s="77"/>
      <c r="C1830" s="60"/>
      <c r="D1830" s="81"/>
      <c r="E1830" s="62"/>
      <c r="F1830" s="60"/>
      <c r="G1830" s="62"/>
      <c r="H1830" s="60"/>
    </row>
    <row r="1831" spans="1:8">
      <c r="A1831" s="60"/>
      <c r="B1831" s="77"/>
      <c r="C1831" s="60"/>
      <c r="D1831" s="81"/>
      <c r="E1831" s="62"/>
      <c r="F1831" s="60"/>
      <c r="G1831" s="62"/>
      <c r="H1831" s="60"/>
    </row>
    <row r="1832" spans="1:8">
      <c r="A1832" s="60"/>
      <c r="B1832" s="77"/>
      <c r="C1832" s="60"/>
      <c r="D1832" s="81"/>
      <c r="E1832" s="62"/>
      <c r="F1832" s="60"/>
      <c r="G1832" s="62"/>
      <c r="H1832" s="60"/>
    </row>
    <row r="1833" spans="1:8">
      <c r="A1833" s="60"/>
      <c r="B1833" s="77"/>
      <c r="C1833" s="60"/>
      <c r="D1833" s="81"/>
      <c r="E1833" s="62"/>
      <c r="F1833" s="60"/>
      <c r="G1833" s="62"/>
      <c r="H1833" s="60"/>
    </row>
    <row r="1834" spans="1:8">
      <c r="A1834" s="60"/>
      <c r="B1834" s="77"/>
      <c r="C1834" s="60"/>
      <c r="D1834" s="81"/>
      <c r="E1834" s="62"/>
      <c r="F1834" s="60"/>
      <c r="G1834" s="62"/>
      <c r="H1834" s="60"/>
    </row>
    <row r="1835" spans="1:8">
      <c r="A1835" s="60"/>
      <c r="B1835" s="77"/>
      <c r="C1835" s="60"/>
      <c r="D1835" s="81"/>
      <c r="E1835" s="62"/>
      <c r="F1835" s="60"/>
      <c r="G1835" s="62"/>
      <c r="H1835" s="60"/>
    </row>
    <row r="1836" spans="1:8">
      <c r="A1836" s="60"/>
      <c r="B1836" s="77"/>
      <c r="C1836" s="60"/>
      <c r="D1836" s="81"/>
      <c r="E1836" s="62"/>
      <c r="F1836" s="60"/>
      <c r="G1836" s="62"/>
      <c r="H1836" s="60"/>
    </row>
    <row r="1837" spans="1:8">
      <c r="A1837" s="60"/>
      <c r="B1837" s="77"/>
      <c r="C1837" s="60"/>
      <c r="D1837" s="81"/>
      <c r="E1837" s="62"/>
      <c r="F1837" s="60"/>
      <c r="G1837" s="62"/>
      <c r="H1837" s="60"/>
    </row>
    <row r="1838" spans="1:8">
      <c r="A1838" s="60"/>
      <c r="B1838" s="77"/>
      <c r="C1838" s="60"/>
      <c r="D1838" s="81"/>
      <c r="E1838" s="62"/>
      <c r="F1838" s="60"/>
      <c r="G1838" s="62"/>
      <c r="H1838" s="60"/>
    </row>
    <row r="1839" spans="1:8">
      <c r="A1839" s="60"/>
      <c r="B1839" s="77"/>
      <c r="C1839" s="60"/>
      <c r="D1839" s="81"/>
      <c r="E1839" s="62"/>
      <c r="F1839" s="60"/>
      <c r="G1839" s="62"/>
      <c r="H1839" s="60"/>
    </row>
    <row r="1840" spans="1:8">
      <c r="A1840" s="60"/>
      <c r="B1840" s="77"/>
      <c r="C1840" s="60"/>
      <c r="D1840" s="81"/>
      <c r="E1840" s="62"/>
      <c r="F1840" s="60"/>
      <c r="G1840" s="62"/>
      <c r="H1840" s="60"/>
    </row>
    <row r="1841" spans="1:8">
      <c r="A1841" s="60"/>
      <c r="B1841" s="77"/>
      <c r="C1841" s="60"/>
      <c r="D1841" s="81"/>
      <c r="E1841" s="62"/>
      <c r="F1841" s="60"/>
      <c r="G1841" s="62"/>
      <c r="H1841" s="60"/>
    </row>
    <row r="1842" spans="1:8">
      <c r="A1842" s="60"/>
      <c r="B1842" s="77"/>
      <c r="C1842" s="60"/>
      <c r="D1842" s="81"/>
      <c r="E1842" s="62"/>
      <c r="F1842" s="60"/>
      <c r="G1842" s="62"/>
      <c r="H1842" s="60"/>
    </row>
    <row r="1843" spans="1:8">
      <c r="A1843" s="60"/>
      <c r="B1843" s="77"/>
      <c r="C1843" s="60"/>
      <c r="D1843" s="81"/>
      <c r="E1843" s="62"/>
      <c r="F1843" s="60"/>
      <c r="G1843" s="62"/>
      <c r="H1843" s="60"/>
    </row>
    <row r="1844" spans="1:8">
      <c r="A1844" s="60"/>
      <c r="B1844" s="77"/>
      <c r="C1844" s="60"/>
      <c r="D1844" s="81"/>
      <c r="E1844" s="62"/>
      <c r="F1844" s="60"/>
      <c r="G1844" s="62"/>
      <c r="H1844" s="60"/>
    </row>
    <row r="1845" spans="1:8">
      <c r="A1845" s="60"/>
      <c r="B1845" s="77"/>
      <c r="C1845" s="60"/>
      <c r="D1845" s="81"/>
      <c r="E1845" s="62"/>
      <c r="F1845" s="60"/>
      <c r="G1845" s="62"/>
      <c r="H1845" s="60"/>
    </row>
    <row r="1846" spans="1:8">
      <c r="A1846" s="60"/>
      <c r="B1846" s="77"/>
      <c r="C1846" s="60"/>
      <c r="D1846" s="81"/>
      <c r="E1846" s="62"/>
      <c r="F1846" s="60"/>
      <c r="G1846" s="62"/>
      <c r="H1846" s="60"/>
    </row>
    <row r="1847" spans="1:8">
      <c r="A1847" s="60"/>
      <c r="B1847" s="77"/>
      <c r="C1847" s="60"/>
      <c r="D1847" s="81"/>
      <c r="E1847" s="62"/>
      <c r="F1847" s="60"/>
      <c r="G1847" s="62"/>
      <c r="H1847" s="60"/>
    </row>
    <row r="1848" spans="1:8">
      <c r="A1848" s="60"/>
      <c r="B1848" s="77"/>
      <c r="C1848" s="60"/>
      <c r="D1848" s="81"/>
      <c r="E1848" s="62"/>
      <c r="F1848" s="60"/>
      <c r="G1848" s="62"/>
      <c r="H1848" s="60"/>
    </row>
    <row r="1849" spans="1:8">
      <c r="A1849" s="60"/>
      <c r="B1849" s="77"/>
      <c r="C1849" s="60"/>
      <c r="D1849" s="81"/>
      <c r="E1849" s="62"/>
      <c r="F1849" s="60"/>
      <c r="G1849" s="62"/>
      <c r="H1849" s="60"/>
    </row>
    <row r="1850" spans="1:8">
      <c r="A1850" s="60"/>
      <c r="B1850" s="77"/>
      <c r="C1850" s="60"/>
      <c r="D1850" s="81"/>
      <c r="E1850" s="62"/>
      <c r="F1850" s="60"/>
      <c r="G1850" s="62"/>
      <c r="H1850" s="60"/>
    </row>
    <row r="1851" spans="1:8">
      <c r="A1851" s="60"/>
      <c r="B1851" s="77"/>
      <c r="C1851" s="60"/>
      <c r="D1851" s="81"/>
      <c r="E1851" s="62"/>
      <c r="F1851" s="60"/>
      <c r="G1851" s="62"/>
      <c r="H1851" s="60"/>
    </row>
    <row r="1852" spans="1:8">
      <c r="A1852" s="60"/>
      <c r="B1852" s="77"/>
      <c r="C1852" s="60"/>
      <c r="D1852" s="81"/>
      <c r="E1852" s="62"/>
      <c r="F1852" s="60"/>
      <c r="G1852" s="62"/>
      <c r="H1852" s="60"/>
    </row>
    <row r="1853" spans="1:8">
      <c r="A1853" s="60"/>
      <c r="B1853" s="77"/>
      <c r="C1853" s="60"/>
      <c r="D1853" s="81"/>
      <c r="E1853" s="62"/>
      <c r="F1853" s="60"/>
      <c r="G1853" s="62"/>
      <c r="H1853" s="60"/>
    </row>
    <row r="1854" spans="1:8">
      <c r="A1854" s="60"/>
      <c r="B1854" s="77"/>
      <c r="C1854" s="60"/>
      <c r="D1854" s="81"/>
      <c r="E1854" s="62"/>
      <c r="F1854" s="60"/>
      <c r="G1854" s="62"/>
      <c r="H1854" s="60"/>
    </row>
    <row r="1855" spans="1:8">
      <c r="A1855" s="60"/>
      <c r="B1855" s="77"/>
      <c r="C1855" s="60"/>
      <c r="D1855" s="81"/>
      <c r="E1855" s="62"/>
      <c r="F1855" s="60"/>
      <c r="G1855" s="62"/>
      <c r="H1855" s="60"/>
    </row>
    <row r="1856" spans="1:8">
      <c r="A1856" s="60"/>
      <c r="B1856" s="77"/>
      <c r="C1856" s="60"/>
      <c r="D1856" s="81"/>
      <c r="E1856" s="62"/>
      <c r="F1856" s="60"/>
      <c r="G1856" s="62"/>
      <c r="H1856" s="60"/>
    </row>
    <row r="1857" spans="1:8">
      <c r="A1857" s="60"/>
      <c r="B1857" s="77"/>
      <c r="C1857" s="60"/>
      <c r="D1857" s="81"/>
      <c r="E1857" s="62"/>
      <c r="F1857" s="60"/>
      <c r="G1857" s="62"/>
      <c r="H1857" s="60"/>
    </row>
    <row r="1858" spans="1:8">
      <c r="A1858" s="60"/>
      <c r="B1858" s="77"/>
      <c r="C1858" s="60"/>
      <c r="D1858" s="81"/>
      <c r="E1858" s="62"/>
      <c r="F1858" s="60"/>
      <c r="G1858" s="62"/>
      <c r="H1858" s="60"/>
    </row>
    <row r="1859" spans="1:8">
      <c r="A1859" s="60"/>
      <c r="B1859" s="77"/>
      <c r="C1859" s="60"/>
      <c r="D1859" s="81"/>
      <c r="E1859" s="62"/>
      <c r="F1859" s="60"/>
      <c r="G1859" s="62"/>
      <c r="H1859" s="60"/>
    </row>
    <row r="1860" spans="1:8">
      <c r="A1860" s="60"/>
      <c r="B1860" s="77"/>
      <c r="C1860" s="60"/>
      <c r="D1860" s="81"/>
      <c r="E1860" s="62"/>
      <c r="F1860" s="60"/>
      <c r="G1860" s="62"/>
      <c r="H1860" s="60"/>
    </row>
    <row r="1861" spans="1:8">
      <c r="A1861" s="60"/>
      <c r="B1861" s="77"/>
      <c r="C1861" s="60"/>
      <c r="D1861" s="81"/>
      <c r="E1861" s="62"/>
      <c r="F1861" s="60"/>
      <c r="G1861" s="62"/>
      <c r="H1861" s="60"/>
    </row>
    <row r="1862" spans="1:8">
      <c r="A1862" s="60"/>
      <c r="B1862" s="77"/>
      <c r="C1862" s="60"/>
      <c r="D1862" s="81"/>
      <c r="E1862" s="62"/>
      <c r="F1862" s="60"/>
      <c r="G1862" s="62"/>
      <c r="H1862" s="60"/>
    </row>
    <row r="1863" spans="1:8">
      <c r="A1863" s="60"/>
      <c r="B1863" s="77"/>
      <c r="C1863" s="60"/>
      <c r="D1863" s="81"/>
      <c r="E1863" s="62"/>
      <c r="F1863" s="60"/>
      <c r="G1863" s="62"/>
      <c r="H1863" s="60"/>
    </row>
    <row r="1864" spans="1:8">
      <c r="A1864" s="60"/>
      <c r="B1864" s="77"/>
      <c r="C1864" s="60"/>
      <c r="D1864" s="81"/>
      <c r="E1864" s="62"/>
      <c r="F1864" s="60"/>
      <c r="G1864" s="62"/>
      <c r="H1864" s="60"/>
    </row>
    <row r="1865" spans="1:8">
      <c r="A1865" s="60"/>
      <c r="B1865" s="77"/>
      <c r="C1865" s="60"/>
      <c r="D1865" s="81"/>
      <c r="E1865" s="62"/>
      <c r="F1865" s="60"/>
      <c r="G1865" s="62"/>
      <c r="H1865" s="60"/>
    </row>
    <row r="1866" spans="1:8">
      <c r="A1866" s="60"/>
      <c r="B1866" s="77"/>
      <c r="C1866" s="60"/>
      <c r="D1866" s="81"/>
      <c r="E1866" s="62"/>
      <c r="F1866" s="60"/>
      <c r="G1866" s="62"/>
      <c r="H1866" s="60"/>
    </row>
    <row r="1867" spans="1:8">
      <c r="A1867" s="60"/>
      <c r="B1867" s="77"/>
      <c r="C1867" s="60"/>
      <c r="D1867" s="81"/>
      <c r="E1867" s="62"/>
      <c r="F1867" s="60"/>
      <c r="G1867" s="62"/>
      <c r="H1867" s="60"/>
    </row>
    <row r="1868" spans="1:8">
      <c r="A1868" s="60"/>
      <c r="B1868" s="77"/>
      <c r="C1868" s="60"/>
      <c r="D1868" s="81"/>
      <c r="E1868" s="62"/>
      <c r="F1868" s="60"/>
      <c r="G1868" s="62"/>
      <c r="H1868" s="60"/>
    </row>
    <row r="1869" spans="1:8">
      <c r="A1869" s="60"/>
      <c r="B1869" s="77"/>
      <c r="C1869" s="60"/>
      <c r="D1869" s="81"/>
      <c r="E1869" s="62"/>
      <c r="F1869" s="60"/>
      <c r="G1869" s="62"/>
      <c r="H1869" s="60"/>
    </row>
    <row r="1870" spans="1:8">
      <c r="A1870" s="60"/>
      <c r="B1870" s="77"/>
      <c r="C1870" s="60"/>
      <c r="D1870" s="81"/>
      <c r="E1870" s="62"/>
      <c r="F1870" s="60"/>
      <c r="G1870" s="62"/>
      <c r="H1870" s="60"/>
    </row>
    <row r="1871" spans="1:8">
      <c r="A1871" s="60"/>
      <c r="B1871" s="77"/>
      <c r="C1871" s="60"/>
      <c r="D1871" s="81"/>
      <c r="E1871" s="62"/>
      <c r="F1871" s="60"/>
      <c r="G1871" s="62"/>
      <c r="H1871" s="60"/>
    </row>
    <row r="1872" spans="1:8">
      <c r="A1872" s="60"/>
      <c r="B1872" s="77"/>
      <c r="C1872" s="60"/>
      <c r="D1872" s="81"/>
      <c r="E1872" s="62"/>
      <c r="F1872" s="60"/>
      <c r="G1872" s="62"/>
      <c r="H1872" s="60"/>
    </row>
    <row r="1873" spans="1:8">
      <c r="A1873" s="60"/>
      <c r="B1873" s="77"/>
      <c r="C1873" s="60"/>
      <c r="D1873" s="81"/>
      <c r="E1873" s="62"/>
      <c r="F1873" s="60"/>
      <c r="G1873" s="62"/>
      <c r="H1873" s="60"/>
    </row>
    <row r="1874" spans="1:8">
      <c r="A1874" s="60"/>
      <c r="B1874" s="77"/>
      <c r="C1874" s="60"/>
      <c r="D1874" s="81"/>
      <c r="E1874" s="62"/>
      <c r="F1874" s="60"/>
      <c r="G1874" s="62"/>
      <c r="H1874" s="60"/>
    </row>
    <row r="1875" spans="1:8">
      <c r="A1875" s="60"/>
      <c r="B1875" s="77"/>
      <c r="C1875" s="60"/>
      <c r="D1875" s="81"/>
      <c r="E1875" s="62"/>
      <c r="F1875" s="60"/>
      <c r="G1875" s="62"/>
      <c r="H1875" s="60"/>
    </row>
    <row r="1876" spans="1:8">
      <c r="A1876" s="60"/>
      <c r="B1876" s="77"/>
      <c r="C1876" s="60"/>
      <c r="D1876" s="81"/>
      <c r="E1876" s="62"/>
      <c r="F1876" s="60"/>
      <c r="G1876" s="62"/>
      <c r="H1876" s="60"/>
    </row>
    <row r="1877" spans="1:8">
      <c r="A1877" s="60"/>
      <c r="B1877" s="77"/>
      <c r="C1877" s="60"/>
      <c r="D1877" s="81"/>
      <c r="E1877" s="62"/>
      <c r="F1877" s="60"/>
      <c r="G1877" s="62"/>
      <c r="H1877" s="60"/>
    </row>
    <row r="1878" spans="1:8">
      <c r="A1878" s="60"/>
      <c r="B1878" s="77"/>
      <c r="C1878" s="60"/>
      <c r="D1878" s="81"/>
      <c r="E1878" s="62"/>
      <c r="F1878" s="60"/>
      <c r="G1878" s="62"/>
      <c r="H1878" s="60"/>
    </row>
    <row r="1879" spans="1:8">
      <c r="A1879" s="60"/>
      <c r="B1879" s="77"/>
      <c r="C1879" s="60"/>
      <c r="D1879" s="81"/>
      <c r="E1879" s="62"/>
      <c r="F1879" s="60"/>
      <c r="G1879" s="62"/>
      <c r="H1879" s="60"/>
    </row>
    <row r="1880" spans="1:8">
      <c r="A1880" s="60"/>
      <c r="B1880" s="77"/>
      <c r="C1880" s="60"/>
      <c r="D1880" s="81"/>
      <c r="E1880" s="62"/>
      <c r="F1880" s="60"/>
      <c r="G1880" s="62"/>
      <c r="H1880" s="60"/>
    </row>
    <row r="1881" spans="1:8">
      <c r="A1881" s="60"/>
      <c r="B1881" s="77"/>
      <c r="C1881" s="60"/>
      <c r="D1881" s="81"/>
      <c r="E1881" s="62"/>
      <c r="F1881" s="60"/>
      <c r="G1881" s="62"/>
      <c r="H1881" s="60"/>
    </row>
    <row r="1882" spans="1:8">
      <c r="A1882" s="60"/>
      <c r="B1882" s="77"/>
      <c r="C1882" s="60"/>
      <c r="D1882" s="81"/>
      <c r="E1882" s="62"/>
      <c r="F1882" s="60"/>
      <c r="G1882" s="62"/>
      <c r="H1882" s="60"/>
    </row>
    <row r="1883" spans="1:8">
      <c r="A1883" s="60"/>
      <c r="B1883" s="77"/>
      <c r="C1883" s="60"/>
      <c r="D1883" s="81"/>
      <c r="E1883" s="62"/>
      <c r="F1883" s="60"/>
      <c r="G1883" s="62"/>
      <c r="H1883" s="60"/>
    </row>
    <row r="1884" spans="1:8">
      <c r="A1884" s="60"/>
      <c r="B1884" s="77"/>
      <c r="C1884" s="60"/>
      <c r="D1884" s="81"/>
      <c r="E1884" s="62"/>
      <c r="F1884" s="60"/>
      <c r="G1884" s="62"/>
      <c r="H1884" s="60"/>
    </row>
    <row r="1885" spans="1:8">
      <c r="A1885" s="60"/>
      <c r="B1885" s="77"/>
      <c r="C1885" s="60"/>
      <c r="D1885" s="81"/>
      <c r="E1885" s="62"/>
      <c r="F1885" s="60"/>
      <c r="G1885" s="62"/>
      <c r="H1885" s="60"/>
    </row>
    <row r="1886" spans="1:8">
      <c r="A1886" s="60"/>
      <c r="B1886" s="77"/>
      <c r="C1886" s="60"/>
      <c r="D1886" s="81"/>
      <c r="E1886" s="62"/>
      <c r="F1886" s="60"/>
      <c r="G1886" s="62"/>
      <c r="H1886" s="60"/>
    </row>
    <row r="1887" spans="1:8">
      <c r="A1887" s="60"/>
      <c r="B1887" s="77"/>
      <c r="C1887" s="60"/>
      <c r="D1887" s="81"/>
      <c r="E1887" s="62"/>
      <c r="F1887" s="60"/>
      <c r="G1887" s="62"/>
      <c r="H1887" s="60"/>
    </row>
    <row r="1888" spans="1:8">
      <c r="A1888" s="60"/>
      <c r="B1888" s="77"/>
      <c r="C1888" s="60"/>
      <c r="D1888" s="81"/>
      <c r="E1888" s="62"/>
      <c r="F1888" s="60"/>
      <c r="G1888" s="62"/>
      <c r="H1888" s="60"/>
    </row>
    <row r="1889" spans="1:8">
      <c r="A1889" s="60"/>
      <c r="B1889" s="77"/>
      <c r="C1889" s="60"/>
      <c r="D1889" s="81"/>
      <c r="E1889" s="62"/>
      <c r="F1889" s="60"/>
      <c r="G1889" s="62"/>
      <c r="H1889" s="60"/>
    </row>
    <row r="1890" spans="1:8">
      <c r="A1890" s="60"/>
      <c r="B1890" s="77"/>
      <c r="C1890" s="60"/>
      <c r="D1890" s="81"/>
      <c r="E1890" s="62"/>
      <c r="F1890" s="60"/>
      <c r="G1890" s="62"/>
      <c r="H1890" s="60"/>
    </row>
    <row r="1891" spans="1:8">
      <c r="A1891" s="60"/>
      <c r="B1891" s="77"/>
      <c r="C1891" s="60"/>
      <c r="D1891" s="81"/>
      <c r="E1891" s="62"/>
      <c r="F1891" s="60"/>
      <c r="G1891" s="62"/>
      <c r="H1891" s="60"/>
    </row>
    <row r="1892" spans="1:8">
      <c r="A1892" s="60"/>
      <c r="B1892" s="77"/>
      <c r="C1892" s="60"/>
      <c r="D1892" s="81"/>
      <c r="E1892" s="62"/>
      <c r="F1892" s="60"/>
      <c r="G1892" s="62"/>
      <c r="H1892" s="60"/>
    </row>
    <row r="1893" spans="1:8">
      <c r="A1893" s="60"/>
      <c r="B1893" s="77"/>
      <c r="C1893" s="60"/>
      <c r="D1893" s="81"/>
      <c r="E1893" s="62"/>
      <c r="F1893" s="60"/>
      <c r="G1893" s="62"/>
      <c r="H1893" s="60"/>
    </row>
    <row r="1894" spans="1:8">
      <c r="A1894" s="60"/>
      <c r="B1894" s="77"/>
      <c r="C1894" s="60"/>
      <c r="D1894" s="81"/>
      <c r="E1894" s="62"/>
      <c r="F1894" s="60"/>
      <c r="G1894" s="62"/>
      <c r="H1894" s="60"/>
    </row>
    <row r="1895" spans="1:8">
      <c r="A1895" s="60"/>
      <c r="B1895" s="77"/>
      <c r="C1895" s="60"/>
      <c r="D1895" s="81"/>
      <c r="E1895" s="62"/>
      <c r="F1895" s="60"/>
      <c r="G1895" s="62"/>
      <c r="H1895" s="60"/>
    </row>
    <row r="1896" spans="1:8">
      <c r="A1896" s="60"/>
      <c r="B1896" s="77"/>
      <c r="C1896" s="60"/>
      <c r="D1896" s="81"/>
      <c r="E1896" s="62"/>
      <c r="F1896" s="60"/>
      <c r="G1896" s="62"/>
      <c r="H1896" s="60"/>
    </row>
    <row r="1897" spans="1:8">
      <c r="A1897" s="60"/>
      <c r="B1897" s="77"/>
      <c r="C1897" s="60"/>
      <c r="D1897" s="81"/>
      <c r="E1897" s="62"/>
      <c r="F1897" s="60"/>
      <c r="G1897" s="62"/>
      <c r="H1897" s="60"/>
    </row>
    <row r="1898" spans="1:8">
      <c r="A1898" s="60"/>
      <c r="B1898" s="77"/>
      <c r="C1898" s="60"/>
      <c r="D1898" s="81"/>
      <c r="E1898" s="62"/>
      <c r="F1898" s="60"/>
      <c r="G1898" s="62"/>
      <c r="H1898" s="60"/>
    </row>
    <row r="1899" spans="1:8">
      <c r="A1899" s="60"/>
      <c r="B1899" s="77"/>
      <c r="C1899" s="60"/>
      <c r="D1899" s="81"/>
      <c r="E1899" s="62"/>
      <c r="F1899" s="60"/>
      <c r="G1899" s="62"/>
      <c r="H1899" s="60"/>
    </row>
    <row r="1900" spans="1:8">
      <c r="A1900" s="60"/>
      <c r="B1900" s="77"/>
      <c r="C1900" s="60"/>
      <c r="D1900" s="81"/>
      <c r="E1900" s="62"/>
      <c r="F1900" s="60"/>
      <c r="G1900" s="62"/>
      <c r="H1900" s="60"/>
    </row>
    <row r="1901" spans="1:8">
      <c r="A1901" s="60"/>
      <c r="B1901" s="77"/>
      <c r="C1901" s="60"/>
      <c r="D1901" s="81"/>
      <c r="E1901" s="62"/>
      <c r="F1901" s="60"/>
      <c r="G1901" s="62"/>
      <c r="H1901" s="60"/>
    </row>
    <row r="1902" spans="1:8">
      <c r="A1902" s="60"/>
      <c r="B1902" s="77"/>
      <c r="C1902" s="60"/>
      <c r="D1902" s="81"/>
      <c r="E1902" s="62"/>
      <c r="F1902" s="60"/>
      <c r="G1902" s="62"/>
      <c r="H1902" s="60"/>
    </row>
    <row r="1903" spans="1:8">
      <c r="A1903" s="60"/>
      <c r="B1903" s="77"/>
      <c r="C1903" s="60"/>
      <c r="D1903" s="81"/>
      <c r="E1903" s="62"/>
      <c r="F1903" s="60"/>
      <c r="G1903" s="62"/>
      <c r="H1903" s="60"/>
    </row>
    <row r="1904" spans="1:8">
      <c r="A1904" s="60"/>
      <c r="B1904" s="77"/>
      <c r="C1904" s="60"/>
      <c r="D1904" s="81"/>
      <c r="E1904" s="62"/>
      <c r="F1904" s="60"/>
      <c r="G1904" s="62"/>
      <c r="H1904" s="60"/>
    </row>
    <row r="1905" spans="1:8">
      <c r="A1905" s="60"/>
      <c r="B1905" s="77"/>
      <c r="C1905" s="60"/>
      <c r="D1905" s="81"/>
      <c r="E1905" s="62"/>
      <c r="F1905" s="60"/>
      <c r="G1905" s="62"/>
      <c r="H1905" s="60"/>
    </row>
    <row r="1906" spans="1:8">
      <c r="A1906" s="60"/>
      <c r="B1906" s="77"/>
      <c r="C1906" s="60"/>
      <c r="D1906" s="81"/>
      <c r="E1906" s="62"/>
      <c r="F1906" s="60"/>
      <c r="G1906" s="62"/>
      <c r="H1906" s="60"/>
    </row>
    <row r="1907" spans="1:8">
      <c r="A1907" s="60"/>
      <c r="B1907" s="77"/>
      <c r="C1907" s="60"/>
      <c r="D1907" s="81"/>
      <c r="E1907" s="62"/>
      <c r="F1907" s="60"/>
      <c r="G1907" s="62"/>
      <c r="H1907" s="60"/>
    </row>
    <row r="1908" spans="1:8">
      <c r="A1908" s="60"/>
      <c r="B1908" s="77"/>
      <c r="C1908" s="60"/>
      <c r="D1908" s="81"/>
      <c r="E1908" s="62"/>
      <c r="F1908" s="60"/>
      <c r="G1908" s="62"/>
      <c r="H1908" s="60"/>
    </row>
    <row r="1909" spans="1:8">
      <c r="A1909" s="60"/>
      <c r="B1909" s="77"/>
      <c r="C1909" s="60"/>
      <c r="D1909" s="81"/>
      <c r="E1909" s="62"/>
      <c r="F1909" s="60"/>
      <c r="G1909" s="62"/>
      <c r="H1909" s="60"/>
    </row>
    <row r="1910" spans="1:8">
      <c r="A1910" s="60"/>
      <c r="B1910" s="77"/>
      <c r="C1910" s="60"/>
      <c r="D1910" s="81"/>
      <c r="E1910" s="62"/>
      <c r="F1910" s="60"/>
      <c r="G1910" s="62"/>
      <c r="H1910" s="60"/>
    </row>
    <row r="1911" spans="1:8">
      <c r="A1911" s="60"/>
      <c r="B1911" s="77"/>
      <c r="C1911" s="60"/>
      <c r="D1911" s="81"/>
      <c r="E1911" s="62"/>
      <c r="F1911" s="60"/>
      <c r="G1911" s="62"/>
      <c r="H1911" s="60"/>
    </row>
    <row r="1912" spans="1:8">
      <c r="A1912" s="60"/>
      <c r="B1912" s="77"/>
      <c r="C1912" s="60"/>
      <c r="D1912" s="81"/>
      <c r="E1912" s="62"/>
      <c r="F1912" s="60"/>
      <c r="G1912" s="62"/>
      <c r="H1912" s="60"/>
    </row>
    <row r="1913" spans="1:8">
      <c r="A1913" s="60"/>
      <c r="B1913" s="77"/>
      <c r="C1913" s="60"/>
      <c r="D1913" s="81"/>
      <c r="E1913" s="62"/>
      <c r="F1913" s="60"/>
      <c r="G1913" s="62"/>
      <c r="H1913" s="60"/>
    </row>
    <row r="1914" spans="1:8">
      <c r="A1914" s="60"/>
      <c r="B1914" s="77"/>
      <c r="C1914" s="60"/>
      <c r="D1914" s="81"/>
      <c r="E1914" s="62"/>
      <c r="F1914" s="60"/>
      <c r="G1914" s="62"/>
      <c r="H1914" s="60"/>
    </row>
    <row r="1915" spans="1:8">
      <c r="A1915" s="60"/>
      <c r="B1915" s="77"/>
      <c r="C1915" s="60"/>
      <c r="D1915" s="81"/>
      <c r="E1915" s="62"/>
      <c r="F1915" s="60"/>
      <c r="G1915" s="62"/>
      <c r="H1915" s="60"/>
    </row>
    <row r="1916" spans="1:8">
      <c r="A1916" s="60"/>
      <c r="B1916" s="77"/>
      <c r="C1916" s="60"/>
      <c r="D1916" s="81"/>
      <c r="E1916" s="62"/>
      <c r="F1916" s="60"/>
      <c r="G1916" s="62"/>
      <c r="H1916" s="60"/>
    </row>
    <row r="1917" spans="1:8">
      <c r="A1917" s="60"/>
      <c r="B1917" s="77"/>
      <c r="C1917" s="60"/>
      <c r="D1917" s="81"/>
      <c r="E1917" s="62"/>
      <c r="F1917" s="60"/>
      <c r="G1917" s="62"/>
      <c r="H1917" s="60"/>
    </row>
    <row r="1918" spans="1:8">
      <c r="A1918" s="60"/>
      <c r="B1918" s="77"/>
      <c r="C1918" s="60"/>
      <c r="D1918" s="81"/>
      <c r="E1918" s="62"/>
      <c r="F1918" s="60"/>
      <c r="G1918" s="62"/>
      <c r="H1918" s="60"/>
    </row>
    <row r="1919" spans="1:8">
      <c r="A1919" s="60"/>
      <c r="B1919" s="77"/>
      <c r="C1919" s="60"/>
      <c r="D1919" s="81"/>
      <c r="E1919" s="62"/>
      <c r="F1919" s="60"/>
      <c r="G1919" s="62"/>
      <c r="H1919" s="60"/>
    </row>
    <row r="1920" spans="1:8">
      <c r="A1920" s="60"/>
      <c r="B1920" s="77"/>
      <c r="C1920" s="60"/>
      <c r="D1920" s="81"/>
      <c r="E1920" s="62"/>
      <c r="F1920" s="60"/>
      <c r="G1920" s="62"/>
      <c r="H1920" s="60"/>
    </row>
    <row r="1921" spans="1:8">
      <c r="A1921" s="60"/>
      <c r="B1921" s="77"/>
      <c r="C1921" s="60"/>
      <c r="D1921" s="81"/>
      <c r="E1921" s="62"/>
      <c r="F1921" s="60"/>
      <c r="G1921" s="62"/>
      <c r="H1921" s="60"/>
    </row>
    <row r="1922" spans="1:8">
      <c r="A1922" s="60"/>
      <c r="B1922" s="77"/>
      <c r="C1922" s="60"/>
      <c r="D1922" s="81"/>
      <c r="E1922" s="62"/>
      <c r="F1922" s="60"/>
      <c r="G1922" s="62"/>
      <c r="H1922" s="60"/>
    </row>
    <row r="1923" spans="1:8">
      <c r="A1923" s="60"/>
      <c r="B1923" s="77"/>
      <c r="C1923" s="60"/>
      <c r="D1923" s="81"/>
      <c r="E1923" s="62"/>
      <c r="F1923" s="60"/>
      <c r="G1923" s="62"/>
      <c r="H1923" s="60"/>
    </row>
    <row r="1924" spans="1:8">
      <c r="A1924" s="60"/>
      <c r="B1924" s="77"/>
      <c r="C1924" s="60"/>
      <c r="D1924" s="81"/>
      <c r="E1924" s="62"/>
      <c r="F1924" s="60"/>
      <c r="G1924" s="62"/>
      <c r="H1924" s="60"/>
    </row>
    <row r="1925" spans="1:8">
      <c r="A1925" s="60"/>
      <c r="B1925" s="77"/>
      <c r="C1925" s="60"/>
      <c r="D1925" s="81"/>
      <c r="E1925" s="62"/>
      <c r="F1925" s="60"/>
      <c r="G1925" s="62"/>
      <c r="H1925" s="60"/>
    </row>
    <row r="1926" spans="1:8">
      <c r="A1926" s="60"/>
      <c r="B1926" s="77"/>
      <c r="C1926" s="60"/>
      <c r="D1926" s="81"/>
      <c r="E1926" s="62"/>
      <c r="F1926" s="60"/>
      <c r="G1926" s="62"/>
      <c r="H1926" s="60"/>
    </row>
    <row r="1927" spans="1:8">
      <c r="A1927" s="60"/>
      <c r="B1927" s="77"/>
      <c r="C1927" s="60"/>
      <c r="D1927" s="81"/>
      <c r="E1927" s="62"/>
      <c r="F1927" s="60"/>
      <c r="G1927" s="62"/>
      <c r="H1927" s="60"/>
    </row>
    <row r="1928" spans="1:8">
      <c r="A1928" s="60"/>
      <c r="B1928" s="77"/>
      <c r="C1928" s="60"/>
      <c r="D1928" s="81"/>
      <c r="E1928" s="62"/>
      <c r="F1928" s="60"/>
      <c r="G1928" s="62"/>
      <c r="H1928" s="60"/>
    </row>
    <row r="1929" spans="1:8">
      <c r="A1929" s="60"/>
      <c r="B1929" s="77"/>
      <c r="C1929" s="60"/>
      <c r="D1929" s="81"/>
      <c r="E1929" s="62"/>
      <c r="F1929" s="60"/>
      <c r="G1929" s="62"/>
      <c r="H1929" s="60"/>
    </row>
    <row r="1930" spans="1:8">
      <c r="A1930" s="60"/>
      <c r="B1930" s="77"/>
      <c r="C1930" s="60"/>
      <c r="D1930" s="81"/>
      <c r="E1930" s="62"/>
      <c r="F1930" s="60"/>
      <c r="G1930" s="62"/>
      <c r="H1930" s="60"/>
    </row>
    <row r="1931" spans="1:8">
      <c r="A1931" s="60"/>
      <c r="B1931" s="77"/>
      <c r="C1931" s="60"/>
      <c r="D1931" s="81"/>
      <c r="E1931" s="62"/>
      <c r="F1931" s="60"/>
      <c r="G1931" s="62"/>
      <c r="H1931" s="60"/>
    </row>
    <row r="1932" spans="1:8">
      <c r="A1932" s="60"/>
      <c r="B1932" s="77"/>
      <c r="C1932" s="60"/>
      <c r="D1932" s="81"/>
      <c r="E1932" s="62"/>
      <c r="F1932" s="60"/>
      <c r="G1932" s="62"/>
      <c r="H1932" s="60"/>
    </row>
    <row r="1933" spans="1:8">
      <c r="A1933" s="60"/>
      <c r="B1933" s="77"/>
      <c r="C1933" s="60"/>
      <c r="D1933" s="81"/>
      <c r="E1933" s="62"/>
      <c r="F1933" s="60"/>
      <c r="G1933" s="62"/>
      <c r="H1933" s="60"/>
    </row>
    <row r="1934" spans="1:8">
      <c r="A1934" s="60"/>
      <c r="B1934" s="77"/>
      <c r="C1934" s="60"/>
      <c r="D1934" s="81"/>
      <c r="E1934" s="62"/>
      <c r="F1934" s="60"/>
      <c r="G1934" s="62"/>
      <c r="H1934" s="60"/>
    </row>
    <row r="1935" spans="1:8">
      <c r="A1935" s="60"/>
      <c r="B1935" s="77"/>
      <c r="C1935" s="60"/>
      <c r="D1935" s="81"/>
      <c r="E1935" s="62"/>
      <c r="F1935" s="60"/>
      <c r="G1935" s="62"/>
      <c r="H1935" s="60"/>
    </row>
    <row r="1936" spans="1:8">
      <c r="A1936" s="60"/>
      <c r="B1936" s="77"/>
      <c r="C1936" s="60"/>
      <c r="D1936" s="81"/>
      <c r="E1936" s="62"/>
      <c r="F1936" s="60"/>
      <c r="G1936" s="62"/>
      <c r="H1936" s="60"/>
    </row>
    <row r="1937" spans="1:8">
      <c r="A1937" s="60"/>
      <c r="B1937" s="77"/>
      <c r="C1937" s="60"/>
      <c r="D1937" s="81"/>
      <c r="E1937" s="62"/>
      <c r="F1937" s="60"/>
      <c r="G1937" s="62"/>
      <c r="H1937" s="60"/>
    </row>
    <row r="1938" spans="1:8">
      <c r="A1938" s="60"/>
      <c r="B1938" s="77"/>
      <c r="C1938" s="60"/>
      <c r="D1938" s="81"/>
      <c r="E1938" s="62"/>
      <c r="F1938" s="60"/>
      <c r="G1938" s="62"/>
      <c r="H1938" s="60"/>
    </row>
    <row r="1939" spans="1:8">
      <c r="A1939" s="60"/>
      <c r="B1939" s="77"/>
      <c r="C1939" s="60"/>
      <c r="D1939" s="81"/>
      <c r="E1939" s="62"/>
      <c r="F1939" s="60"/>
      <c r="G1939" s="62"/>
      <c r="H1939" s="60"/>
    </row>
    <row r="1940" spans="1:8">
      <c r="A1940" s="60"/>
      <c r="B1940" s="77"/>
      <c r="C1940" s="60"/>
      <c r="D1940" s="81"/>
      <c r="E1940" s="62"/>
      <c r="F1940" s="60"/>
      <c r="G1940" s="62"/>
      <c r="H1940" s="60"/>
    </row>
    <row r="1941" spans="1:8">
      <c r="A1941" s="60"/>
      <c r="B1941" s="77"/>
      <c r="C1941" s="60"/>
      <c r="D1941" s="81"/>
      <c r="E1941" s="62"/>
      <c r="F1941" s="60"/>
      <c r="G1941" s="62"/>
      <c r="H1941" s="60"/>
    </row>
    <row r="1942" spans="1:8">
      <c r="A1942" s="60"/>
      <c r="B1942" s="77"/>
      <c r="C1942" s="60"/>
      <c r="D1942" s="81"/>
      <c r="E1942" s="62"/>
      <c r="F1942" s="60"/>
      <c r="G1942" s="62"/>
      <c r="H1942" s="60"/>
    </row>
    <row r="1943" spans="1:8">
      <c r="A1943" s="60"/>
      <c r="B1943" s="77"/>
      <c r="C1943" s="60"/>
      <c r="D1943" s="81"/>
      <c r="E1943" s="62"/>
      <c r="F1943" s="60"/>
      <c r="G1943" s="62"/>
      <c r="H1943" s="60"/>
    </row>
    <row r="1944" spans="1:8">
      <c r="A1944" s="60"/>
      <c r="B1944" s="77"/>
      <c r="C1944" s="60"/>
      <c r="D1944" s="81"/>
      <c r="E1944" s="62"/>
      <c r="F1944" s="60"/>
      <c r="G1944" s="62"/>
      <c r="H1944" s="60"/>
    </row>
    <row r="1945" spans="1:8">
      <c r="A1945" s="60"/>
      <c r="B1945" s="77"/>
      <c r="C1945" s="60"/>
      <c r="D1945" s="81"/>
      <c r="E1945" s="62"/>
      <c r="F1945" s="60"/>
      <c r="G1945" s="62"/>
      <c r="H1945" s="60"/>
    </row>
    <row r="1946" spans="1:8">
      <c r="A1946" s="60"/>
      <c r="B1946" s="77"/>
      <c r="C1946" s="60"/>
      <c r="D1946" s="81"/>
      <c r="E1946" s="62"/>
      <c r="F1946" s="60"/>
      <c r="G1946" s="62"/>
      <c r="H1946" s="60"/>
    </row>
    <row r="1947" spans="1:8">
      <c r="A1947" s="60"/>
      <c r="B1947" s="77"/>
      <c r="C1947" s="60"/>
      <c r="D1947" s="81"/>
      <c r="E1947" s="62"/>
      <c r="F1947" s="60"/>
      <c r="G1947" s="62"/>
      <c r="H1947" s="60"/>
    </row>
    <row r="1948" spans="1:8">
      <c r="A1948" s="60"/>
      <c r="B1948" s="77"/>
      <c r="C1948" s="60"/>
      <c r="D1948" s="81"/>
      <c r="E1948" s="62"/>
      <c r="F1948" s="60"/>
      <c r="G1948" s="62"/>
      <c r="H1948" s="60"/>
    </row>
    <row r="1949" spans="1:8">
      <c r="A1949" s="60"/>
      <c r="B1949" s="77"/>
      <c r="C1949" s="60"/>
      <c r="D1949" s="81"/>
      <c r="E1949" s="62"/>
      <c r="F1949" s="60"/>
      <c r="G1949" s="62"/>
      <c r="H1949" s="60"/>
    </row>
    <row r="1950" spans="1:8">
      <c r="A1950" s="60"/>
      <c r="B1950" s="77"/>
      <c r="C1950" s="60"/>
      <c r="D1950" s="81"/>
      <c r="E1950" s="62"/>
      <c r="F1950" s="60"/>
      <c r="G1950" s="62"/>
      <c r="H1950" s="60"/>
    </row>
    <row r="1951" spans="1:8">
      <c r="A1951" s="60"/>
      <c r="B1951" s="77"/>
      <c r="C1951" s="60"/>
      <c r="D1951" s="81"/>
      <c r="E1951" s="62"/>
      <c r="F1951" s="60"/>
      <c r="G1951" s="62"/>
      <c r="H1951" s="60"/>
    </row>
    <row r="1952" spans="1:8">
      <c r="A1952" s="60"/>
      <c r="B1952" s="77"/>
      <c r="C1952" s="60"/>
      <c r="D1952" s="81"/>
      <c r="E1952" s="62"/>
      <c r="F1952" s="60"/>
      <c r="G1952" s="62"/>
      <c r="H1952" s="60"/>
    </row>
    <row r="1953" spans="1:8">
      <c r="A1953" s="60"/>
      <c r="B1953" s="77"/>
      <c r="C1953" s="60"/>
      <c r="D1953" s="81"/>
      <c r="E1953" s="62"/>
      <c r="F1953" s="60"/>
      <c r="G1953" s="62"/>
      <c r="H1953" s="60"/>
    </row>
    <row r="1954" spans="1:8">
      <c r="A1954" s="60"/>
      <c r="B1954" s="77"/>
      <c r="C1954" s="60"/>
      <c r="D1954" s="81"/>
      <c r="E1954" s="62"/>
      <c r="F1954" s="60"/>
      <c r="G1954" s="62"/>
      <c r="H1954" s="60"/>
    </row>
    <row r="1955" spans="1:8">
      <c r="A1955" s="60"/>
      <c r="B1955" s="77"/>
      <c r="C1955" s="60"/>
      <c r="D1955" s="81"/>
      <c r="E1955" s="62"/>
      <c r="F1955" s="60"/>
      <c r="G1955" s="62"/>
      <c r="H1955" s="60"/>
    </row>
    <row r="1956" spans="1:8">
      <c r="A1956" s="60"/>
      <c r="B1956" s="77"/>
      <c r="C1956" s="60"/>
      <c r="D1956" s="81"/>
      <c r="E1956" s="62"/>
      <c r="F1956" s="60"/>
      <c r="G1956" s="62"/>
      <c r="H1956" s="60"/>
    </row>
    <row r="1957" spans="1:8">
      <c r="A1957" s="60"/>
      <c r="B1957" s="77"/>
      <c r="C1957" s="60"/>
      <c r="D1957" s="81"/>
      <c r="E1957" s="62"/>
      <c r="F1957" s="60"/>
      <c r="G1957" s="62"/>
      <c r="H1957" s="60"/>
    </row>
    <row r="1958" spans="1:8">
      <c r="A1958" s="60"/>
      <c r="B1958" s="77"/>
      <c r="C1958" s="60"/>
      <c r="D1958" s="81"/>
      <c r="E1958" s="62"/>
      <c r="F1958" s="60"/>
      <c r="G1958" s="62"/>
      <c r="H1958" s="60"/>
    </row>
    <row r="1959" spans="1:8">
      <c r="A1959" s="60"/>
      <c r="B1959" s="77"/>
      <c r="C1959" s="60"/>
      <c r="D1959" s="81"/>
      <c r="E1959" s="62"/>
      <c r="F1959" s="60"/>
      <c r="G1959" s="62"/>
      <c r="H1959" s="60"/>
    </row>
    <row r="1960" spans="1:8">
      <c r="A1960" s="60"/>
      <c r="B1960" s="77"/>
      <c r="C1960" s="60"/>
      <c r="D1960" s="81"/>
      <c r="E1960" s="62"/>
      <c r="F1960" s="60"/>
      <c r="G1960" s="62"/>
      <c r="H1960" s="60"/>
    </row>
    <row r="1961" spans="1:8">
      <c r="A1961" s="60"/>
      <c r="B1961" s="77"/>
      <c r="C1961" s="60"/>
      <c r="D1961" s="81"/>
      <c r="E1961" s="62"/>
      <c r="F1961" s="60"/>
      <c r="G1961" s="62"/>
      <c r="H1961" s="60"/>
    </row>
    <row r="1962" spans="1:8">
      <c r="A1962" s="60"/>
      <c r="B1962" s="77"/>
      <c r="C1962" s="60"/>
      <c r="D1962" s="81"/>
      <c r="E1962" s="62"/>
      <c r="F1962" s="60"/>
      <c r="G1962" s="62"/>
      <c r="H1962" s="60"/>
    </row>
    <row r="1963" spans="1:8">
      <c r="A1963" s="60"/>
      <c r="B1963" s="77"/>
      <c r="C1963" s="60"/>
      <c r="D1963" s="81"/>
      <c r="E1963" s="62"/>
      <c r="F1963" s="60"/>
      <c r="G1963" s="62"/>
      <c r="H1963" s="60"/>
    </row>
    <row r="1964" spans="1:8">
      <c r="A1964" s="60"/>
      <c r="B1964" s="77"/>
      <c r="C1964" s="60"/>
      <c r="D1964" s="81"/>
      <c r="E1964" s="62"/>
      <c r="F1964" s="60"/>
      <c r="G1964" s="62"/>
      <c r="H1964" s="60"/>
    </row>
    <row r="1965" spans="1:8">
      <c r="A1965" s="60"/>
      <c r="B1965" s="77"/>
      <c r="C1965" s="60"/>
      <c r="D1965" s="81"/>
      <c r="E1965" s="62"/>
      <c r="F1965" s="60"/>
      <c r="G1965" s="62"/>
      <c r="H1965" s="60"/>
    </row>
    <row r="1966" spans="1:8">
      <c r="A1966" s="60"/>
      <c r="B1966" s="77"/>
      <c r="C1966" s="60"/>
      <c r="D1966" s="81"/>
      <c r="E1966" s="62"/>
      <c r="F1966" s="60"/>
      <c r="G1966" s="62"/>
      <c r="H1966" s="60"/>
    </row>
    <row r="1967" spans="1:8">
      <c r="A1967" s="60"/>
      <c r="B1967" s="77"/>
      <c r="C1967" s="60"/>
      <c r="D1967" s="81"/>
      <c r="E1967" s="62"/>
      <c r="F1967" s="60"/>
      <c r="G1967" s="62"/>
      <c r="H1967" s="60"/>
    </row>
    <row r="1968" spans="1:8">
      <c r="A1968" s="60"/>
      <c r="B1968" s="77"/>
      <c r="C1968" s="60"/>
      <c r="D1968" s="81"/>
      <c r="E1968" s="62"/>
      <c r="F1968" s="60"/>
      <c r="G1968" s="62"/>
      <c r="H1968" s="60"/>
    </row>
    <row r="1969" spans="1:8">
      <c r="A1969" s="60"/>
      <c r="B1969" s="77"/>
      <c r="C1969" s="60"/>
      <c r="D1969" s="81"/>
      <c r="E1969" s="62"/>
      <c r="F1969" s="60"/>
      <c r="G1969" s="62"/>
      <c r="H1969" s="60"/>
    </row>
    <row r="1970" spans="1:8">
      <c r="A1970" s="60"/>
      <c r="B1970" s="77"/>
      <c r="C1970" s="60"/>
      <c r="D1970" s="81"/>
      <c r="E1970" s="62"/>
      <c r="F1970" s="60"/>
      <c r="G1970" s="62"/>
      <c r="H1970" s="60"/>
    </row>
    <row r="1971" spans="1:8">
      <c r="A1971" s="60"/>
      <c r="B1971" s="77"/>
      <c r="C1971" s="60"/>
      <c r="D1971" s="81"/>
      <c r="E1971" s="62"/>
      <c r="F1971" s="60"/>
      <c r="G1971" s="62"/>
      <c r="H1971" s="60"/>
    </row>
    <row r="1972" spans="1:8">
      <c r="A1972" s="60"/>
      <c r="B1972" s="77"/>
      <c r="C1972" s="60"/>
      <c r="D1972" s="81"/>
      <c r="E1972" s="62"/>
      <c r="F1972" s="60"/>
      <c r="G1972" s="62"/>
      <c r="H1972" s="60"/>
    </row>
    <row r="1973" spans="1:8">
      <c r="A1973" s="60"/>
      <c r="B1973" s="77"/>
      <c r="C1973" s="60"/>
      <c r="D1973" s="81"/>
      <c r="E1973" s="62"/>
      <c r="F1973" s="60"/>
      <c r="G1973" s="62"/>
      <c r="H1973" s="60"/>
    </row>
    <row r="1974" spans="1:8">
      <c r="A1974" s="60"/>
      <c r="B1974" s="77"/>
      <c r="C1974" s="60"/>
      <c r="D1974" s="81"/>
      <c r="E1974" s="62"/>
      <c r="F1974" s="60"/>
      <c r="G1974" s="62"/>
      <c r="H1974" s="60"/>
    </row>
    <row r="1975" spans="1:8">
      <c r="A1975" s="60"/>
      <c r="B1975" s="77"/>
      <c r="C1975" s="60"/>
      <c r="D1975" s="81"/>
      <c r="E1975" s="62"/>
      <c r="F1975" s="60"/>
      <c r="G1975" s="62"/>
      <c r="H1975" s="60"/>
    </row>
    <row r="1976" spans="1:8">
      <c r="A1976" s="60"/>
      <c r="B1976" s="77"/>
      <c r="C1976" s="60"/>
      <c r="D1976" s="81"/>
      <c r="E1976" s="62"/>
      <c r="F1976" s="60"/>
      <c r="G1976" s="62"/>
      <c r="H1976" s="60"/>
    </row>
    <row r="1977" spans="1:8">
      <c r="A1977" s="60"/>
      <c r="B1977" s="77"/>
      <c r="C1977" s="60"/>
      <c r="D1977" s="81"/>
      <c r="E1977" s="62"/>
      <c r="F1977" s="60"/>
      <c r="G1977" s="62"/>
      <c r="H1977" s="60"/>
    </row>
    <row r="1978" spans="1:8">
      <c r="A1978" s="60"/>
      <c r="B1978" s="77"/>
      <c r="C1978" s="60"/>
      <c r="D1978" s="81"/>
      <c r="E1978" s="62"/>
      <c r="F1978" s="60"/>
      <c r="G1978" s="62"/>
      <c r="H1978" s="60"/>
    </row>
    <row r="1979" spans="1:8">
      <c r="A1979" s="60"/>
      <c r="B1979" s="77"/>
      <c r="C1979" s="60"/>
      <c r="D1979" s="81"/>
      <c r="E1979" s="62"/>
      <c r="F1979" s="60"/>
      <c r="G1979" s="62"/>
      <c r="H1979" s="60"/>
    </row>
    <row r="1980" spans="1:8">
      <c r="A1980" s="60"/>
      <c r="B1980" s="77"/>
      <c r="C1980" s="60"/>
      <c r="D1980" s="81"/>
      <c r="E1980" s="62"/>
      <c r="F1980" s="60"/>
      <c r="G1980" s="62"/>
      <c r="H1980" s="60"/>
    </row>
    <row r="1981" spans="1:8">
      <c r="A1981" s="60"/>
      <c r="B1981" s="77"/>
      <c r="C1981" s="60"/>
      <c r="D1981" s="81"/>
      <c r="E1981" s="62"/>
      <c r="F1981" s="60"/>
      <c r="G1981" s="62"/>
      <c r="H1981" s="60"/>
    </row>
    <row r="1982" spans="1:8">
      <c r="A1982" s="60"/>
      <c r="B1982" s="77"/>
      <c r="C1982" s="60"/>
      <c r="D1982" s="81"/>
      <c r="E1982" s="62"/>
      <c r="F1982" s="60"/>
      <c r="G1982" s="62"/>
      <c r="H1982" s="60"/>
    </row>
    <row r="1983" spans="1:8">
      <c r="A1983" s="60"/>
      <c r="B1983" s="77"/>
      <c r="C1983" s="60"/>
      <c r="D1983" s="81"/>
      <c r="E1983" s="62"/>
      <c r="F1983" s="60"/>
      <c r="G1983" s="62"/>
      <c r="H1983" s="60"/>
    </row>
    <row r="1984" spans="1:8">
      <c r="A1984" s="60"/>
      <c r="B1984" s="77"/>
      <c r="C1984" s="60"/>
      <c r="D1984" s="81"/>
      <c r="E1984" s="62"/>
      <c r="F1984" s="60"/>
      <c r="G1984" s="62"/>
      <c r="H1984" s="60"/>
    </row>
    <row r="1985" spans="1:8">
      <c r="A1985" s="60"/>
      <c r="B1985" s="77"/>
      <c r="C1985" s="60"/>
      <c r="D1985" s="81"/>
      <c r="E1985" s="62"/>
      <c r="F1985" s="60"/>
      <c r="G1985" s="62"/>
      <c r="H1985" s="60"/>
    </row>
    <row r="1986" spans="1:8">
      <c r="A1986" s="60"/>
      <c r="B1986" s="77"/>
      <c r="C1986" s="60"/>
      <c r="D1986" s="81"/>
      <c r="E1986" s="62"/>
      <c r="F1986" s="60"/>
      <c r="G1986" s="62"/>
      <c r="H1986" s="60"/>
    </row>
    <row r="1987" spans="1:8">
      <c r="A1987" s="60"/>
      <c r="B1987" s="77"/>
      <c r="C1987" s="60"/>
      <c r="D1987" s="81"/>
      <c r="E1987" s="62"/>
      <c r="F1987" s="60"/>
      <c r="G1987" s="62"/>
      <c r="H1987" s="60"/>
    </row>
    <row r="1988" spans="1:8">
      <c r="A1988" s="60"/>
      <c r="B1988" s="77"/>
      <c r="C1988" s="60"/>
      <c r="D1988" s="81"/>
      <c r="E1988" s="62"/>
      <c r="F1988" s="60"/>
      <c r="G1988" s="62"/>
      <c r="H1988" s="60"/>
    </row>
    <row r="1989" spans="1:8">
      <c r="A1989" s="60"/>
      <c r="B1989" s="77"/>
      <c r="C1989" s="60"/>
      <c r="D1989" s="81"/>
      <c r="E1989" s="62"/>
      <c r="F1989" s="60"/>
      <c r="G1989" s="62"/>
      <c r="H1989" s="60"/>
    </row>
    <row r="1990" spans="1:8">
      <c r="A1990" s="60"/>
      <c r="B1990" s="77"/>
      <c r="C1990" s="60"/>
      <c r="D1990" s="81"/>
      <c r="E1990" s="62"/>
      <c r="F1990" s="60"/>
      <c r="G1990" s="62"/>
      <c r="H1990" s="60"/>
    </row>
    <row r="1991" spans="1:8">
      <c r="A1991" s="60"/>
      <c r="B1991" s="77"/>
      <c r="C1991" s="60"/>
      <c r="D1991" s="81"/>
      <c r="E1991" s="62"/>
      <c r="F1991" s="60"/>
      <c r="G1991" s="62"/>
      <c r="H1991" s="60"/>
    </row>
    <row r="1992" spans="1:8">
      <c r="A1992" s="60"/>
      <c r="B1992" s="77"/>
      <c r="C1992" s="60"/>
      <c r="D1992" s="81"/>
      <c r="E1992" s="62"/>
      <c r="F1992" s="60"/>
      <c r="G1992" s="62"/>
      <c r="H1992" s="60"/>
    </row>
    <row r="1993" spans="1:8">
      <c r="A1993" s="60"/>
      <c r="B1993" s="77"/>
      <c r="C1993" s="60"/>
      <c r="D1993" s="81"/>
      <c r="E1993" s="62"/>
      <c r="F1993" s="60"/>
      <c r="G1993" s="62"/>
      <c r="H1993" s="60"/>
    </row>
    <row r="1994" spans="1:8">
      <c r="A1994" s="60"/>
      <c r="B1994" s="77"/>
      <c r="C1994" s="60"/>
      <c r="D1994" s="81"/>
      <c r="E1994" s="62"/>
      <c r="F1994" s="60"/>
      <c r="G1994" s="62"/>
      <c r="H1994" s="60"/>
    </row>
    <row r="1995" spans="1:8">
      <c r="A1995" s="60"/>
      <c r="B1995" s="77"/>
      <c r="C1995" s="60"/>
      <c r="D1995" s="81"/>
      <c r="E1995" s="62"/>
      <c r="F1995" s="60"/>
      <c r="G1995" s="62"/>
      <c r="H1995" s="60"/>
    </row>
    <row r="1996" spans="1:8">
      <c r="A1996" s="60"/>
      <c r="B1996" s="77"/>
      <c r="C1996" s="60"/>
      <c r="D1996" s="81"/>
      <c r="E1996" s="62"/>
      <c r="F1996" s="60"/>
      <c r="G1996" s="62"/>
      <c r="H1996" s="60"/>
    </row>
    <row r="1997" spans="1:8">
      <c r="A1997" s="60"/>
      <c r="B1997" s="77"/>
      <c r="C1997" s="60"/>
      <c r="D1997" s="81"/>
      <c r="E1997" s="62"/>
      <c r="F1997" s="60"/>
      <c r="G1997" s="62"/>
      <c r="H1997" s="60"/>
    </row>
    <row r="1998" spans="1:8">
      <c r="A1998" s="60"/>
      <c r="B1998" s="77"/>
      <c r="C1998" s="60"/>
      <c r="D1998" s="81"/>
      <c r="E1998" s="62"/>
      <c r="F1998" s="60"/>
      <c r="G1998" s="62"/>
      <c r="H1998" s="60"/>
    </row>
    <row r="1999" spans="1:8">
      <c r="A1999" s="60"/>
      <c r="B1999" s="77"/>
      <c r="C1999" s="60"/>
      <c r="D1999" s="81"/>
      <c r="E1999" s="62"/>
      <c r="F1999" s="60"/>
      <c r="G1999" s="62"/>
      <c r="H1999" s="60"/>
    </row>
    <row r="2000" spans="1:8">
      <c r="A2000" s="60"/>
      <c r="B2000" s="77"/>
      <c r="C2000" s="60"/>
      <c r="D2000" s="81"/>
      <c r="E2000" s="62"/>
      <c r="F2000" s="60"/>
      <c r="G2000" s="62"/>
      <c r="H2000" s="60"/>
    </row>
    <row r="2001" spans="1:8">
      <c r="A2001" s="60"/>
      <c r="B2001" s="77"/>
      <c r="C2001" s="60"/>
      <c r="D2001" s="81"/>
      <c r="E2001" s="62"/>
      <c r="F2001" s="60"/>
      <c r="G2001" s="62"/>
      <c r="H2001" s="60"/>
    </row>
    <row r="2002" spans="1:8">
      <c r="A2002" s="60"/>
      <c r="B2002" s="77"/>
      <c r="C2002" s="60"/>
      <c r="D2002" s="81"/>
      <c r="E2002" s="62"/>
      <c r="F2002" s="60"/>
      <c r="G2002" s="62"/>
      <c r="H2002" s="60"/>
    </row>
    <row r="2003" spans="1:8">
      <c r="A2003" s="60"/>
      <c r="B2003" s="77"/>
      <c r="C2003" s="60"/>
      <c r="D2003" s="81"/>
      <c r="E2003" s="62"/>
      <c r="F2003" s="60"/>
      <c r="G2003" s="62"/>
      <c r="H2003" s="60"/>
    </row>
    <row r="2004" spans="1:8">
      <c r="A2004" s="60"/>
      <c r="B2004" s="77"/>
      <c r="C2004" s="60"/>
      <c r="D2004" s="81"/>
      <c r="E2004" s="62"/>
      <c r="F2004" s="60"/>
      <c r="G2004" s="62"/>
      <c r="H2004" s="60"/>
    </row>
    <row r="2005" spans="1:8">
      <c r="A2005" s="60"/>
      <c r="B2005" s="77"/>
      <c r="C2005" s="60"/>
      <c r="D2005" s="81"/>
      <c r="E2005" s="62"/>
      <c r="F2005" s="60"/>
      <c r="G2005" s="62"/>
      <c r="H2005" s="60"/>
    </row>
    <row r="2006" spans="1:8">
      <c r="A2006" s="60"/>
      <c r="B2006" s="77"/>
      <c r="C2006" s="60"/>
      <c r="D2006" s="81"/>
      <c r="E2006" s="62"/>
      <c r="F2006" s="60"/>
      <c r="G2006" s="62"/>
      <c r="H2006" s="60"/>
    </row>
    <row r="2007" spans="1:8">
      <c r="A2007" s="60"/>
      <c r="B2007" s="77"/>
      <c r="C2007" s="60"/>
      <c r="D2007" s="81"/>
      <c r="E2007" s="62"/>
      <c r="F2007" s="60"/>
      <c r="G2007" s="62"/>
      <c r="H2007" s="60"/>
    </row>
    <row r="2008" spans="1:8">
      <c r="A2008" s="60"/>
      <c r="B2008" s="77"/>
      <c r="C2008" s="60"/>
      <c r="D2008" s="81"/>
      <c r="E2008" s="62"/>
      <c r="F2008" s="60"/>
      <c r="G2008" s="62"/>
      <c r="H2008" s="60"/>
    </row>
    <row r="2009" spans="1:8">
      <c r="A2009" s="60"/>
      <c r="B2009" s="77"/>
      <c r="C2009" s="60"/>
      <c r="D2009" s="81"/>
      <c r="E2009" s="62"/>
      <c r="F2009" s="60"/>
      <c r="G2009" s="62"/>
      <c r="H2009" s="60"/>
    </row>
    <row r="2010" spans="1:8">
      <c r="A2010" s="60"/>
      <c r="B2010" s="77"/>
      <c r="C2010" s="60"/>
      <c r="D2010" s="81"/>
      <c r="E2010" s="62"/>
      <c r="F2010" s="60"/>
      <c r="G2010" s="62"/>
      <c r="H2010" s="60"/>
    </row>
    <row r="2011" spans="1:8">
      <c r="A2011" s="60"/>
      <c r="B2011" s="77"/>
      <c r="C2011" s="60"/>
      <c r="D2011" s="81"/>
      <c r="E2011" s="62"/>
      <c r="F2011" s="60"/>
      <c r="G2011" s="62"/>
      <c r="H2011" s="60"/>
    </row>
    <row r="2012" spans="1:8">
      <c r="A2012" s="60"/>
      <c r="B2012" s="77"/>
      <c r="C2012" s="60"/>
      <c r="D2012" s="81"/>
      <c r="E2012" s="62"/>
      <c r="F2012" s="60"/>
      <c r="G2012" s="62"/>
      <c r="H2012" s="60"/>
    </row>
    <row r="2013" spans="1:8">
      <c r="A2013" s="60"/>
      <c r="B2013" s="77"/>
      <c r="C2013" s="60"/>
      <c r="D2013" s="81"/>
      <c r="E2013" s="62"/>
      <c r="F2013" s="60"/>
      <c r="G2013" s="62"/>
      <c r="H2013" s="60"/>
    </row>
    <row r="2014" spans="1:8">
      <c r="A2014" s="60"/>
      <c r="B2014" s="77"/>
      <c r="C2014" s="60"/>
      <c r="D2014" s="81"/>
      <c r="E2014" s="62"/>
      <c r="F2014" s="60"/>
      <c r="G2014" s="62"/>
      <c r="H2014" s="60"/>
    </row>
    <row r="2015" spans="1:8">
      <c r="A2015" s="60"/>
      <c r="B2015" s="77"/>
      <c r="C2015" s="60"/>
      <c r="D2015" s="81"/>
      <c r="E2015" s="62"/>
      <c r="F2015" s="60"/>
      <c r="G2015" s="62"/>
      <c r="H2015" s="60"/>
    </row>
    <row r="2016" spans="1:8">
      <c r="A2016" s="60"/>
      <c r="B2016" s="77"/>
      <c r="C2016" s="60"/>
      <c r="D2016" s="81"/>
      <c r="E2016" s="62"/>
      <c r="F2016" s="60"/>
      <c r="G2016" s="62"/>
      <c r="H2016" s="60"/>
    </row>
    <row r="2017" spans="1:8">
      <c r="A2017" s="60"/>
      <c r="B2017" s="77"/>
      <c r="C2017" s="60"/>
      <c r="D2017" s="81"/>
      <c r="E2017" s="62"/>
      <c r="F2017" s="60"/>
      <c r="G2017" s="62"/>
      <c r="H2017" s="60"/>
    </row>
    <row r="2018" spans="1:8">
      <c r="A2018" s="60"/>
      <c r="B2018" s="77"/>
      <c r="C2018" s="60"/>
      <c r="D2018" s="81"/>
      <c r="E2018" s="62"/>
      <c r="F2018" s="60"/>
      <c r="G2018" s="62"/>
      <c r="H2018" s="60"/>
    </row>
    <row r="2019" spans="1:8">
      <c r="A2019" s="60"/>
      <c r="B2019" s="77"/>
      <c r="C2019" s="60"/>
      <c r="D2019" s="81"/>
      <c r="E2019" s="62"/>
      <c r="F2019" s="60"/>
      <c r="G2019" s="62"/>
      <c r="H2019" s="60"/>
    </row>
    <row r="2020" spans="1:8">
      <c r="A2020" s="60"/>
      <c r="B2020" s="77"/>
      <c r="C2020" s="60"/>
      <c r="D2020" s="81"/>
      <c r="E2020" s="62"/>
      <c r="F2020" s="60"/>
      <c r="G2020" s="62"/>
      <c r="H2020" s="60"/>
    </row>
    <row r="2021" spans="1:8">
      <c r="A2021" s="60"/>
      <c r="B2021" s="77"/>
      <c r="C2021" s="60"/>
      <c r="D2021" s="81"/>
      <c r="E2021" s="62"/>
      <c r="F2021" s="60"/>
      <c r="G2021" s="62"/>
      <c r="H2021" s="60"/>
    </row>
    <row r="2022" spans="1:8">
      <c r="A2022" s="60"/>
      <c r="B2022" s="77"/>
      <c r="C2022" s="60"/>
      <c r="D2022" s="81"/>
      <c r="E2022" s="62"/>
      <c r="F2022" s="60"/>
      <c r="G2022" s="62"/>
      <c r="H2022" s="60"/>
    </row>
    <row r="2023" spans="1:8">
      <c r="A2023" s="60"/>
      <c r="B2023" s="77"/>
      <c r="C2023" s="60"/>
      <c r="D2023" s="81"/>
      <c r="E2023" s="62"/>
      <c r="F2023" s="60"/>
      <c r="G2023" s="62"/>
      <c r="H2023" s="60"/>
    </row>
    <row r="2024" spans="1:8">
      <c r="A2024" s="60"/>
      <c r="B2024" s="77"/>
      <c r="C2024" s="60"/>
      <c r="D2024" s="81"/>
      <c r="E2024" s="62"/>
      <c r="F2024" s="60"/>
      <c r="G2024" s="62"/>
      <c r="H2024" s="60"/>
    </row>
    <row r="2025" spans="1:8">
      <c r="A2025" s="60"/>
      <c r="B2025" s="77"/>
      <c r="C2025" s="60"/>
      <c r="D2025" s="81"/>
      <c r="E2025" s="62"/>
      <c r="F2025" s="60"/>
      <c r="G2025" s="62"/>
      <c r="H2025" s="60"/>
    </row>
    <row r="2026" spans="1:8">
      <c r="A2026" s="60"/>
      <c r="B2026" s="77"/>
      <c r="C2026" s="60"/>
      <c r="D2026" s="81"/>
      <c r="E2026" s="62"/>
      <c r="F2026" s="60"/>
      <c r="G2026" s="62"/>
      <c r="H2026" s="60"/>
    </row>
    <row r="2027" spans="1:8">
      <c r="A2027" s="60"/>
      <c r="B2027" s="77"/>
      <c r="C2027" s="60"/>
      <c r="D2027" s="81"/>
      <c r="E2027" s="62"/>
      <c r="F2027" s="60"/>
      <c r="G2027" s="62"/>
      <c r="H2027" s="60"/>
    </row>
    <row r="2028" spans="1:8">
      <c r="A2028" s="60"/>
      <c r="B2028" s="77"/>
      <c r="C2028" s="60"/>
      <c r="D2028" s="81"/>
      <c r="E2028" s="62"/>
      <c r="F2028" s="60"/>
      <c r="G2028" s="62"/>
      <c r="H2028" s="60"/>
    </row>
    <row r="2029" spans="1:8">
      <c r="A2029" s="60"/>
      <c r="B2029" s="77"/>
      <c r="C2029" s="60"/>
      <c r="D2029" s="81"/>
      <c r="E2029" s="62"/>
      <c r="F2029" s="60"/>
      <c r="G2029" s="62"/>
      <c r="H2029" s="60"/>
    </row>
    <row r="2030" spans="1:8">
      <c r="A2030" s="60"/>
      <c r="B2030" s="77"/>
      <c r="C2030" s="60"/>
      <c r="D2030" s="81"/>
      <c r="E2030" s="62"/>
      <c r="F2030" s="60"/>
      <c r="G2030" s="62"/>
      <c r="H2030" s="60"/>
    </row>
    <row r="2031" spans="1:8">
      <c r="A2031" s="60"/>
      <c r="B2031" s="77"/>
      <c r="C2031" s="60"/>
      <c r="D2031" s="81"/>
      <c r="E2031" s="62"/>
      <c r="F2031" s="60"/>
      <c r="G2031" s="62"/>
      <c r="H2031" s="60"/>
    </row>
    <row r="2032" spans="1:8">
      <c r="A2032" s="60"/>
      <c r="B2032" s="77"/>
      <c r="C2032" s="60"/>
      <c r="D2032" s="81"/>
      <c r="E2032" s="62"/>
      <c r="F2032" s="60"/>
      <c r="G2032" s="62"/>
      <c r="H2032" s="60"/>
    </row>
    <row r="2033" spans="1:8">
      <c r="A2033" s="60"/>
      <c r="B2033" s="77"/>
      <c r="C2033" s="60"/>
      <c r="D2033" s="81"/>
      <c r="E2033" s="62"/>
      <c r="F2033" s="60"/>
      <c r="G2033" s="62"/>
      <c r="H2033" s="60"/>
    </row>
    <row r="2034" spans="1:8">
      <c r="A2034" s="60"/>
      <c r="B2034" s="77"/>
      <c r="C2034" s="60"/>
      <c r="D2034" s="81"/>
      <c r="E2034" s="62"/>
      <c r="F2034" s="60"/>
      <c r="G2034" s="62"/>
      <c r="H2034" s="60"/>
    </row>
    <row r="2035" spans="1:8">
      <c r="A2035" s="60"/>
      <c r="B2035" s="77"/>
      <c r="C2035" s="60"/>
      <c r="D2035" s="81"/>
      <c r="E2035" s="62"/>
      <c r="F2035" s="60"/>
      <c r="G2035" s="62"/>
      <c r="H2035" s="60"/>
    </row>
    <row r="2036" spans="1:8">
      <c r="A2036" s="60"/>
      <c r="B2036" s="77"/>
      <c r="C2036" s="60"/>
      <c r="D2036" s="81"/>
      <c r="E2036" s="62"/>
      <c r="F2036" s="60"/>
      <c r="G2036" s="62"/>
      <c r="H2036" s="60"/>
    </row>
    <row r="2037" spans="1:8">
      <c r="A2037" s="60"/>
      <c r="B2037" s="77"/>
      <c r="C2037" s="60"/>
      <c r="D2037" s="81"/>
      <c r="E2037" s="62"/>
      <c r="F2037" s="60"/>
      <c r="G2037" s="62"/>
      <c r="H2037" s="60"/>
    </row>
    <row r="2038" spans="1:8">
      <c r="A2038" s="60"/>
      <c r="B2038" s="77"/>
      <c r="C2038" s="60"/>
      <c r="D2038" s="81"/>
      <c r="E2038" s="62"/>
      <c r="F2038" s="60"/>
      <c r="G2038" s="62"/>
      <c r="H2038" s="60"/>
    </row>
    <row r="2039" spans="1:8">
      <c r="A2039" s="60"/>
      <c r="B2039" s="77"/>
      <c r="C2039" s="60"/>
      <c r="D2039" s="81"/>
      <c r="E2039" s="62"/>
      <c r="F2039" s="60"/>
      <c r="G2039" s="62"/>
      <c r="H2039" s="60"/>
    </row>
    <row r="2040" spans="1:8">
      <c r="A2040" s="60"/>
      <c r="B2040" s="77"/>
      <c r="C2040" s="60"/>
      <c r="D2040" s="81"/>
      <c r="E2040" s="62"/>
      <c r="F2040" s="60"/>
      <c r="G2040" s="62"/>
      <c r="H2040" s="60"/>
    </row>
    <row r="2041" spans="1:8">
      <c r="A2041" s="60"/>
      <c r="B2041" s="77"/>
      <c r="C2041" s="60"/>
      <c r="D2041" s="81"/>
      <c r="E2041" s="62"/>
      <c r="F2041" s="60"/>
      <c r="G2041" s="62"/>
      <c r="H2041" s="60"/>
    </row>
    <row r="2042" spans="1:8">
      <c r="A2042" s="60"/>
      <c r="B2042" s="77"/>
      <c r="C2042" s="60"/>
      <c r="D2042" s="81"/>
      <c r="E2042" s="62"/>
      <c r="F2042" s="60"/>
      <c r="G2042" s="62"/>
      <c r="H2042" s="60"/>
    </row>
    <row r="2043" spans="1:8">
      <c r="A2043" s="60"/>
      <c r="B2043" s="77"/>
      <c r="C2043" s="60"/>
      <c r="D2043" s="81"/>
      <c r="E2043" s="62"/>
      <c r="F2043" s="60"/>
      <c r="G2043" s="62"/>
      <c r="H2043" s="60"/>
    </row>
    <row r="2044" spans="1:8">
      <c r="A2044" s="60"/>
      <c r="B2044" s="77"/>
      <c r="C2044" s="60"/>
      <c r="D2044" s="81"/>
      <c r="E2044" s="62"/>
      <c r="F2044" s="60"/>
      <c r="G2044" s="62"/>
      <c r="H2044" s="60"/>
    </row>
    <row r="2045" spans="1:8">
      <c r="A2045" s="60"/>
      <c r="B2045" s="77"/>
      <c r="C2045" s="60"/>
      <c r="D2045" s="81"/>
      <c r="E2045" s="62"/>
      <c r="F2045" s="60"/>
      <c r="G2045" s="62"/>
      <c r="H2045" s="60"/>
    </row>
    <row r="2046" spans="1:8">
      <c r="A2046" s="60"/>
      <c r="B2046" s="77"/>
      <c r="C2046" s="60"/>
      <c r="D2046" s="81"/>
      <c r="E2046" s="62"/>
      <c r="F2046" s="60"/>
      <c r="G2046" s="62"/>
      <c r="H2046" s="60"/>
    </row>
    <row r="2047" spans="1:8">
      <c r="A2047" s="60"/>
      <c r="B2047" s="77"/>
      <c r="C2047" s="60"/>
      <c r="D2047" s="81"/>
      <c r="E2047" s="62"/>
      <c r="F2047" s="60"/>
      <c r="G2047" s="62"/>
      <c r="H2047" s="60"/>
    </row>
    <row r="2048" spans="1:8">
      <c r="A2048" s="60"/>
      <c r="B2048" s="77"/>
      <c r="C2048" s="60"/>
      <c r="D2048" s="81"/>
      <c r="E2048" s="62"/>
      <c r="F2048" s="60"/>
      <c r="G2048" s="62"/>
      <c r="H2048" s="60"/>
    </row>
    <row r="2049" spans="1:8">
      <c r="A2049" s="60"/>
      <c r="B2049" s="77"/>
      <c r="C2049" s="60"/>
      <c r="D2049" s="81"/>
      <c r="E2049" s="62"/>
      <c r="F2049" s="60"/>
      <c r="G2049" s="62"/>
      <c r="H2049" s="60"/>
    </row>
    <row r="2050" spans="1:8">
      <c r="A2050" s="60"/>
      <c r="B2050" s="77"/>
      <c r="C2050" s="60"/>
      <c r="D2050" s="81"/>
      <c r="E2050" s="62"/>
      <c r="F2050" s="60"/>
      <c r="G2050" s="62"/>
      <c r="H2050" s="60"/>
    </row>
    <row r="2051" spans="1:8">
      <c r="A2051" s="60"/>
      <c r="B2051" s="77"/>
      <c r="C2051" s="60"/>
      <c r="D2051" s="81"/>
      <c r="E2051" s="62"/>
      <c r="F2051" s="60"/>
      <c r="G2051" s="62"/>
      <c r="H2051" s="60"/>
    </row>
    <row r="2052" spans="1:8">
      <c r="A2052" s="60"/>
      <c r="B2052" s="77"/>
      <c r="C2052" s="60"/>
      <c r="D2052" s="81"/>
      <c r="E2052" s="62"/>
      <c r="F2052" s="60"/>
      <c r="G2052" s="62"/>
      <c r="H2052" s="60"/>
    </row>
    <row r="2053" spans="1:8">
      <c r="A2053" s="60"/>
      <c r="B2053" s="77"/>
      <c r="C2053" s="60"/>
      <c r="D2053" s="81"/>
      <c r="E2053" s="62"/>
      <c r="F2053" s="60"/>
      <c r="G2053" s="62"/>
      <c r="H2053" s="60"/>
    </row>
    <row r="2054" spans="1:8">
      <c r="A2054" s="60"/>
      <c r="B2054" s="77"/>
      <c r="C2054" s="60"/>
      <c r="D2054" s="81"/>
      <c r="E2054" s="62"/>
      <c r="F2054" s="60"/>
      <c r="G2054" s="62"/>
      <c r="H2054" s="60"/>
    </row>
    <row r="2055" spans="1:8">
      <c r="A2055" s="60"/>
      <c r="B2055" s="77"/>
      <c r="C2055" s="60"/>
      <c r="D2055" s="81"/>
      <c r="E2055" s="62"/>
      <c r="F2055" s="60"/>
      <c r="G2055" s="62"/>
      <c r="H2055" s="60"/>
    </row>
    <row r="2056" spans="1:8">
      <c r="A2056" s="60"/>
      <c r="B2056" s="77"/>
      <c r="C2056" s="60"/>
      <c r="D2056" s="81"/>
      <c r="E2056" s="62"/>
      <c r="F2056" s="60"/>
      <c r="G2056" s="62"/>
      <c r="H2056" s="60"/>
    </row>
    <row r="2057" spans="1:8">
      <c r="A2057" s="60"/>
      <c r="B2057" s="77"/>
      <c r="C2057" s="60"/>
      <c r="D2057" s="81"/>
      <c r="E2057" s="62"/>
      <c r="F2057" s="60"/>
      <c r="G2057" s="62"/>
      <c r="H2057" s="60"/>
    </row>
    <row r="2058" spans="1:8">
      <c r="A2058" s="60"/>
      <c r="B2058" s="77"/>
      <c r="C2058" s="60"/>
      <c r="D2058" s="81"/>
      <c r="E2058" s="62"/>
      <c r="F2058" s="60"/>
      <c r="G2058" s="62"/>
      <c r="H2058" s="60"/>
    </row>
    <row r="2059" spans="1:8">
      <c r="A2059" s="60"/>
      <c r="B2059" s="77"/>
      <c r="C2059" s="60"/>
      <c r="D2059" s="81"/>
      <c r="E2059" s="62"/>
      <c r="F2059" s="60"/>
      <c r="G2059" s="62"/>
      <c r="H2059" s="60"/>
    </row>
    <row r="2060" spans="1:8">
      <c r="A2060" s="60"/>
      <c r="B2060" s="77"/>
      <c r="C2060" s="60"/>
      <c r="D2060" s="81"/>
      <c r="E2060" s="62"/>
      <c r="F2060" s="60"/>
      <c r="G2060" s="62"/>
      <c r="H2060" s="60"/>
    </row>
    <row r="2061" spans="1:8">
      <c r="A2061" s="60"/>
      <c r="B2061" s="77"/>
      <c r="C2061" s="60"/>
      <c r="D2061" s="81"/>
      <c r="E2061" s="62"/>
      <c r="F2061" s="60"/>
      <c r="G2061" s="62"/>
      <c r="H2061" s="60"/>
    </row>
    <row r="2062" spans="1:8">
      <c r="A2062" s="60"/>
      <c r="B2062" s="77"/>
      <c r="C2062" s="60"/>
      <c r="D2062" s="81"/>
      <c r="E2062" s="62"/>
      <c r="F2062" s="60"/>
      <c r="G2062" s="62"/>
      <c r="H2062" s="60"/>
    </row>
    <row r="2063" spans="1:8">
      <c r="A2063" s="60"/>
      <c r="B2063" s="77"/>
      <c r="C2063" s="60"/>
      <c r="D2063" s="81"/>
      <c r="E2063" s="62"/>
      <c r="F2063" s="60"/>
      <c r="G2063" s="62"/>
      <c r="H2063" s="60"/>
    </row>
    <row r="2064" spans="1:8">
      <c r="A2064" s="60"/>
      <c r="B2064" s="77"/>
      <c r="C2064" s="60"/>
      <c r="D2064" s="81"/>
      <c r="E2064" s="62"/>
      <c r="F2064" s="60"/>
      <c r="G2064" s="62"/>
      <c r="H2064" s="60"/>
    </row>
    <row r="2065" spans="1:8">
      <c r="A2065" s="60"/>
      <c r="B2065" s="77"/>
      <c r="C2065" s="60"/>
      <c r="D2065" s="81"/>
      <c r="E2065" s="62"/>
      <c r="F2065" s="60"/>
      <c r="G2065" s="62"/>
      <c r="H2065" s="60"/>
    </row>
    <row r="2066" spans="1:8">
      <c r="A2066" s="60"/>
      <c r="B2066" s="77"/>
      <c r="C2066" s="60"/>
      <c r="D2066" s="81"/>
      <c r="E2066" s="62"/>
      <c r="F2066" s="60"/>
      <c r="G2066" s="62"/>
      <c r="H2066" s="60"/>
    </row>
    <row r="2067" spans="1:8">
      <c r="A2067" s="60"/>
      <c r="B2067" s="77"/>
      <c r="C2067" s="60"/>
      <c r="D2067" s="81"/>
      <c r="E2067" s="62"/>
      <c r="F2067" s="60"/>
      <c r="G2067" s="62"/>
      <c r="H2067" s="60"/>
    </row>
    <row r="2068" spans="1:8">
      <c r="A2068" s="60"/>
      <c r="B2068" s="77"/>
      <c r="C2068" s="60"/>
      <c r="D2068" s="81"/>
      <c r="E2068" s="62"/>
      <c r="F2068" s="60"/>
      <c r="G2068" s="62"/>
      <c r="H2068" s="60"/>
    </row>
    <row r="2069" spans="1:8">
      <c r="A2069" s="60"/>
      <c r="B2069" s="77"/>
      <c r="C2069" s="60"/>
      <c r="D2069" s="81"/>
      <c r="E2069" s="62"/>
      <c r="F2069" s="60"/>
      <c r="G2069" s="62"/>
      <c r="H2069" s="60"/>
    </row>
    <row r="2070" spans="1:8">
      <c r="A2070" s="60"/>
      <c r="B2070" s="77"/>
      <c r="C2070" s="60"/>
      <c r="D2070" s="81"/>
      <c r="E2070" s="62"/>
      <c r="F2070" s="60"/>
      <c r="G2070" s="62"/>
      <c r="H2070" s="60"/>
    </row>
    <row r="2071" spans="1:8">
      <c r="A2071" s="60"/>
      <c r="B2071" s="77"/>
      <c r="C2071" s="60"/>
      <c r="D2071" s="81"/>
      <c r="E2071" s="62"/>
      <c r="F2071" s="60"/>
      <c r="G2071" s="62"/>
      <c r="H2071" s="60"/>
    </row>
    <row r="2072" spans="1:8">
      <c r="A2072" s="60"/>
      <c r="B2072" s="77"/>
      <c r="C2072" s="60"/>
      <c r="D2072" s="81"/>
      <c r="E2072" s="62"/>
      <c r="F2072" s="60"/>
      <c r="G2072" s="62"/>
      <c r="H2072" s="60"/>
    </row>
    <row r="2073" spans="1:8">
      <c r="A2073" s="60"/>
      <c r="B2073" s="77"/>
      <c r="C2073" s="60"/>
      <c r="D2073" s="81"/>
      <c r="E2073" s="62"/>
      <c r="F2073" s="60"/>
      <c r="G2073" s="62"/>
      <c r="H2073" s="60"/>
    </row>
    <row r="2074" spans="1:8">
      <c r="A2074" s="60"/>
      <c r="B2074" s="77"/>
      <c r="C2074" s="60"/>
      <c r="D2074" s="81"/>
      <c r="E2074" s="62"/>
      <c r="F2074" s="60"/>
      <c r="G2074" s="62"/>
      <c r="H2074" s="60"/>
    </row>
    <row r="2075" spans="1:8">
      <c r="A2075" s="60"/>
      <c r="B2075" s="77"/>
      <c r="C2075" s="60"/>
      <c r="D2075" s="81"/>
      <c r="E2075" s="62"/>
      <c r="F2075" s="60"/>
      <c r="G2075" s="62"/>
      <c r="H2075" s="60"/>
    </row>
    <row r="2076" spans="1:8">
      <c r="A2076" s="60"/>
      <c r="B2076" s="77"/>
      <c r="C2076" s="60"/>
      <c r="D2076" s="81"/>
      <c r="E2076" s="62"/>
      <c r="F2076" s="60"/>
      <c r="G2076" s="62"/>
      <c r="H2076" s="60"/>
    </row>
    <row r="2077" spans="1:8">
      <c r="A2077" s="60"/>
      <c r="B2077" s="77"/>
      <c r="C2077" s="60"/>
      <c r="D2077" s="81"/>
      <c r="E2077" s="62"/>
      <c r="F2077" s="60"/>
      <c r="G2077" s="62"/>
      <c r="H2077" s="60"/>
    </row>
    <row r="2078" spans="1:8">
      <c r="A2078" s="60"/>
      <c r="B2078" s="77"/>
      <c r="C2078" s="60"/>
      <c r="D2078" s="81"/>
      <c r="E2078" s="62"/>
      <c r="F2078" s="60"/>
      <c r="G2078" s="62"/>
      <c r="H2078" s="60"/>
    </row>
    <row r="2079" spans="1:8">
      <c r="A2079" s="60"/>
      <c r="B2079" s="77"/>
      <c r="C2079" s="60"/>
      <c r="D2079" s="81"/>
      <c r="E2079" s="62"/>
      <c r="F2079" s="60"/>
      <c r="G2079" s="62"/>
      <c r="H2079" s="60"/>
    </row>
    <row r="2080" spans="1:8">
      <c r="A2080" s="60"/>
      <c r="B2080" s="77"/>
      <c r="C2080" s="60"/>
      <c r="D2080" s="81"/>
      <c r="E2080" s="62"/>
      <c r="F2080" s="60"/>
      <c r="G2080" s="62"/>
      <c r="H2080" s="60"/>
    </row>
    <row r="2081" spans="1:8">
      <c r="A2081" s="60"/>
      <c r="B2081" s="77"/>
      <c r="C2081" s="60"/>
      <c r="D2081" s="81"/>
      <c r="E2081" s="62"/>
      <c r="F2081" s="60"/>
      <c r="G2081" s="62"/>
      <c r="H2081" s="60"/>
    </row>
    <row r="2082" spans="1:8">
      <c r="A2082" s="60"/>
      <c r="B2082" s="77"/>
      <c r="C2082" s="60"/>
      <c r="D2082" s="81"/>
      <c r="E2082" s="62"/>
      <c r="F2082" s="60"/>
      <c r="G2082" s="62"/>
      <c r="H2082" s="60"/>
    </row>
    <row r="2083" spans="1:8">
      <c r="A2083" s="60"/>
      <c r="B2083" s="77"/>
      <c r="C2083" s="60"/>
      <c r="D2083" s="81"/>
      <c r="E2083" s="62"/>
      <c r="F2083" s="60"/>
      <c r="G2083" s="62"/>
      <c r="H2083" s="60"/>
    </row>
    <row r="2084" spans="1:8">
      <c r="A2084" s="60"/>
      <c r="B2084" s="77"/>
      <c r="C2084" s="60"/>
      <c r="D2084" s="81"/>
      <c r="E2084" s="62"/>
      <c r="F2084" s="60"/>
      <c r="G2084" s="62"/>
      <c r="H2084" s="60"/>
    </row>
    <row r="2085" spans="1:8">
      <c r="A2085" s="60"/>
      <c r="B2085" s="77"/>
      <c r="C2085" s="60"/>
      <c r="D2085" s="81"/>
      <c r="E2085" s="62"/>
      <c r="F2085" s="60"/>
      <c r="G2085" s="62"/>
      <c r="H2085" s="60"/>
    </row>
    <row r="2086" spans="1:8">
      <c r="A2086" s="60"/>
      <c r="B2086" s="77"/>
      <c r="C2086" s="60"/>
      <c r="D2086" s="81"/>
      <c r="E2086" s="62"/>
      <c r="F2086" s="60"/>
      <c r="G2086" s="62"/>
      <c r="H2086" s="60"/>
    </row>
    <row r="2087" spans="1:8">
      <c r="A2087" s="60"/>
      <c r="B2087" s="77"/>
      <c r="C2087" s="60"/>
      <c r="D2087" s="81"/>
      <c r="E2087" s="62"/>
      <c r="F2087" s="60"/>
      <c r="G2087" s="62"/>
      <c r="H2087" s="60"/>
    </row>
    <row r="2088" spans="1:8">
      <c r="A2088" s="60"/>
      <c r="B2088" s="77"/>
      <c r="C2088" s="60"/>
      <c r="D2088" s="81"/>
      <c r="E2088" s="62"/>
      <c r="F2088" s="60"/>
      <c r="G2088" s="62"/>
      <c r="H2088" s="60"/>
    </row>
    <row r="2089" spans="1:8">
      <c r="A2089" s="60"/>
      <c r="B2089" s="77"/>
      <c r="C2089" s="60"/>
      <c r="D2089" s="81"/>
      <c r="E2089" s="62"/>
      <c r="F2089" s="60"/>
      <c r="G2089" s="62"/>
      <c r="H2089" s="60"/>
    </row>
    <row r="2090" spans="1:8">
      <c r="A2090" s="60"/>
      <c r="B2090" s="77"/>
      <c r="C2090" s="60"/>
      <c r="D2090" s="81"/>
      <c r="E2090" s="62"/>
      <c r="F2090" s="60"/>
      <c r="G2090" s="62"/>
      <c r="H2090" s="60"/>
    </row>
    <row r="2091" spans="1:8">
      <c r="A2091" s="60"/>
      <c r="B2091" s="77"/>
      <c r="C2091" s="60"/>
      <c r="D2091" s="81"/>
      <c r="E2091" s="62"/>
      <c r="F2091" s="60"/>
      <c r="G2091" s="62"/>
      <c r="H2091" s="60"/>
    </row>
    <row r="2092" spans="1:8">
      <c r="A2092" s="60"/>
      <c r="B2092" s="77"/>
      <c r="C2092" s="60"/>
      <c r="D2092" s="81"/>
      <c r="E2092" s="62"/>
      <c r="F2092" s="60"/>
      <c r="G2092" s="62"/>
      <c r="H2092" s="60"/>
    </row>
    <row r="2093" spans="1:8">
      <c r="A2093" s="60"/>
      <c r="B2093" s="77"/>
      <c r="C2093" s="60"/>
      <c r="D2093" s="81"/>
      <c r="E2093" s="62"/>
      <c r="F2093" s="60"/>
      <c r="G2093" s="62"/>
      <c r="H2093" s="60"/>
    </row>
    <row r="2094" spans="1:8">
      <c r="A2094" s="60"/>
      <c r="B2094" s="77"/>
      <c r="C2094" s="60"/>
      <c r="D2094" s="81"/>
      <c r="E2094" s="62"/>
      <c r="F2094" s="60"/>
      <c r="G2094" s="62"/>
      <c r="H2094" s="60"/>
    </row>
    <row r="2095" spans="1:8">
      <c r="A2095" s="60"/>
      <c r="B2095" s="77"/>
      <c r="C2095" s="60"/>
      <c r="D2095" s="81"/>
      <c r="E2095" s="62"/>
      <c r="F2095" s="60"/>
      <c r="G2095" s="62"/>
      <c r="H2095" s="60"/>
    </row>
    <row r="2096" spans="1:8">
      <c r="A2096" s="60"/>
      <c r="B2096" s="77"/>
      <c r="C2096" s="60"/>
      <c r="D2096" s="81"/>
      <c r="E2096" s="62"/>
      <c r="F2096" s="60"/>
      <c r="G2096" s="62"/>
      <c r="H2096" s="60"/>
    </row>
    <row r="2097" spans="1:8">
      <c r="A2097" s="60"/>
      <c r="B2097" s="77"/>
      <c r="C2097" s="60"/>
      <c r="D2097" s="81"/>
      <c r="E2097" s="62"/>
      <c r="F2097" s="60"/>
      <c r="G2097" s="62"/>
      <c r="H2097" s="60"/>
    </row>
    <row r="2098" spans="1:8">
      <c r="A2098" s="60"/>
      <c r="B2098" s="77"/>
      <c r="C2098" s="60"/>
      <c r="D2098" s="81"/>
      <c r="E2098" s="62"/>
      <c r="F2098" s="60"/>
      <c r="G2098" s="62"/>
      <c r="H2098" s="60"/>
    </row>
    <row r="2099" spans="1:8">
      <c r="A2099" s="60"/>
      <c r="B2099" s="77"/>
      <c r="C2099" s="60"/>
      <c r="D2099" s="81"/>
      <c r="E2099" s="62"/>
      <c r="F2099" s="60"/>
      <c r="G2099" s="62"/>
      <c r="H2099" s="60"/>
    </row>
    <row r="2100" spans="1:8">
      <c r="A2100" s="60"/>
      <c r="B2100" s="77"/>
      <c r="C2100" s="60"/>
      <c r="D2100" s="81"/>
      <c r="E2100" s="62"/>
      <c r="F2100" s="60"/>
      <c r="G2100" s="62"/>
      <c r="H2100" s="60"/>
    </row>
    <row r="2101" spans="1:8">
      <c r="A2101" s="60"/>
      <c r="B2101" s="77"/>
      <c r="C2101" s="60"/>
      <c r="D2101" s="81"/>
      <c r="E2101" s="62"/>
      <c r="F2101" s="60"/>
      <c r="G2101" s="62"/>
      <c r="H2101" s="60"/>
    </row>
    <row r="2102" spans="1:8">
      <c r="A2102" s="60"/>
      <c r="B2102" s="77"/>
      <c r="C2102" s="60"/>
      <c r="D2102" s="81"/>
      <c r="E2102" s="62"/>
      <c r="F2102" s="60"/>
      <c r="G2102" s="62"/>
      <c r="H2102" s="60"/>
    </row>
    <row r="2103" spans="1:8">
      <c r="A2103" s="60"/>
      <c r="B2103" s="77"/>
      <c r="C2103" s="60"/>
      <c r="D2103" s="81"/>
      <c r="E2103" s="62"/>
      <c r="F2103" s="60"/>
      <c r="G2103" s="62"/>
      <c r="H2103" s="60"/>
    </row>
    <row r="2104" spans="1:8">
      <c r="A2104" s="60"/>
      <c r="B2104" s="77"/>
      <c r="C2104" s="60"/>
      <c r="D2104" s="81"/>
      <c r="E2104" s="62"/>
      <c r="F2104" s="60"/>
      <c r="G2104" s="62"/>
      <c r="H2104" s="60"/>
    </row>
    <row r="2105" spans="1:8">
      <c r="A2105" s="60"/>
      <c r="B2105" s="77"/>
      <c r="C2105" s="60"/>
      <c r="D2105" s="81"/>
      <c r="E2105" s="62"/>
      <c r="F2105" s="60"/>
      <c r="G2105" s="62"/>
      <c r="H2105" s="60"/>
    </row>
    <row r="2106" spans="1:8">
      <c r="A2106" s="60"/>
      <c r="B2106" s="77"/>
      <c r="C2106" s="60"/>
      <c r="D2106" s="81"/>
      <c r="E2106" s="62"/>
      <c r="F2106" s="60"/>
      <c r="G2106" s="62"/>
      <c r="H2106" s="60"/>
    </row>
    <row r="2107" spans="1:8">
      <c r="A2107" s="60"/>
      <c r="B2107" s="77"/>
      <c r="C2107" s="60"/>
      <c r="D2107" s="81"/>
      <c r="E2107" s="62"/>
      <c r="F2107" s="60"/>
      <c r="G2107" s="62"/>
      <c r="H2107" s="60"/>
    </row>
    <row r="2108" spans="1:8">
      <c r="A2108" s="60"/>
      <c r="B2108" s="77"/>
      <c r="C2108" s="60"/>
      <c r="D2108" s="81"/>
      <c r="E2108" s="62"/>
      <c r="F2108" s="60"/>
      <c r="G2108" s="62"/>
      <c r="H2108" s="60"/>
    </row>
    <row r="2109" spans="1:8">
      <c r="A2109" s="60"/>
      <c r="B2109" s="77"/>
      <c r="C2109" s="60"/>
      <c r="D2109" s="81"/>
      <c r="E2109" s="62"/>
      <c r="F2109" s="60"/>
      <c r="G2109" s="62"/>
      <c r="H2109" s="60"/>
    </row>
    <row r="2110" spans="1:8">
      <c r="A2110" s="60"/>
      <c r="B2110" s="77"/>
      <c r="C2110" s="60"/>
      <c r="D2110" s="81"/>
      <c r="E2110" s="62"/>
      <c r="F2110" s="60"/>
      <c r="G2110" s="62"/>
      <c r="H2110" s="60"/>
    </row>
    <row r="2111" spans="1:8">
      <c r="A2111" s="60"/>
      <c r="B2111" s="77"/>
      <c r="C2111" s="60"/>
      <c r="D2111" s="81"/>
      <c r="E2111" s="62"/>
      <c r="F2111" s="60"/>
      <c r="G2111" s="62"/>
      <c r="H2111" s="60"/>
    </row>
    <row r="2112" spans="1:8">
      <c r="A2112" s="60"/>
      <c r="B2112" s="77"/>
      <c r="C2112" s="60"/>
      <c r="D2112" s="81"/>
      <c r="E2112" s="62"/>
      <c r="F2112" s="60"/>
      <c r="G2112" s="62"/>
      <c r="H2112" s="60"/>
    </row>
    <row r="2113" spans="1:8">
      <c r="A2113" s="60"/>
      <c r="B2113" s="77"/>
      <c r="C2113" s="60"/>
      <c r="D2113" s="81"/>
      <c r="E2113" s="62"/>
      <c r="F2113" s="60"/>
      <c r="G2113" s="62"/>
      <c r="H2113" s="60"/>
    </row>
    <row r="2114" spans="1:8">
      <c r="A2114" s="60"/>
      <c r="B2114" s="77"/>
      <c r="C2114" s="60"/>
      <c r="D2114" s="81"/>
      <c r="E2114" s="62"/>
      <c r="F2114" s="60"/>
      <c r="G2114" s="62"/>
      <c r="H2114" s="60"/>
    </row>
    <row r="2115" spans="1:8">
      <c r="A2115" s="60"/>
      <c r="B2115" s="77"/>
      <c r="C2115" s="60"/>
      <c r="D2115" s="81"/>
      <c r="E2115" s="62"/>
      <c r="F2115" s="60"/>
      <c r="G2115" s="62"/>
      <c r="H2115" s="60"/>
    </row>
    <row r="2116" spans="1:8">
      <c r="A2116" s="60"/>
      <c r="B2116" s="77"/>
      <c r="C2116" s="60"/>
      <c r="D2116" s="81"/>
      <c r="E2116" s="62"/>
      <c r="F2116" s="60"/>
      <c r="G2116" s="62"/>
      <c r="H2116" s="60"/>
    </row>
    <row r="2117" spans="1:8">
      <c r="A2117" s="60"/>
      <c r="B2117" s="77"/>
      <c r="C2117" s="60"/>
      <c r="D2117" s="81"/>
      <c r="E2117" s="62"/>
      <c r="F2117" s="60"/>
      <c r="G2117" s="62"/>
      <c r="H2117" s="60"/>
    </row>
    <row r="2118" spans="1:8">
      <c r="A2118" s="60"/>
      <c r="B2118" s="77"/>
      <c r="C2118" s="60"/>
      <c r="D2118" s="81"/>
      <c r="E2118" s="62"/>
      <c r="F2118" s="60"/>
      <c r="G2118" s="62"/>
      <c r="H2118" s="60"/>
    </row>
    <row r="2119" spans="1:8">
      <c r="A2119" s="60"/>
      <c r="B2119" s="77"/>
      <c r="C2119" s="60"/>
      <c r="D2119" s="81"/>
      <c r="E2119" s="62"/>
      <c r="F2119" s="60"/>
      <c r="G2119" s="62"/>
      <c r="H2119" s="60"/>
    </row>
    <row r="2120" spans="1:8">
      <c r="A2120" s="60"/>
      <c r="B2120" s="77"/>
      <c r="C2120" s="60"/>
      <c r="D2120" s="81"/>
      <c r="E2120" s="62"/>
      <c r="F2120" s="60"/>
      <c r="G2120" s="62"/>
      <c r="H2120" s="60"/>
    </row>
    <row r="2121" spans="1:8">
      <c r="A2121" s="60"/>
      <c r="B2121" s="77"/>
      <c r="C2121" s="60"/>
      <c r="D2121" s="81"/>
      <c r="E2121" s="62"/>
      <c r="F2121" s="60"/>
      <c r="G2121" s="62"/>
      <c r="H2121" s="60"/>
    </row>
    <row r="2122" spans="1:8">
      <c r="A2122" s="60"/>
      <c r="B2122" s="77"/>
      <c r="C2122" s="60"/>
      <c r="D2122" s="81"/>
      <c r="E2122" s="62"/>
      <c r="F2122" s="60"/>
      <c r="G2122" s="62"/>
      <c r="H2122" s="60"/>
    </row>
    <row r="2123" spans="1:8">
      <c r="A2123" s="60"/>
      <c r="B2123" s="77"/>
      <c r="C2123" s="60"/>
      <c r="D2123" s="81"/>
      <c r="E2123" s="62"/>
      <c r="F2123" s="60"/>
      <c r="G2123" s="62"/>
      <c r="H2123" s="60"/>
    </row>
    <row r="2124" spans="1:8">
      <c r="A2124" s="60"/>
      <c r="B2124" s="77"/>
      <c r="C2124" s="60"/>
      <c r="D2124" s="81"/>
      <c r="E2124" s="62"/>
      <c r="F2124" s="60"/>
      <c r="G2124" s="62"/>
      <c r="H2124" s="60"/>
    </row>
    <row r="2125" spans="1:8">
      <c r="A2125" s="60"/>
      <c r="B2125" s="77"/>
      <c r="C2125" s="60"/>
      <c r="D2125" s="81"/>
      <c r="E2125" s="62"/>
      <c r="F2125" s="60"/>
      <c r="G2125" s="62"/>
      <c r="H2125" s="60"/>
    </row>
    <row r="2126" spans="1:8">
      <c r="A2126" s="60"/>
      <c r="B2126" s="77"/>
      <c r="C2126" s="60"/>
      <c r="D2126" s="81"/>
      <c r="E2126" s="62"/>
      <c r="F2126" s="60"/>
      <c r="G2126" s="62"/>
      <c r="H2126" s="60"/>
    </row>
    <row r="2127" spans="1:8">
      <c r="A2127" s="60"/>
      <c r="B2127" s="77"/>
      <c r="C2127" s="60"/>
      <c r="D2127" s="81"/>
      <c r="E2127" s="62"/>
      <c r="F2127" s="60"/>
      <c r="G2127" s="62"/>
      <c r="H2127" s="60"/>
    </row>
    <row r="2128" spans="1:8">
      <c r="A2128" s="60"/>
      <c r="B2128" s="77"/>
      <c r="C2128" s="60"/>
      <c r="D2128" s="81"/>
      <c r="E2128" s="62"/>
      <c r="F2128" s="60"/>
      <c r="G2128" s="62"/>
      <c r="H2128" s="60"/>
    </row>
    <row r="2129" spans="1:8">
      <c r="A2129" s="60"/>
      <c r="B2129" s="77"/>
      <c r="C2129" s="60"/>
      <c r="D2129" s="81"/>
      <c r="E2129" s="62"/>
      <c r="F2129" s="60"/>
      <c r="G2129" s="62"/>
      <c r="H2129" s="60"/>
    </row>
    <row r="2130" spans="1:8">
      <c r="A2130" s="60"/>
      <c r="B2130" s="77"/>
      <c r="C2130" s="60"/>
      <c r="D2130" s="81"/>
      <c r="E2130" s="62"/>
      <c r="F2130" s="60"/>
      <c r="G2130" s="62"/>
      <c r="H2130" s="60"/>
    </row>
    <row r="2131" spans="1:8">
      <c r="A2131" s="60"/>
      <c r="B2131" s="77"/>
      <c r="C2131" s="60"/>
      <c r="D2131" s="81"/>
      <c r="E2131" s="62"/>
      <c r="F2131" s="60"/>
      <c r="G2131" s="62"/>
      <c r="H2131" s="60"/>
    </row>
    <row r="2132" spans="1:8">
      <c r="A2132" s="60"/>
      <c r="B2132" s="77"/>
      <c r="C2132" s="60"/>
      <c r="D2132" s="81"/>
      <c r="E2132" s="62"/>
      <c r="F2132" s="60"/>
      <c r="G2132" s="62"/>
      <c r="H2132" s="60"/>
    </row>
    <row r="2133" spans="1:8">
      <c r="A2133" s="60"/>
      <c r="B2133" s="77"/>
      <c r="C2133" s="60"/>
      <c r="D2133" s="81"/>
      <c r="E2133" s="62"/>
      <c r="F2133" s="60"/>
      <c r="G2133" s="62"/>
      <c r="H2133" s="60"/>
    </row>
    <row r="2134" spans="1:8">
      <c r="A2134" s="60"/>
      <c r="B2134" s="77"/>
      <c r="C2134" s="60"/>
      <c r="D2134" s="81"/>
      <c r="E2134" s="62"/>
      <c r="F2134" s="60"/>
      <c r="G2134" s="62"/>
      <c r="H2134" s="60"/>
    </row>
    <row r="2135" spans="1:8">
      <c r="A2135" s="60"/>
      <c r="B2135" s="77"/>
      <c r="C2135" s="60"/>
      <c r="D2135" s="81"/>
      <c r="E2135" s="62"/>
      <c r="F2135" s="60"/>
      <c r="G2135" s="62"/>
      <c r="H2135" s="60"/>
    </row>
    <row r="2136" spans="1:8">
      <c r="A2136" s="60"/>
      <c r="B2136" s="77"/>
      <c r="C2136" s="60"/>
      <c r="D2136" s="81"/>
      <c r="E2136" s="62"/>
      <c r="F2136" s="60"/>
      <c r="G2136" s="62"/>
      <c r="H2136" s="60"/>
    </row>
    <row r="2137" spans="1:8">
      <c r="A2137" s="60"/>
      <c r="B2137" s="77"/>
      <c r="C2137" s="60"/>
      <c r="D2137" s="81"/>
      <c r="E2137" s="62"/>
      <c r="F2137" s="60"/>
      <c r="G2137" s="62"/>
      <c r="H2137" s="60"/>
    </row>
    <row r="2138" spans="1:8">
      <c r="A2138" s="60"/>
      <c r="B2138" s="77"/>
      <c r="C2138" s="60"/>
      <c r="D2138" s="81"/>
      <c r="E2138" s="62"/>
      <c r="F2138" s="60"/>
      <c r="G2138" s="62"/>
      <c r="H2138" s="60"/>
    </row>
    <row r="2139" spans="1:8">
      <c r="A2139" s="60"/>
      <c r="B2139" s="77"/>
      <c r="C2139" s="60"/>
      <c r="D2139" s="81"/>
      <c r="E2139" s="62"/>
      <c r="F2139" s="60"/>
      <c r="G2139" s="62"/>
      <c r="H2139" s="60"/>
    </row>
    <row r="2140" spans="1:8">
      <c r="A2140" s="60"/>
      <c r="B2140" s="77"/>
      <c r="C2140" s="60"/>
      <c r="D2140" s="81"/>
      <c r="E2140" s="62"/>
      <c r="F2140" s="60"/>
      <c r="G2140" s="62"/>
      <c r="H2140" s="60"/>
    </row>
    <row r="2141" spans="1:8">
      <c r="A2141" s="60"/>
      <c r="B2141" s="77"/>
      <c r="C2141" s="60"/>
      <c r="D2141" s="81"/>
      <c r="E2141" s="62"/>
      <c r="F2141" s="60"/>
      <c r="G2141" s="62"/>
      <c r="H2141" s="60"/>
    </row>
    <row r="2142" spans="1:8">
      <c r="A2142" s="60"/>
      <c r="B2142" s="77"/>
      <c r="C2142" s="60"/>
      <c r="D2142" s="81"/>
      <c r="E2142" s="62"/>
      <c r="F2142" s="60"/>
      <c r="G2142" s="62"/>
      <c r="H2142" s="60"/>
    </row>
    <row r="2143" spans="1:8">
      <c r="A2143" s="60"/>
      <c r="B2143" s="77"/>
      <c r="C2143" s="60"/>
      <c r="D2143" s="81"/>
      <c r="E2143" s="62"/>
      <c r="F2143" s="60"/>
      <c r="G2143" s="62"/>
      <c r="H2143" s="60"/>
    </row>
    <row r="2144" spans="1:8">
      <c r="A2144" s="60"/>
      <c r="B2144" s="77"/>
      <c r="C2144" s="60"/>
      <c r="D2144" s="81"/>
      <c r="E2144" s="62"/>
      <c r="F2144" s="60"/>
      <c r="G2144" s="62"/>
      <c r="H2144" s="60"/>
    </row>
    <row r="2145" spans="1:8">
      <c r="A2145" s="60"/>
      <c r="B2145" s="77"/>
      <c r="C2145" s="60"/>
      <c r="D2145" s="81"/>
      <c r="E2145" s="62"/>
      <c r="F2145" s="60"/>
      <c r="G2145" s="62"/>
      <c r="H2145" s="60"/>
    </row>
    <row r="2146" spans="1:8">
      <c r="A2146" s="60"/>
      <c r="B2146" s="77"/>
      <c r="C2146" s="60"/>
      <c r="D2146" s="81"/>
      <c r="E2146" s="62"/>
      <c r="F2146" s="60"/>
      <c r="G2146" s="62"/>
      <c r="H2146" s="60"/>
    </row>
    <row r="2147" spans="1:8">
      <c r="A2147" s="60"/>
      <c r="B2147" s="77"/>
      <c r="C2147" s="60"/>
      <c r="D2147" s="81"/>
      <c r="E2147" s="62"/>
      <c r="F2147" s="60"/>
      <c r="G2147" s="62"/>
      <c r="H2147" s="60"/>
    </row>
    <row r="2148" spans="1:8">
      <c r="A2148" s="60"/>
      <c r="B2148" s="77"/>
      <c r="C2148" s="60"/>
      <c r="D2148" s="81"/>
      <c r="E2148" s="62"/>
      <c r="F2148" s="60"/>
      <c r="G2148" s="62"/>
      <c r="H2148" s="60"/>
    </row>
    <row r="2149" spans="1:8">
      <c r="A2149" s="60"/>
      <c r="B2149" s="77"/>
      <c r="C2149" s="60"/>
      <c r="D2149" s="81"/>
      <c r="E2149" s="62"/>
      <c r="F2149" s="60"/>
      <c r="G2149" s="62"/>
      <c r="H2149" s="60"/>
    </row>
    <row r="2150" spans="1:8">
      <c r="A2150" s="60"/>
      <c r="B2150" s="77"/>
      <c r="C2150" s="60"/>
      <c r="D2150" s="81"/>
      <c r="E2150" s="62"/>
      <c r="F2150" s="60"/>
      <c r="G2150" s="62"/>
      <c r="H2150" s="60"/>
    </row>
    <row r="2151" spans="1:8">
      <c r="A2151" s="60"/>
      <c r="B2151" s="77"/>
      <c r="C2151" s="60"/>
      <c r="D2151" s="81"/>
      <c r="E2151" s="62"/>
      <c r="F2151" s="60"/>
      <c r="G2151" s="62"/>
      <c r="H2151" s="60"/>
    </row>
    <row r="2152" spans="1:8">
      <c r="A2152" s="60"/>
      <c r="B2152" s="77"/>
      <c r="C2152" s="60"/>
      <c r="D2152" s="81"/>
      <c r="E2152" s="62"/>
      <c r="F2152" s="60"/>
      <c r="G2152" s="62"/>
      <c r="H2152" s="60"/>
    </row>
    <row r="2153" spans="1:8">
      <c r="A2153" s="60"/>
      <c r="B2153" s="77"/>
      <c r="C2153" s="60"/>
      <c r="D2153" s="81"/>
      <c r="E2153" s="62"/>
      <c r="F2153" s="60"/>
      <c r="G2153" s="62"/>
      <c r="H2153" s="60"/>
    </row>
    <row r="2154" spans="1:8">
      <c r="A2154" s="60"/>
      <c r="B2154" s="77"/>
      <c r="C2154" s="60"/>
      <c r="D2154" s="81"/>
      <c r="E2154" s="62"/>
      <c r="F2154" s="60"/>
      <c r="G2154" s="62"/>
      <c r="H2154" s="60"/>
    </row>
    <row r="2155" spans="1:8">
      <c r="A2155" s="60"/>
      <c r="B2155" s="77"/>
      <c r="C2155" s="60"/>
      <c r="D2155" s="81"/>
      <c r="E2155" s="62"/>
      <c r="F2155" s="60"/>
      <c r="G2155" s="62"/>
      <c r="H2155" s="60"/>
    </row>
    <row r="2156" spans="1:8">
      <c r="A2156" s="60"/>
      <c r="B2156" s="77"/>
      <c r="C2156" s="60"/>
      <c r="D2156" s="81"/>
      <c r="E2156" s="62"/>
      <c r="F2156" s="60"/>
      <c r="G2156" s="62"/>
      <c r="H2156" s="60"/>
    </row>
    <row r="2157" spans="1:8">
      <c r="A2157" s="60"/>
      <c r="B2157" s="77"/>
      <c r="C2157" s="60"/>
      <c r="D2157" s="81"/>
      <c r="E2157" s="62"/>
      <c r="F2157" s="60"/>
      <c r="G2157" s="62"/>
      <c r="H2157" s="60"/>
    </row>
    <row r="2158" spans="1:8">
      <c r="A2158" s="60"/>
      <c r="B2158" s="77"/>
      <c r="C2158" s="60"/>
      <c r="D2158" s="81"/>
      <c r="E2158" s="62"/>
      <c r="F2158" s="60"/>
      <c r="G2158" s="62"/>
      <c r="H2158" s="60"/>
    </row>
    <row r="2159" spans="1:8">
      <c r="A2159" s="60"/>
      <c r="B2159" s="77"/>
      <c r="C2159" s="60"/>
      <c r="D2159" s="81"/>
      <c r="E2159" s="62"/>
      <c r="F2159" s="60"/>
      <c r="G2159" s="62"/>
      <c r="H2159" s="60"/>
    </row>
    <row r="2160" spans="1:8">
      <c r="A2160" s="60"/>
      <c r="B2160" s="77"/>
      <c r="C2160" s="60"/>
      <c r="D2160" s="81"/>
      <c r="E2160" s="62"/>
      <c r="F2160" s="60"/>
      <c r="G2160" s="62"/>
      <c r="H2160" s="60"/>
    </row>
    <row r="2161" spans="1:8">
      <c r="A2161" s="60"/>
      <c r="B2161" s="77"/>
      <c r="C2161" s="60"/>
      <c r="D2161" s="81"/>
      <c r="E2161" s="62"/>
      <c r="F2161" s="60"/>
      <c r="G2161" s="62"/>
      <c r="H2161" s="60"/>
    </row>
    <row r="2162" spans="1:8">
      <c r="A2162" s="60"/>
      <c r="B2162" s="77"/>
      <c r="C2162" s="60"/>
      <c r="D2162" s="81"/>
      <c r="E2162" s="62"/>
      <c r="F2162" s="60"/>
      <c r="G2162" s="62"/>
      <c r="H2162" s="60"/>
    </row>
    <row r="2163" spans="1:8">
      <c r="A2163" s="60"/>
      <c r="B2163" s="77"/>
      <c r="C2163" s="60"/>
      <c r="D2163" s="81"/>
      <c r="E2163" s="62"/>
      <c r="F2163" s="60"/>
      <c r="G2163" s="62"/>
      <c r="H2163" s="60"/>
    </row>
    <row r="2164" spans="1:8">
      <c r="A2164" s="60"/>
      <c r="B2164" s="77"/>
      <c r="C2164" s="60"/>
      <c r="D2164" s="81"/>
      <c r="E2164" s="62"/>
      <c r="F2164" s="60"/>
      <c r="G2164" s="62"/>
      <c r="H2164" s="60"/>
    </row>
    <row r="2165" spans="1:8">
      <c r="A2165" s="60"/>
      <c r="B2165" s="77"/>
      <c r="C2165" s="60"/>
      <c r="D2165" s="81"/>
      <c r="E2165" s="62"/>
      <c r="F2165" s="60"/>
      <c r="G2165" s="62"/>
      <c r="H2165" s="60"/>
    </row>
    <row r="2166" spans="1:8">
      <c r="A2166" s="60"/>
      <c r="B2166" s="77"/>
      <c r="C2166" s="60"/>
      <c r="D2166" s="81"/>
      <c r="E2166" s="62"/>
      <c r="F2166" s="60"/>
      <c r="G2166" s="62"/>
      <c r="H2166" s="60"/>
    </row>
    <row r="2167" spans="1:8">
      <c r="A2167" s="60"/>
      <c r="B2167" s="77"/>
      <c r="C2167" s="60"/>
      <c r="D2167" s="81"/>
      <c r="E2167" s="62"/>
      <c r="F2167" s="60"/>
      <c r="G2167" s="62"/>
      <c r="H2167" s="60"/>
    </row>
    <row r="2168" spans="1:8">
      <c r="A2168" s="60"/>
      <c r="B2168" s="77"/>
      <c r="C2168" s="60"/>
      <c r="D2168" s="81"/>
      <c r="E2168" s="62"/>
      <c r="F2168" s="60"/>
      <c r="G2168" s="62"/>
      <c r="H2168" s="60"/>
    </row>
    <row r="2169" spans="1:8">
      <c r="A2169" s="60"/>
      <c r="B2169" s="77"/>
      <c r="C2169" s="60"/>
      <c r="D2169" s="81"/>
      <c r="E2169" s="62"/>
      <c r="F2169" s="60"/>
      <c r="G2169" s="62"/>
      <c r="H2169" s="60"/>
    </row>
    <row r="2170" spans="1:8">
      <c r="A2170" s="60"/>
      <c r="B2170" s="77"/>
      <c r="C2170" s="60"/>
      <c r="D2170" s="81"/>
      <c r="E2170" s="62"/>
      <c r="F2170" s="60"/>
      <c r="G2170" s="62"/>
      <c r="H2170" s="60"/>
    </row>
    <row r="2171" spans="1:8">
      <c r="A2171" s="60"/>
      <c r="B2171" s="77"/>
      <c r="C2171" s="60"/>
      <c r="D2171" s="81"/>
      <c r="E2171" s="62"/>
      <c r="F2171" s="60"/>
      <c r="G2171" s="62"/>
      <c r="H2171" s="60"/>
    </row>
    <row r="2172" spans="1:8">
      <c r="A2172" s="60"/>
      <c r="B2172" s="77"/>
      <c r="C2172" s="60"/>
      <c r="D2172" s="81"/>
      <c r="E2172" s="62"/>
      <c r="F2172" s="60"/>
      <c r="G2172" s="62"/>
      <c r="H2172" s="60"/>
    </row>
    <row r="2173" spans="1:8">
      <c r="A2173" s="60"/>
      <c r="B2173" s="77"/>
      <c r="C2173" s="60"/>
      <c r="D2173" s="81"/>
      <c r="E2173" s="62"/>
      <c r="F2173" s="60"/>
      <c r="G2173" s="62"/>
      <c r="H2173" s="60"/>
    </row>
    <row r="2174" spans="1:8">
      <c r="A2174" s="60"/>
      <c r="B2174" s="77"/>
      <c r="C2174" s="60"/>
      <c r="D2174" s="81"/>
      <c r="E2174" s="62"/>
      <c r="F2174" s="60"/>
      <c r="G2174" s="62"/>
      <c r="H2174" s="60"/>
    </row>
    <row r="2175" spans="1:8">
      <c r="A2175" s="60"/>
      <c r="B2175" s="77"/>
      <c r="C2175" s="60"/>
      <c r="D2175" s="81"/>
      <c r="E2175" s="62"/>
      <c r="F2175" s="60"/>
      <c r="G2175" s="62"/>
      <c r="H2175" s="60"/>
    </row>
    <row r="2176" spans="1:8">
      <c r="A2176" s="60"/>
      <c r="B2176" s="77"/>
      <c r="C2176" s="60"/>
      <c r="D2176" s="81"/>
      <c r="E2176" s="62"/>
      <c r="F2176" s="60"/>
      <c r="G2176" s="62"/>
      <c r="H2176" s="60"/>
    </row>
    <row r="2177" spans="1:8">
      <c r="A2177" s="60"/>
      <c r="B2177" s="77"/>
      <c r="C2177" s="60"/>
      <c r="D2177" s="81"/>
      <c r="E2177" s="62"/>
      <c r="F2177" s="60"/>
      <c r="G2177" s="62"/>
      <c r="H2177" s="60"/>
    </row>
    <row r="2178" spans="1:8">
      <c r="A2178" s="60"/>
      <c r="B2178" s="77"/>
      <c r="C2178" s="60"/>
      <c r="D2178" s="81"/>
      <c r="E2178" s="62"/>
      <c r="F2178" s="60"/>
      <c r="G2178" s="62"/>
      <c r="H2178" s="60"/>
    </row>
    <row r="2179" spans="1:8">
      <c r="A2179" s="60"/>
      <c r="B2179" s="77"/>
      <c r="C2179" s="60"/>
      <c r="D2179" s="81"/>
      <c r="E2179" s="62"/>
      <c r="F2179" s="60"/>
      <c r="G2179" s="62"/>
      <c r="H2179" s="60"/>
    </row>
    <row r="2180" spans="1:8">
      <c r="A2180" s="60"/>
      <c r="B2180" s="77"/>
      <c r="C2180" s="60"/>
      <c r="D2180" s="81"/>
      <c r="E2180" s="62"/>
      <c r="F2180" s="60"/>
      <c r="G2180" s="62"/>
      <c r="H2180" s="60"/>
    </row>
    <row r="2181" spans="1:8">
      <c r="A2181" s="60"/>
      <c r="B2181" s="77"/>
      <c r="C2181" s="60"/>
      <c r="D2181" s="81"/>
      <c r="E2181" s="62"/>
      <c r="F2181" s="60"/>
      <c r="G2181" s="62"/>
      <c r="H2181" s="60"/>
    </row>
    <row r="2182" spans="1:8">
      <c r="A2182" s="60"/>
      <c r="B2182" s="77"/>
      <c r="C2182" s="60"/>
      <c r="D2182" s="81"/>
      <c r="E2182" s="62"/>
      <c r="F2182" s="60"/>
      <c r="G2182" s="62"/>
      <c r="H2182" s="60"/>
    </row>
    <row r="2183" spans="1:8">
      <c r="A2183" s="60"/>
      <c r="B2183" s="77"/>
      <c r="C2183" s="60"/>
      <c r="D2183" s="81"/>
      <c r="E2183" s="62"/>
      <c r="F2183" s="60"/>
      <c r="G2183" s="62"/>
      <c r="H2183" s="60"/>
    </row>
    <row r="2184" spans="1:8">
      <c r="A2184" s="60"/>
      <c r="B2184" s="77"/>
      <c r="C2184" s="60"/>
      <c r="D2184" s="81"/>
      <c r="E2184" s="62"/>
      <c r="F2184" s="60"/>
      <c r="G2184" s="62"/>
      <c r="H2184" s="60"/>
    </row>
    <row r="2185" spans="1:8">
      <c r="A2185" s="60"/>
      <c r="B2185" s="77"/>
      <c r="C2185" s="60"/>
      <c r="D2185" s="81"/>
      <c r="E2185" s="62"/>
      <c r="F2185" s="60"/>
      <c r="G2185" s="62"/>
      <c r="H2185" s="60"/>
    </row>
    <row r="2186" spans="1:8">
      <c r="A2186" s="60"/>
      <c r="B2186" s="77"/>
      <c r="C2186" s="60"/>
      <c r="D2186" s="81"/>
      <c r="E2186" s="62"/>
      <c r="F2186" s="60"/>
      <c r="G2186" s="62"/>
      <c r="H2186" s="60"/>
    </row>
    <row r="2187" spans="1:8">
      <c r="A2187" s="60"/>
      <c r="B2187" s="77"/>
      <c r="C2187" s="60"/>
      <c r="D2187" s="81"/>
      <c r="E2187" s="62"/>
      <c r="F2187" s="60"/>
      <c r="G2187" s="62"/>
      <c r="H2187" s="60"/>
    </row>
    <row r="2188" spans="1:8">
      <c r="A2188" s="60"/>
      <c r="B2188" s="77"/>
      <c r="C2188" s="60"/>
      <c r="D2188" s="81"/>
      <c r="E2188" s="62"/>
      <c r="F2188" s="60"/>
      <c r="G2188" s="62"/>
      <c r="H2188" s="60"/>
    </row>
    <row r="2189" spans="1:8">
      <c r="A2189" s="60"/>
      <c r="B2189" s="77"/>
      <c r="C2189" s="60"/>
      <c r="D2189" s="81"/>
      <c r="E2189" s="62"/>
      <c r="F2189" s="60"/>
      <c r="G2189" s="62"/>
      <c r="H2189" s="60"/>
    </row>
    <row r="2190" spans="1:8">
      <c r="A2190" s="60"/>
      <c r="B2190" s="77"/>
      <c r="C2190" s="60"/>
      <c r="D2190" s="81"/>
      <c r="E2190" s="62"/>
      <c r="F2190" s="60"/>
      <c r="G2190" s="62"/>
      <c r="H2190" s="60"/>
    </row>
    <row r="2191" spans="1:8">
      <c r="A2191" s="60"/>
      <c r="B2191" s="77"/>
      <c r="C2191" s="60"/>
      <c r="D2191" s="81"/>
      <c r="E2191" s="62"/>
      <c r="F2191" s="60"/>
      <c r="G2191" s="62"/>
      <c r="H2191" s="60"/>
    </row>
    <row r="2192" spans="1:8">
      <c r="A2192" s="60"/>
      <c r="B2192" s="77"/>
      <c r="C2192" s="60"/>
      <c r="D2192" s="81"/>
      <c r="E2192" s="62"/>
      <c r="F2192" s="60"/>
      <c r="G2192" s="62"/>
      <c r="H2192" s="60"/>
    </row>
    <row r="2193" spans="1:8">
      <c r="A2193" s="60"/>
      <c r="B2193" s="77"/>
      <c r="C2193" s="60"/>
      <c r="D2193" s="81"/>
      <c r="E2193" s="62"/>
      <c r="F2193" s="60"/>
      <c r="G2193" s="62"/>
      <c r="H2193" s="60"/>
    </row>
    <row r="2194" spans="1:8">
      <c r="A2194" s="60"/>
      <c r="B2194" s="77"/>
      <c r="C2194" s="60"/>
      <c r="D2194" s="81"/>
      <c r="E2194" s="62"/>
      <c r="F2194" s="60"/>
      <c r="G2194" s="62"/>
      <c r="H2194" s="60"/>
    </row>
    <row r="2195" spans="1:8">
      <c r="A2195" s="60"/>
      <c r="B2195" s="77"/>
      <c r="C2195" s="60"/>
      <c r="D2195" s="81"/>
      <c r="E2195" s="62"/>
      <c r="F2195" s="60"/>
      <c r="G2195" s="62"/>
      <c r="H2195" s="60"/>
    </row>
    <row r="2196" spans="1:8">
      <c r="A2196" s="60"/>
      <c r="B2196" s="77"/>
      <c r="C2196" s="60"/>
      <c r="D2196" s="81"/>
      <c r="E2196" s="62"/>
      <c r="F2196" s="60"/>
      <c r="G2196" s="62"/>
      <c r="H2196" s="60"/>
    </row>
    <row r="2197" spans="1:8">
      <c r="A2197" s="60"/>
      <c r="B2197" s="77"/>
      <c r="C2197" s="60"/>
      <c r="D2197" s="81"/>
      <c r="E2197" s="62"/>
      <c r="F2197" s="60"/>
      <c r="G2197" s="62"/>
      <c r="H2197" s="60"/>
    </row>
    <row r="2198" spans="1:8">
      <c r="A2198" s="60"/>
      <c r="B2198" s="77"/>
      <c r="C2198" s="60"/>
      <c r="D2198" s="81"/>
      <c r="E2198" s="62"/>
      <c r="F2198" s="60"/>
      <c r="G2198" s="62"/>
      <c r="H2198" s="60"/>
    </row>
    <row r="2199" spans="1:8">
      <c r="A2199" s="60"/>
      <c r="B2199" s="77"/>
      <c r="C2199" s="60"/>
      <c r="D2199" s="81"/>
      <c r="E2199" s="62"/>
      <c r="F2199" s="60"/>
      <c r="G2199" s="62"/>
      <c r="H2199" s="60"/>
    </row>
    <row r="2200" spans="1:8">
      <c r="A2200" s="60"/>
      <c r="B2200" s="77"/>
      <c r="C2200" s="60"/>
      <c r="D2200" s="81"/>
      <c r="E2200" s="62"/>
      <c r="F2200" s="60"/>
      <c r="G2200" s="62"/>
      <c r="H2200" s="60"/>
    </row>
    <row r="2201" spans="1:8">
      <c r="A2201" s="60"/>
      <c r="B2201" s="77"/>
      <c r="C2201" s="60"/>
      <c r="D2201" s="81"/>
      <c r="E2201" s="62"/>
      <c r="F2201" s="60"/>
      <c r="G2201" s="62"/>
      <c r="H2201" s="60"/>
    </row>
    <row r="2202" spans="1:8">
      <c r="A2202" s="60"/>
      <c r="B2202" s="77"/>
      <c r="C2202" s="60"/>
      <c r="D2202" s="81"/>
      <c r="E2202" s="62"/>
      <c r="F2202" s="60"/>
      <c r="G2202" s="62"/>
      <c r="H2202" s="60"/>
    </row>
    <row r="2203" spans="1:8">
      <c r="A2203" s="60"/>
      <c r="B2203" s="77"/>
      <c r="C2203" s="60"/>
      <c r="D2203" s="81"/>
      <c r="E2203" s="62"/>
      <c r="F2203" s="60"/>
      <c r="G2203" s="62"/>
      <c r="H2203" s="60"/>
    </row>
    <row r="2204" spans="1:8">
      <c r="A2204" s="60"/>
      <c r="B2204" s="77"/>
      <c r="C2204" s="60"/>
      <c r="D2204" s="81"/>
      <c r="E2204" s="62"/>
      <c r="F2204" s="60"/>
      <c r="G2204" s="62"/>
      <c r="H2204" s="60"/>
    </row>
    <row r="2205" spans="1:8">
      <c r="A2205" s="60"/>
      <c r="B2205" s="77"/>
      <c r="C2205" s="60"/>
      <c r="D2205" s="81"/>
      <c r="E2205" s="62"/>
      <c r="F2205" s="60"/>
      <c r="G2205" s="62"/>
      <c r="H2205" s="60"/>
    </row>
    <row r="2206" spans="1:8">
      <c r="A2206" s="60"/>
      <c r="B2206" s="77"/>
      <c r="C2206" s="60"/>
      <c r="D2206" s="81"/>
      <c r="E2206" s="62"/>
      <c r="F2206" s="60"/>
      <c r="G2206" s="62"/>
      <c r="H2206" s="60"/>
    </row>
    <row r="2207" spans="1:8">
      <c r="A2207" s="60"/>
      <c r="B2207" s="77"/>
      <c r="C2207" s="60"/>
      <c r="D2207" s="81"/>
      <c r="E2207" s="62"/>
      <c r="F2207" s="60"/>
      <c r="G2207" s="62"/>
      <c r="H2207" s="60"/>
    </row>
    <row r="2208" spans="1:8">
      <c r="A2208" s="60"/>
      <c r="B2208" s="77"/>
      <c r="C2208" s="60"/>
      <c r="D2208" s="81"/>
      <c r="E2208" s="62"/>
      <c r="F2208" s="60"/>
      <c r="G2208" s="62"/>
      <c r="H2208" s="60"/>
    </row>
    <row r="2209" spans="1:8">
      <c r="A2209" s="60"/>
      <c r="B2209" s="77"/>
      <c r="C2209" s="60"/>
      <c r="D2209" s="81"/>
      <c r="E2209" s="62"/>
      <c r="F2209" s="60"/>
      <c r="G2209" s="62"/>
      <c r="H2209" s="60"/>
    </row>
    <row r="2210" spans="1:8">
      <c r="A2210" s="60"/>
      <c r="B2210" s="77"/>
      <c r="C2210" s="60"/>
      <c r="D2210" s="81"/>
      <c r="E2210" s="62"/>
      <c r="F2210" s="60"/>
      <c r="G2210" s="62"/>
      <c r="H2210" s="60"/>
    </row>
    <row r="2211" spans="1:8">
      <c r="A2211" s="60"/>
      <c r="B2211" s="77"/>
      <c r="C2211" s="60"/>
      <c r="D2211" s="81"/>
      <c r="E2211" s="62"/>
      <c r="F2211" s="60"/>
      <c r="G2211" s="62"/>
      <c r="H2211" s="60"/>
    </row>
    <row r="2212" spans="1:8">
      <c r="A2212" s="60"/>
      <c r="B2212" s="77"/>
      <c r="C2212" s="60"/>
      <c r="D2212" s="81"/>
      <c r="E2212" s="62"/>
      <c r="F2212" s="60"/>
      <c r="G2212" s="62"/>
      <c r="H2212" s="60"/>
    </row>
    <row r="2213" spans="1:8">
      <c r="A2213" s="60"/>
      <c r="B2213" s="77"/>
      <c r="C2213" s="60"/>
      <c r="D2213" s="81"/>
      <c r="E2213" s="62"/>
      <c r="F2213" s="60"/>
      <c r="G2213" s="62"/>
      <c r="H2213" s="60"/>
    </row>
    <row r="2214" spans="1:8">
      <c r="A2214" s="60"/>
      <c r="B2214" s="77"/>
      <c r="C2214" s="60"/>
      <c r="D2214" s="81"/>
      <c r="E2214" s="62"/>
      <c r="F2214" s="60"/>
      <c r="G2214" s="62"/>
      <c r="H2214" s="60"/>
    </row>
    <row r="2215" spans="1:8">
      <c r="A2215" s="60"/>
      <c r="B2215" s="77"/>
      <c r="C2215" s="60"/>
      <c r="D2215" s="81"/>
      <c r="E2215" s="62"/>
      <c r="F2215" s="60"/>
      <c r="G2215" s="62"/>
      <c r="H2215" s="60"/>
    </row>
    <row r="2216" spans="1:8">
      <c r="A2216" s="60"/>
      <c r="B2216" s="77"/>
      <c r="C2216" s="60"/>
      <c r="D2216" s="81"/>
      <c r="E2216" s="62"/>
      <c r="F2216" s="60"/>
      <c r="G2216" s="62"/>
      <c r="H2216" s="60"/>
    </row>
    <row r="2217" spans="1:8">
      <c r="A2217" s="60"/>
      <c r="B2217" s="77"/>
      <c r="C2217" s="60"/>
      <c r="D2217" s="81"/>
      <c r="E2217" s="62"/>
      <c r="F2217" s="60"/>
      <c r="G2217" s="62"/>
      <c r="H2217" s="60"/>
    </row>
    <row r="2218" spans="1:8">
      <c r="A2218" s="60"/>
      <c r="B2218" s="77"/>
      <c r="C2218" s="60"/>
      <c r="D2218" s="81"/>
      <c r="E2218" s="62"/>
      <c r="F2218" s="60"/>
      <c r="G2218" s="62"/>
      <c r="H2218" s="60"/>
    </row>
    <row r="2219" spans="1:8">
      <c r="A2219" s="60"/>
      <c r="B2219" s="77"/>
      <c r="C2219" s="60"/>
      <c r="D2219" s="81"/>
      <c r="E2219" s="62"/>
      <c r="F2219" s="60"/>
      <c r="G2219" s="62"/>
      <c r="H2219" s="60"/>
    </row>
    <row r="2220" spans="1:8">
      <c r="A2220" s="60"/>
      <c r="B2220" s="77"/>
      <c r="C2220" s="60"/>
      <c r="D2220" s="81"/>
      <c r="E2220" s="62"/>
      <c r="F2220" s="60"/>
      <c r="G2220" s="62"/>
      <c r="H2220" s="60"/>
    </row>
    <row r="2221" spans="1:8">
      <c r="A2221" s="60"/>
      <c r="B2221" s="77"/>
      <c r="C2221" s="60"/>
      <c r="D2221" s="81"/>
      <c r="E2221" s="62"/>
      <c r="F2221" s="60"/>
      <c r="G2221" s="62"/>
      <c r="H2221" s="60"/>
    </row>
    <row r="2222" spans="1:8">
      <c r="A2222" s="60"/>
      <c r="B2222" s="77"/>
      <c r="C2222" s="60"/>
      <c r="D2222" s="81"/>
      <c r="E2222" s="62"/>
      <c r="F2222" s="60"/>
      <c r="G2222" s="62"/>
      <c r="H2222" s="60"/>
    </row>
    <row r="2223" spans="1:8">
      <c r="A2223" s="60"/>
      <c r="B2223" s="77"/>
      <c r="C2223" s="60"/>
      <c r="D2223" s="81"/>
      <c r="E2223" s="62"/>
      <c r="F2223" s="60"/>
      <c r="G2223" s="62"/>
      <c r="H2223" s="60"/>
    </row>
    <row r="2224" spans="1:8">
      <c r="A2224" s="60"/>
      <c r="B2224" s="77"/>
      <c r="C2224" s="60"/>
      <c r="D2224" s="81"/>
      <c r="E2224" s="62"/>
      <c r="F2224" s="60"/>
      <c r="G2224" s="62"/>
      <c r="H2224" s="60"/>
    </row>
    <row r="2225" spans="1:8">
      <c r="A2225" s="60"/>
      <c r="B2225" s="77"/>
      <c r="C2225" s="60"/>
      <c r="D2225" s="81"/>
      <c r="E2225" s="62"/>
      <c r="F2225" s="60"/>
      <c r="G2225" s="62"/>
      <c r="H2225" s="60"/>
    </row>
    <row r="2226" spans="1:8">
      <c r="A2226" s="60"/>
      <c r="B2226" s="77"/>
      <c r="C2226" s="60"/>
      <c r="D2226" s="81"/>
      <c r="E2226" s="62"/>
      <c r="F2226" s="60"/>
      <c r="G2226" s="62"/>
      <c r="H2226" s="60"/>
    </row>
    <row r="2227" spans="1:8">
      <c r="A2227" s="60"/>
      <c r="B2227" s="77"/>
      <c r="C2227" s="60"/>
      <c r="D2227" s="81"/>
      <c r="E2227" s="62"/>
      <c r="F2227" s="60"/>
      <c r="G2227" s="62"/>
      <c r="H2227" s="60"/>
    </row>
    <row r="2228" spans="1:8">
      <c r="A2228" s="60"/>
      <c r="B2228" s="77"/>
      <c r="C2228" s="60"/>
      <c r="D2228" s="81"/>
      <c r="E2228" s="62"/>
      <c r="F2228" s="60"/>
      <c r="G2228" s="62"/>
      <c r="H2228" s="60"/>
    </row>
    <row r="2229" spans="1:8">
      <c r="A2229" s="60"/>
      <c r="B2229" s="77"/>
      <c r="C2229" s="60"/>
      <c r="D2229" s="81"/>
      <c r="E2229" s="62"/>
      <c r="F2229" s="60"/>
      <c r="G2229" s="62"/>
      <c r="H2229" s="60"/>
    </row>
    <row r="2230" spans="1:8">
      <c r="A2230" s="60"/>
      <c r="B2230" s="77"/>
      <c r="C2230" s="60"/>
      <c r="D2230" s="81"/>
      <c r="E2230" s="62"/>
      <c r="F2230" s="60"/>
      <c r="G2230" s="62"/>
      <c r="H2230" s="60"/>
    </row>
    <row r="2231" spans="1:8">
      <c r="A2231" s="60"/>
      <c r="B2231" s="77"/>
      <c r="C2231" s="60"/>
      <c r="D2231" s="81"/>
      <c r="E2231" s="62"/>
      <c r="F2231" s="60"/>
      <c r="G2231" s="62"/>
      <c r="H2231" s="60"/>
    </row>
    <row r="2232" spans="1:8">
      <c r="A2232" s="60"/>
      <c r="B2232" s="77"/>
      <c r="C2232" s="60"/>
      <c r="D2232" s="81"/>
      <c r="E2232" s="62"/>
      <c r="F2232" s="60"/>
      <c r="G2232" s="62"/>
      <c r="H2232" s="60"/>
    </row>
    <row r="2233" spans="1:8">
      <c r="A2233" s="60"/>
      <c r="B2233" s="77"/>
      <c r="C2233" s="60"/>
      <c r="D2233" s="81"/>
      <c r="E2233" s="62"/>
      <c r="F2233" s="60"/>
      <c r="G2233" s="62"/>
      <c r="H2233" s="60"/>
    </row>
    <row r="2234" spans="1:8">
      <c r="A2234" s="60"/>
      <c r="B2234" s="77"/>
      <c r="C2234" s="60"/>
      <c r="D2234" s="81"/>
      <c r="E2234" s="62"/>
      <c r="F2234" s="60"/>
      <c r="G2234" s="62"/>
      <c r="H2234" s="60"/>
    </row>
    <row r="2235" spans="1:8">
      <c r="A2235" s="60"/>
      <c r="B2235" s="77"/>
      <c r="C2235" s="60"/>
      <c r="D2235" s="81"/>
      <c r="E2235" s="62"/>
      <c r="F2235" s="60"/>
      <c r="G2235" s="62"/>
      <c r="H2235" s="60"/>
    </row>
    <row r="2236" spans="1:8">
      <c r="A2236" s="60"/>
      <c r="B2236" s="77"/>
      <c r="C2236" s="60"/>
      <c r="D2236" s="81"/>
      <c r="E2236" s="62"/>
      <c r="F2236" s="60"/>
      <c r="G2236" s="62"/>
      <c r="H2236" s="60"/>
    </row>
    <row r="2237" spans="1:8">
      <c r="A2237" s="60"/>
      <c r="B2237" s="77"/>
      <c r="C2237" s="60"/>
      <c r="D2237" s="81"/>
      <c r="E2237" s="62"/>
      <c r="F2237" s="60"/>
      <c r="G2237" s="62"/>
      <c r="H2237" s="60"/>
    </row>
    <row r="2238" spans="1:8">
      <c r="A2238" s="60"/>
      <c r="B2238" s="77"/>
      <c r="C2238" s="60"/>
      <c r="D2238" s="81"/>
      <c r="E2238" s="62"/>
      <c r="F2238" s="60"/>
      <c r="G2238" s="62"/>
      <c r="H2238" s="60"/>
    </row>
    <row r="2239" spans="1:8">
      <c r="A2239" s="60"/>
      <c r="B2239" s="77"/>
      <c r="C2239" s="60"/>
      <c r="D2239" s="81"/>
      <c r="E2239" s="62"/>
      <c r="F2239" s="60"/>
      <c r="G2239" s="62"/>
      <c r="H2239" s="60"/>
    </row>
    <row r="2240" spans="1:8">
      <c r="A2240" s="60"/>
      <c r="B2240" s="77"/>
      <c r="C2240" s="60"/>
      <c r="D2240" s="81"/>
      <c r="E2240" s="62"/>
      <c r="F2240" s="60"/>
      <c r="G2240" s="62"/>
      <c r="H2240" s="60"/>
    </row>
    <row r="2241" spans="1:8">
      <c r="A2241" s="60"/>
      <c r="B2241" s="77"/>
      <c r="C2241" s="60"/>
      <c r="D2241" s="81"/>
      <c r="E2241" s="62"/>
      <c r="F2241" s="60"/>
      <c r="G2241" s="62"/>
      <c r="H2241" s="60"/>
    </row>
    <row r="2242" spans="1:8">
      <c r="A2242" s="60"/>
      <c r="B2242" s="77"/>
      <c r="C2242" s="60"/>
      <c r="D2242" s="81"/>
      <c r="E2242" s="62"/>
      <c r="F2242" s="60"/>
      <c r="G2242" s="62"/>
      <c r="H2242" s="60"/>
    </row>
    <row r="2243" spans="1:8">
      <c r="A2243" s="60"/>
      <c r="B2243" s="77"/>
      <c r="C2243" s="60"/>
      <c r="D2243" s="81"/>
      <c r="E2243" s="62"/>
      <c r="F2243" s="60"/>
      <c r="G2243" s="62"/>
      <c r="H2243" s="60"/>
    </row>
    <row r="2244" spans="1:8">
      <c r="A2244" s="60"/>
      <c r="B2244" s="77"/>
      <c r="C2244" s="60"/>
      <c r="D2244" s="81"/>
      <c r="E2244" s="62"/>
      <c r="F2244" s="60"/>
      <c r="G2244" s="62"/>
      <c r="H2244" s="60"/>
    </row>
    <row r="2245" spans="1:8">
      <c r="A2245" s="60"/>
      <c r="B2245" s="77"/>
      <c r="C2245" s="60"/>
      <c r="D2245" s="81"/>
      <c r="E2245" s="62"/>
      <c r="F2245" s="60"/>
      <c r="G2245" s="62"/>
      <c r="H2245" s="60"/>
    </row>
    <row r="2246" spans="1:8">
      <c r="A2246" s="60"/>
      <c r="B2246" s="77"/>
      <c r="C2246" s="60"/>
      <c r="D2246" s="81"/>
      <c r="E2246" s="62"/>
      <c r="F2246" s="60"/>
      <c r="G2246" s="62"/>
      <c r="H2246" s="60"/>
    </row>
    <row r="2247" spans="1:8">
      <c r="A2247" s="60"/>
      <c r="B2247" s="77"/>
      <c r="C2247" s="60"/>
      <c r="D2247" s="81"/>
      <c r="E2247" s="62"/>
      <c r="F2247" s="60"/>
      <c r="G2247" s="62"/>
      <c r="H2247" s="60"/>
    </row>
    <row r="2248" spans="1:8">
      <c r="A2248" s="60"/>
      <c r="B2248" s="77"/>
      <c r="C2248" s="60"/>
      <c r="D2248" s="81"/>
      <c r="E2248" s="62"/>
      <c r="F2248" s="60"/>
      <c r="G2248" s="62"/>
      <c r="H2248" s="60"/>
    </row>
    <row r="2249" spans="1:8">
      <c r="A2249" s="60"/>
      <c r="B2249" s="77"/>
      <c r="C2249" s="60"/>
      <c r="D2249" s="81"/>
      <c r="E2249" s="62"/>
      <c r="F2249" s="60"/>
      <c r="G2249" s="62"/>
      <c r="H2249" s="60"/>
    </row>
    <row r="2250" spans="1:8">
      <c r="A2250" s="60"/>
      <c r="B2250" s="77"/>
      <c r="C2250" s="60"/>
      <c r="D2250" s="81"/>
      <c r="E2250" s="62"/>
      <c r="F2250" s="60"/>
      <c r="G2250" s="62"/>
      <c r="H2250" s="60"/>
    </row>
    <row r="2251" spans="1:8">
      <c r="A2251" s="60"/>
      <c r="B2251" s="77"/>
      <c r="C2251" s="60"/>
      <c r="D2251" s="81"/>
      <c r="E2251" s="62"/>
      <c r="F2251" s="60"/>
      <c r="G2251" s="62"/>
      <c r="H2251" s="60"/>
    </row>
    <row r="2252" spans="1:8">
      <c r="A2252" s="60"/>
      <c r="B2252" s="77"/>
      <c r="C2252" s="60"/>
      <c r="D2252" s="81"/>
      <c r="E2252" s="62"/>
      <c r="F2252" s="60"/>
      <c r="G2252" s="62"/>
      <c r="H2252" s="60"/>
    </row>
    <row r="2253" spans="1:8">
      <c r="A2253" s="60"/>
      <c r="B2253" s="77"/>
      <c r="C2253" s="60"/>
      <c r="D2253" s="81"/>
      <c r="E2253" s="62"/>
      <c r="F2253" s="60"/>
      <c r="G2253" s="62"/>
      <c r="H2253" s="60"/>
    </row>
    <row r="2254" spans="1:8">
      <c r="A2254" s="60"/>
      <c r="B2254" s="77"/>
      <c r="C2254" s="60"/>
      <c r="D2254" s="81"/>
      <c r="E2254" s="62"/>
      <c r="F2254" s="60"/>
      <c r="G2254" s="62"/>
      <c r="H2254" s="60"/>
    </row>
    <row r="2255" spans="1:8">
      <c r="A2255" s="60"/>
      <c r="B2255" s="77"/>
      <c r="C2255" s="60"/>
      <c r="D2255" s="81"/>
      <c r="E2255" s="62"/>
      <c r="F2255" s="60"/>
      <c r="G2255" s="62"/>
      <c r="H2255" s="60"/>
    </row>
    <row r="2256" spans="1:8">
      <c r="A2256" s="60"/>
      <c r="B2256" s="77"/>
      <c r="C2256" s="60"/>
      <c r="D2256" s="81"/>
      <c r="E2256" s="62"/>
      <c r="F2256" s="60"/>
      <c r="G2256" s="62"/>
      <c r="H2256" s="60"/>
    </row>
    <row r="2257" spans="1:8">
      <c r="A2257" s="60"/>
      <c r="B2257" s="77"/>
      <c r="C2257" s="60"/>
      <c r="D2257" s="81"/>
      <c r="E2257" s="62"/>
      <c r="F2257" s="60"/>
      <c r="G2257" s="62"/>
      <c r="H2257" s="60"/>
    </row>
    <row r="2258" spans="1:8">
      <c r="A2258" s="60"/>
      <c r="B2258" s="77"/>
      <c r="C2258" s="60"/>
      <c r="D2258" s="81"/>
      <c r="E2258" s="62"/>
      <c r="F2258" s="60"/>
      <c r="G2258" s="62"/>
      <c r="H2258" s="60"/>
    </row>
    <row r="2259" spans="1:8">
      <c r="A2259" s="60"/>
      <c r="B2259" s="77"/>
      <c r="C2259" s="60"/>
      <c r="D2259" s="81"/>
      <c r="E2259" s="62"/>
      <c r="F2259" s="60"/>
      <c r="G2259" s="62"/>
      <c r="H2259" s="60"/>
    </row>
    <row r="2260" spans="1:8">
      <c r="A2260" s="60"/>
      <c r="B2260" s="77"/>
      <c r="C2260" s="60"/>
      <c r="D2260" s="81"/>
      <c r="E2260" s="62"/>
      <c r="F2260" s="60"/>
      <c r="G2260" s="62"/>
      <c r="H2260" s="60"/>
    </row>
    <row r="2261" spans="1:8">
      <c r="A2261" s="60"/>
      <c r="B2261" s="77"/>
      <c r="C2261" s="60"/>
      <c r="D2261" s="81"/>
      <c r="E2261" s="62"/>
      <c r="F2261" s="60"/>
      <c r="G2261" s="62"/>
      <c r="H2261" s="60"/>
    </row>
    <row r="2262" spans="1:8">
      <c r="A2262" s="60"/>
      <c r="B2262" s="77"/>
      <c r="C2262" s="60"/>
      <c r="D2262" s="81"/>
      <c r="E2262" s="62"/>
      <c r="F2262" s="60"/>
      <c r="G2262" s="62"/>
      <c r="H2262" s="60"/>
    </row>
    <row r="2263" spans="1:8">
      <c r="A2263" s="60"/>
      <c r="B2263" s="77"/>
      <c r="C2263" s="60"/>
      <c r="D2263" s="81"/>
      <c r="E2263" s="62"/>
      <c r="F2263" s="60"/>
      <c r="G2263" s="62"/>
      <c r="H2263" s="60"/>
    </row>
    <row r="2264" spans="1:8">
      <c r="A2264" s="60"/>
      <c r="B2264" s="77"/>
      <c r="C2264" s="60"/>
      <c r="D2264" s="81"/>
      <c r="E2264" s="62"/>
      <c r="F2264" s="60"/>
      <c r="G2264" s="62"/>
      <c r="H2264" s="60"/>
    </row>
    <row r="2265" spans="1:8">
      <c r="A2265" s="60"/>
      <c r="B2265" s="77"/>
      <c r="C2265" s="60"/>
      <c r="D2265" s="81"/>
      <c r="E2265" s="62"/>
      <c r="F2265" s="60"/>
      <c r="G2265" s="62"/>
      <c r="H2265" s="60"/>
    </row>
    <row r="2266" spans="1:8">
      <c r="A2266" s="60"/>
      <c r="B2266" s="77"/>
      <c r="C2266" s="60"/>
      <c r="D2266" s="81"/>
      <c r="E2266" s="62"/>
      <c r="F2266" s="60"/>
      <c r="G2266" s="62"/>
      <c r="H2266" s="60"/>
    </row>
    <row r="2267" spans="1:8">
      <c r="A2267" s="60"/>
      <c r="B2267" s="77"/>
      <c r="C2267" s="60"/>
      <c r="D2267" s="81"/>
      <c r="E2267" s="62"/>
      <c r="F2267" s="60"/>
      <c r="G2267" s="62"/>
      <c r="H2267" s="60"/>
    </row>
    <row r="2268" spans="1:8">
      <c r="A2268" s="60"/>
      <c r="B2268" s="77"/>
      <c r="C2268" s="60"/>
      <c r="D2268" s="81"/>
      <c r="E2268" s="62"/>
      <c r="F2268" s="60"/>
      <c r="G2268" s="62"/>
      <c r="H2268" s="60"/>
    </row>
    <row r="2269" spans="1:8">
      <c r="A2269" s="60"/>
      <c r="B2269" s="77"/>
      <c r="C2269" s="60"/>
      <c r="D2269" s="81"/>
      <c r="E2269" s="62"/>
      <c r="F2269" s="60"/>
      <c r="G2269" s="62"/>
      <c r="H2269" s="60"/>
    </row>
    <row r="2270" spans="1:8">
      <c r="A2270" s="60"/>
      <c r="B2270" s="77"/>
      <c r="C2270" s="60"/>
      <c r="D2270" s="81"/>
      <c r="E2270" s="62"/>
      <c r="F2270" s="60"/>
      <c r="G2270" s="62"/>
      <c r="H2270" s="60"/>
    </row>
    <row r="2271" spans="1:8">
      <c r="A2271" s="60"/>
      <c r="B2271" s="77"/>
      <c r="C2271" s="60"/>
      <c r="D2271" s="81"/>
      <c r="E2271" s="62"/>
      <c r="F2271" s="60"/>
      <c r="G2271" s="62"/>
      <c r="H2271" s="60"/>
    </row>
    <row r="2272" spans="1:8">
      <c r="A2272" s="60"/>
      <c r="B2272" s="77"/>
      <c r="C2272" s="60"/>
      <c r="D2272" s="81"/>
      <c r="E2272" s="62"/>
      <c r="F2272" s="60"/>
      <c r="G2272" s="62"/>
      <c r="H2272" s="60"/>
    </row>
    <row r="2273" spans="1:8">
      <c r="A2273" s="60"/>
      <c r="B2273" s="77"/>
      <c r="C2273" s="60"/>
      <c r="D2273" s="81"/>
      <c r="E2273" s="62"/>
      <c r="F2273" s="60"/>
      <c r="G2273" s="62"/>
      <c r="H2273" s="60"/>
    </row>
    <row r="2274" spans="1:8">
      <c r="A2274" s="60"/>
      <c r="B2274" s="77"/>
      <c r="C2274" s="60"/>
      <c r="D2274" s="81"/>
      <c r="E2274" s="62"/>
      <c r="F2274" s="60"/>
      <c r="G2274" s="62"/>
      <c r="H2274" s="60"/>
    </row>
    <row r="2275" spans="1:8">
      <c r="A2275" s="60"/>
      <c r="B2275" s="77"/>
      <c r="C2275" s="60"/>
      <c r="D2275" s="81"/>
      <c r="E2275" s="62"/>
      <c r="F2275" s="60"/>
      <c r="G2275" s="62"/>
      <c r="H2275" s="60"/>
    </row>
    <row r="2276" spans="1:8">
      <c r="A2276" s="60"/>
      <c r="B2276" s="77"/>
      <c r="C2276" s="60"/>
      <c r="D2276" s="81"/>
      <c r="E2276" s="62"/>
      <c r="F2276" s="60"/>
      <c r="G2276" s="62"/>
      <c r="H2276" s="60"/>
    </row>
    <row r="2277" spans="1:8">
      <c r="A2277" s="60"/>
      <c r="B2277" s="77"/>
      <c r="C2277" s="60"/>
      <c r="D2277" s="81"/>
      <c r="E2277" s="62"/>
      <c r="F2277" s="60"/>
      <c r="G2277" s="62"/>
      <c r="H2277" s="60"/>
    </row>
    <row r="2278" spans="1:8">
      <c r="A2278" s="60"/>
      <c r="B2278" s="77"/>
      <c r="C2278" s="60"/>
      <c r="D2278" s="81"/>
      <c r="E2278" s="62"/>
      <c r="F2278" s="60"/>
      <c r="G2278" s="62"/>
      <c r="H2278" s="60"/>
    </row>
    <row r="2279" spans="1:8">
      <c r="A2279" s="60"/>
      <c r="B2279" s="77"/>
      <c r="C2279" s="60"/>
      <c r="D2279" s="81"/>
      <c r="E2279" s="62"/>
      <c r="F2279" s="60"/>
      <c r="G2279" s="62"/>
      <c r="H2279" s="60"/>
    </row>
    <row r="2280" spans="1:8">
      <c r="A2280" s="60"/>
      <c r="B2280" s="77"/>
      <c r="C2280" s="60"/>
      <c r="D2280" s="81"/>
      <c r="E2280" s="62"/>
      <c r="F2280" s="60"/>
      <c r="G2280" s="62"/>
      <c r="H2280" s="60"/>
    </row>
    <row r="2281" spans="1:8">
      <c r="A2281" s="60"/>
      <c r="B2281" s="77"/>
      <c r="C2281" s="60"/>
      <c r="D2281" s="81"/>
      <c r="E2281" s="62"/>
      <c r="F2281" s="60"/>
      <c r="G2281" s="62"/>
      <c r="H2281" s="60"/>
    </row>
    <row r="2282" spans="1:8">
      <c r="A2282" s="60"/>
      <c r="B2282" s="77"/>
      <c r="C2282" s="60"/>
      <c r="D2282" s="81"/>
      <c r="E2282" s="62"/>
      <c r="F2282" s="60"/>
      <c r="G2282" s="62"/>
      <c r="H2282" s="60"/>
    </row>
    <row r="2283" spans="1:8">
      <c r="A2283" s="60"/>
      <c r="B2283" s="77"/>
      <c r="C2283" s="60"/>
      <c r="D2283" s="81"/>
      <c r="E2283" s="62"/>
      <c r="F2283" s="60"/>
      <c r="G2283" s="62"/>
      <c r="H2283" s="60"/>
    </row>
    <row r="2284" spans="1:8">
      <c r="A2284" s="60"/>
      <c r="B2284" s="77"/>
      <c r="C2284" s="60"/>
      <c r="D2284" s="81"/>
      <c r="E2284" s="62"/>
      <c r="F2284" s="60"/>
      <c r="G2284" s="62"/>
      <c r="H2284" s="60"/>
    </row>
    <row r="2285" spans="1:8">
      <c r="A2285" s="60"/>
      <c r="B2285" s="77"/>
      <c r="C2285" s="60"/>
      <c r="D2285" s="81"/>
      <c r="E2285" s="62"/>
      <c r="F2285" s="60"/>
      <c r="G2285" s="62"/>
      <c r="H2285" s="60"/>
    </row>
    <row r="2286" spans="1:8">
      <c r="A2286" s="60"/>
      <c r="B2286" s="77"/>
      <c r="C2286" s="60"/>
      <c r="D2286" s="81"/>
      <c r="E2286" s="62"/>
      <c r="F2286" s="60"/>
      <c r="G2286" s="62"/>
      <c r="H2286" s="60"/>
    </row>
    <row r="2287" spans="1:8">
      <c r="A2287" s="60"/>
      <c r="B2287" s="77"/>
      <c r="C2287" s="60"/>
      <c r="D2287" s="81"/>
      <c r="E2287" s="62"/>
      <c r="F2287" s="60"/>
      <c r="G2287" s="62"/>
      <c r="H2287" s="60"/>
    </row>
    <row r="2288" spans="1:8">
      <c r="A2288" s="60"/>
      <c r="B2288" s="77"/>
      <c r="C2288" s="60"/>
      <c r="D2288" s="81"/>
      <c r="E2288" s="62"/>
      <c r="F2288" s="60"/>
      <c r="G2288" s="62"/>
      <c r="H2288" s="60"/>
    </row>
    <row r="2289" spans="1:8">
      <c r="A2289" s="60"/>
      <c r="B2289" s="77"/>
      <c r="C2289" s="60"/>
      <c r="D2289" s="81"/>
      <c r="E2289" s="62"/>
      <c r="F2289" s="60"/>
      <c r="G2289" s="62"/>
      <c r="H2289" s="60"/>
    </row>
    <row r="2290" spans="1:8">
      <c r="A2290" s="60"/>
      <c r="B2290" s="77"/>
      <c r="C2290" s="60"/>
      <c r="D2290" s="81"/>
      <c r="E2290" s="62"/>
      <c r="F2290" s="60"/>
      <c r="G2290" s="62"/>
      <c r="H2290" s="60"/>
    </row>
    <row r="2291" spans="1:8">
      <c r="A2291" s="60"/>
      <c r="B2291" s="77"/>
      <c r="C2291" s="60"/>
      <c r="D2291" s="81"/>
      <c r="E2291" s="62"/>
      <c r="F2291" s="60"/>
      <c r="G2291" s="62"/>
      <c r="H2291" s="60"/>
    </row>
    <row r="2292" spans="1:8">
      <c r="A2292" s="60"/>
      <c r="B2292" s="77"/>
      <c r="C2292" s="60"/>
      <c r="D2292" s="81"/>
      <c r="E2292" s="62"/>
      <c r="F2292" s="60"/>
      <c r="G2292" s="62"/>
      <c r="H2292" s="60"/>
    </row>
    <row r="2293" spans="1:8">
      <c r="A2293" s="60"/>
      <c r="B2293" s="77"/>
      <c r="C2293" s="60"/>
      <c r="D2293" s="81"/>
      <c r="E2293" s="62"/>
      <c r="F2293" s="60"/>
      <c r="G2293" s="62"/>
      <c r="H2293" s="60"/>
    </row>
    <row r="2294" spans="1:8">
      <c r="A2294" s="60"/>
      <c r="B2294" s="77"/>
      <c r="C2294" s="60"/>
      <c r="D2294" s="81"/>
      <c r="E2294" s="62"/>
      <c r="F2294" s="60"/>
      <c r="G2294" s="62"/>
      <c r="H2294" s="60"/>
    </row>
    <row r="2295" spans="1:8">
      <c r="A2295" s="60"/>
      <c r="B2295" s="77"/>
      <c r="C2295" s="60"/>
      <c r="D2295" s="81"/>
      <c r="E2295" s="62"/>
      <c r="F2295" s="60"/>
      <c r="G2295" s="62"/>
      <c r="H2295" s="60"/>
    </row>
    <row r="2296" spans="1:8">
      <c r="A2296" s="60"/>
      <c r="B2296" s="77"/>
      <c r="C2296" s="60"/>
      <c r="D2296" s="81"/>
      <c r="E2296" s="62"/>
      <c r="F2296" s="60"/>
      <c r="G2296" s="62"/>
      <c r="H2296" s="60"/>
    </row>
    <row r="2297" spans="1:8">
      <c r="A2297" s="60"/>
      <c r="B2297" s="77"/>
      <c r="C2297" s="60"/>
      <c r="D2297" s="81"/>
      <c r="E2297" s="62"/>
      <c r="F2297" s="60"/>
      <c r="G2297" s="62"/>
      <c r="H2297" s="60"/>
    </row>
    <row r="2298" spans="1:8">
      <c r="A2298" s="60"/>
      <c r="B2298" s="77"/>
      <c r="C2298" s="60"/>
      <c r="D2298" s="81"/>
      <c r="E2298" s="62"/>
      <c r="F2298" s="60"/>
      <c r="G2298" s="62"/>
      <c r="H2298" s="60"/>
    </row>
    <row r="2299" spans="1:8">
      <c r="A2299" s="60"/>
      <c r="B2299" s="77"/>
      <c r="C2299" s="60"/>
      <c r="D2299" s="81"/>
      <c r="E2299" s="62"/>
      <c r="F2299" s="60"/>
      <c r="G2299" s="62"/>
      <c r="H2299" s="60"/>
    </row>
    <row r="2300" spans="1:8">
      <c r="A2300" s="60"/>
      <c r="B2300" s="77"/>
      <c r="C2300" s="60"/>
      <c r="D2300" s="81"/>
      <c r="E2300" s="62"/>
      <c r="F2300" s="60"/>
      <c r="G2300" s="62"/>
      <c r="H2300" s="60"/>
    </row>
    <row r="2301" spans="1:8">
      <c r="A2301" s="60"/>
      <c r="B2301" s="77"/>
      <c r="C2301" s="60"/>
      <c r="D2301" s="81"/>
      <c r="E2301" s="62"/>
      <c r="F2301" s="60"/>
      <c r="G2301" s="62"/>
      <c r="H2301" s="60"/>
    </row>
    <row r="2302" spans="1:8">
      <c r="A2302" s="60"/>
      <c r="B2302" s="77"/>
      <c r="C2302" s="60"/>
      <c r="D2302" s="81"/>
      <c r="E2302" s="62"/>
      <c r="F2302" s="60"/>
      <c r="G2302" s="62"/>
      <c r="H2302" s="60"/>
    </row>
    <row r="2303" spans="1:8">
      <c r="A2303" s="60"/>
      <c r="B2303" s="77"/>
      <c r="C2303" s="60"/>
      <c r="D2303" s="81"/>
      <c r="E2303" s="62"/>
      <c r="F2303" s="60"/>
      <c r="G2303" s="62"/>
      <c r="H2303" s="60"/>
    </row>
    <row r="2304" spans="1:8">
      <c r="A2304" s="60"/>
      <c r="B2304" s="77"/>
      <c r="C2304" s="60"/>
      <c r="D2304" s="81"/>
      <c r="E2304" s="62"/>
      <c r="F2304" s="60"/>
      <c r="G2304" s="62"/>
      <c r="H2304" s="60"/>
    </row>
    <row r="2305" spans="1:8">
      <c r="A2305" s="60"/>
      <c r="B2305" s="77"/>
      <c r="C2305" s="60"/>
      <c r="D2305" s="81"/>
      <c r="E2305" s="62"/>
      <c r="F2305" s="60"/>
      <c r="G2305" s="62"/>
      <c r="H2305" s="60"/>
    </row>
    <row r="2306" spans="1:8">
      <c r="A2306" s="60"/>
      <c r="B2306" s="77"/>
      <c r="C2306" s="60"/>
      <c r="D2306" s="81"/>
      <c r="E2306" s="62"/>
      <c r="F2306" s="60"/>
      <c r="G2306" s="62"/>
      <c r="H2306" s="60"/>
    </row>
    <row r="2307" spans="1:8">
      <c r="A2307" s="60"/>
      <c r="B2307" s="77"/>
      <c r="C2307" s="60"/>
      <c r="D2307" s="81"/>
      <c r="E2307" s="62"/>
      <c r="F2307" s="60"/>
      <c r="G2307" s="62"/>
      <c r="H2307" s="60"/>
    </row>
    <row r="2308" spans="1:8">
      <c r="A2308" s="60"/>
      <c r="B2308" s="77"/>
      <c r="C2308" s="60"/>
      <c r="D2308" s="81"/>
      <c r="E2308" s="62"/>
      <c r="F2308" s="60"/>
      <c r="G2308" s="62"/>
      <c r="H2308" s="60"/>
    </row>
    <row r="2309" spans="1:8">
      <c r="A2309" s="60"/>
      <c r="B2309" s="77"/>
      <c r="C2309" s="60"/>
      <c r="D2309" s="81"/>
      <c r="E2309" s="62"/>
      <c r="F2309" s="60"/>
      <c r="G2309" s="62"/>
      <c r="H2309" s="60"/>
    </row>
    <row r="2310" spans="1:8">
      <c r="A2310" s="60"/>
      <c r="B2310" s="77"/>
      <c r="C2310" s="60"/>
      <c r="D2310" s="81"/>
      <c r="E2310" s="62"/>
      <c r="F2310" s="60"/>
      <c r="G2310" s="62"/>
      <c r="H2310" s="60"/>
    </row>
    <row r="2311" spans="1:8">
      <c r="A2311" s="60"/>
      <c r="B2311" s="77"/>
      <c r="C2311" s="60"/>
      <c r="D2311" s="81"/>
      <c r="E2311" s="62"/>
      <c r="F2311" s="60"/>
      <c r="G2311" s="62"/>
      <c r="H2311" s="60"/>
    </row>
    <row r="2312" spans="1:8">
      <c r="A2312" s="60"/>
      <c r="B2312" s="77"/>
      <c r="C2312" s="60"/>
      <c r="D2312" s="81"/>
      <c r="E2312" s="62"/>
      <c r="F2312" s="60"/>
      <c r="G2312" s="62"/>
      <c r="H2312" s="60"/>
    </row>
    <row r="2313" spans="1:8">
      <c r="A2313" s="60"/>
      <c r="B2313" s="77"/>
      <c r="C2313" s="60"/>
      <c r="D2313" s="81"/>
      <c r="E2313" s="62"/>
      <c r="F2313" s="60"/>
      <c r="G2313" s="62"/>
      <c r="H2313" s="60"/>
    </row>
    <row r="2314" spans="1:8">
      <c r="A2314" s="60"/>
      <c r="B2314" s="77"/>
      <c r="C2314" s="60"/>
      <c r="D2314" s="81"/>
      <c r="E2314" s="62"/>
      <c r="F2314" s="60"/>
      <c r="G2314" s="62"/>
      <c r="H2314" s="60"/>
    </row>
    <row r="2315" spans="1:8">
      <c r="A2315" s="60"/>
      <c r="B2315" s="77"/>
      <c r="C2315" s="60"/>
      <c r="D2315" s="81"/>
      <c r="E2315" s="62"/>
      <c r="F2315" s="60"/>
      <c r="G2315" s="62"/>
      <c r="H2315" s="60"/>
    </row>
    <row r="2316" spans="1:8">
      <c r="A2316" s="60"/>
      <c r="B2316" s="77"/>
      <c r="C2316" s="60"/>
      <c r="D2316" s="81"/>
      <c r="E2316" s="62"/>
      <c r="F2316" s="60"/>
      <c r="G2316" s="62"/>
      <c r="H2316" s="60"/>
    </row>
    <row r="2317" spans="1:8">
      <c r="A2317" s="60"/>
      <c r="B2317" s="77"/>
      <c r="C2317" s="60"/>
      <c r="D2317" s="81"/>
      <c r="E2317" s="62"/>
      <c r="F2317" s="60"/>
      <c r="G2317" s="62"/>
      <c r="H2317" s="60"/>
    </row>
    <row r="2318" spans="1:8">
      <c r="A2318" s="60"/>
      <c r="B2318" s="77"/>
      <c r="C2318" s="60"/>
      <c r="D2318" s="81"/>
      <c r="E2318" s="62"/>
      <c r="F2318" s="60"/>
      <c r="G2318" s="62"/>
      <c r="H2318" s="60"/>
    </row>
    <row r="2319" spans="1:8">
      <c r="A2319" s="60"/>
      <c r="B2319" s="77"/>
      <c r="C2319" s="60"/>
      <c r="D2319" s="81"/>
      <c r="E2319" s="62"/>
      <c r="F2319" s="60"/>
      <c r="G2319" s="62"/>
      <c r="H2319" s="60"/>
    </row>
    <row r="2320" spans="1:8">
      <c r="A2320" s="60"/>
      <c r="B2320" s="77"/>
      <c r="C2320" s="60"/>
      <c r="D2320" s="81"/>
      <c r="E2320" s="62"/>
      <c r="F2320" s="60"/>
      <c r="G2320" s="62"/>
      <c r="H2320" s="60"/>
    </row>
    <row r="2321" spans="1:8">
      <c r="A2321" s="60"/>
      <c r="B2321" s="77"/>
      <c r="C2321" s="60"/>
      <c r="D2321" s="81"/>
      <c r="E2321" s="62"/>
      <c r="F2321" s="60"/>
      <c r="G2321" s="62"/>
      <c r="H2321" s="60"/>
    </row>
    <row r="2322" spans="1:8">
      <c r="A2322" s="60"/>
      <c r="B2322" s="77"/>
      <c r="C2322" s="60"/>
      <c r="D2322" s="81"/>
      <c r="E2322" s="62"/>
      <c r="F2322" s="60"/>
      <c r="G2322" s="62"/>
      <c r="H2322" s="60"/>
    </row>
    <row r="2323" spans="1:8">
      <c r="A2323" s="60"/>
      <c r="B2323" s="77"/>
      <c r="C2323" s="60"/>
      <c r="D2323" s="81"/>
      <c r="E2323" s="62"/>
      <c r="F2323" s="60"/>
      <c r="G2323" s="62"/>
      <c r="H2323" s="60"/>
    </row>
    <row r="2324" spans="1:8">
      <c r="A2324" s="60"/>
      <c r="B2324" s="77"/>
      <c r="C2324" s="60"/>
      <c r="D2324" s="81"/>
      <c r="E2324" s="62"/>
      <c r="F2324" s="60"/>
      <c r="G2324" s="62"/>
      <c r="H2324" s="60"/>
    </row>
    <row r="2325" spans="1:8">
      <c r="A2325" s="60"/>
      <c r="B2325" s="77"/>
      <c r="C2325" s="60"/>
      <c r="D2325" s="81"/>
      <c r="E2325" s="62"/>
      <c r="F2325" s="60"/>
      <c r="G2325" s="62"/>
      <c r="H2325" s="60"/>
    </row>
    <row r="2326" spans="1:8">
      <c r="A2326" s="60"/>
      <c r="B2326" s="77"/>
      <c r="C2326" s="60"/>
      <c r="D2326" s="81"/>
      <c r="E2326" s="62"/>
      <c r="F2326" s="60"/>
      <c r="G2326" s="62"/>
      <c r="H2326" s="60"/>
    </row>
    <row r="2327" spans="1:8">
      <c r="A2327" s="60"/>
      <c r="B2327" s="77"/>
      <c r="C2327" s="60"/>
      <c r="D2327" s="81"/>
      <c r="E2327" s="62"/>
      <c r="F2327" s="60"/>
      <c r="G2327" s="62"/>
      <c r="H2327" s="60"/>
    </row>
    <row r="2328" spans="1:8">
      <c r="A2328" s="60"/>
      <c r="B2328" s="77"/>
      <c r="C2328" s="60"/>
      <c r="D2328" s="81"/>
      <c r="E2328" s="62"/>
      <c r="F2328" s="60"/>
      <c r="G2328" s="62"/>
      <c r="H2328" s="60"/>
    </row>
    <row r="2329" spans="1:8">
      <c r="A2329" s="60"/>
      <c r="B2329" s="77"/>
      <c r="C2329" s="60"/>
      <c r="D2329" s="81"/>
      <c r="E2329" s="62"/>
      <c r="F2329" s="60"/>
      <c r="G2329" s="62"/>
      <c r="H2329" s="60"/>
    </row>
    <row r="2330" spans="1:8">
      <c r="A2330" s="60"/>
      <c r="B2330" s="77"/>
      <c r="C2330" s="60"/>
      <c r="D2330" s="81"/>
      <c r="E2330" s="62"/>
      <c r="F2330" s="60"/>
      <c r="G2330" s="62"/>
      <c r="H2330" s="60"/>
    </row>
    <row r="2331" spans="1:8">
      <c r="A2331" s="60"/>
      <c r="B2331" s="77"/>
      <c r="C2331" s="60"/>
      <c r="D2331" s="81"/>
      <c r="E2331" s="62"/>
      <c r="F2331" s="60"/>
      <c r="G2331" s="62"/>
      <c r="H2331" s="60"/>
    </row>
    <row r="2332" spans="1:8">
      <c r="A2332" s="60"/>
      <c r="B2332" s="77"/>
      <c r="C2332" s="60"/>
      <c r="D2332" s="81"/>
      <c r="E2332" s="62"/>
      <c r="F2332" s="60"/>
      <c r="G2332" s="62"/>
      <c r="H2332" s="60"/>
    </row>
    <row r="2333" spans="1:8">
      <c r="A2333" s="60"/>
      <c r="B2333" s="77"/>
      <c r="C2333" s="60"/>
      <c r="D2333" s="81"/>
      <c r="E2333" s="62"/>
      <c r="F2333" s="60"/>
      <c r="G2333" s="62"/>
      <c r="H2333" s="60"/>
    </row>
    <row r="2334" spans="1:8">
      <c r="A2334" s="60"/>
      <c r="B2334" s="77"/>
      <c r="C2334" s="60"/>
      <c r="D2334" s="81"/>
      <c r="E2334" s="62"/>
      <c r="F2334" s="60"/>
      <c r="G2334" s="62"/>
      <c r="H2334" s="60"/>
    </row>
    <row r="2335" spans="1:8">
      <c r="A2335" s="60"/>
      <c r="B2335" s="77"/>
      <c r="C2335" s="60"/>
      <c r="D2335" s="81"/>
      <c r="E2335" s="62"/>
      <c r="F2335" s="60"/>
      <c r="G2335" s="62"/>
      <c r="H2335" s="60"/>
    </row>
    <row r="2336" spans="1:8">
      <c r="A2336" s="60"/>
      <c r="B2336" s="77"/>
      <c r="C2336" s="60"/>
      <c r="D2336" s="81"/>
      <c r="E2336" s="62"/>
      <c r="F2336" s="60"/>
      <c r="G2336" s="62"/>
      <c r="H2336" s="60"/>
    </row>
    <row r="2337" spans="1:8">
      <c r="A2337" s="60"/>
      <c r="B2337" s="77"/>
      <c r="C2337" s="60"/>
      <c r="D2337" s="81"/>
      <c r="E2337" s="62"/>
      <c r="F2337" s="60"/>
      <c r="G2337" s="62"/>
      <c r="H2337" s="60"/>
    </row>
    <row r="2338" spans="1:8">
      <c r="A2338" s="60"/>
      <c r="B2338" s="77"/>
      <c r="C2338" s="60"/>
      <c r="D2338" s="81"/>
      <c r="E2338" s="62"/>
      <c r="F2338" s="60"/>
      <c r="G2338" s="62"/>
      <c r="H2338" s="60"/>
    </row>
    <row r="2339" spans="1:8">
      <c r="A2339" s="60"/>
      <c r="B2339" s="77"/>
      <c r="C2339" s="60"/>
      <c r="D2339" s="81"/>
      <c r="E2339" s="62"/>
      <c r="F2339" s="60"/>
      <c r="G2339" s="62"/>
      <c r="H2339" s="60"/>
    </row>
    <row r="2340" spans="1:8">
      <c r="A2340" s="60"/>
      <c r="B2340" s="77"/>
      <c r="C2340" s="60"/>
      <c r="D2340" s="81"/>
      <c r="E2340" s="62"/>
      <c r="F2340" s="60"/>
      <c r="G2340" s="62"/>
      <c r="H2340" s="60"/>
    </row>
    <row r="2341" spans="1:8">
      <c r="A2341" s="60"/>
      <c r="B2341" s="77"/>
      <c r="C2341" s="60"/>
      <c r="D2341" s="81"/>
      <c r="E2341" s="62"/>
      <c r="F2341" s="60"/>
      <c r="G2341" s="62"/>
      <c r="H2341" s="60"/>
    </row>
    <row r="2342" spans="1:8">
      <c r="A2342" s="60"/>
      <c r="B2342" s="77"/>
      <c r="C2342" s="60"/>
      <c r="D2342" s="81"/>
      <c r="E2342" s="62"/>
      <c r="F2342" s="60"/>
      <c r="G2342" s="62"/>
      <c r="H2342" s="60"/>
    </row>
    <row r="2343" spans="1:8">
      <c r="A2343" s="60"/>
      <c r="B2343" s="77"/>
      <c r="C2343" s="60"/>
      <c r="D2343" s="81"/>
      <c r="E2343" s="62"/>
      <c r="F2343" s="60"/>
      <c r="G2343" s="62"/>
      <c r="H2343" s="60"/>
    </row>
    <row r="2344" spans="1:8">
      <c r="A2344" s="60"/>
      <c r="B2344" s="77"/>
      <c r="C2344" s="60"/>
      <c r="D2344" s="81"/>
      <c r="E2344" s="62"/>
      <c r="F2344" s="60"/>
      <c r="G2344" s="62"/>
      <c r="H2344" s="60"/>
    </row>
    <row r="2345" spans="1:8">
      <c r="A2345" s="60"/>
      <c r="B2345" s="77"/>
      <c r="C2345" s="60"/>
      <c r="D2345" s="81"/>
      <c r="E2345" s="62"/>
      <c r="F2345" s="60"/>
      <c r="G2345" s="62"/>
      <c r="H2345" s="60"/>
    </row>
    <row r="2346" spans="1:8">
      <c r="A2346" s="60"/>
      <c r="B2346" s="77"/>
      <c r="C2346" s="60"/>
      <c r="D2346" s="81"/>
      <c r="E2346" s="62"/>
      <c r="F2346" s="60"/>
      <c r="G2346" s="62"/>
      <c r="H2346" s="60"/>
    </row>
    <row r="2347" spans="1:8">
      <c r="A2347" s="60"/>
      <c r="B2347" s="77"/>
      <c r="C2347" s="60"/>
      <c r="D2347" s="81"/>
      <c r="E2347" s="62"/>
      <c r="F2347" s="60"/>
      <c r="G2347" s="62"/>
      <c r="H2347" s="60"/>
    </row>
    <row r="2348" spans="1:8">
      <c r="A2348" s="60"/>
      <c r="B2348" s="77"/>
      <c r="C2348" s="60"/>
      <c r="D2348" s="81"/>
      <c r="E2348" s="62"/>
      <c r="F2348" s="60"/>
      <c r="G2348" s="62"/>
      <c r="H2348" s="60"/>
    </row>
    <row r="2349" spans="1:8">
      <c r="A2349" s="60"/>
      <c r="B2349" s="77"/>
      <c r="C2349" s="60"/>
      <c r="D2349" s="81"/>
      <c r="E2349" s="62"/>
      <c r="F2349" s="60"/>
      <c r="G2349" s="62"/>
      <c r="H2349" s="60"/>
    </row>
    <row r="2350" spans="1:8">
      <c r="A2350" s="60"/>
      <c r="B2350" s="77"/>
      <c r="C2350" s="60"/>
      <c r="D2350" s="81"/>
      <c r="E2350" s="62"/>
      <c r="F2350" s="60"/>
      <c r="G2350" s="62"/>
      <c r="H2350" s="60"/>
    </row>
    <row r="2351" spans="1:8">
      <c r="A2351" s="60"/>
      <c r="B2351" s="77"/>
      <c r="C2351" s="60"/>
      <c r="D2351" s="81"/>
      <c r="E2351" s="62"/>
      <c r="F2351" s="60"/>
      <c r="G2351" s="62"/>
      <c r="H2351" s="60"/>
    </row>
    <row r="2352" spans="1:8">
      <c r="A2352" s="60"/>
      <c r="B2352" s="77"/>
      <c r="C2352" s="60"/>
      <c r="D2352" s="81"/>
      <c r="E2352" s="62"/>
      <c r="F2352" s="60"/>
      <c r="G2352" s="62"/>
      <c r="H2352" s="60"/>
    </row>
    <row r="2353" spans="1:8">
      <c r="A2353" s="60"/>
      <c r="B2353" s="77"/>
      <c r="C2353" s="60"/>
      <c r="D2353" s="81"/>
      <c r="E2353" s="62"/>
      <c r="F2353" s="60"/>
      <c r="G2353" s="62"/>
      <c r="H2353" s="60"/>
    </row>
    <row r="2354" spans="1:8">
      <c r="A2354" s="60"/>
      <c r="B2354" s="77"/>
      <c r="C2354" s="60"/>
      <c r="D2354" s="81"/>
      <c r="E2354" s="62"/>
      <c r="F2354" s="60"/>
      <c r="G2354" s="62"/>
      <c r="H2354" s="60"/>
    </row>
    <row r="2355" spans="1:8">
      <c r="A2355" s="60"/>
      <c r="B2355" s="77"/>
      <c r="C2355" s="60"/>
      <c r="D2355" s="81"/>
      <c r="E2355" s="62"/>
      <c r="F2355" s="60"/>
      <c r="G2355" s="62"/>
      <c r="H2355" s="60"/>
    </row>
    <row r="2356" spans="1:8">
      <c r="A2356" s="60"/>
      <c r="B2356" s="77"/>
      <c r="C2356" s="60"/>
      <c r="D2356" s="81"/>
      <c r="E2356" s="62"/>
      <c r="F2356" s="60"/>
      <c r="G2356" s="62"/>
      <c r="H2356" s="60"/>
    </row>
    <row r="2357" spans="1:8">
      <c r="A2357" s="60"/>
      <c r="B2357" s="77"/>
      <c r="C2357" s="60"/>
      <c r="D2357" s="81"/>
      <c r="E2357" s="62"/>
      <c r="F2357" s="60"/>
      <c r="G2357" s="62"/>
      <c r="H2357" s="60"/>
    </row>
    <row r="2358" spans="1:8">
      <c r="A2358" s="60"/>
      <c r="B2358" s="77"/>
      <c r="C2358" s="60"/>
      <c r="D2358" s="81"/>
      <c r="E2358" s="62"/>
      <c r="F2358" s="60"/>
      <c r="G2358" s="62"/>
      <c r="H2358" s="60"/>
    </row>
    <row r="2359" spans="1:8">
      <c r="A2359" s="60"/>
      <c r="B2359" s="77"/>
      <c r="C2359" s="60"/>
      <c r="D2359" s="81"/>
      <c r="E2359" s="62"/>
      <c r="F2359" s="60"/>
      <c r="G2359" s="62"/>
      <c r="H2359" s="60"/>
    </row>
    <row r="2360" spans="1:8">
      <c r="A2360" s="60"/>
      <c r="B2360" s="77"/>
      <c r="C2360" s="60"/>
      <c r="D2360" s="81"/>
      <c r="E2360" s="62"/>
      <c r="F2360" s="60"/>
      <c r="G2360" s="62"/>
      <c r="H2360" s="60"/>
    </row>
    <row r="2361" spans="1:8">
      <c r="A2361" s="60"/>
      <c r="B2361" s="77"/>
      <c r="C2361" s="60"/>
      <c r="D2361" s="81"/>
      <c r="E2361" s="62"/>
      <c r="F2361" s="60"/>
      <c r="G2361" s="62"/>
      <c r="H2361" s="60"/>
    </row>
    <row r="2362" spans="1:8">
      <c r="A2362" s="60"/>
      <c r="B2362" s="77"/>
      <c r="C2362" s="60"/>
      <c r="D2362" s="81"/>
      <c r="E2362" s="62"/>
      <c r="F2362" s="60"/>
      <c r="G2362" s="62"/>
      <c r="H2362" s="60"/>
    </row>
    <row r="2363" spans="1:8">
      <c r="A2363" s="60"/>
      <c r="B2363" s="77"/>
      <c r="C2363" s="60"/>
      <c r="D2363" s="81"/>
      <c r="E2363" s="62"/>
      <c r="F2363" s="60"/>
      <c r="G2363" s="62"/>
      <c r="H2363" s="60"/>
    </row>
    <row r="2364" spans="1:8">
      <c r="A2364" s="60"/>
      <c r="B2364" s="77"/>
      <c r="C2364" s="60"/>
      <c r="D2364" s="81"/>
      <c r="E2364" s="62"/>
      <c r="F2364" s="60"/>
      <c r="G2364" s="62"/>
      <c r="H2364" s="60"/>
    </row>
    <row r="2365" spans="1:8">
      <c r="A2365" s="60"/>
      <c r="B2365" s="77"/>
      <c r="C2365" s="60"/>
      <c r="D2365" s="81"/>
      <c r="E2365" s="62"/>
      <c r="F2365" s="60"/>
      <c r="G2365" s="62"/>
      <c r="H2365" s="60"/>
    </row>
    <row r="2366" spans="1:8">
      <c r="A2366" s="60"/>
      <c r="B2366" s="77"/>
      <c r="C2366" s="60"/>
      <c r="D2366" s="81"/>
      <c r="E2366" s="62"/>
      <c r="F2366" s="60"/>
      <c r="G2366" s="62"/>
      <c r="H2366" s="60"/>
    </row>
    <row r="2367" spans="1:8">
      <c r="A2367" s="60"/>
      <c r="B2367" s="77"/>
      <c r="C2367" s="60"/>
      <c r="D2367" s="81"/>
      <c r="E2367" s="62"/>
      <c r="F2367" s="60"/>
      <c r="G2367" s="62"/>
      <c r="H2367" s="60"/>
    </row>
    <row r="2368" spans="1:8">
      <c r="A2368" s="60"/>
      <c r="B2368" s="77"/>
      <c r="C2368" s="60"/>
      <c r="D2368" s="81"/>
      <c r="E2368" s="62"/>
      <c r="F2368" s="60"/>
      <c r="G2368" s="62"/>
      <c r="H2368" s="60"/>
    </row>
    <row r="2369" spans="1:8">
      <c r="A2369" s="60"/>
      <c r="B2369" s="77"/>
      <c r="C2369" s="60"/>
      <c r="D2369" s="81"/>
      <c r="E2369" s="62"/>
      <c r="F2369" s="60"/>
      <c r="G2369" s="62"/>
      <c r="H2369" s="60"/>
    </row>
    <row r="2370" spans="1:8">
      <c r="A2370" s="60"/>
      <c r="B2370" s="77"/>
      <c r="C2370" s="60"/>
      <c r="D2370" s="81"/>
      <c r="E2370" s="62"/>
      <c r="F2370" s="60"/>
      <c r="G2370" s="62"/>
      <c r="H2370" s="60"/>
    </row>
    <row r="2371" spans="1:8">
      <c r="A2371" s="60"/>
      <c r="B2371" s="77"/>
      <c r="C2371" s="60"/>
      <c r="D2371" s="81"/>
      <c r="E2371" s="62"/>
      <c r="F2371" s="60"/>
      <c r="G2371" s="62"/>
      <c r="H2371" s="60"/>
    </row>
    <row r="2372" spans="1:8">
      <c r="A2372" s="60"/>
      <c r="B2372" s="77"/>
      <c r="C2372" s="60"/>
      <c r="D2372" s="81"/>
      <c r="E2372" s="62"/>
      <c r="F2372" s="60"/>
      <c r="G2372" s="62"/>
      <c r="H2372" s="60"/>
    </row>
    <row r="2373" spans="1:8">
      <c r="A2373" s="60"/>
      <c r="B2373" s="77"/>
      <c r="C2373" s="60"/>
      <c r="D2373" s="81"/>
      <c r="E2373" s="62"/>
      <c r="F2373" s="60"/>
      <c r="G2373" s="62"/>
      <c r="H2373" s="60"/>
    </row>
    <row r="2374" spans="1:8">
      <c r="A2374" s="60"/>
      <c r="B2374" s="77"/>
      <c r="C2374" s="60"/>
      <c r="D2374" s="81"/>
      <c r="E2374" s="62"/>
      <c r="F2374" s="60"/>
      <c r="G2374" s="62"/>
      <c r="H2374" s="60"/>
    </row>
    <row r="2375" spans="1:8">
      <c r="A2375" s="60"/>
      <c r="B2375" s="77"/>
      <c r="C2375" s="60"/>
      <c r="D2375" s="81"/>
      <c r="E2375" s="62"/>
      <c r="F2375" s="60"/>
      <c r="G2375" s="62"/>
      <c r="H2375" s="60"/>
    </row>
    <row r="2376" spans="1:8">
      <c r="A2376" s="60"/>
      <c r="B2376" s="77"/>
      <c r="C2376" s="60"/>
      <c r="D2376" s="81"/>
      <c r="E2376" s="62"/>
      <c r="F2376" s="60"/>
      <c r="G2376" s="62"/>
      <c r="H2376" s="60"/>
    </row>
    <row r="2377" spans="1:8">
      <c r="A2377" s="60"/>
      <c r="B2377" s="77"/>
      <c r="C2377" s="60"/>
      <c r="D2377" s="81"/>
      <c r="E2377" s="62"/>
      <c r="F2377" s="60"/>
      <c r="G2377" s="62"/>
      <c r="H2377" s="60"/>
    </row>
    <row r="2378" spans="1:8">
      <c r="A2378" s="60"/>
      <c r="B2378" s="77"/>
      <c r="C2378" s="60"/>
      <c r="D2378" s="81"/>
      <c r="E2378" s="62"/>
      <c r="F2378" s="60"/>
      <c r="G2378" s="62"/>
      <c r="H2378" s="60"/>
    </row>
    <row r="2379" spans="1:8">
      <c r="A2379" s="60"/>
      <c r="B2379" s="77"/>
      <c r="C2379" s="60"/>
      <c r="D2379" s="81"/>
      <c r="E2379" s="62"/>
      <c r="F2379" s="60"/>
      <c r="G2379" s="62"/>
      <c r="H2379" s="60"/>
    </row>
    <row r="2380" spans="1:8">
      <c r="A2380" s="60"/>
      <c r="B2380" s="77"/>
      <c r="C2380" s="60"/>
      <c r="D2380" s="81"/>
      <c r="E2380" s="62"/>
      <c r="F2380" s="60"/>
      <c r="G2380" s="62"/>
      <c r="H2380" s="60"/>
    </row>
    <row r="2381" spans="1:8">
      <c r="A2381" s="60"/>
      <c r="B2381" s="77"/>
      <c r="C2381" s="60"/>
      <c r="D2381" s="81"/>
      <c r="E2381" s="62"/>
      <c r="F2381" s="60"/>
      <c r="G2381" s="62"/>
      <c r="H2381" s="60"/>
    </row>
    <row r="2382" spans="1:8">
      <c r="A2382" s="60"/>
      <c r="B2382" s="77"/>
      <c r="C2382" s="60"/>
      <c r="D2382" s="81"/>
      <c r="E2382" s="62"/>
      <c r="F2382" s="60"/>
      <c r="G2382" s="62"/>
      <c r="H2382" s="60"/>
    </row>
    <row r="2383" spans="1:8">
      <c r="A2383" s="60"/>
      <c r="B2383" s="77"/>
      <c r="C2383" s="60"/>
      <c r="D2383" s="81"/>
      <c r="E2383" s="62"/>
      <c r="F2383" s="60"/>
      <c r="G2383" s="62"/>
      <c r="H2383" s="60"/>
    </row>
    <row r="2384" spans="1:8">
      <c r="A2384" s="60"/>
      <c r="B2384" s="77"/>
      <c r="C2384" s="60"/>
      <c r="D2384" s="81"/>
      <c r="E2384" s="62"/>
      <c r="F2384" s="60"/>
      <c r="G2384" s="62"/>
      <c r="H2384" s="60"/>
    </row>
    <row r="2385" spans="1:8">
      <c r="A2385" s="60"/>
      <c r="B2385" s="77"/>
      <c r="C2385" s="60"/>
      <c r="D2385" s="81"/>
      <c r="E2385" s="62"/>
      <c r="F2385" s="60"/>
      <c r="G2385" s="62"/>
      <c r="H2385" s="60"/>
    </row>
    <row r="2386" spans="1:8">
      <c r="A2386" s="60"/>
      <c r="B2386" s="77"/>
      <c r="C2386" s="60"/>
      <c r="D2386" s="81"/>
      <c r="E2386" s="62"/>
      <c r="F2386" s="60"/>
      <c r="G2386" s="62"/>
      <c r="H2386" s="60"/>
    </row>
    <row r="2387" spans="1:8">
      <c r="A2387" s="60"/>
      <c r="B2387" s="77"/>
      <c r="C2387" s="60"/>
      <c r="D2387" s="81"/>
      <c r="E2387" s="62"/>
      <c r="F2387" s="60"/>
      <c r="G2387" s="62"/>
      <c r="H2387" s="60"/>
    </row>
    <row r="2388" spans="1:8">
      <c r="A2388" s="60"/>
      <c r="B2388" s="77"/>
      <c r="C2388" s="60"/>
      <c r="D2388" s="81"/>
      <c r="E2388" s="62"/>
      <c r="F2388" s="60"/>
      <c r="G2388" s="62"/>
      <c r="H2388" s="60"/>
    </row>
    <row r="2389" spans="1:8">
      <c r="A2389" s="60"/>
      <c r="B2389" s="77"/>
      <c r="C2389" s="60"/>
      <c r="D2389" s="81"/>
      <c r="E2389" s="62"/>
      <c r="F2389" s="60"/>
      <c r="G2389" s="62"/>
      <c r="H2389" s="60"/>
    </row>
    <row r="2390" spans="1:8">
      <c r="A2390" s="60"/>
      <c r="B2390" s="77"/>
      <c r="C2390" s="60"/>
      <c r="D2390" s="81"/>
      <c r="E2390" s="62"/>
      <c r="F2390" s="60"/>
      <c r="G2390" s="62"/>
      <c r="H2390" s="60"/>
    </row>
    <row r="2391" spans="1:8">
      <c r="A2391" s="60"/>
      <c r="B2391" s="77"/>
      <c r="C2391" s="60"/>
      <c r="D2391" s="81"/>
      <c r="E2391" s="62"/>
      <c r="F2391" s="60"/>
      <c r="G2391" s="62"/>
      <c r="H2391" s="60"/>
    </row>
    <row r="2392" spans="1:8">
      <c r="A2392" s="60"/>
      <c r="B2392" s="77"/>
      <c r="C2392" s="60"/>
      <c r="D2392" s="81"/>
      <c r="E2392" s="62"/>
      <c r="F2392" s="60"/>
      <c r="G2392" s="62"/>
      <c r="H2392" s="60"/>
    </row>
    <row r="2393" spans="1:8">
      <c r="A2393" s="60"/>
      <c r="B2393" s="77"/>
      <c r="C2393" s="60"/>
      <c r="D2393" s="81"/>
      <c r="E2393" s="62"/>
      <c r="F2393" s="60"/>
      <c r="G2393" s="62"/>
      <c r="H2393" s="60"/>
    </row>
    <row r="2394" spans="1:8">
      <c r="A2394" s="60"/>
      <c r="B2394" s="77"/>
      <c r="C2394" s="60"/>
      <c r="D2394" s="81"/>
      <c r="E2394" s="62"/>
      <c r="F2394" s="60"/>
      <c r="G2394" s="62"/>
      <c r="H2394" s="60"/>
    </row>
    <row r="2395" spans="1:8">
      <c r="A2395" s="60"/>
      <c r="B2395" s="77"/>
      <c r="C2395" s="60"/>
      <c r="D2395" s="81"/>
      <c r="E2395" s="62"/>
      <c r="F2395" s="60"/>
      <c r="G2395" s="62"/>
      <c r="H2395" s="60"/>
    </row>
    <row r="2396" spans="1:8">
      <c r="A2396" s="60"/>
      <c r="B2396" s="77"/>
      <c r="C2396" s="60"/>
      <c r="D2396" s="81"/>
      <c r="E2396" s="62"/>
      <c r="F2396" s="60"/>
      <c r="G2396" s="62"/>
      <c r="H2396" s="60"/>
    </row>
    <row r="2397" spans="1:8">
      <c r="A2397" s="60"/>
      <c r="B2397" s="77"/>
      <c r="C2397" s="60"/>
      <c r="D2397" s="81"/>
      <c r="E2397" s="62"/>
      <c r="F2397" s="60"/>
      <c r="G2397" s="62"/>
      <c r="H2397" s="60"/>
    </row>
    <row r="2398" spans="1:8">
      <c r="A2398" s="60"/>
      <c r="B2398" s="77"/>
      <c r="C2398" s="60"/>
      <c r="D2398" s="81"/>
      <c r="E2398" s="62"/>
      <c r="F2398" s="60"/>
      <c r="G2398" s="62"/>
      <c r="H2398" s="60"/>
    </row>
    <row r="2399" spans="1:8">
      <c r="A2399" s="60"/>
      <c r="B2399" s="77"/>
      <c r="C2399" s="60"/>
      <c r="D2399" s="81"/>
      <c r="E2399" s="62"/>
      <c r="F2399" s="60"/>
      <c r="G2399" s="62"/>
      <c r="H2399" s="60"/>
    </row>
    <row r="2400" spans="1:8">
      <c r="A2400" s="60"/>
      <c r="B2400" s="77"/>
      <c r="C2400" s="60"/>
      <c r="D2400" s="81"/>
      <c r="E2400" s="62"/>
      <c r="F2400" s="60"/>
      <c r="G2400" s="62"/>
      <c r="H2400" s="60"/>
    </row>
    <row r="2401" spans="1:8">
      <c r="A2401" s="60"/>
      <c r="B2401" s="77"/>
      <c r="C2401" s="60"/>
      <c r="D2401" s="81"/>
      <c r="E2401" s="62"/>
      <c r="F2401" s="60"/>
      <c r="G2401" s="62"/>
      <c r="H2401" s="60"/>
    </row>
    <row r="2402" spans="1:8">
      <c r="A2402" s="60"/>
      <c r="B2402" s="77"/>
      <c r="C2402" s="60"/>
      <c r="D2402" s="81"/>
      <c r="E2402" s="62"/>
      <c r="F2402" s="60"/>
      <c r="G2402" s="62"/>
      <c r="H2402" s="60"/>
    </row>
    <row r="2403" spans="1:8">
      <c r="A2403" s="60"/>
      <c r="B2403" s="77"/>
      <c r="C2403" s="60"/>
      <c r="D2403" s="81"/>
      <c r="E2403" s="62"/>
      <c r="F2403" s="60"/>
      <c r="G2403" s="62"/>
      <c r="H2403" s="60"/>
    </row>
    <row r="2404" spans="1:8">
      <c r="A2404" s="60"/>
      <c r="B2404" s="77"/>
      <c r="C2404" s="60"/>
      <c r="D2404" s="81"/>
      <c r="E2404" s="62"/>
      <c r="F2404" s="60"/>
      <c r="G2404" s="62"/>
      <c r="H2404" s="60"/>
    </row>
    <row r="2405" spans="1:8">
      <c r="A2405" s="60"/>
      <c r="B2405" s="77"/>
      <c r="C2405" s="60"/>
      <c r="D2405" s="81"/>
      <c r="E2405" s="62"/>
      <c r="F2405" s="60"/>
      <c r="G2405" s="62"/>
      <c r="H2405" s="60"/>
    </row>
    <row r="2406" spans="1:8">
      <c r="A2406" s="60"/>
      <c r="B2406" s="77"/>
      <c r="C2406" s="60"/>
      <c r="D2406" s="81"/>
      <c r="E2406" s="62"/>
      <c r="F2406" s="60"/>
      <c r="G2406" s="62"/>
      <c r="H2406" s="60"/>
    </row>
    <row r="2407" spans="1:8">
      <c r="A2407" s="60"/>
      <c r="B2407" s="77"/>
      <c r="C2407" s="60"/>
      <c r="D2407" s="81"/>
      <c r="E2407" s="62"/>
      <c r="F2407" s="60"/>
      <c r="G2407" s="62"/>
      <c r="H2407" s="60"/>
    </row>
    <row r="2408" spans="1:8">
      <c r="A2408" s="60"/>
      <c r="B2408" s="77"/>
      <c r="C2408" s="60"/>
      <c r="D2408" s="81"/>
      <c r="E2408" s="62"/>
      <c r="F2408" s="60"/>
      <c r="G2408" s="62"/>
      <c r="H2408" s="60"/>
    </row>
    <row r="2409" spans="1:8">
      <c r="A2409" s="60"/>
      <c r="B2409" s="77"/>
      <c r="C2409" s="60"/>
      <c r="D2409" s="81"/>
      <c r="E2409" s="62"/>
      <c r="F2409" s="60"/>
      <c r="G2409" s="62"/>
      <c r="H2409" s="60"/>
    </row>
    <row r="2410" spans="1:8">
      <c r="A2410" s="60"/>
      <c r="B2410" s="77"/>
      <c r="C2410" s="60"/>
      <c r="D2410" s="81"/>
      <c r="E2410" s="62"/>
      <c r="F2410" s="60"/>
      <c r="G2410" s="62"/>
      <c r="H2410" s="60"/>
    </row>
    <row r="2411" spans="1:8">
      <c r="A2411" s="60"/>
      <c r="B2411" s="77"/>
      <c r="C2411" s="60"/>
      <c r="D2411" s="81"/>
      <c r="E2411" s="62"/>
      <c r="F2411" s="60"/>
      <c r="G2411" s="62"/>
      <c r="H2411" s="60"/>
    </row>
    <row r="2412" spans="1:8">
      <c r="A2412" s="60"/>
      <c r="B2412" s="77"/>
      <c r="C2412" s="60"/>
      <c r="D2412" s="81"/>
      <c r="E2412" s="62"/>
      <c r="F2412" s="60"/>
      <c r="G2412" s="62"/>
      <c r="H2412" s="60"/>
    </row>
    <row r="2413" spans="1:8">
      <c r="A2413" s="60"/>
      <c r="B2413" s="77"/>
      <c r="C2413" s="60"/>
      <c r="D2413" s="81"/>
      <c r="E2413" s="62"/>
      <c r="F2413" s="60"/>
      <c r="G2413" s="62"/>
      <c r="H2413" s="60"/>
    </row>
    <row r="2414" spans="1:8">
      <c r="A2414" s="60"/>
      <c r="B2414" s="77"/>
      <c r="C2414" s="60"/>
      <c r="D2414" s="81"/>
      <c r="E2414" s="62"/>
      <c r="F2414" s="60"/>
      <c r="G2414" s="62"/>
      <c r="H2414" s="60"/>
    </row>
    <row r="2415" spans="1:8">
      <c r="A2415" s="60"/>
      <c r="B2415" s="77"/>
      <c r="C2415" s="60"/>
      <c r="D2415" s="81"/>
      <c r="E2415" s="62"/>
      <c r="F2415" s="60"/>
      <c r="G2415" s="62"/>
      <c r="H2415" s="60"/>
    </row>
    <row r="2416" spans="1:8">
      <c r="A2416" s="60"/>
      <c r="B2416" s="77"/>
      <c r="C2416" s="60"/>
      <c r="D2416" s="81"/>
      <c r="E2416" s="62"/>
      <c r="F2416" s="60"/>
      <c r="G2416" s="62"/>
      <c r="H2416" s="60"/>
    </row>
    <row r="2417" spans="1:8">
      <c r="A2417" s="60"/>
      <c r="B2417" s="77"/>
      <c r="C2417" s="60"/>
      <c r="D2417" s="81"/>
      <c r="E2417" s="62"/>
      <c r="F2417" s="60"/>
      <c r="G2417" s="62"/>
      <c r="H2417" s="60"/>
    </row>
    <row r="2418" spans="1:8">
      <c r="A2418" s="60"/>
      <c r="B2418" s="77"/>
      <c r="C2418" s="60"/>
      <c r="D2418" s="81"/>
      <c r="E2418" s="62"/>
      <c r="F2418" s="60"/>
      <c r="G2418" s="62"/>
      <c r="H2418" s="60"/>
    </row>
    <row r="2419" spans="1:8">
      <c r="A2419" s="60"/>
      <c r="B2419" s="77"/>
      <c r="C2419" s="60"/>
      <c r="D2419" s="81"/>
      <c r="E2419" s="62"/>
      <c r="F2419" s="60"/>
      <c r="G2419" s="62"/>
      <c r="H2419" s="60"/>
    </row>
    <row r="2420" spans="1:8">
      <c r="A2420" s="60"/>
      <c r="B2420" s="77"/>
      <c r="C2420" s="60"/>
      <c r="D2420" s="81"/>
      <c r="E2420" s="62"/>
      <c r="F2420" s="60"/>
      <c r="G2420" s="62"/>
      <c r="H2420" s="60"/>
    </row>
    <row r="2421" spans="1:8">
      <c r="A2421" s="60"/>
      <c r="B2421" s="77"/>
      <c r="C2421" s="60"/>
      <c r="D2421" s="81"/>
      <c r="E2421" s="62"/>
      <c r="F2421" s="60"/>
      <c r="G2421" s="62"/>
      <c r="H2421" s="60"/>
    </row>
    <row r="2422" spans="1:8">
      <c r="A2422" s="60"/>
      <c r="B2422" s="77"/>
      <c r="C2422" s="60"/>
      <c r="D2422" s="81"/>
      <c r="E2422" s="62"/>
      <c r="F2422" s="60"/>
      <c r="G2422" s="62"/>
      <c r="H2422" s="60"/>
    </row>
    <row r="2423" spans="1:8">
      <c r="A2423" s="60"/>
      <c r="B2423" s="77"/>
      <c r="C2423" s="60"/>
      <c r="D2423" s="81"/>
      <c r="E2423" s="62"/>
      <c r="F2423" s="60"/>
      <c r="G2423" s="62"/>
      <c r="H2423" s="60"/>
    </row>
    <row r="2424" spans="1:8">
      <c r="A2424" s="60"/>
      <c r="B2424" s="77"/>
      <c r="C2424" s="60"/>
      <c r="D2424" s="81"/>
      <c r="E2424" s="62"/>
      <c r="F2424" s="60"/>
      <c r="G2424" s="62"/>
      <c r="H2424" s="60"/>
    </row>
    <row r="2425" spans="1:8">
      <c r="A2425" s="60"/>
      <c r="B2425" s="77"/>
      <c r="C2425" s="60"/>
      <c r="D2425" s="81"/>
      <c r="E2425" s="62"/>
      <c r="F2425" s="60"/>
      <c r="G2425" s="62"/>
      <c r="H2425" s="60"/>
    </row>
    <row r="2426" spans="1:8">
      <c r="A2426" s="60"/>
      <c r="B2426" s="77"/>
      <c r="C2426" s="60"/>
      <c r="D2426" s="81"/>
      <c r="E2426" s="62"/>
      <c r="F2426" s="60"/>
      <c r="G2426" s="62"/>
      <c r="H2426" s="60"/>
    </row>
    <row r="2427" spans="1:8">
      <c r="A2427" s="60"/>
      <c r="B2427" s="77"/>
      <c r="C2427" s="60"/>
      <c r="D2427" s="81"/>
      <c r="E2427" s="62"/>
      <c r="F2427" s="60"/>
      <c r="G2427" s="62"/>
      <c r="H2427" s="60"/>
    </row>
    <row r="2428" spans="1:8">
      <c r="A2428" s="60"/>
      <c r="B2428" s="77"/>
      <c r="C2428" s="60"/>
      <c r="D2428" s="81"/>
      <c r="E2428" s="62"/>
      <c r="F2428" s="60"/>
      <c r="G2428" s="62"/>
      <c r="H2428" s="60"/>
    </row>
    <row r="2429" spans="1:8">
      <c r="A2429" s="60"/>
      <c r="B2429" s="77"/>
      <c r="C2429" s="60"/>
      <c r="D2429" s="81"/>
      <c r="E2429" s="62"/>
      <c r="F2429" s="60"/>
      <c r="G2429" s="62"/>
      <c r="H2429" s="60"/>
    </row>
    <row r="2430" spans="1:8">
      <c r="A2430" s="60"/>
      <c r="B2430" s="77"/>
      <c r="C2430" s="60"/>
      <c r="D2430" s="81"/>
      <c r="E2430" s="62"/>
      <c r="F2430" s="60"/>
      <c r="G2430" s="62"/>
      <c r="H2430" s="60"/>
    </row>
    <row r="2431" spans="1:8">
      <c r="A2431" s="60"/>
      <c r="B2431" s="77"/>
      <c r="C2431" s="60"/>
      <c r="D2431" s="81"/>
      <c r="E2431" s="62"/>
      <c r="F2431" s="60"/>
      <c r="G2431" s="62"/>
      <c r="H2431" s="60"/>
    </row>
    <row r="2432" spans="1:8">
      <c r="A2432" s="60"/>
      <c r="B2432" s="77"/>
      <c r="C2432" s="60"/>
      <c r="D2432" s="81"/>
      <c r="E2432" s="62"/>
      <c r="F2432" s="60"/>
      <c r="G2432" s="62"/>
      <c r="H2432" s="60"/>
    </row>
    <row r="2433" spans="1:8">
      <c r="A2433" s="60"/>
      <c r="B2433" s="77"/>
      <c r="C2433" s="60"/>
      <c r="D2433" s="81"/>
      <c r="E2433" s="62"/>
      <c r="F2433" s="60"/>
      <c r="G2433" s="62"/>
      <c r="H2433" s="60"/>
    </row>
    <row r="2434" spans="1:8">
      <c r="A2434" s="60"/>
      <c r="B2434" s="77"/>
      <c r="C2434" s="60"/>
      <c r="D2434" s="81"/>
      <c r="E2434" s="62"/>
      <c r="F2434" s="60"/>
      <c r="G2434" s="62"/>
      <c r="H2434" s="60"/>
    </row>
    <row r="2435" spans="1:8">
      <c r="A2435" s="60"/>
      <c r="B2435" s="77"/>
      <c r="C2435" s="60"/>
      <c r="D2435" s="81"/>
      <c r="E2435" s="62"/>
      <c r="F2435" s="60"/>
      <c r="G2435" s="62"/>
      <c r="H2435" s="60"/>
    </row>
    <row r="2436" spans="1:8">
      <c r="A2436" s="60"/>
      <c r="B2436" s="77"/>
      <c r="C2436" s="60"/>
      <c r="D2436" s="81"/>
      <c r="E2436" s="62"/>
      <c r="F2436" s="60"/>
      <c r="G2436" s="62"/>
      <c r="H2436" s="60"/>
    </row>
    <row r="2437" spans="1:8">
      <c r="A2437" s="60"/>
      <c r="B2437" s="77"/>
      <c r="C2437" s="60"/>
      <c r="D2437" s="81"/>
      <c r="E2437" s="62"/>
      <c r="F2437" s="60"/>
      <c r="G2437" s="62"/>
      <c r="H2437" s="60"/>
    </row>
    <row r="2438" spans="1:8">
      <c r="A2438" s="60"/>
      <c r="B2438" s="77"/>
      <c r="C2438" s="60"/>
      <c r="D2438" s="81"/>
      <c r="E2438" s="62"/>
      <c r="F2438" s="60"/>
      <c r="G2438" s="62"/>
      <c r="H2438" s="60"/>
    </row>
    <row r="2439" spans="1:8">
      <c r="A2439" s="60"/>
      <c r="B2439" s="77"/>
      <c r="C2439" s="60"/>
      <c r="D2439" s="81"/>
      <c r="E2439" s="62"/>
      <c r="F2439" s="60"/>
      <c r="G2439" s="62"/>
      <c r="H2439" s="60"/>
    </row>
    <row r="2440" spans="1:8">
      <c r="A2440" s="60"/>
      <c r="B2440" s="77"/>
      <c r="C2440" s="60"/>
      <c r="D2440" s="81"/>
      <c r="E2440" s="62"/>
      <c r="F2440" s="60"/>
      <c r="G2440" s="62"/>
      <c r="H2440" s="60"/>
    </row>
    <row r="2441" spans="1:8">
      <c r="A2441" s="60"/>
      <c r="B2441" s="77"/>
      <c r="C2441" s="60"/>
      <c r="D2441" s="81"/>
      <c r="E2441" s="62"/>
      <c r="F2441" s="60"/>
      <c r="G2441" s="62"/>
      <c r="H2441" s="60"/>
    </row>
    <row r="2442" spans="1:8">
      <c r="A2442" s="60"/>
      <c r="B2442" s="77"/>
      <c r="C2442" s="60"/>
      <c r="D2442" s="81"/>
      <c r="E2442" s="62"/>
      <c r="F2442" s="60"/>
      <c r="G2442" s="62"/>
      <c r="H2442" s="60"/>
    </row>
    <row r="2443" spans="1:8">
      <c r="A2443" s="60"/>
      <c r="B2443" s="77"/>
      <c r="C2443" s="60"/>
      <c r="D2443" s="81"/>
      <c r="E2443" s="62"/>
      <c r="F2443" s="60"/>
      <c r="G2443" s="62"/>
      <c r="H2443" s="60"/>
    </row>
    <row r="2444" spans="1:8">
      <c r="A2444" s="60"/>
      <c r="B2444" s="77"/>
      <c r="C2444" s="60"/>
      <c r="D2444" s="81"/>
      <c r="E2444" s="62"/>
      <c r="F2444" s="60"/>
      <c r="G2444" s="62"/>
      <c r="H2444" s="60"/>
    </row>
    <row r="2445" spans="1:8">
      <c r="A2445" s="60"/>
      <c r="B2445" s="77"/>
      <c r="C2445" s="60"/>
      <c r="D2445" s="81"/>
      <c r="E2445" s="62"/>
      <c r="F2445" s="60"/>
      <c r="G2445" s="62"/>
      <c r="H2445" s="60"/>
    </row>
    <row r="2446" spans="1:8">
      <c r="A2446" s="60"/>
      <c r="B2446" s="77"/>
      <c r="C2446" s="60"/>
      <c r="D2446" s="81"/>
      <c r="E2446" s="62"/>
      <c r="F2446" s="60"/>
      <c r="G2446" s="62"/>
      <c r="H2446" s="60"/>
    </row>
    <row r="2447" spans="1:8">
      <c r="A2447" s="60"/>
      <c r="B2447" s="77"/>
      <c r="C2447" s="60"/>
      <c r="D2447" s="81"/>
      <c r="E2447" s="62"/>
      <c r="F2447" s="60"/>
      <c r="G2447" s="62"/>
      <c r="H2447" s="60"/>
    </row>
    <row r="2448" spans="1:8">
      <c r="A2448" s="60"/>
      <c r="B2448" s="77"/>
      <c r="C2448" s="60"/>
      <c r="D2448" s="81"/>
      <c r="E2448" s="62"/>
      <c r="F2448" s="60"/>
      <c r="G2448" s="62"/>
      <c r="H2448" s="60"/>
    </row>
    <row r="2449" spans="1:8">
      <c r="A2449" s="60"/>
      <c r="B2449" s="77"/>
      <c r="C2449" s="60"/>
      <c r="D2449" s="81"/>
      <c r="E2449" s="62"/>
      <c r="F2449" s="60"/>
      <c r="G2449" s="62"/>
      <c r="H2449" s="60"/>
    </row>
    <row r="2450" spans="1:8">
      <c r="A2450" s="60"/>
      <c r="B2450" s="77"/>
      <c r="C2450" s="60"/>
      <c r="D2450" s="81"/>
      <c r="E2450" s="62"/>
      <c r="F2450" s="60"/>
      <c r="G2450" s="62"/>
      <c r="H2450" s="60"/>
    </row>
    <row r="2451" spans="1:8">
      <c r="A2451" s="60"/>
      <c r="B2451" s="77"/>
      <c r="C2451" s="60"/>
      <c r="D2451" s="81"/>
      <c r="E2451" s="62"/>
      <c r="F2451" s="60"/>
      <c r="G2451" s="62"/>
      <c r="H2451" s="60"/>
    </row>
    <row r="2452" spans="1:8">
      <c r="A2452" s="60"/>
      <c r="B2452" s="77"/>
      <c r="C2452" s="60"/>
      <c r="D2452" s="81"/>
      <c r="E2452" s="62"/>
      <c r="F2452" s="60"/>
      <c r="G2452" s="62"/>
      <c r="H2452" s="60"/>
    </row>
    <row r="2453" spans="1:8">
      <c r="A2453" s="60"/>
      <c r="B2453" s="77"/>
      <c r="C2453" s="60"/>
      <c r="D2453" s="81"/>
      <c r="E2453" s="62"/>
      <c r="F2453" s="60"/>
      <c r="G2453" s="62"/>
      <c r="H2453" s="60"/>
    </row>
    <row r="2454" spans="1:8">
      <c r="A2454" s="60"/>
      <c r="B2454" s="77"/>
      <c r="C2454" s="60"/>
      <c r="D2454" s="81"/>
      <c r="E2454" s="62"/>
      <c r="F2454" s="60"/>
      <c r="G2454" s="62"/>
      <c r="H2454" s="60"/>
    </row>
    <row r="2455" spans="1:8">
      <c r="A2455" s="60"/>
      <c r="B2455" s="77"/>
      <c r="C2455" s="60"/>
      <c r="D2455" s="81"/>
      <c r="E2455" s="62"/>
      <c r="F2455" s="60"/>
      <c r="G2455" s="62"/>
      <c r="H2455" s="60"/>
    </row>
    <row r="2456" spans="1:8">
      <c r="A2456" s="60"/>
      <c r="B2456" s="77"/>
      <c r="C2456" s="60"/>
      <c r="D2456" s="81"/>
      <c r="E2456" s="62"/>
      <c r="F2456" s="60"/>
      <c r="G2456" s="62"/>
      <c r="H2456" s="60"/>
    </row>
    <row r="2457" spans="1:8">
      <c r="A2457" s="60"/>
      <c r="B2457" s="77"/>
      <c r="C2457" s="60"/>
      <c r="D2457" s="81"/>
      <c r="E2457" s="62"/>
      <c r="F2457" s="60"/>
      <c r="G2457" s="62"/>
      <c r="H2457" s="60"/>
    </row>
    <row r="2458" spans="1:8">
      <c r="A2458" s="60"/>
      <c r="B2458" s="77"/>
      <c r="C2458" s="60"/>
      <c r="D2458" s="81"/>
      <c r="E2458" s="62"/>
      <c r="F2458" s="60"/>
      <c r="G2458" s="62"/>
      <c r="H2458" s="60"/>
    </row>
    <row r="2459" spans="1:8">
      <c r="A2459" s="60"/>
      <c r="B2459" s="77"/>
      <c r="C2459" s="60"/>
      <c r="D2459" s="81"/>
      <c r="E2459" s="62"/>
      <c r="F2459" s="60"/>
      <c r="G2459" s="62"/>
      <c r="H2459" s="60"/>
    </row>
    <row r="2460" spans="1:8">
      <c r="A2460" s="60"/>
      <c r="B2460" s="77"/>
      <c r="C2460" s="60"/>
      <c r="D2460" s="81"/>
      <c r="E2460" s="62"/>
      <c r="F2460" s="60"/>
      <c r="G2460" s="62"/>
      <c r="H2460" s="60"/>
    </row>
    <row r="2461" spans="1:8">
      <c r="A2461" s="60"/>
      <c r="B2461" s="77"/>
      <c r="C2461" s="60"/>
      <c r="D2461" s="81"/>
      <c r="E2461" s="62"/>
      <c r="F2461" s="60"/>
      <c r="G2461" s="62"/>
      <c r="H2461" s="60"/>
    </row>
    <row r="2462" spans="1:8">
      <c r="A2462" s="60"/>
      <c r="B2462" s="77"/>
      <c r="C2462" s="60"/>
      <c r="D2462" s="81"/>
      <c r="E2462" s="62"/>
      <c r="F2462" s="60"/>
      <c r="G2462" s="62"/>
      <c r="H2462" s="60"/>
    </row>
    <row r="2463" spans="1:8">
      <c r="A2463" s="60"/>
      <c r="B2463" s="77"/>
      <c r="C2463" s="60"/>
      <c r="D2463" s="81"/>
      <c r="E2463" s="62"/>
      <c r="F2463" s="60"/>
      <c r="G2463" s="62"/>
      <c r="H2463" s="60"/>
    </row>
    <row r="2464" spans="1:8">
      <c r="A2464" s="60"/>
      <c r="B2464" s="77"/>
      <c r="C2464" s="60"/>
      <c r="D2464" s="81"/>
      <c r="E2464" s="62"/>
      <c r="F2464" s="60"/>
      <c r="G2464" s="62"/>
      <c r="H2464" s="60"/>
    </row>
    <row r="2465" spans="1:8">
      <c r="A2465" s="60"/>
      <c r="B2465" s="77"/>
      <c r="C2465" s="60"/>
      <c r="D2465" s="81"/>
      <c r="E2465" s="62"/>
      <c r="F2465" s="60"/>
      <c r="G2465" s="62"/>
      <c r="H2465" s="60"/>
    </row>
    <row r="2466" spans="1:8">
      <c r="A2466" s="60"/>
      <c r="B2466" s="77"/>
      <c r="C2466" s="60"/>
      <c r="D2466" s="81"/>
      <c r="E2466" s="62"/>
      <c r="F2466" s="60"/>
      <c r="G2466" s="62"/>
      <c r="H2466" s="60"/>
    </row>
    <row r="2467" spans="1:8">
      <c r="A2467" s="60"/>
      <c r="B2467" s="77"/>
      <c r="C2467" s="60"/>
      <c r="D2467" s="81"/>
      <c r="E2467" s="62"/>
      <c r="F2467" s="60"/>
      <c r="G2467" s="62"/>
      <c r="H2467" s="60"/>
    </row>
    <row r="2468" spans="1:8">
      <c r="A2468" s="60"/>
      <c r="B2468" s="77"/>
      <c r="C2468" s="60"/>
      <c r="D2468" s="81"/>
      <c r="E2468" s="62"/>
      <c r="F2468" s="60"/>
      <c r="G2468" s="62"/>
      <c r="H2468" s="60"/>
    </row>
    <row r="2469" spans="1:8">
      <c r="A2469" s="60"/>
      <c r="B2469" s="77"/>
      <c r="C2469" s="60"/>
      <c r="D2469" s="81"/>
      <c r="E2469" s="62"/>
      <c r="F2469" s="60"/>
      <c r="G2469" s="62"/>
      <c r="H2469" s="60"/>
    </row>
    <row r="2470" spans="1:8">
      <c r="A2470" s="60"/>
      <c r="B2470" s="77"/>
      <c r="C2470" s="60"/>
      <c r="D2470" s="81"/>
      <c r="E2470" s="62"/>
      <c r="F2470" s="60"/>
      <c r="G2470" s="62"/>
      <c r="H2470" s="60"/>
    </row>
    <row r="2471" spans="1:8">
      <c r="A2471" s="60"/>
      <c r="B2471" s="77"/>
      <c r="C2471" s="60"/>
      <c r="D2471" s="81"/>
      <c r="E2471" s="62"/>
      <c r="F2471" s="60"/>
      <c r="G2471" s="62"/>
      <c r="H2471" s="60"/>
    </row>
    <row r="2472" spans="1:8">
      <c r="A2472" s="60"/>
      <c r="B2472" s="77"/>
      <c r="C2472" s="60"/>
      <c r="D2472" s="81"/>
      <c r="E2472" s="62"/>
      <c r="F2472" s="60"/>
      <c r="G2472" s="62"/>
      <c r="H2472" s="60"/>
    </row>
    <row r="2473" spans="1:8">
      <c r="A2473" s="60"/>
      <c r="B2473" s="77"/>
      <c r="C2473" s="60"/>
      <c r="D2473" s="81"/>
      <c r="E2473" s="62"/>
      <c r="F2473" s="60"/>
      <c r="G2473" s="62"/>
      <c r="H2473" s="60"/>
    </row>
    <row r="2474" spans="1:8">
      <c r="A2474" s="60"/>
      <c r="B2474" s="77"/>
      <c r="C2474" s="60"/>
      <c r="D2474" s="81"/>
      <c r="E2474" s="62"/>
      <c r="F2474" s="60"/>
      <c r="G2474" s="62"/>
      <c r="H2474" s="60"/>
    </row>
    <row r="2475" spans="1:8">
      <c r="A2475" s="60"/>
      <c r="B2475" s="77"/>
      <c r="C2475" s="60"/>
      <c r="D2475" s="81"/>
      <c r="E2475" s="62"/>
      <c r="F2475" s="60"/>
      <c r="G2475" s="62"/>
      <c r="H2475" s="60"/>
    </row>
    <row r="2476" spans="1:8">
      <c r="A2476" s="60"/>
      <c r="B2476" s="77"/>
      <c r="C2476" s="60"/>
      <c r="D2476" s="81"/>
      <c r="E2476" s="62"/>
      <c r="F2476" s="60"/>
      <c r="G2476" s="62"/>
      <c r="H2476" s="60"/>
    </row>
    <row r="2477" spans="1:8">
      <c r="A2477" s="60"/>
      <c r="B2477" s="77"/>
      <c r="C2477" s="60"/>
      <c r="D2477" s="81"/>
      <c r="E2477" s="62"/>
      <c r="F2477" s="60"/>
      <c r="G2477" s="62"/>
      <c r="H2477" s="60"/>
    </row>
    <row r="2478" spans="1:8">
      <c r="A2478" s="60"/>
      <c r="B2478" s="77"/>
      <c r="C2478" s="60"/>
      <c r="D2478" s="81"/>
      <c r="E2478" s="62"/>
      <c r="F2478" s="60"/>
      <c r="G2478" s="62"/>
      <c r="H2478" s="60"/>
    </row>
    <row r="2479" spans="1:8">
      <c r="A2479" s="60"/>
      <c r="B2479" s="77"/>
      <c r="C2479" s="60"/>
      <c r="D2479" s="81"/>
      <c r="E2479" s="62"/>
      <c r="F2479" s="60"/>
      <c r="G2479" s="62"/>
      <c r="H2479" s="60"/>
    </row>
    <row r="2480" spans="1:8">
      <c r="A2480" s="60"/>
      <c r="B2480" s="77"/>
      <c r="C2480" s="60"/>
      <c r="D2480" s="81"/>
      <c r="E2480" s="62"/>
      <c r="F2480" s="60"/>
      <c r="G2480" s="62"/>
      <c r="H2480" s="60"/>
    </row>
    <row r="2481" spans="1:8">
      <c r="A2481" s="60"/>
      <c r="B2481" s="77"/>
      <c r="C2481" s="60"/>
      <c r="D2481" s="81"/>
      <c r="E2481" s="62"/>
      <c r="F2481" s="60"/>
      <c r="G2481" s="62"/>
      <c r="H2481" s="60"/>
    </row>
    <row r="2482" spans="1:8">
      <c r="A2482" s="60"/>
      <c r="B2482" s="77"/>
      <c r="C2482" s="60"/>
      <c r="D2482" s="81"/>
      <c r="E2482" s="62"/>
      <c r="F2482" s="60"/>
      <c r="G2482" s="62"/>
      <c r="H2482" s="60"/>
    </row>
    <row r="2483" spans="1:8">
      <c r="A2483" s="60"/>
      <c r="B2483" s="77"/>
      <c r="C2483" s="60"/>
      <c r="D2483" s="81"/>
      <c r="E2483" s="62"/>
      <c r="F2483" s="60"/>
      <c r="G2483" s="62"/>
      <c r="H2483" s="60"/>
    </row>
    <row r="2484" spans="1:8">
      <c r="A2484" s="60"/>
      <c r="B2484" s="77"/>
      <c r="C2484" s="60"/>
      <c r="D2484" s="81"/>
      <c r="E2484" s="62"/>
      <c r="F2484" s="60"/>
      <c r="G2484" s="62"/>
      <c r="H2484" s="60"/>
    </row>
    <row r="2485" spans="1:8">
      <c r="A2485" s="60"/>
      <c r="B2485" s="77"/>
      <c r="C2485" s="60"/>
      <c r="D2485" s="81"/>
      <c r="E2485" s="62"/>
      <c r="F2485" s="60"/>
      <c r="G2485" s="62"/>
      <c r="H2485" s="60"/>
    </row>
    <row r="2486" spans="1:8">
      <c r="A2486" s="60"/>
      <c r="B2486" s="77"/>
      <c r="C2486" s="60"/>
      <c r="D2486" s="81"/>
      <c r="E2486" s="62"/>
      <c r="F2486" s="60"/>
      <c r="G2486" s="62"/>
      <c r="H2486" s="60"/>
    </row>
    <row r="2487" spans="1:8">
      <c r="A2487" s="60"/>
      <c r="B2487" s="77"/>
      <c r="C2487" s="60"/>
      <c r="D2487" s="81"/>
      <c r="E2487" s="62"/>
      <c r="F2487" s="60"/>
      <c r="G2487" s="62"/>
      <c r="H2487" s="60"/>
    </row>
    <row r="2488" spans="1:8">
      <c r="A2488" s="60"/>
      <c r="B2488" s="77"/>
      <c r="C2488" s="60"/>
      <c r="D2488" s="81"/>
      <c r="E2488" s="62"/>
      <c r="F2488" s="60"/>
      <c r="G2488" s="62"/>
      <c r="H2488" s="60"/>
    </row>
    <row r="2489" spans="1:8">
      <c r="A2489" s="60"/>
      <c r="B2489" s="77"/>
      <c r="C2489" s="60"/>
      <c r="D2489" s="81"/>
      <c r="E2489" s="62"/>
      <c r="F2489" s="60"/>
      <c r="G2489" s="62"/>
      <c r="H2489" s="60"/>
    </row>
    <row r="2490" spans="1:8">
      <c r="A2490" s="60"/>
      <c r="B2490" s="77"/>
      <c r="C2490" s="60"/>
      <c r="D2490" s="81"/>
      <c r="E2490" s="62"/>
      <c r="F2490" s="60"/>
      <c r="G2490" s="62"/>
      <c r="H2490" s="60"/>
    </row>
    <row r="2491" spans="1:8">
      <c r="A2491" s="60"/>
      <c r="B2491" s="77"/>
      <c r="C2491" s="60"/>
      <c r="D2491" s="81"/>
      <c r="E2491" s="62"/>
      <c r="F2491" s="60"/>
      <c r="G2491" s="62"/>
      <c r="H2491" s="60"/>
    </row>
    <row r="2492" spans="1:8">
      <c r="A2492" s="60"/>
      <c r="B2492" s="77"/>
      <c r="C2492" s="60"/>
      <c r="D2492" s="81"/>
      <c r="E2492" s="62"/>
      <c r="F2492" s="60"/>
      <c r="G2492" s="62"/>
      <c r="H2492" s="60"/>
    </row>
    <row r="2493" spans="1:8">
      <c r="A2493" s="60"/>
      <c r="B2493" s="77"/>
      <c r="C2493" s="60"/>
      <c r="D2493" s="81"/>
      <c r="E2493" s="62"/>
      <c r="F2493" s="60"/>
      <c r="G2493" s="62"/>
      <c r="H2493" s="60"/>
    </row>
    <row r="2494" spans="1:8">
      <c r="A2494" s="60"/>
      <c r="B2494" s="77"/>
      <c r="C2494" s="60"/>
      <c r="D2494" s="81"/>
      <c r="E2494" s="62"/>
      <c r="F2494" s="60"/>
      <c r="G2494" s="62"/>
      <c r="H2494" s="60"/>
    </row>
    <row r="2495" spans="1:8">
      <c r="A2495" s="60"/>
      <c r="B2495" s="77"/>
      <c r="C2495" s="60"/>
      <c r="D2495" s="81"/>
      <c r="E2495" s="62"/>
      <c r="F2495" s="60"/>
      <c r="G2495" s="62"/>
      <c r="H2495" s="60"/>
    </row>
    <row r="2496" spans="1:8">
      <c r="A2496" s="60"/>
      <c r="B2496" s="77"/>
      <c r="C2496" s="60"/>
      <c r="D2496" s="81"/>
      <c r="E2496" s="62"/>
      <c r="F2496" s="60"/>
      <c r="G2496" s="62"/>
      <c r="H2496" s="60"/>
    </row>
    <row r="2497" spans="1:8">
      <c r="A2497" s="60"/>
      <c r="B2497" s="77"/>
      <c r="C2497" s="60"/>
      <c r="D2497" s="81"/>
      <c r="E2497" s="62"/>
      <c r="F2497" s="60"/>
      <c r="G2497" s="62"/>
      <c r="H2497" s="60"/>
    </row>
    <row r="2498" spans="1:8">
      <c r="A2498" s="60"/>
      <c r="B2498" s="77"/>
      <c r="C2498" s="60"/>
      <c r="D2498" s="81"/>
      <c r="E2498" s="62"/>
      <c r="F2498" s="60"/>
      <c r="G2498" s="62"/>
      <c r="H2498" s="60"/>
    </row>
    <row r="2499" spans="1:8">
      <c r="A2499" s="60"/>
      <c r="B2499" s="77"/>
      <c r="C2499" s="60"/>
      <c r="D2499" s="81"/>
      <c r="E2499" s="62"/>
      <c r="F2499" s="60"/>
      <c r="G2499" s="62"/>
      <c r="H2499" s="60"/>
    </row>
    <row r="2500" spans="1:8">
      <c r="A2500" s="60"/>
      <c r="B2500" s="77"/>
      <c r="C2500" s="60"/>
      <c r="D2500" s="81"/>
      <c r="E2500" s="62"/>
      <c r="F2500" s="60"/>
      <c r="G2500" s="62"/>
      <c r="H2500" s="60"/>
    </row>
    <row r="2501" spans="1:8">
      <c r="A2501" s="60"/>
      <c r="B2501" s="77"/>
      <c r="C2501" s="60"/>
      <c r="D2501" s="81"/>
      <c r="E2501" s="62"/>
      <c r="F2501" s="60"/>
      <c r="G2501" s="62"/>
      <c r="H2501" s="60"/>
    </row>
    <row r="2502" spans="1:8">
      <c r="A2502" s="60"/>
      <c r="B2502" s="77"/>
      <c r="C2502" s="60"/>
      <c r="D2502" s="81"/>
      <c r="E2502" s="62"/>
      <c r="F2502" s="60"/>
      <c r="G2502" s="62"/>
      <c r="H2502" s="60"/>
    </row>
    <row r="2503" spans="1:8">
      <c r="A2503" s="60"/>
      <c r="B2503" s="77"/>
      <c r="C2503" s="60"/>
      <c r="D2503" s="81"/>
      <c r="E2503" s="62"/>
      <c r="F2503" s="60"/>
      <c r="G2503" s="62"/>
      <c r="H2503" s="60"/>
    </row>
    <row r="2504" spans="1:8">
      <c r="A2504" s="60"/>
      <c r="B2504" s="77"/>
      <c r="C2504" s="60"/>
      <c r="D2504" s="81"/>
      <c r="E2504" s="62"/>
      <c r="F2504" s="60"/>
      <c r="G2504" s="62"/>
      <c r="H2504" s="60"/>
    </row>
    <row r="2505" spans="1:8">
      <c r="A2505" s="60"/>
      <c r="B2505" s="77"/>
      <c r="C2505" s="60"/>
      <c r="D2505" s="81"/>
      <c r="E2505" s="62"/>
      <c r="F2505" s="60"/>
      <c r="G2505" s="62"/>
      <c r="H2505" s="60"/>
    </row>
    <row r="2506" spans="1:8">
      <c r="A2506" s="60"/>
      <c r="B2506" s="77"/>
      <c r="C2506" s="60"/>
      <c r="D2506" s="81"/>
      <c r="E2506" s="62"/>
      <c r="F2506" s="60"/>
      <c r="G2506" s="62"/>
      <c r="H2506" s="60"/>
    </row>
    <row r="2507" spans="1:8">
      <c r="A2507" s="60"/>
      <c r="B2507" s="77"/>
      <c r="C2507" s="60"/>
      <c r="D2507" s="81"/>
      <c r="E2507" s="62"/>
      <c r="F2507" s="60"/>
      <c r="G2507" s="62"/>
      <c r="H2507" s="60"/>
    </row>
    <row r="2508" spans="1:8">
      <c r="A2508" s="60"/>
      <c r="B2508" s="77"/>
      <c r="C2508" s="60"/>
      <c r="D2508" s="81"/>
      <c r="E2508" s="62"/>
      <c r="F2508" s="60"/>
      <c r="G2508" s="62"/>
      <c r="H2508" s="60"/>
    </row>
    <row r="2509" spans="1:8">
      <c r="A2509" s="60"/>
      <c r="B2509" s="77"/>
      <c r="C2509" s="60"/>
      <c r="D2509" s="81"/>
      <c r="E2509" s="62"/>
      <c r="F2509" s="60"/>
      <c r="G2509" s="62"/>
      <c r="H2509" s="60"/>
    </row>
    <row r="2510" spans="1:8">
      <c r="A2510" s="60"/>
      <c r="B2510" s="77"/>
      <c r="C2510" s="60"/>
      <c r="D2510" s="81"/>
      <c r="E2510" s="62"/>
      <c r="F2510" s="60"/>
      <c r="G2510" s="62"/>
      <c r="H2510" s="60"/>
    </row>
    <row r="2511" spans="1:8">
      <c r="A2511" s="60"/>
      <c r="B2511" s="77"/>
      <c r="C2511" s="60"/>
      <c r="D2511" s="81"/>
      <c r="E2511" s="62"/>
      <c r="F2511" s="60"/>
      <c r="G2511" s="62"/>
      <c r="H2511" s="60"/>
    </row>
    <row r="2512" spans="1:8">
      <c r="A2512" s="60"/>
      <c r="B2512" s="77"/>
      <c r="C2512" s="60"/>
      <c r="D2512" s="81"/>
      <c r="E2512" s="62"/>
      <c r="F2512" s="60"/>
      <c r="G2512" s="62"/>
      <c r="H2512" s="60"/>
    </row>
    <row r="2513" spans="1:8">
      <c r="A2513" s="60"/>
      <c r="B2513" s="77"/>
      <c r="C2513" s="60"/>
      <c r="D2513" s="81"/>
      <c r="E2513" s="62"/>
      <c r="F2513" s="60"/>
      <c r="G2513" s="62"/>
      <c r="H2513" s="60"/>
    </row>
    <row r="2514" spans="1:8">
      <c r="A2514" s="60"/>
      <c r="B2514" s="77"/>
      <c r="C2514" s="60"/>
      <c r="D2514" s="81"/>
      <c r="E2514" s="62"/>
      <c r="F2514" s="60"/>
      <c r="G2514" s="62"/>
      <c r="H2514" s="60"/>
    </row>
    <row r="2515" spans="1:8">
      <c r="A2515" s="60"/>
      <c r="B2515" s="77"/>
      <c r="C2515" s="60"/>
      <c r="D2515" s="81"/>
      <c r="E2515" s="62"/>
      <c r="F2515" s="60"/>
      <c r="G2515" s="62"/>
      <c r="H2515" s="60"/>
    </row>
    <row r="2516" spans="1:8">
      <c r="A2516" s="60"/>
      <c r="B2516" s="77"/>
      <c r="C2516" s="60"/>
      <c r="D2516" s="81"/>
      <c r="E2516" s="62"/>
      <c r="F2516" s="60"/>
      <c r="G2516" s="62"/>
      <c r="H2516" s="60"/>
    </row>
    <row r="2517" spans="1:8">
      <c r="A2517" s="60"/>
      <c r="B2517" s="77"/>
      <c r="C2517" s="60"/>
      <c r="D2517" s="81"/>
      <c r="E2517" s="62"/>
      <c r="F2517" s="60"/>
      <c r="G2517" s="62"/>
      <c r="H2517" s="60"/>
    </row>
    <row r="2518" spans="1:8">
      <c r="A2518" s="60"/>
      <c r="B2518" s="77"/>
      <c r="C2518" s="60"/>
      <c r="D2518" s="81"/>
      <c r="E2518" s="62"/>
      <c r="F2518" s="60"/>
      <c r="G2518" s="62"/>
      <c r="H2518" s="60"/>
    </row>
    <row r="2519" spans="1:8">
      <c r="A2519" s="60"/>
      <c r="B2519" s="77"/>
      <c r="C2519" s="60"/>
      <c r="D2519" s="81"/>
      <c r="E2519" s="62"/>
      <c r="F2519" s="60"/>
      <c r="G2519" s="62"/>
      <c r="H2519" s="60"/>
    </row>
    <row r="2520" spans="1:8">
      <c r="A2520" s="60"/>
      <c r="B2520" s="77"/>
      <c r="C2520" s="60"/>
      <c r="D2520" s="81"/>
      <c r="E2520" s="62"/>
      <c r="F2520" s="60"/>
      <c r="G2520" s="62"/>
      <c r="H2520" s="60"/>
    </row>
    <row r="2521" spans="1:8">
      <c r="A2521" s="60"/>
      <c r="B2521" s="77"/>
      <c r="C2521" s="60"/>
      <c r="D2521" s="81"/>
      <c r="E2521" s="62"/>
      <c r="F2521" s="60"/>
      <c r="G2521" s="62"/>
      <c r="H2521" s="60"/>
    </row>
    <row r="2522" spans="1:8">
      <c r="A2522" s="60"/>
      <c r="B2522" s="77"/>
      <c r="C2522" s="60"/>
      <c r="D2522" s="81"/>
      <c r="E2522" s="62"/>
      <c r="F2522" s="60"/>
      <c r="G2522" s="62"/>
      <c r="H2522" s="60"/>
    </row>
    <row r="2523" spans="1:8">
      <c r="A2523" s="60"/>
      <c r="B2523" s="77"/>
      <c r="C2523" s="60"/>
      <c r="D2523" s="81"/>
      <c r="E2523" s="62"/>
      <c r="F2523" s="60"/>
      <c r="G2523" s="62"/>
      <c r="H2523" s="60"/>
    </row>
    <row r="2524" spans="1:8">
      <c r="A2524" s="60"/>
      <c r="B2524" s="77"/>
      <c r="C2524" s="60"/>
      <c r="D2524" s="81"/>
      <c r="E2524" s="62"/>
      <c r="F2524" s="60"/>
      <c r="G2524" s="62"/>
      <c r="H2524" s="60"/>
    </row>
    <row r="2525" spans="1:8">
      <c r="A2525" s="60"/>
      <c r="B2525" s="77"/>
      <c r="C2525" s="60"/>
      <c r="D2525" s="81"/>
      <c r="E2525" s="62"/>
      <c r="F2525" s="60"/>
      <c r="G2525" s="62"/>
      <c r="H2525" s="60"/>
    </row>
    <row r="2526" spans="1:8">
      <c r="A2526" s="60"/>
      <c r="B2526" s="77"/>
      <c r="C2526" s="60"/>
      <c r="D2526" s="81"/>
      <c r="E2526" s="62"/>
      <c r="F2526" s="60"/>
      <c r="G2526" s="62"/>
      <c r="H2526" s="60"/>
    </row>
    <row r="2527" spans="1:8">
      <c r="A2527" s="60"/>
      <c r="B2527" s="77"/>
      <c r="C2527" s="60"/>
      <c r="D2527" s="81"/>
      <c r="E2527" s="62"/>
      <c r="F2527" s="60"/>
      <c r="G2527" s="62"/>
      <c r="H2527" s="60"/>
    </row>
    <row r="2528" spans="1:8">
      <c r="A2528" s="60"/>
      <c r="B2528" s="77"/>
      <c r="C2528" s="60"/>
      <c r="D2528" s="81"/>
      <c r="E2528" s="62"/>
      <c r="F2528" s="60"/>
      <c r="G2528" s="62"/>
      <c r="H2528" s="60"/>
    </row>
    <row r="2529" spans="1:8">
      <c r="A2529" s="60"/>
      <c r="B2529" s="77"/>
      <c r="C2529" s="60"/>
      <c r="D2529" s="81"/>
      <c r="E2529" s="62"/>
      <c r="F2529" s="60"/>
      <c r="G2529" s="62"/>
      <c r="H2529" s="60"/>
    </row>
    <row r="2530" spans="1:8">
      <c r="A2530" s="60"/>
      <c r="B2530" s="77"/>
      <c r="C2530" s="60"/>
      <c r="D2530" s="81"/>
      <c r="E2530" s="62"/>
      <c r="F2530" s="60"/>
      <c r="G2530" s="62"/>
      <c r="H2530" s="60"/>
    </row>
    <row r="2531" spans="1:8">
      <c r="A2531" s="60"/>
      <c r="B2531" s="77"/>
      <c r="C2531" s="60"/>
      <c r="D2531" s="81"/>
      <c r="E2531" s="62"/>
      <c r="F2531" s="60"/>
      <c r="G2531" s="62"/>
      <c r="H2531" s="60"/>
    </row>
    <row r="2532" spans="1:8">
      <c r="A2532" s="60"/>
      <c r="B2532" s="77"/>
      <c r="C2532" s="60"/>
      <c r="D2532" s="81"/>
      <c r="E2532" s="62"/>
      <c r="F2532" s="60"/>
      <c r="G2532" s="62"/>
      <c r="H2532" s="60"/>
    </row>
    <row r="2533" spans="1:8">
      <c r="A2533" s="60"/>
      <c r="B2533" s="77"/>
      <c r="C2533" s="60"/>
      <c r="D2533" s="81"/>
      <c r="E2533" s="62"/>
      <c r="F2533" s="60"/>
      <c r="G2533" s="62"/>
      <c r="H2533" s="60"/>
    </row>
    <row r="2534" spans="1:8">
      <c r="A2534" s="60"/>
      <c r="B2534" s="77"/>
      <c r="C2534" s="60"/>
      <c r="D2534" s="81"/>
      <c r="E2534" s="62"/>
      <c r="F2534" s="60"/>
      <c r="G2534" s="62"/>
      <c r="H2534" s="60"/>
    </row>
    <row r="2535" spans="1:8">
      <c r="A2535" s="60"/>
      <c r="B2535" s="77"/>
      <c r="C2535" s="60"/>
      <c r="D2535" s="81"/>
      <c r="E2535" s="62"/>
      <c r="F2535" s="60"/>
      <c r="G2535" s="62"/>
      <c r="H2535" s="60"/>
    </row>
    <row r="2536" spans="1:8">
      <c r="A2536" s="60"/>
      <c r="B2536" s="77"/>
      <c r="C2536" s="60"/>
      <c r="D2536" s="81"/>
      <c r="E2536" s="62"/>
      <c r="F2536" s="60"/>
      <c r="G2536" s="62"/>
      <c r="H2536" s="60"/>
    </row>
    <row r="2537" spans="1:8">
      <c r="A2537" s="60"/>
      <c r="B2537" s="77"/>
      <c r="C2537" s="60"/>
      <c r="D2537" s="81"/>
      <c r="E2537" s="62"/>
      <c r="F2537" s="60"/>
      <c r="G2537" s="62"/>
      <c r="H2537" s="60"/>
    </row>
    <row r="2538" spans="1:8">
      <c r="A2538" s="60"/>
      <c r="B2538" s="77"/>
      <c r="C2538" s="60"/>
      <c r="D2538" s="81"/>
      <c r="E2538" s="62"/>
      <c r="F2538" s="60"/>
      <c r="G2538" s="62"/>
      <c r="H2538" s="60"/>
    </row>
    <row r="2539" spans="1:8">
      <c r="A2539" s="60"/>
      <c r="B2539" s="77"/>
      <c r="C2539" s="60"/>
      <c r="D2539" s="81"/>
      <c r="E2539" s="62"/>
      <c r="F2539" s="60"/>
      <c r="G2539" s="62"/>
      <c r="H2539" s="60"/>
    </row>
    <row r="2540" spans="1:8">
      <c r="A2540" s="60"/>
      <c r="B2540" s="77"/>
      <c r="C2540" s="60"/>
      <c r="D2540" s="81"/>
      <c r="E2540" s="62"/>
      <c r="F2540" s="60"/>
      <c r="G2540" s="62"/>
      <c r="H2540" s="60"/>
    </row>
    <row r="2541" spans="1:8">
      <c r="A2541" s="60"/>
      <c r="B2541" s="77"/>
      <c r="C2541" s="60"/>
      <c r="D2541" s="81"/>
      <c r="E2541" s="62"/>
      <c r="F2541" s="60"/>
      <c r="G2541" s="62"/>
      <c r="H2541" s="60"/>
    </row>
    <row r="2542" spans="1:8">
      <c r="A2542" s="60"/>
      <c r="B2542" s="77"/>
      <c r="C2542" s="60"/>
      <c r="D2542" s="81"/>
      <c r="E2542" s="62"/>
      <c r="F2542" s="60"/>
      <c r="G2542" s="62"/>
      <c r="H2542" s="60"/>
    </row>
    <row r="2543" spans="1:8">
      <c r="A2543" s="60"/>
      <c r="B2543" s="77"/>
      <c r="C2543" s="60"/>
      <c r="D2543" s="81"/>
      <c r="E2543" s="62"/>
      <c r="F2543" s="60"/>
      <c r="G2543" s="62"/>
      <c r="H2543" s="60"/>
    </row>
    <row r="2544" spans="1:8">
      <c r="A2544" s="60"/>
      <c r="B2544" s="77"/>
      <c r="C2544" s="60"/>
      <c r="D2544" s="81"/>
      <c r="E2544" s="62"/>
      <c r="F2544" s="60"/>
      <c r="G2544" s="62"/>
      <c r="H2544" s="60"/>
    </row>
    <row r="2545" spans="1:8">
      <c r="A2545" s="60"/>
      <c r="B2545" s="77"/>
      <c r="C2545" s="60"/>
      <c r="D2545" s="81"/>
      <c r="E2545" s="62"/>
      <c r="F2545" s="60"/>
      <c r="G2545" s="62"/>
      <c r="H2545" s="60"/>
    </row>
    <row r="2546" spans="1:8">
      <c r="A2546" s="60"/>
      <c r="B2546" s="77"/>
      <c r="C2546" s="60"/>
      <c r="D2546" s="81"/>
      <c r="E2546" s="62"/>
      <c r="F2546" s="60"/>
      <c r="G2546" s="62"/>
      <c r="H2546" s="60"/>
    </row>
    <row r="2547" spans="1:8">
      <c r="A2547" s="60"/>
      <c r="B2547" s="77"/>
      <c r="C2547" s="60"/>
      <c r="D2547" s="81"/>
      <c r="E2547" s="62"/>
      <c r="F2547" s="60"/>
      <c r="G2547" s="62"/>
      <c r="H2547" s="60"/>
    </row>
    <row r="2548" spans="1:8">
      <c r="A2548" s="60"/>
      <c r="B2548" s="77"/>
      <c r="C2548" s="60"/>
      <c r="D2548" s="81"/>
      <c r="E2548" s="62"/>
      <c r="F2548" s="60"/>
      <c r="G2548" s="62"/>
      <c r="H2548" s="60"/>
    </row>
    <row r="2549" spans="1:8">
      <c r="A2549" s="60"/>
      <c r="B2549" s="77"/>
      <c r="C2549" s="60"/>
      <c r="D2549" s="81"/>
      <c r="E2549" s="62"/>
      <c r="F2549" s="60"/>
      <c r="G2549" s="62"/>
      <c r="H2549" s="60"/>
    </row>
    <row r="2550" spans="1:8">
      <c r="A2550" s="60"/>
      <c r="B2550" s="77"/>
      <c r="C2550" s="60"/>
      <c r="D2550" s="81"/>
      <c r="E2550" s="62"/>
      <c r="F2550" s="60"/>
      <c r="G2550" s="62"/>
      <c r="H2550" s="60"/>
    </row>
    <row r="2551" spans="1:8">
      <c r="A2551" s="60"/>
      <c r="B2551" s="77"/>
      <c r="C2551" s="60"/>
      <c r="D2551" s="81"/>
      <c r="E2551" s="62"/>
      <c r="F2551" s="60"/>
      <c r="G2551" s="62"/>
      <c r="H2551" s="60"/>
    </row>
    <row r="2552" spans="1:8">
      <c r="A2552" s="60"/>
      <c r="B2552" s="77"/>
      <c r="C2552" s="60"/>
      <c r="D2552" s="81"/>
      <c r="E2552" s="62"/>
      <c r="F2552" s="60"/>
      <c r="G2552" s="62"/>
      <c r="H2552" s="60"/>
    </row>
    <row r="2553" spans="1:8">
      <c r="A2553" s="60"/>
      <c r="B2553" s="77"/>
      <c r="C2553" s="60"/>
      <c r="D2553" s="81"/>
      <c r="E2553" s="62"/>
      <c r="F2553" s="60"/>
      <c r="G2553" s="62"/>
      <c r="H2553" s="60"/>
    </row>
    <row r="2554" spans="1:8">
      <c r="A2554" s="60"/>
      <c r="B2554" s="77"/>
      <c r="C2554" s="60"/>
      <c r="D2554" s="81"/>
      <c r="E2554" s="62"/>
      <c r="F2554" s="60"/>
      <c r="G2554" s="62"/>
      <c r="H2554" s="60"/>
    </row>
    <row r="2555" spans="1:8">
      <c r="A2555" s="60"/>
      <c r="B2555" s="77"/>
      <c r="C2555" s="60"/>
      <c r="D2555" s="81"/>
      <c r="E2555" s="62"/>
      <c r="F2555" s="60"/>
      <c r="G2555" s="62"/>
      <c r="H2555" s="60"/>
    </row>
    <row r="2556" spans="1:8">
      <c r="A2556" s="60"/>
      <c r="B2556" s="77"/>
      <c r="C2556" s="60"/>
      <c r="D2556" s="81"/>
      <c r="E2556" s="62"/>
      <c r="F2556" s="60"/>
      <c r="G2556" s="62"/>
      <c r="H2556" s="60"/>
    </row>
    <row r="2557" spans="1:8">
      <c r="A2557" s="60"/>
      <c r="B2557" s="77"/>
      <c r="C2557" s="60"/>
      <c r="D2557" s="81"/>
      <c r="E2557" s="62"/>
      <c r="F2557" s="60"/>
      <c r="G2557" s="62"/>
      <c r="H2557" s="60"/>
    </row>
    <row r="2558" spans="1:8">
      <c r="A2558" s="60"/>
      <c r="B2558" s="77"/>
      <c r="C2558" s="60"/>
      <c r="D2558" s="81"/>
      <c r="E2558" s="62"/>
      <c r="F2558" s="60"/>
      <c r="G2558" s="62"/>
      <c r="H2558" s="60"/>
    </row>
    <row r="2559" spans="1:8">
      <c r="A2559" s="60"/>
      <c r="B2559" s="77"/>
      <c r="C2559" s="60"/>
      <c r="D2559" s="81"/>
      <c r="E2559" s="62"/>
      <c r="F2559" s="60"/>
      <c r="G2559" s="62"/>
      <c r="H2559" s="60"/>
    </row>
    <row r="2560" spans="1:8">
      <c r="A2560" s="60"/>
      <c r="B2560" s="77"/>
      <c r="C2560" s="60"/>
      <c r="D2560" s="81"/>
      <c r="E2560" s="62"/>
      <c r="F2560" s="60"/>
      <c r="G2560" s="62"/>
      <c r="H2560" s="60"/>
    </row>
    <row r="2561" spans="1:8">
      <c r="A2561" s="60"/>
      <c r="B2561" s="77"/>
      <c r="C2561" s="60"/>
      <c r="D2561" s="81"/>
      <c r="E2561" s="62"/>
      <c r="F2561" s="60"/>
      <c r="G2561" s="62"/>
      <c r="H2561" s="60"/>
    </row>
    <row r="2562" spans="1:8">
      <c r="A2562" s="60"/>
      <c r="B2562" s="77"/>
      <c r="C2562" s="60"/>
      <c r="D2562" s="81"/>
      <c r="E2562" s="62"/>
      <c r="F2562" s="60"/>
      <c r="G2562" s="62"/>
      <c r="H2562" s="60"/>
    </row>
    <row r="2563" spans="1:8">
      <c r="A2563" s="60"/>
      <c r="B2563" s="77"/>
      <c r="C2563" s="60"/>
      <c r="D2563" s="81"/>
      <c r="E2563" s="62"/>
      <c r="F2563" s="60"/>
      <c r="G2563" s="62"/>
      <c r="H2563" s="60"/>
    </row>
    <row r="2564" spans="1:8">
      <c r="A2564" s="60"/>
      <c r="B2564" s="77"/>
      <c r="C2564" s="60"/>
      <c r="D2564" s="81"/>
      <c r="E2564" s="62"/>
      <c r="F2564" s="60"/>
      <c r="G2564" s="62"/>
      <c r="H2564" s="60"/>
    </row>
    <row r="2565" spans="1:8">
      <c r="A2565" s="60"/>
      <c r="B2565" s="77"/>
      <c r="C2565" s="60"/>
      <c r="D2565" s="81"/>
      <c r="E2565" s="62"/>
      <c r="F2565" s="60"/>
      <c r="G2565" s="62"/>
      <c r="H2565" s="60"/>
    </row>
    <row r="2566" spans="1:8">
      <c r="A2566" s="60"/>
      <c r="B2566" s="77"/>
      <c r="C2566" s="60"/>
      <c r="D2566" s="81"/>
      <c r="E2566" s="62"/>
      <c r="F2566" s="60"/>
      <c r="G2566" s="62"/>
      <c r="H2566" s="60"/>
    </row>
    <row r="2567" spans="1:8">
      <c r="A2567" s="60"/>
      <c r="B2567" s="77"/>
      <c r="C2567" s="60"/>
      <c r="D2567" s="81"/>
      <c r="E2567" s="62"/>
      <c r="F2567" s="60"/>
      <c r="G2567" s="62"/>
      <c r="H2567" s="60"/>
    </row>
    <row r="2568" spans="1:8">
      <c r="A2568" s="60"/>
      <c r="B2568" s="77"/>
      <c r="C2568" s="60"/>
      <c r="D2568" s="81"/>
      <c r="E2568" s="62"/>
      <c r="F2568" s="60"/>
      <c r="G2568" s="62"/>
      <c r="H2568" s="60"/>
    </row>
    <row r="2569" spans="1:8">
      <c r="A2569" s="60"/>
      <c r="B2569" s="77"/>
      <c r="C2569" s="60"/>
      <c r="D2569" s="81"/>
      <c r="E2569" s="62"/>
      <c r="F2569" s="60"/>
      <c r="G2569" s="62"/>
      <c r="H2569" s="60"/>
    </row>
    <row r="2570" spans="1:8">
      <c r="A2570" s="60"/>
      <c r="B2570" s="77"/>
      <c r="C2570" s="60"/>
      <c r="D2570" s="81"/>
      <c r="E2570" s="62"/>
      <c r="F2570" s="60"/>
      <c r="G2570" s="62"/>
      <c r="H2570" s="60"/>
    </row>
    <row r="2571" spans="1:8">
      <c r="A2571" s="60"/>
      <c r="B2571" s="77"/>
      <c r="C2571" s="60"/>
      <c r="D2571" s="81"/>
      <c r="E2571" s="62"/>
      <c r="F2571" s="60"/>
      <c r="G2571" s="62"/>
      <c r="H2571" s="60"/>
    </row>
    <row r="2572" spans="1:8">
      <c r="A2572" s="60"/>
      <c r="B2572" s="77"/>
      <c r="C2572" s="60"/>
      <c r="D2572" s="81"/>
      <c r="E2572" s="62"/>
      <c r="F2572" s="60"/>
      <c r="G2572" s="62"/>
      <c r="H2572" s="60"/>
    </row>
    <row r="2573" spans="1:8">
      <c r="A2573" s="60"/>
      <c r="B2573" s="77"/>
      <c r="C2573" s="60"/>
      <c r="D2573" s="81"/>
      <c r="E2573" s="62"/>
      <c r="F2573" s="60"/>
      <c r="G2573" s="62"/>
      <c r="H2573" s="60"/>
    </row>
    <row r="2574" spans="1:8">
      <c r="A2574" s="60"/>
      <c r="B2574" s="77"/>
      <c r="C2574" s="60"/>
      <c r="D2574" s="81"/>
      <c r="E2574" s="62"/>
      <c r="F2574" s="60"/>
      <c r="G2574" s="62"/>
      <c r="H2574" s="60"/>
    </row>
    <row r="2575" spans="1:8">
      <c r="A2575" s="60"/>
      <c r="B2575" s="77"/>
      <c r="C2575" s="60"/>
      <c r="D2575" s="81"/>
      <c r="E2575" s="62"/>
      <c r="F2575" s="60"/>
      <c r="G2575" s="62"/>
      <c r="H2575" s="60"/>
    </row>
    <row r="2576" spans="1:8">
      <c r="A2576" s="60"/>
      <c r="B2576" s="77"/>
      <c r="C2576" s="60"/>
      <c r="D2576" s="81"/>
      <c r="E2576" s="62"/>
      <c r="F2576" s="60"/>
      <c r="G2576" s="62"/>
      <c r="H2576" s="60"/>
    </row>
    <row r="2577" spans="1:8">
      <c r="A2577" s="60"/>
      <c r="B2577" s="77"/>
      <c r="C2577" s="60"/>
      <c r="D2577" s="81"/>
      <c r="E2577" s="62"/>
      <c r="F2577" s="60"/>
      <c r="G2577" s="62"/>
      <c r="H2577" s="60"/>
    </row>
    <row r="2578" spans="1:8">
      <c r="A2578" s="60"/>
      <c r="B2578" s="77"/>
      <c r="C2578" s="60"/>
      <c r="D2578" s="81"/>
      <c r="E2578" s="62"/>
      <c r="F2578" s="60"/>
      <c r="G2578" s="62"/>
      <c r="H2578" s="60"/>
    </row>
    <row r="2579" spans="1:8">
      <c r="A2579" s="60"/>
      <c r="B2579" s="77"/>
      <c r="C2579" s="60"/>
      <c r="D2579" s="81"/>
      <c r="E2579" s="62"/>
      <c r="F2579" s="60"/>
      <c r="G2579" s="62"/>
      <c r="H2579" s="60"/>
    </row>
    <row r="2580" spans="1:8">
      <c r="A2580" s="60"/>
      <c r="B2580" s="77"/>
      <c r="C2580" s="60"/>
      <c r="D2580" s="81"/>
      <c r="E2580" s="62"/>
      <c r="F2580" s="60"/>
      <c r="G2580" s="62"/>
      <c r="H2580" s="60"/>
    </row>
    <row r="2581" spans="1:8">
      <c r="A2581" s="60"/>
      <c r="B2581" s="77"/>
      <c r="C2581" s="60"/>
      <c r="D2581" s="81"/>
      <c r="E2581" s="62"/>
      <c r="F2581" s="60"/>
      <c r="G2581" s="62"/>
      <c r="H2581" s="60"/>
    </row>
    <row r="2582" spans="1:8">
      <c r="A2582" s="60"/>
      <c r="B2582" s="77"/>
      <c r="C2582" s="60"/>
      <c r="D2582" s="81"/>
      <c r="E2582" s="62"/>
      <c r="F2582" s="60"/>
      <c r="G2582" s="62"/>
      <c r="H2582" s="60"/>
    </row>
    <row r="2583" spans="1:8">
      <c r="A2583" s="60"/>
      <c r="B2583" s="77"/>
      <c r="C2583" s="60"/>
      <c r="D2583" s="81"/>
      <c r="E2583" s="62"/>
      <c r="F2583" s="60"/>
      <c r="G2583" s="62"/>
      <c r="H2583" s="60"/>
    </row>
    <row r="2584" spans="1:8">
      <c r="A2584" s="60"/>
      <c r="B2584" s="77"/>
      <c r="C2584" s="60"/>
      <c r="D2584" s="81"/>
      <c r="E2584" s="62"/>
      <c r="F2584" s="60"/>
      <c r="G2584" s="62"/>
      <c r="H2584" s="60"/>
    </row>
    <row r="2585" spans="1:8">
      <c r="A2585" s="60"/>
      <c r="B2585" s="77"/>
      <c r="C2585" s="60"/>
      <c r="D2585" s="81"/>
      <c r="E2585" s="62"/>
      <c r="F2585" s="60"/>
      <c r="G2585" s="62"/>
      <c r="H2585" s="60"/>
    </row>
    <row r="2586" spans="1:8">
      <c r="A2586" s="60"/>
      <c r="B2586" s="77"/>
      <c r="C2586" s="60"/>
      <c r="D2586" s="81"/>
      <c r="E2586" s="62"/>
      <c r="F2586" s="60"/>
      <c r="G2586" s="62"/>
      <c r="H2586" s="60"/>
    </row>
    <row r="2587" spans="1:8">
      <c r="A2587" s="60"/>
      <c r="B2587" s="77"/>
      <c r="C2587" s="60"/>
      <c r="D2587" s="81"/>
      <c r="E2587" s="62"/>
      <c r="F2587" s="60"/>
      <c r="G2587" s="62"/>
      <c r="H2587" s="60"/>
    </row>
    <row r="2588" spans="1:8">
      <c r="A2588" s="60"/>
      <c r="B2588" s="77"/>
      <c r="C2588" s="60"/>
      <c r="D2588" s="81"/>
      <c r="E2588" s="62"/>
      <c r="F2588" s="60"/>
      <c r="G2588" s="62"/>
      <c r="H2588" s="60"/>
    </row>
    <row r="2589" spans="1:8">
      <c r="A2589" s="60"/>
      <c r="B2589" s="77"/>
      <c r="C2589" s="60"/>
      <c r="D2589" s="81"/>
      <c r="E2589" s="62"/>
      <c r="F2589" s="60"/>
      <c r="G2589" s="62"/>
      <c r="H2589" s="60"/>
    </row>
    <row r="2590" spans="1:8">
      <c r="A2590" s="60"/>
      <c r="B2590" s="77"/>
      <c r="C2590" s="60"/>
      <c r="D2590" s="81"/>
      <c r="E2590" s="62"/>
      <c r="F2590" s="60"/>
      <c r="G2590" s="62"/>
      <c r="H2590" s="60"/>
    </row>
    <row r="2591" spans="1:8">
      <c r="A2591" s="60"/>
      <c r="B2591" s="77"/>
      <c r="C2591" s="60"/>
      <c r="D2591" s="81"/>
      <c r="E2591" s="62"/>
      <c r="F2591" s="60"/>
      <c r="G2591" s="62"/>
      <c r="H2591" s="60"/>
    </row>
    <row r="2592" spans="1:8">
      <c r="A2592" s="60"/>
      <c r="B2592" s="77"/>
      <c r="C2592" s="60"/>
      <c r="D2592" s="81"/>
      <c r="E2592" s="62"/>
      <c r="F2592" s="60"/>
      <c r="G2592" s="62"/>
      <c r="H2592" s="60"/>
    </row>
    <row r="2593" spans="1:8">
      <c r="A2593" s="60"/>
      <c r="B2593" s="77"/>
      <c r="C2593" s="60"/>
      <c r="D2593" s="81"/>
      <c r="E2593" s="62"/>
      <c r="F2593" s="60"/>
      <c r="G2593" s="62"/>
      <c r="H2593" s="60"/>
    </row>
    <row r="2594" spans="1:8">
      <c r="A2594" s="60"/>
      <c r="B2594" s="77"/>
      <c r="C2594" s="60"/>
      <c r="D2594" s="81"/>
      <c r="E2594" s="62"/>
      <c r="F2594" s="60"/>
      <c r="G2594" s="62"/>
      <c r="H2594" s="60"/>
    </row>
    <row r="2595" spans="1:8">
      <c r="A2595" s="60"/>
      <c r="B2595" s="77"/>
      <c r="C2595" s="60"/>
      <c r="D2595" s="81"/>
      <c r="E2595" s="62"/>
      <c r="F2595" s="60"/>
      <c r="G2595" s="62"/>
      <c r="H2595" s="60"/>
    </row>
    <row r="2596" spans="1:8">
      <c r="A2596" s="60"/>
      <c r="B2596" s="77"/>
      <c r="C2596" s="60"/>
      <c r="D2596" s="81"/>
      <c r="E2596" s="62"/>
      <c r="F2596" s="60"/>
      <c r="G2596" s="62"/>
      <c r="H2596" s="60"/>
    </row>
    <row r="2597" spans="1:8">
      <c r="A2597" s="60"/>
      <c r="B2597" s="77"/>
      <c r="C2597" s="60"/>
      <c r="D2597" s="81"/>
      <c r="E2597" s="62"/>
      <c r="F2597" s="60"/>
      <c r="G2597" s="62"/>
      <c r="H2597" s="60"/>
    </row>
    <row r="2598" spans="1:8">
      <c r="A2598" s="60"/>
      <c r="B2598" s="77"/>
      <c r="C2598" s="60"/>
      <c r="D2598" s="81"/>
      <c r="E2598" s="62"/>
      <c r="F2598" s="60"/>
      <c r="G2598" s="62"/>
      <c r="H2598" s="60"/>
    </row>
    <row r="2599" spans="1:8">
      <c r="A2599" s="60"/>
      <c r="B2599" s="77"/>
      <c r="C2599" s="60"/>
      <c r="D2599" s="81"/>
      <c r="E2599" s="62"/>
      <c r="F2599" s="60"/>
      <c r="G2599" s="62"/>
      <c r="H2599" s="60"/>
    </row>
    <row r="2600" spans="1:8">
      <c r="A2600" s="60"/>
      <c r="B2600" s="77"/>
      <c r="C2600" s="60"/>
      <c r="D2600" s="81"/>
      <c r="E2600" s="62"/>
      <c r="F2600" s="60"/>
      <c r="G2600" s="62"/>
      <c r="H2600" s="60"/>
    </row>
    <row r="2601" spans="1:8">
      <c r="A2601" s="60"/>
      <c r="B2601" s="77"/>
      <c r="C2601" s="60"/>
      <c r="D2601" s="81"/>
      <c r="E2601" s="62"/>
      <c r="F2601" s="60"/>
      <c r="G2601" s="62"/>
      <c r="H2601" s="60"/>
    </row>
    <row r="2602" spans="1:8">
      <c r="A2602" s="60"/>
      <c r="B2602" s="77"/>
      <c r="C2602" s="60"/>
      <c r="D2602" s="81"/>
      <c r="E2602" s="62"/>
      <c r="F2602" s="60"/>
      <c r="G2602" s="62"/>
      <c r="H2602" s="60"/>
    </row>
    <row r="2603" spans="1:8">
      <c r="A2603" s="60"/>
      <c r="B2603" s="77"/>
      <c r="C2603" s="60"/>
      <c r="D2603" s="81"/>
      <c r="E2603" s="62"/>
      <c r="F2603" s="60"/>
      <c r="G2603" s="62"/>
      <c r="H2603" s="60"/>
    </row>
    <row r="2604" spans="1:8">
      <c r="A2604" s="60"/>
      <c r="B2604" s="77"/>
      <c r="C2604" s="60"/>
      <c r="D2604" s="81"/>
      <c r="E2604" s="62"/>
      <c r="F2604" s="60"/>
      <c r="G2604" s="62"/>
      <c r="H2604" s="60"/>
    </row>
    <row r="2605" spans="1:8">
      <c r="A2605" s="60"/>
      <c r="B2605" s="77"/>
      <c r="C2605" s="60"/>
      <c r="D2605" s="81"/>
      <c r="E2605" s="62"/>
      <c r="F2605" s="60"/>
      <c r="G2605" s="62"/>
      <c r="H2605" s="60"/>
    </row>
    <row r="2606" spans="1:8">
      <c r="A2606" s="60"/>
      <c r="B2606" s="77"/>
      <c r="C2606" s="60"/>
      <c r="D2606" s="81"/>
      <c r="E2606" s="62"/>
      <c r="F2606" s="60"/>
      <c r="G2606" s="62"/>
      <c r="H2606" s="60"/>
    </row>
    <row r="2607" spans="1:8">
      <c r="A2607" s="60"/>
      <c r="B2607" s="77"/>
      <c r="C2607" s="60"/>
      <c r="D2607" s="81"/>
      <c r="E2607" s="62"/>
      <c r="F2607" s="60"/>
      <c r="G2607" s="62"/>
      <c r="H2607" s="60"/>
    </row>
    <row r="2608" spans="1:8">
      <c r="A2608" s="60"/>
      <c r="B2608" s="77"/>
      <c r="C2608" s="60"/>
      <c r="D2608" s="81"/>
      <c r="E2608" s="62"/>
      <c r="F2608" s="60"/>
      <c r="G2608" s="62"/>
      <c r="H2608" s="60"/>
    </row>
    <row r="2609" spans="1:8">
      <c r="A2609" s="60"/>
      <c r="B2609" s="77"/>
      <c r="C2609" s="60"/>
      <c r="D2609" s="81"/>
      <c r="E2609" s="62"/>
      <c r="F2609" s="60"/>
      <c r="G2609" s="62"/>
      <c r="H2609" s="60"/>
    </row>
    <row r="2610" spans="1:8">
      <c r="A2610" s="60"/>
      <c r="B2610" s="77"/>
      <c r="C2610" s="60"/>
      <c r="D2610" s="81"/>
      <c r="E2610" s="62"/>
      <c r="F2610" s="60"/>
      <c r="G2610" s="62"/>
      <c r="H2610" s="60"/>
    </row>
    <row r="2611" spans="1:8">
      <c r="A2611" s="60"/>
      <c r="B2611" s="77"/>
      <c r="C2611" s="60"/>
      <c r="D2611" s="81"/>
      <c r="E2611" s="62"/>
      <c r="F2611" s="60"/>
      <c r="G2611" s="62"/>
      <c r="H2611" s="60"/>
    </row>
    <row r="2612" spans="1:8">
      <c r="A2612" s="60"/>
      <c r="B2612" s="77"/>
      <c r="C2612" s="60"/>
      <c r="D2612" s="81"/>
      <c r="E2612" s="62"/>
      <c r="F2612" s="60"/>
      <c r="G2612" s="62"/>
      <c r="H2612" s="60"/>
    </row>
    <row r="2613" spans="1:8">
      <c r="A2613" s="60"/>
      <c r="B2613" s="77"/>
      <c r="C2613" s="60"/>
      <c r="D2613" s="81"/>
      <c r="E2613" s="62"/>
      <c r="F2613" s="60"/>
      <c r="G2613" s="62"/>
      <c r="H2613" s="60"/>
    </row>
    <row r="2614" spans="1:8">
      <c r="A2614" s="60"/>
      <c r="B2614" s="77"/>
      <c r="C2614" s="60"/>
      <c r="D2614" s="81"/>
      <c r="E2614" s="62"/>
      <c r="F2614" s="60"/>
      <c r="G2614" s="62"/>
      <c r="H2614" s="60"/>
    </row>
    <row r="2615" spans="1:8">
      <c r="A2615" s="60"/>
      <c r="B2615" s="77"/>
      <c r="C2615" s="60"/>
      <c r="D2615" s="81"/>
      <c r="E2615" s="62"/>
      <c r="F2615" s="60"/>
      <c r="G2615" s="62"/>
      <c r="H2615" s="60"/>
    </row>
    <row r="2616" spans="1:8">
      <c r="A2616" s="60"/>
      <c r="B2616" s="77"/>
      <c r="C2616" s="60"/>
      <c r="D2616" s="81"/>
      <c r="E2616" s="62"/>
      <c r="F2616" s="60"/>
      <c r="G2616" s="62"/>
      <c r="H2616" s="60"/>
    </row>
    <row r="2617" spans="1:8">
      <c r="A2617" s="60"/>
      <c r="B2617" s="77"/>
      <c r="C2617" s="60"/>
      <c r="D2617" s="81"/>
      <c r="E2617" s="62"/>
      <c r="F2617" s="60"/>
      <c r="G2617" s="62"/>
      <c r="H2617" s="60"/>
    </row>
    <row r="2618" spans="1:8">
      <c r="A2618" s="60"/>
      <c r="B2618" s="77"/>
      <c r="C2618" s="60"/>
      <c r="D2618" s="81"/>
      <c r="E2618" s="62"/>
      <c r="F2618" s="60"/>
      <c r="G2618" s="62"/>
      <c r="H2618" s="60"/>
    </row>
    <row r="2619" spans="1:8">
      <c r="A2619" s="60"/>
      <c r="B2619" s="77"/>
      <c r="C2619" s="60"/>
      <c r="D2619" s="81"/>
      <c r="E2619" s="62"/>
      <c r="F2619" s="60"/>
      <c r="G2619" s="62"/>
      <c r="H2619" s="60"/>
    </row>
    <row r="2620" spans="1:8">
      <c r="A2620" s="60"/>
      <c r="B2620" s="77"/>
      <c r="C2620" s="60"/>
      <c r="D2620" s="81"/>
      <c r="E2620" s="62"/>
      <c r="F2620" s="60"/>
      <c r="G2620" s="62"/>
      <c r="H2620" s="60"/>
    </row>
    <row r="2621" spans="1:8">
      <c r="A2621" s="60"/>
      <c r="B2621" s="77"/>
      <c r="C2621" s="60"/>
      <c r="D2621" s="81"/>
      <c r="E2621" s="62"/>
      <c r="F2621" s="60"/>
      <c r="G2621" s="62"/>
      <c r="H2621" s="60"/>
    </row>
    <row r="2622" spans="1:8">
      <c r="A2622" s="60"/>
      <c r="B2622" s="77"/>
      <c r="C2622" s="60"/>
      <c r="D2622" s="81"/>
      <c r="E2622" s="62"/>
      <c r="F2622" s="60"/>
      <c r="G2622" s="62"/>
      <c r="H2622" s="60"/>
    </row>
    <row r="2623" spans="1:8">
      <c r="A2623" s="60"/>
      <c r="B2623" s="77"/>
      <c r="C2623" s="60"/>
      <c r="D2623" s="81"/>
      <c r="E2623" s="62"/>
      <c r="F2623" s="60"/>
      <c r="G2623" s="62"/>
      <c r="H2623" s="60"/>
    </row>
    <row r="2624" spans="1:8">
      <c r="A2624" s="60"/>
      <c r="B2624" s="77"/>
      <c r="C2624" s="60"/>
      <c r="D2624" s="81"/>
      <c r="E2624" s="62"/>
      <c r="F2624" s="60"/>
      <c r="G2624" s="62"/>
      <c r="H2624" s="60"/>
    </row>
    <row r="2625" spans="1:8">
      <c r="A2625" s="60"/>
      <c r="B2625" s="77"/>
      <c r="C2625" s="60"/>
      <c r="D2625" s="81"/>
      <c r="E2625" s="62"/>
      <c r="F2625" s="60"/>
      <c r="G2625" s="62"/>
      <c r="H2625" s="60"/>
    </row>
    <row r="2626" spans="1:8">
      <c r="A2626" s="60"/>
      <c r="B2626" s="77"/>
      <c r="C2626" s="60"/>
      <c r="D2626" s="81"/>
      <c r="E2626" s="62"/>
      <c r="F2626" s="60"/>
      <c r="G2626" s="62"/>
      <c r="H2626" s="60"/>
    </row>
    <row r="2627" spans="1:8">
      <c r="A2627" s="60"/>
      <c r="B2627" s="77"/>
      <c r="C2627" s="60"/>
      <c r="D2627" s="81"/>
      <c r="E2627" s="62"/>
      <c r="F2627" s="60"/>
      <c r="G2627" s="62"/>
      <c r="H2627" s="60"/>
    </row>
    <row r="2628" spans="1:8">
      <c r="A2628" s="60"/>
      <c r="B2628" s="77"/>
      <c r="C2628" s="60"/>
      <c r="D2628" s="81"/>
      <c r="E2628" s="62"/>
      <c r="F2628" s="60"/>
      <c r="G2628" s="62"/>
      <c r="H2628" s="60"/>
    </row>
    <row r="2629" spans="1:8">
      <c r="A2629" s="60"/>
      <c r="B2629" s="77"/>
      <c r="C2629" s="60"/>
      <c r="D2629" s="81"/>
      <c r="E2629" s="62"/>
      <c r="F2629" s="60"/>
      <c r="G2629" s="62"/>
      <c r="H2629" s="60"/>
    </row>
    <row r="2630" spans="1:8">
      <c r="A2630" s="60"/>
      <c r="B2630" s="77"/>
      <c r="C2630" s="60"/>
      <c r="D2630" s="81"/>
      <c r="E2630" s="62"/>
      <c r="F2630" s="60"/>
      <c r="G2630" s="62"/>
      <c r="H2630" s="60"/>
    </row>
    <row r="2631" spans="1:8">
      <c r="A2631" s="60"/>
      <c r="B2631" s="77"/>
      <c r="C2631" s="60"/>
      <c r="D2631" s="81"/>
      <c r="E2631" s="62"/>
      <c r="F2631" s="60"/>
      <c r="G2631" s="62"/>
      <c r="H2631" s="60"/>
    </row>
    <row r="2632" spans="1:8">
      <c r="A2632" s="60"/>
      <c r="B2632" s="77"/>
      <c r="C2632" s="60"/>
      <c r="D2632" s="81"/>
      <c r="E2632" s="62"/>
      <c r="F2632" s="60"/>
      <c r="G2632" s="62"/>
      <c r="H2632" s="60"/>
    </row>
    <row r="2633" spans="1:8">
      <c r="A2633" s="60"/>
      <c r="B2633" s="77"/>
      <c r="C2633" s="60"/>
      <c r="D2633" s="81"/>
      <c r="E2633" s="62"/>
      <c r="F2633" s="60"/>
      <c r="G2633" s="62"/>
      <c r="H2633" s="60"/>
    </row>
    <row r="2634" spans="1:8">
      <c r="A2634" s="60"/>
      <c r="B2634" s="77"/>
      <c r="C2634" s="60"/>
      <c r="D2634" s="81"/>
      <c r="E2634" s="62"/>
      <c r="F2634" s="60"/>
      <c r="G2634" s="62"/>
      <c r="H2634" s="60"/>
    </row>
    <row r="2635" spans="1:8">
      <c r="A2635" s="60"/>
      <c r="B2635" s="77"/>
      <c r="C2635" s="60"/>
      <c r="D2635" s="81"/>
      <c r="E2635" s="62"/>
      <c r="F2635" s="60"/>
      <c r="G2635" s="62"/>
      <c r="H2635" s="60"/>
    </row>
    <row r="2636" spans="1:8">
      <c r="A2636" s="60"/>
      <c r="B2636" s="77"/>
      <c r="C2636" s="60"/>
      <c r="D2636" s="81"/>
      <c r="E2636" s="62"/>
      <c r="F2636" s="60"/>
      <c r="G2636" s="62"/>
      <c r="H2636" s="60"/>
    </row>
    <row r="2637" spans="1:8">
      <c r="A2637" s="60"/>
      <c r="B2637" s="77"/>
      <c r="C2637" s="60"/>
      <c r="D2637" s="81"/>
      <c r="E2637" s="62"/>
      <c r="F2637" s="60"/>
      <c r="G2637" s="62"/>
      <c r="H2637" s="60"/>
    </row>
    <row r="2638" spans="1:8">
      <c r="A2638" s="60"/>
      <c r="B2638" s="77"/>
      <c r="C2638" s="60"/>
      <c r="D2638" s="81"/>
      <c r="E2638" s="62"/>
      <c r="F2638" s="60"/>
      <c r="G2638" s="62"/>
      <c r="H2638" s="60"/>
    </row>
    <row r="2639" spans="1:8">
      <c r="A2639" s="60"/>
      <c r="B2639" s="77"/>
      <c r="C2639" s="60"/>
      <c r="D2639" s="81"/>
      <c r="E2639" s="62"/>
      <c r="F2639" s="60"/>
      <c r="G2639" s="62"/>
      <c r="H2639" s="60"/>
    </row>
    <row r="2640" spans="1:8">
      <c r="A2640" s="60"/>
      <c r="B2640" s="77"/>
      <c r="C2640" s="60"/>
      <c r="D2640" s="81"/>
      <c r="E2640" s="62"/>
      <c r="F2640" s="60"/>
      <c r="G2640" s="62"/>
      <c r="H2640" s="60"/>
    </row>
    <row r="2641" spans="1:8">
      <c r="A2641" s="60"/>
      <c r="B2641" s="77"/>
      <c r="C2641" s="60"/>
      <c r="D2641" s="81"/>
      <c r="E2641" s="62"/>
      <c r="F2641" s="60"/>
      <c r="G2641" s="62"/>
      <c r="H2641" s="60"/>
    </row>
    <row r="2642" spans="1:8">
      <c r="A2642" s="60"/>
      <c r="B2642" s="77"/>
      <c r="C2642" s="60"/>
      <c r="D2642" s="81"/>
      <c r="E2642" s="62"/>
      <c r="F2642" s="60"/>
      <c r="G2642" s="62"/>
      <c r="H2642" s="60"/>
    </row>
    <row r="2643" spans="1:8">
      <c r="A2643" s="60"/>
      <c r="B2643" s="77"/>
      <c r="C2643" s="60"/>
      <c r="D2643" s="81"/>
      <c r="E2643" s="62"/>
      <c r="F2643" s="60"/>
      <c r="G2643" s="62"/>
      <c r="H2643" s="60"/>
    </row>
    <row r="2644" spans="1:8">
      <c r="A2644" s="60"/>
      <c r="B2644" s="77"/>
      <c r="C2644" s="60"/>
      <c r="D2644" s="81"/>
      <c r="E2644" s="62"/>
      <c r="F2644" s="60"/>
      <c r="G2644" s="62"/>
      <c r="H2644" s="60"/>
    </row>
    <row r="2645" spans="1:8">
      <c r="A2645" s="60"/>
      <c r="B2645" s="77"/>
      <c r="C2645" s="60"/>
      <c r="D2645" s="81"/>
      <c r="E2645" s="62"/>
      <c r="F2645" s="60"/>
      <c r="G2645" s="62"/>
      <c r="H2645" s="60"/>
    </row>
    <row r="2646" spans="1:8">
      <c r="A2646" s="60"/>
      <c r="B2646" s="77"/>
      <c r="C2646" s="60"/>
      <c r="D2646" s="81"/>
      <c r="E2646" s="62"/>
      <c r="F2646" s="60"/>
      <c r="G2646" s="62"/>
      <c r="H2646" s="60"/>
    </row>
    <row r="2647" spans="1:8">
      <c r="A2647" s="60"/>
      <c r="B2647" s="77"/>
      <c r="C2647" s="60"/>
      <c r="D2647" s="81"/>
      <c r="E2647" s="62"/>
      <c r="F2647" s="60"/>
      <c r="G2647" s="62"/>
      <c r="H2647" s="60"/>
    </row>
    <row r="2648" spans="1:8">
      <c r="A2648" s="60"/>
      <c r="B2648" s="77"/>
      <c r="C2648" s="60"/>
      <c r="D2648" s="81"/>
      <c r="E2648" s="62"/>
      <c r="F2648" s="60"/>
      <c r="G2648" s="62"/>
      <c r="H2648" s="60"/>
    </row>
    <row r="2649" spans="1:8">
      <c r="A2649" s="60"/>
      <c r="B2649" s="77"/>
      <c r="C2649" s="60"/>
      <c r="D2649" s="81"/>
      <c r="E2649" s="62"/>
      <c r="F2649" s="60"/>
      <c r="G2649" s="62"/>
      <c r="H2649" s="60"/>
    </row>
    <row r="2650" spans="1:8">
      <c r="A2650" s="60"/>
      <c r="B2650" s="77"/>
      <c r="C2650" s="60"/>
      <c r="D2650" s="81"/>
      <c r="E2650" s="62"/>
      <c r="F2650" s="60"/>
      <c r="G2650" s="62"/>
      <c r="H2650" s="60"/>
    </row>
    <row r="2651" spans="1:8">
      <c r="A2651" s="60"/>
      <c r="B2651" s="77"/>
      <c r="C2651" s="60"/>
      <c r="D2651" s="81"/>
      <c r="E2651" s="62"/>
      <c r="F2651" s="60"/>
      <c r="G2651" s="62"/>
      <c r="H2651" s="60"/>
    </row>
    <row r="2652" spans="1:8">
      <c r="A2652" s="60"/>
      <c r="B2652" s="77"/>
      <c r="C2652" s="60"/>
      <c r="D2652" s="81"/>
      <c r="E2652" s="62"/>
      <c r="F2652" s="60"/>
      <c r="G2652" s="62"/>
      <c r="H2652" s="60"/>
    </row>
    <row r="2653" spans="1:8">
      <c r="A2653" s="60"/>
      <c r="B2653" s="77"/>
      <c r="C2653" s="60"/>
      <c r="D2653" s="81"/>
      <c r="E2653" s="62"/>
      <c r="F2653" s="60"/>
      <c r="G2653" s="62"/>
      <c r="H2653" s="60"/>
    </row>
    <row r="2654" spans="1:8">
      <c r="A2654" s="60"/>
      <c r="B2654" s="77"/>
      <c r="C2654" s="60"/>
      <c r="D2654" s="81"/>
      <c r="E2654" s="62"/>
      <c r="F2654" s="60"/>
      <c r="G2654" s="62"/>
      <c r="H2654" s="60"/>
    </row>
    <row r="2655" spans="1:8">
      <c r="A2655" s="60"/>
      <c r="B2655" s="77"/>
      <c r="C2655" s="60"/>
      <c r="D2655" s="81"/>
      <c r="E2655" s="62"/>
      <c r="F2655" s="60"/>
      <c r="G2655" s="62"/>
      <c r="H2655" s="60"/>
    </row>
    <row r="2656" spans="1:8">
      <c r="A2656" s="60"/>
      <c r="B2656" s="77"/>
      <c r="C2656" s="60"/>
      <c r="D2656" s="81"/>
      <c r="E2656" s="62"/>
      <c r="F2656" s="60"/>
      <c r="G2656" s="62"/>
      <c r="H2656" s="60"/>
    </row>
    <row r="2657" spans="1:8">
      <c r="A2657" s="60"/>
      <c r="B2657" s="77"/>
      <c r="C2657" s="60"/>
      <c r="D2657" s="81"/>
      <c r="E2657" s="62"/>
      <c r="F2657" s="60"/>
      <c r="G2657" s="62"/>
      <c r="H2657" s="60"/>
    </row>
    <row r="2658" spans="1:8">
      <c r="A2658" s="60"/>
      <c r="B2658" s="77"/>
      <c r="C2658" s="60"/>
      <c r="D2658" s="81"/>
      <c r="E2658" s="62"/>
      <c r="F2658" s="60"/>
      <c r="G2658" s="62"/>
      <c r="H2658" s="60"/>
    </row>
    <row r="2659" spans="1:8">
      <c r="A2659" s="60"/>
      <c r="B2659" s="77"/>
      <c r="C2659" s="60"/>
      <c r="D2659" s="81"/>
      <c r="E2659" s="62"/>
      <c r="F2659" s="60"/>
      <c r="G2659" s="62"/>
      <c r="H2659" s="60"/>
    </row>
    <row r="2660" spans="1:8">
      <c r="A2660" s="60"/>
      <c r="B2660" s="77"/>
      <c r="C2660" s="60"/>
      <c r="D2660" s="81"/>
      <c r="E2660" s="62"/>
      <c r="F2660" s="60"/>
      <c r="G2660" s="62"/>
      <c r="H2660" s="60"/>
    </row>
    <row r="2661" spans="1:8">
      <c r="A2661" s="60"/>
      <c r="B2661" s="77"/>
      <c r="C2661" s="60"/>
      <c r="D2661" s="81"/>
      <c r="E2661" s="62"/>
      <c r="F2661" s="60"/>
      <c r="G2661" s="62"/>
      <c r="H2661" s="60"/>
    </row>
    <row r="2662" spans="1:8">
      <c r="A2662" s="60"/>
      <c r="B2662" s="77"/>
      <c r="C2662" s="60"/>
      <c r="D2662" s="81"/>
      <c r="E2662" s="62"/>
      <c r="F2662" s="60"/>
      <c r="G2662" s="62"/>
      <c r="H2662" s="60"/>
    </row>
    <row r="2663" spans="1:8">
      <c r="A2663" s="60"/>
      <c r="B2663" s="77"/>
      <c r="C2663" s="60"/>
      <c r="D2663" s="81"/>
      <c r="E2663" s="62"/>
      <c r="F2663" s="60"/>
      <c r="G2663" s="62"/>
      <c r="H2663" s="60"/>
    </row>
    <row r="2664" spans="1:8">
      <c r="A2664" s="60"/>
      <c r="B2664" s="77"/>
      <c r="C2664" s="60"/>
      <c r="D2664" s="81"/>
      <c r="E2664" s="62"/>
      <c r="F2664" s="60"/>
      <c r="G2664" s="62"/>
      <c r="H2664" s="60"/>
    </row>
    <row r="2665" spans="1:8">
      <c r="A2665" s="60"/>
      <c r="B2665" s="77"/>
      <c r="C2665" s="60"/>
      <c r="D2665" s="81"/>
      <c r="E2665" s="62"/>
      <c r="F2665" s="60"/>
      <c r="G2665" s="62"/>
      <c r="H2665" s="60"/>
    </row>
    <row r="2666" spans="1:8">
      <c r="A2666" s="60"/>
      <c r="B2666" s="77"/>
      <c r="C2666" s="60"/>
      <c r="D2666" s="81"/>
      <c r="E2666" s="62"/>
      <c r="F2666" s="60"/>
      <c r="G2666" s="62"/>
      <c r="H2666" s="60"/>
    </row>
    <row r="2667" spans="1:8">
      <c r="A2667" s="60"/>
      <c r="B2667" s="77"/>
      <c r="C2667" s="60"/>
      <c r="D2667" s="81"/>
      <c r="E2667" s="62"/>
      <c r="F2667" s="60"/>
      <c r="G2667" s="62"/>
      <c r="H2667" s="60"/>
    </row>
    <row r="2668" spans="1:8">
      <c r="A2668" s="60"/>
      <c r="B2668" s="77"/>
      <c r="C2668" s="60"/>
      <c r="D2668" s="81"/>
      <c r="E2668" s="62"/>
      <c r="F2668" s="60"/>
      <c r="G2668" s="62"/>
      <c r="H2668" s="60"/>
    </row>
    <row r="2669" spans="1:8">
      <c r="A2669" s="60"/>
      <c r="B2669" s="77"/>
      <c r="C2669" s="60"/>
      <c r="D2669" s="81"/>
      <c r="E2669" s="62"/>
      <c r="F2669" s="60"/>
      <c r="G2669" s="62"/>
      <c r="H2669" s="60"/>
    </row>
    <row r="2670" spans="1:8">
      <c r="A2670" s="60"/>
      <c r="B2670" s="77"/>
      <c r="C2670" s="60"/>
      <c r="D2670" s="81"/>
      <c r="E2670" s="62"/>
      <c r="F2670" s="60"/>
      <c r="G2670" s="62"/>
      <c r="H2670" s="60"/>
    </row>
    <row r="2671" spans="1:8">
      <c r="A2671" s="60"/>
      <c r="B2671" s="77"/>
      <c r="C2671" s="60"/>
      <c r="D2671" s="81"/>
      <c r="E2671" s="62"/>
      <c r="F2671" s="60"/>
      <c r="G2671" s="62"/>
      <c r="H2671" s="60"/>
    </row>
    <row r="2672" spans="1:8">
      <c r="A2672" s="60"/>
      <c r="B2672" s="77"/>
      <c r="C2672" s="60"/>
      <c r="D2672" s="81"/>
      <c r="E2672" s="62"/>
      <c r="F2672" s="60"/>
      <c r="G2672" s="62"/>
      <c r="H2672" s="60"/>
    </row>
    <row r="2673" spans="1:8">
      <c r="A2673" s="60"/>
      <c r="B2673" s="77"/>
      <c r="C2673" s="60"/>
      <c r="D2673" s="81"/>
      <c r="E2673" s="62"/>
      <c r="F2673" s="60"/>
      <c r="G2673" s="62"/>
      <c r="H2673" s="60"/>
    </row>
    <row r="2674" spans="1:8">
      <c r="A2674" s="60"/>
      <c r="B2674" s="77"/>
      <c r="C2674" s="60"/>
      <c r="D2674" s="81"/>
      <c r="E2674" s="62"/>
      <c r="F2674" s="60"/>
      <c r="G2674" s="62"/>
      <c r="H2674" s="60"/>
    </row>
    <row r="2675" spans="1:8">
      <c r="A2675" s="60"/>
      <c r="B2675" s="77"/>
      <c r="C2675" s="60"/>
      <c r="D2675" s="81"/>
      <c r="E2675" s="62"/>
      <c r="F2675" s="60"/>
      <c r="G2675" s="62"/>
      <c r="H2675" s="60"/>
    </row>
    <row r="2676" spans="1:8">
      <c r="A2676" s="60"/>
      <c r="B2676" s="77"/>
      <c r="C2676" s="60"/>
      <c r="D2676" s="81"/>
      <c r="E2676" s="62"/>
      <c r="F2676" s="60"/>
      <c r="G2676" s="62"/>
      <c r="H2676" s="60"/>
    </row>
    <row r="2677" spans="1:8">
      <c r="A2677" s="60"/>
      <c r="B2677" s="77"/>
      <c r="C2677" s="60"/>
      <c r="D2677" s="81"/>
      <c r="E2677" s="62"/>
      <c r="F2677" s="60"/>
      <c r="G2677" s="62"/>
      <c r="H2677" s="60"/>
    </row>
    <row r="2678" spans="1:8">
      <c r="A2678" s="60"/>
      <c r="B2678" s="77"/>
      <c r="C2678" s="60"/>
      <c r="D2678" s="81"/>
      <c r="E2678" s="62"/>
      <c r="F2678" s="60"/>
      <c r="G2678" s="62"/>
      <c r="H2678" s="60"/>
    </row>
    <row r="2679" spans="1:8">
      <c r="A2679" s="60"/>
      <c r="B2679" s="77"/>
      <c r="C2679" s="60"/>
      <c r="D2679" s="81"/>
      <c r="E2679" s="62"/>
      <c r="F2679" s="60"/>
      <c r="G2679" s="62"/>
      <c r="H2679" s="60"/>
    </row>
    <row r="2680" spans="1:8">
      <c r="A2680" s="60"/>
      <c r="B2680" s="77"/>
      <c r="C2680" s="60"/>
      <c r="D2680" s="81"/>
      <c r="E2680" s="62"/>
      <c r="F2680" s="60"/>
      <c r="G2680" s="62"/>
      <c r="H2680" s="60"/>
    </row>
    <row r="2681" spans="1:8">
      <c r="A2681" s="60"/>
      <c r="B2681" s="77"/>
      <c r="C2681" s="60"/>
      <c r="D2681" s="81"/>
      <c r="E2681" s="62"/>
      <c r="F2681" s="60"/>
      <c r="G2681" s="62"/>
      <c r="H2681" s="60"/>
    </row>
    <row r="2682" spans="1:8">
      <c r="A2682" s="60"/>
      <c r="B2682" s="77"/>
      <c r="C2682" s="60"/>
      <c r="D2682" s="81"/>
      <c r="E2682" s="62"/>
      <c r="F2682" s="60"/>
      <c r="G2682" s="62"/>
      <c r="H2682" s="60"/>
    </row>
    <row r="2683" spans="1:8">
      <c r="A2683" s="60"/>
      <c r="B2683" s="77"/>
      <c r="C2683" s="60"/>
      <c r="D2683" s="81"/>
      <c r="E2683" s="62"/>
      <c r="F2683" s="60"/>
      <c r="G2683" s="62"/>
      <c r="H2683" s="60"/>
    </row>
    <row r="2684" spans="1:8">
      <c r="A2684" s="60"/>
      <c r="B2684" s="77"/>
      <c r="C2684" s="60"/>
      <c r="D2684" s="81"/>
      <c r="E2684" s="62"/>
      <c r="F2684" s="60"/>
      <c r="G2684" s="62"/>
      <c r="H2684" s="60"/>
    </row>
    <row r="2685" spans="1:8">
      <c r="A2685" s="60"/>
      <c r="B2685" s="77"/>
      <c r="C2685" s="60"/>
      <c r="D2685" s="81"/>
      <c r="E2685" s="62"/>
      <c r="F2685" s="60"/>
      <c r="G2685" s="62"/>
      <c r="H2685" s="60"/>
    </row>
    <row r="2686" spans="1:8">
      <c r="A2686" s="60"/>
      <c r="B2686" s="77"/>
      <c r="C2686" s="60"/>
      <c r="D2686" s="81"/>
      <c r="E2686" s="62"/>
      <c r="F2686" s="60"/>
      <c r="G2686" s="62"/>
      <c r="H2686" s="60"/>
    </row>
    <row r="2687" spans="1:8">
      <c r="A2687" s="60"/>
      <c r="B2687" s="77"/>
      <c r="C2687" s="60"/>
      <c r="D2687" s="81"/>
      <c r="E2687" s="62"/>
      <c r="F2687" s="60"/>
      <c r="G2687" s="62"/>
      <c r="H2687" s="60"/>
    </row>
    <row r="2688" spans="1:8">
      <c r="A2688" s="60"/>
      <c r="B2688" s="77"/>
      <c r="C2688" s="60"/>
      <c r="D2688" s="81"/>
      <c r="E2688" s="62"/>
      <c r="F2688" s="60"/>
      <c r="G2688" s="62"/>
      <c r="H2688" s="60"/>
    </row>
    <row r="2689" spans="1:8">
      <c r="A2689" s="60"/>
      <c r="B2689" s="77"/>
      <c r="C2689" s="60"/>
      <c r="D2689" s="81"/>
      <c r="E2689" s="62"/>
      <c r="F2689" s="60"/>
      <c r="G2689" s="62"/>
      <c r="H2689" s="60"/>
    </row>
    <row r="2690" spans="1:8">
      <c r="A2690" s="60"/>
      <c r="B2690" s="77"/>
      <c r="C2690" s="60"/>
      <c r="D2690" s="81"/>
      <c r="E2690" s="62"/>
      <c r="F2690" s="60"/>
      <c r="G2690" s="62"/>
      <c r="H2690" s="60"/>
    </row>
    <row r="2691" spans="1:8">
      <c r="A2691" s="60"/>
      <c r="B2691" s="77"/>
      <c r="C2691" s="60"/>
      <c r="D2691" s="81"/>
      <c r="E2691" s="62"/>
      <c r="F2691" s="60"/>
      <c r="G2691" s="62"/>
      <c r="H2691" s="60"/>
    </row>
    <row r="2692" spans="1:8">
      <c r="A2692" s="60"/>
      <c r="B2692" s="77"/>
      <c r="C2692" s="60"/>
      <c r="D2692" s="81"/>
      <c r="E2692" s="62"/>
      <c r="F2692" s="60"/>
      <c r="G2692" s="62"/>
      <c r="H2692" s="60"/>
    </row>
    <row r="2693" spans="1:8">
      <c r="A2693" s="60"/>
      <c r="B2693" s="77"/>
      <c r="C2693" s="60"/>
      <c r="D2693" s="81"/>
      <c r="E2693" s="62"/>
      <c r="F2693" s="60"/>
      <c r="G2693" s="62"/>
      <c r="H2693" s="60"/>
    </row>
    <row r="2694" spans="1:8">
      <c r="A2694" s="60"/>
      <c r="B2694" s="77"/>
      <c r="C2694" s="60"/>
      <c r="D2694" s="81"/>
      <c r="E2694" s="62"/>
      <c r="F2694" s="60"/>
      <c r="G2694" s="62"/>
      <c r="H2694" s="60"/>
    </row>
    <row r="2695" spans="1:8">
      <c r="A2695" s="60"/>
      <c r="B2695" s="77"/>
      <c r="C2695" s="60"/>
      <c r="D2695" s="81"/>
      <c r="E2695" s="62"/>
      <c r="F2695" s="60"/>
      <c r="G2695" s="62"/>
      <c r="H2695" s="60"/>
    </row>
    <row r="2696" spans="1:8">
      <c r="A2696" s="60"/>
      <c r="B2696" s="77"/>
      <c r="C2696" s="60"/>
      <c r="D2696" s="81"/>
      <c r="E2696" s="62"/>
      <c r="F2696" s="60"/>
      <c r="G2696" s="62"/>
      <c r="H2696" s="60"/>
    </row>
    <row r="2697" spans="1:8">
      <c r="A2697" s="60"/>
      <c r="B2697" s="77"/>
      <c r="C2697" s="60"/>
      <c r="D2697" s="81"/>
      <c r="E2697" s="62"/>
      <c r="F2697" s="60"/>
      <c r="G2697" s="62"/>
      <c r="H2697" s="60"/>
    </row>
    <row r="2698" spans="1:8">
      <c r="A2698" s="60"/>
      <c r="B2698" s="77"/>
      <c r="C2698" s="60"/>
      <c r="D2698" s="81"/>
      <c r="E2698" s="62"/>
      <c r="F2698" s="60"/>
      <c r="G2698" s="62"/>
      <c r="H2698" s="60"/>
    </row>
    <row r="2699" spans="1:8">
      <c r="A2699" s="60"/>
      <c r="B2699" s="77"/>
      <c r="C2699" s="60"/>
      <c r="D2699" s="81"/>
      <c r="E2699" s="62"/>
      <c r="F2699" s="60"/>
      <c r="G2699" s="62"/>
      <c r="H2699" s="60"/>
    </row>
    <row r="2700" spans="1:8">
      <c r="A2700" s="60"/>
      <c r="B2700" s="77"/>
      <c r="C2700" s="60"/>
      <c r="D2700" s="81"/>
      <c r="E2700" s="62"/>
      <c r="F2700" s="60"/>
      <c r="G2700" s="62"/>
      <c r="H2700" s="60"/>
    </row>
    <row r="2701" spans="1:8">
      <c r="A2701" s="60"/>
      <c r="B2701" s="77"/>
      <c r="C2701" s="60"/>
      <c r="D2701" s="81"/>
      <c r="E2701" s="62"/>
      <c r="F2701" s="60"/>
      <c r="G2701" s="62"/>
      <c r="H2701" s="60"/>
    </row>
    <row r="2702" spans="1:8">
      <c r="A2702" s="60"/>
      <c r="B2702" s="77"/>
      <c r="C2702" s="60"/>
      <c r="D2702" s="81"/>
      <c r="E2702" s="62"/>
      <c r="F2702" s="60"/>
      <c r="G2702" s="62"/>
      <c r="H2702" s="60"/>
    </row>
    <row r="2703" spans="1:8">
      <c r="A2703" s="60"/>
      <c r="B2703" s="77"/>
      <c r="C2703" s="60"/>
      <c r="D2703" s="81"/>
      <c r="E2703" s="62"/>
      <c r="F2703" s="60"/>
      <c r="G2703" s="62"/>
      <c r="H2703" s="60"/>
    </row>
    <row r="2704" spans="1:8">
      <c r="A2704" s="60"/>
      <c r="B2704" s="77"/>
      <c r="C2704" s="60"/>
      <c r="D2704" s="81"/>
      <c r="E2704" s="62"/>
      <c r="F2704" s="60"/>
      <c r="G2704" s="62"/>
      <c r="H2704" s="60"/>
    </row>
    <row r="2705" spans="1:8">
      <c r="A2705" s="60"/>
      <c r="B2705" s="77"/>
      <c r="C2705" s="60"/>
      <c r="D2705" s="81"/>
      <c r="E2705" s="62"/>
      <c r="F2705" s="60"/>
      <c r="G2705" s="62"/>
      <c r="H2705" s="60"/>
    </row>
    <row r="2706" spans="1:8">
      <c r="A2706" s="60"/>
      <c r="B2706" s="77"/>
      <c r="C2706" s="60"/>
      <c r="D2706" s="81"/>
      <c r="E2706" s="62"/>
      <c r="F2706" s="60"/>
      <c r="G2706" s="62"/>
      <c r="H2706" s="60"/>
    </row>
    <row r="2707" spans="1:8">
      <c r="A2707" s="60"/>
      <c r="B2707" s="77"/>
      <c r="C2707" s="60"/>
      <c r="D2707" s="81"/>
      <c r="E2707" s="62"/>
      <c r="F2707" s="60"/>
      <c r="G2707" s="62"/>
      <c r="H2707" s="60"/>
    </row>
    <row r="2708" spans="1:8">
      <c r="A2708" s="60"/>
      <c r="B2708" s="77"/>
      <c r="C2708" s="60"/>
      <c r="D2708" s="81"/>
      <c r="E2708" s="62"/>
      <c r="F2708" s="60"/>
      <c r="G2708" s="62"/>
      <c r="H2708" s="60"/>
    </row>
    <row r="2709" spans="1:8">
      <c r="A2709" s="60"/>
      <c r="B2709" s="77"/>
      <c r="C2709" s="60"/>
      <c r="D2709" s="81"/>
      <c r="E2709" s="62"/>
      <c r="F2709" s="60"/>
      <c r="G2709" s="62"/>
      <c r="H2709" s="60"/>
    </row>
    <row r="2710" spans="1:8">
      <c r="A2710" s="60"/>
      <c r="B2710" s="77"/>
      <c r="C2710" s="60"/>
      <c r="D2710" s="81"/>
      <c r="E2710" s="62"/>
      <c r="F2710" s="60"/>
      <c r="G2710" s="62"/>
      <c r="H2710" s="60"/>
    </row>
    <row r="2711" spans="1:8">
      <c r="A2711" s="60"/>
      <c r="B2711" s="77"/>
      <c r="C2711" s="60"/>
      <c r="D2711" s="81"/>
      <c r="E2711" s="62"/>
      <c r="F2711" s="60"/>
      <c r="G2711" s="62"/>
      <c r="H2711" s="60"/>
    </row>
    <row r="2712" spans="1:8">
      <c r="A2712" s="60"/>
      <c r="B2712" s="77"/>
      <c r="C2712" s="60"/>
      <c r="D2712" s="81"/>
      <c r="E2712" s="62"/>
      <c r="F2712" s="60"/>
      <c r="G2712" s="62"/>
      <c r="H2712" s="60"/>
    </row>
    <row r="2713" spans="1:8">
      <c r="A2713" s="60"/>
      <c r="B2713" s="77"/>
      <c r="C2713" s="60"/>
      <c r="D2713" s="81"/>
      <c r="E2713" s="62"/>
      <c r="F2713" s="60"/>
      <c r="G2713" s="62"/>
      <c r="H2713" s="60"/>
    </row>
    <row r="2714" spans="1:8">
      <c r="A2714" s="60"/>
      <c r="B2714" s="77"/>
      <c r="C2714" s="60"/>
      <c r="D2714" s="81"/>
      <c r="E2714" s="62"/>
      <c r="F2714" s="60"/>
      <c r="G2714" s="62"/>
      <c r="H2714" s="60"/>
    </row>
    <row r="2715" spans="1:8">
      <c r="A2715" s="60"/>
      <c r="B2715" s="77"/>
      <c r="C2715" s="60"/>
      <c r="D2715" s="81"/>
      <c r="E2715" s="62"/>
      <c r="F2715" s="60"/>
      <c r="G2715" s="62"/>
      <c r="H2715" s="60"/>
    </row>
    <row r="2716" spans="1:8">
      <c r="A2716" s="60"/>
      <c r="B2716" s="77"/>
      <c r="C2716" s="60"/>
      <c r="D2716" s="81"/>
      <c r="E2716" s="62"/>
      <c r="F2716" s="60"/>
      <c r="G2716" s="62"/>
      <c r="H2716" s="60"/>
    </row>
    <row r="2717" spans="1:8">
      <c r="A2717" s="60"/>
      <c r="B2717" s="77"/>
      <c r="C2717" s="60"/>
      <c r="D2717" s="81"/>
      <c r="E2717" s="62"/>
      <c r="F2717" s="60"/>
      <c r="G2717" s="62"/>
      <c r="H2717" s="60"/>
    </row>
    <row r="2718" spans="1:8">
      <c r="A2718" s="60"/>
      <c r="B2718" s="77"/>
      <c r="C2718" s="60"/>
      <c r="D2718" s="81"/>
      <c r="E2718" s="62"/>
      <c r="F2718" s="60"/>
      <c r="G2718" s="62"/>
      <c r="H2718" s="60"/>
    </row>
    <row r="2719" spans="1:8">
      <c r="A2719" s="60"/>
      <c r="B2719" s="77"/>
      <c r="C2719" s="60"/>
      <c r="D2719" s="81"/>
      <c r="E2719" s="62"/>
      <c r="F2719" s="60"/>
      <c r="G2719" s="62"/>
      <c r="H2719" s="60"/>
    </row>
    <row r="2720" spans="1:8">
      <c r="A2720" s="60"/>
      <c r="B2720" s="77"/>
      <c r="C2720" s="60"/>
      <c r="D2720" s="81"/>
      <c r="E2720" s="62"/>
      <c r="F2720" s="60"/>
      <c r="G2720" s="62"/>
      <c r="H2720" s="60"/>
    </row>
    <row r="2721" spans="1:8">
      <c r="A2721" s="60"/>
      <c r="B2721" s="77"/>
      <c r="C2721" s="60"/>
      <c r="D2721" s="81"/>
      <c r="E2721" s="62"/>
      <c r="F2721" s="60"/>
      <c r="G2721" s="62"/>
      <c r="H2721" s="60"/>
    </row>
    <row r="2722" spans="1:8">
      <c r="A2722" s="60"/>
      <c r="B2722" s="77"/>
      <c r="C2722" s="60"/>
      <c r="D2722" s="81"/>
      <c r="E2722" s="62"/>
      <c r="F2722" s="60"/>
      <c r="G2722" s="62"/>
      <c r="H2722" s="60"/>
    </row>
    <row r="2723" spans="1:8">
      <c r="A2723" s="60"/>
      <c r="B2723" s="77"/>
      <c r="C2723" s="60"/>
      <c r="D2723" s="81"/>
      <c r="E2723" s="62"/>
      <c r="F2723" s="60"/>
      <c r="G2723" s="62"/>
      <c r="H2723" s="60"/>
    </row>
    <row r="2724" spans="1:8">
      <c r="A2724" s="60"/>
      <c r="B2724" s="77"/>
      <c r="C2724" s="60"/>
      <c r="D2724" s="81"/>
      <c r="E2724" s="62"/>
      <c r="F2724" s="60"/>
      <c r="G2724" s="62"/>
      <c r="H2724" s="60"/>
    </row>
    <row r="2725" spans="1:8">
      <c r="A2725" s="60"/>
      <c r="B2725" s="77"/>
      <c r="C2725" s="60"/>
      <c r="D2725" s="81"/>
      <c r="E2725" s="62"/>
      <c r="F2725" s="60"/>
      <c r="G2725" s="62"/>
      <c r="H2725" s="60"/>
    </row>
    <row r="2726" spans="1:8">
      <c r="A2726" s="60"/>
      <c r="B2726" s="77"/>
      <c r="C2726" s="60"/>
      <c r="D2726" s="81"/>
      <c r="E2726" s="62"/>
      <c r="F2726" s="60"/>
      <c r="G2726" s="62"/>
      <c r="H2726" s="60"/>
    </row>
    <row r="2727" spans="1:8">
      <c r="A2727" s="60"/>
      <c r="B2727" s="77"/>
      <c r="C2727" s="60"/>
      <c r="D2727" s="81"/>
      <c r="E2727" s="62"/>
      <c r="F2727" s="60"/>
      <c r="G2727" s="62"/>
      <c r="H2727" s="60"/>
    </row>
    <row r="2728" spans="1:8">
      <c r="A2728" s="60"/>
      <c r="B2728" s="77"/>
      <c r="C2728" s="60"/>
      <c r="D2728" s="81"/>
      <c r="E2728" s="62"/>
      <c r="F2728" s="60"/>
      <c r="G2728" s="62"/>
      <c r="H2728" s="60"/>
    </row>
    <row r="2729" spans="1:8">
      <c r="A2729" s="60"/>
      <c r="B2729" s="77"/>
      <c r="C2729" s="60"/>
      <c r="D2729" s="81"/>
      <c r="E2729" s="62"/>
      <c r="F2729" s="60"/>
      <c r="G2729" s="62"/>
      <c r="H2729" s="60"/>
    </row>
    <row r="2730" spans="1:8">
      <c r="A2730" s="60"/>
      <c r="B2730" s="77"/>
      <c r="C2730" s="60"/>
      <c r="D2730" s="81"/>
      <c r="E2730" s="62"/>
      <c r="F2730" s="60"/>
      <c r="G2730" s="62"/>
      <c r="H2730" s="60"/>
    </row>
    <row r="2731" spans="1:8">
      <c r="A2731" s="60"/>
      <c r="B2731" s="77"/>
      <c r="C2731" s="60"/>
      <c r="D2731" s="81"/>
      <c r="E2731" s="62"/>
      <c r="F2731" s="60"/>
      <c r="G2731" s="62"/>
      <c r="H2731" s="60"/>
    </row>
    <row r="2732" spans="1:8">
      <c r="A2732" s="60"/>
      <c r="B2732" s="77"/>
      <c r="C2732" s="60"/>
      <c r="D2732" s="81"/>
      <c r="E2732" s="62"/>
      <c r="F2732" s="60"/>
      <c r="G2732" s="62"/>
      <c r="H2732" s="60"/>
    </row>
    <row r="2733" spans="1:8">
      <c r="A2733" s="60"/>
      <c r="B2733" s="77"/>
      <c r="C2733" s="60"/>
      <c r="D2733" s="81"/>
      <c r="E2733" s="62"/>
      <c r="F2733" s="60"/>
      <c r="G2733" s="62"/>
      <c r="H2733" s="60"/>
    </row>
    <row r="2734" spans="1:8">
      <c r="A2734" s="60"/>
      <c r="B2734" s="77"/>
      <c r="C2734" s="60"/>
      <c r="D2734" s="81"/>
      <c r="E2734" s="62"/>
      <c r="F2734" s="60"/>
      <c r="G2734" s="62"/>
      <c r="H2734" s="60"/>
    </row>
    <row r="2735" spans="1:8">
      <c r="A2735" s="60"/>
      <c r="B2735" s="77"/>
      <c r="C2735" s="60"/>
      <c r="D2735" s="81"/>
      <c r="E2735" s="62"/>
      <c r="F2735" s="60"/>
      <c r="G2735" s="62"/>
      <c r="H2735" s="60"/>
    </row>
    <row r="2736" spans="1:8">
      <c r="A2736" s="60"/>
      <c r="B2736" s="77"/>
      <c r="C2736" s="60"/>
      <c r="D2736" s="81"/>
      <c r="E2736" s="62"/>
      <c r="F2736" s="60"/>
      <c r="G2736" s="62"/>
      <c r="H2736" s="60"/>
    </row>
    <row r="2737" spans="1:8">
      <c r="A2737" s="60"/>
      <c r="B2737" s="77"/>
      <c r="C2737" s="60"/>
      <c r="D2737" s="81"/>
      <c r="E2737" s="62"/>
      <c r="F2737" s="60"/>
      <c r="G2737" s="62"/>
      <c r="H2737" s="60"/>
    </row>
    <row r="2738" spans="1:8">
      <c r="A2738" s="60"/>
      <c r="B2738" s="77"/>
      <c r="C2738" s="60"/>
      <c r="D2738" s="81"/>
      <c r="E2738" s="62"/>
      <c r="F2738" s="60"/>
      <c r="G2738" s="62"/>
      <c r="H2738" s="60"/>
    </row>
    <row r="2739" spans="1:8">
      <c r="A2739" s="60"/>
      <c r="B2739" s="77"/>
      <c r="C2739" s="60"/>
      <c r="D2739" s="81"/>
      <c r="E2739" s="62"/>
      <c r="F2739" s="60"/>
      <c r="G2739" s="62"/>
      <c r="H2739" s="60"/>
    </row>
    <row r="2740" spans="1:8">
      <c r="A2740" s="60"/>
      <c r="B2740" s="77"/>
      <c r="C2740" s="60"/>
      <c r="D2740" s="81"/>
      <c r="E2740" s="62"/>
      <c r="F2740" s="60"/>
      <c r="G2740" s="62"/>
      <c r="H2740" s="60"/>
    </row>
    <row r="2741" spans="1:8">
      <c r="A2741" s="60"/>
      <c r="B2741" s="77"/>
      <c r="C2741" s="60"/>
      <c r="D2741" s="81"/>
      <c r="E2741" s="62"/>
      <c r="F2741" s="60"/>
      <c r="G2741" s="62"/>
      <c r="H2741" s="60"/>
    </row>
    <row r="2742" spans="1:8">
      <c r="A2742" s="60"/>
      <c r="B2742" s="77"/>
      <c r="C2742" s="60"/>
      <c r="D2742" s="81"/>
      <c r="E2742" s="62"/>
      <c r="F2742" s="60"/>
      <c r="G2742" s="62"/>
      <c r="H2742" s="60"/>
    </row>
    <row r="2743" spans="1:8">
      <c r="A2743" s="60"/>
      <c r="B2743" s="77"/>
      <c r="C2743" s="60"/>
      <c r="D2743" s="81"/>
      <c r="E2743" s="62"/>
      <c r="F2743" s="60"/>
      <c r="G2743" s="62"/>
      <c r="H2743" s="60"/>
    </row>
    <row r="2744" spans="1:8">
      <c r="A2744" s="60"/>
      <c r="B2744" s="77"/>
      <c r="C2744" s="60"/>
      <c r="D2744" s="81"/>
      <c r="E2744" s="62"/>
      <c r="F2744" s="60"/>
      <c r="G2744" s="62"/>
      <c r="H2744" s="60"/>
    </row>
    <row r="2745" spans="1:8">
      <c r="A2745" s="60"/>
      <c r="B2745" s="77"/>
      <c r="C2745" s="60"/>
      <c r="D2745" s="81"/>
      <c r="E2745" s="62"/>
      <c r="F2745" s="60"/>
      <c r="G2745" s="62"/>
      <c r="H2745" s="60"/>
    </row>
    <row r="2746" spans="1:8">
      <c r="A2746" s="60"/>
      <c r="B2746" s="77"/>
      <c r="C2746" s="60"/>
      <c r="D2746" s="81"/>
      <c r="E2746" s="62"/>
      <c r="F2746" s="60"/>
      <c r="G2746" s="62"/>
      <c r="H2746" s="60"/>
    </row>
    <row r="2747" spans="1:8">
      <c r="A2747" s="60"/>
      <c r="B2747" s="77"/>
      <c r="C2747" s="60"/>
      <c r="D2747" s="81"/>
      <c r="E2747" s="62"/>
      <c r="F2747" s="60"/>
      <c r="G2747" s="62"/>
      <c r="H2747" s="60"/>
    </row>
    <row r="2748" spans="1:8">
      <c r="A2748" s="60"/>
      <c r="B2748" s="77"/>
      <c r="C2748" s="60"/>
      <c r="D2748" s="81"/>
      <c r="E2748" s="62"/>
      <c r="F2748" s="60"/>
      <c r="G2748" s="62"/>
      <c r="H2748" s="60"/>
    </row>
    <row r="2749" spans="1:8">
      <c r="A2749" s="60"/>
      <c r="B2749" s="77"/>
      <c r="C2749" s="60"/>
      <c r="D2749" s="81"/>
      <c r="E2749" s="62"/>
      <c r="F2749" s="60"/>
      <c r="G2749" s="62"/>
      <c r="H2749" s="60"/>
    </row>
    <row r="2750" spans="1:8">
      <c r="A2750" s="60"/>
      <c r="B2750" s="77"/>
      <c r="C2750" s="60"/>
      <c r="D2750" s="81"/>
      <c r="E2750" s="62"/>
      <c r="F2750" s="60"/>
      <c r="G2750" s="62"/>
      <c r="H2750" s="60"/>
    </row>
    <row r="2751" spans="1:8">
      <c r="A2751" s="60"/>
      <c r="B2751" s="77"/>
      <c r="C2751" s="60"/>
      <c r="D2751" s="81"/>
      <c r="E2751" s="62"/>
      <c r="F2751" s="60"/>
      <c r="G2751" s="62"/>
      <c r="H2751" s="60"/>
    </row>
    <row r="2752" spans="1:8">
      <c r="A2752" s="60"/>
      <c r="B2752" s="77"/>
      <c r="C2752" s="60"/>
      <c r="D2752" s="81"/>
      <c r="E2752" s="62"/>
      <c r="F2752" s="60"/>
      <c r="G2752" s="62"/>
      <c r="H2752" s="60"/>
    </row>
    <row r="2753" spans="1:8">
      <c r="A2753" s="60"/>
      <c r="B2753" s="77"/>
      <c r="C2753" s="60"/>
      <c r="D2753" s="81"/>
      <c r="E2753" s="62"/>
      <c r="F2753" s="60"/>
      <c r="G2753" s="62"/>
      <c r="H2753" s="60"/>
    </row>
    <row r="2754" spans="1:8">
      <c r="A2754" s="60"/>
      <c r="B2754" s="77"/>
      <c r="C2754" s="60"/>
      <c r="D2754" s="81"/>
      <c r="E2754" s="62"/>
      <c r="F2754" s="60"/>
      <c r="G2754" s="62"/>
      <c r="H2754" s="60"/>
    </row>
    <row r="2755" spans="1:8">
      <c r="A2755" s="60"/>
      <c r="B2755" s="77"/>
      <c r="C2755" s="60"/>
      <c r="D2755" s="81"/>
      <c r="E2755" s="62"/>
      <c r="F2755" s="60"/>
      <c r="G2755" s="62"/>
      <c r="H2755" s="60"/>
    </row>
    <row r="2756" spans="1:8">
      <c r="A2756" s="60"/>
      <c r="B2756" s="77"/>
      <c r="C2756" s="60"/>
      <c r="D2756" s="81"/>
      <c r="E2756" s="62"/>
      <c r="F2756" s="60"/>
      <c r="G2756" s="62"/>
      <c r="H2756" s="60"/>
    </row>
    <row r="2757" spans="1:8">
      <c r="A2757" s="60"/>
      <c r="B2757" s="77"/>
      <c r="C2757" s="60"/>
      <c r="D2757" s="81"/>
      <c r="E2757" s="62"/>
      <c r="F2757" s="60"/>
      <c r="G2757" s="62"/>
      <c r="H2757" s="60"/>
    </row>
    <row r="2758" spans="1:8">
      <c r="A2758" s="60"/>
      <c r="B2758" s="77"/>
      <c r="C2758" s="60"/>
      <c r="D2758" s="81"/>
      <c r="E2758" s="62"/>
      <c r="F2758" s="60"/>
      <c r="G2758" s="62"/>
      <c r="H2758" s="60"/>
    </row>
    <row r="2759" spans="1:8">
      <c r="A2759" s="60"/>
      <c r="B2759" s="77"/>
      <c r="C2759" s="60"/>
      <c r="D2759" s="81"/>
      <c r="E2759" s="62"/>
      <c r="F2759" s="60"/>
      <c r="G2759" s="62"/>
      <c r="H2759" s="60"/>
    </row>
    <row r="2760" spans="1:8">
      <c r="A2760" s="60"/>
      <c r="B2760" s="77"/>
      <c r="C2760" s="60"/>
      <c r="D2760" s="81"/>
      <c r="E2760" s="62"/>
      <c r="F2760" s="60"/>
      <c r="G2760" s="62"/>
      <c r="H2760" s="60"/>
    </row>
    <row r="2761" spans="1:8">
      <c r="A2761" s="60"/>
      <c r="B2761" s="77"/>
      <c r="C2761" s="60"/>
      <c r="D2761" s="81"/>
      <c r="E2761" s="62"/>
      <c r="F2761" s="60"/>
      <c r="G2761" s="62"/>
      <c r="H2761" s="60"/>
    </row>
    <row r="2762" spans="1:8">
      <c r="A2762" s="60"/>
      <c r="B2762" s="77"/>
      <c r="C2762" s="60"/>
      <c r="D2762" s="81"/>
      <c r="E2762" s="62"/>
      <c r="F2762" s="60"/>
      <c r="G2762" s="62"/>
      <c r="H2762" s="60"/>
    </row>
    <row r="2763" spans="1:8">
      <c r="A2763" s="60"/>
      <c r="B2763" s="77"/>
      <c r="C2763" s="60"/>
      <c r="D2763" s="81"/>
      <c r="E2763" s="62"/>
      <c r="F2763" s="60"/>
      <c r="G2763" s="62"/>
      <c r="H2763" s="60"/>
    </row>
    <row r="2764" spans="1:8">
      <c r="A2764" s="60"/>
      <c r="B2764" s="77"/>
      <c r="C2764" s="60"/>
      <c r="D2764" s="81"/>
      <c r="E2764" s="62"/>
      <c r="F2764" s="60"/>
      <c r="G2764" s="62"/>
      <c r="H2764" s="60"/>
    </row>
    <row r="2765" spans="1:8">
      <c r="A2765" s="60"/>
      <c r="B2765" s="77"/>
      <c r="C2765" s="60"/>
      <c r="D2765" s="81"/>
      <c r="E2765" s="62"/>
      <c r="F2765" s="60"/>
      <c r="G2765" s="62"/>
      <c r="H2765" s="60"/>
    </row>
    <row r="2766" spans="1:8">
      <c r="A2766" s="60"/>
      <c r="B2766" s="77"/>
      <c r="C2766" s="60"/>
      <c r="D2766" s="81"/>
      <c r="E2766" s="62"/>
      <c r="F2766" s="60"/>
      <c r="G2766" s="62"/>
      <c r="H2766" s="60"/>
    </row>
    <row r="2767" spans="1:8">
      <c r="A2767" s="60"/>
      <c r="B2767" s="77"/>
      <c r="C2767" s="60"/>
      <c r="D2767" s="81"/>
      <c r="E2767" s="62"/>
      <c r="F2767" s="60"/>
      <c r="G2767" s="62"/>
      <c r="H2767" s="60"/>
    </row>
    <row r="2768" spans="1:8">
      <c r="A2768" s="60"/>
      <c r="B2768" s="77"/>
      <c r="C2768" s="60"/>
      <c r="D2768" s="81"/>
      <c r="E2768" s="62"/>
      <c r="F2768" s="60"/>
      <c r="G2768" s="62"/>
      <c r="H2768" s="60"/>
    </row>
    <row r="2769" spans="1:8">
      <c r="A2769" s="60"/>
      <c r="B2769" s="77"/>
      <c r="C2769" s="60"/>
      <c r="D2769" s="81"/>
      <c r="E2769" s="62"/>
      <c r="F2769" s="60"/>
      <c r="G2769" s="62"/>
      <c r="H2769" s="60"/>
    </row>
    <row r="2770" spans="1:8">
      <c r="A2770" s="60"/>
      <c r="B2770" s="77"/>
      <c r="C2770" s="60"/>
      <c r="D2770" s="81"/>
      <c r="E2770" s="62"/>
      <c r="F2770" s="60"/>
      <c r="G2770" s="62"/>
      <c r="H2770" s="60"/>
    </row>
    <row r="2771" spans="1:8">
      <c r="A2771" s="60"/>
      <c r="B2771" s="77"/>
      <c r="C2771" s="60"/>
      <c r="D2771" s="81"/>
      <c r="E2771" s="62"/>
      <c r="F2771" s="60"/>
      <c r="G2771" s="62"/>
      <c r="H2771" s="60"/>
    </row>
    <row r="2772" spans="1:8">
      <c r="A2772" s="60"/>
      <c r="B2772" s="77"/>
      <c r="C2772" s="60"/>
      <c r="D2772" s="81"/>
      <c r="E2772" s="62"/>
      <c r="F2772" s="60"/>
      <c r="G2772" s="62"/>
      <c r="H2772" s="60"/>
    </row>
    <row r="2773" spans="1:8">
      <c r="A2773" s="60"/>
      <c r="B2773" s="77"/>
      <c r="C2773" s="60"/>
      <c r="D2773" s="81"/>
      <c r="E2773" s="62"/>
      <c r="F2773" s="60"/>
      <c r="G2773" s="62"/>
      <c r="H2773" s="60"/>
    </row>
    <row r="2774" spans="1:8">
      <c r="A2774" s="60"/>
      <c r="B2774" s="77"/>
      <c r="C2774" s="60"/>
      <c r="D2774" s="81"/>
      <c r="E2774" s="62"/>
      <c r="F2774" s="60"/>
      <c r="G2774" s="62"/>
      <c r="H2774" s="60"/>
    </row>
    <row r="2775" spans="1:8">
      <c r="A2775" s="60"/>
      <c r="B2775" s="77"/>
      <c r="C2775" s="60"/>
      <c r="D2775" s="81"/>
      <c r="E2775" s="62"/>
      <c r="F2775" s="60"/>
      <c r="G2775" s="62"/>
      <c r="H2775" s="60"/>
    </row>
    <row r="2776" spans="1:8">
      <c r="A2776" s="60"/>
      <c r="B2776" s="77"/>
      <c r="C2776" s="60"/>
      <c r="D2776" s="81"/>
      <c r="E2776" s="62"/>
      <c r="F2776" s="60"/>
      <c r="G2776" s="62"/>
      <c r="H2776" s="60"/>
    </row>
    <row r="2777" spans="1:8">
      <c r="A2777" s="60"/>
      <c r="B2777" s="77"/>
      <c r="C2777" s="60"/>
      <c r="D2777" s="81"/>
      <c r="E2777" s="62"/>
      <c r="F2777" s="60"/>
      <c r="G2777" s="62"/>
      <c r="H2777" s="60"/>
    </row>
    <row r="2778" spans="1:8">
      <c r="A2778" s="60"/>
      <c r="B2778" s="77"/>
      <c r="C2778" s="60"/>
      <c r="D2778" s="81"/>
      <c r="E2778" s="62"/>
      <c r="F2778" s="60"/>
      <c r="G2778" s="62"/>
      <c r="H2778" s="60"/>
    </row>
    <row r="2779" spans="1:8">
      <c r="A2779" s="60"/>
      <c r="B2779" s="77"/>
      <c r="C2779" s="60"/>
      <c r="D2779" s="81"/>
      <c r="E2779" s="62"/>
      <c r="F2779" s="60"/>
      <c r="G2779" s="62"/>
      <c r="H2779" s="60"/>
    </row>
    <row r="2780" spans="1:8">
      <c r="A2780" s="60"/>
      <c r="B2780" s="77"/>
      <c r="C2780" s="60"/>
      <c r="D2780" s="81"/>
      <c r="E2780" s="62"/>
      <c r="F2780" s="60"/>
      <c r="G2780" s="62"/>
      <c r="H2780" s="60"/>
    </row>
    <row r="2781" spans="1:8">
      <c r="A2781" s="60"/>
      <c r="B2781" s="77"/>
      <c r="C2781" s="60"/>
      <c r="D2781" s="81"/>
      <c r="E2781" s="62"/>
      <c r="F2781" s="60"/>
      <c r="G2781" s="62"/>
      <c r="H2781" s="60"/>
    </row>
    <row r="2782" spans="1:8">
      <c r="A2782" s="60"/>
      <c r="B2782" s="77"/>
      <c r="C2782" s="60"/>
      <c r="D2782" s="81"/>
      <c r="E2782" s="62"/>
      <c r="F2782" s="60"/>
      <c r="G2782" s="62"/>
      <c r="H2782" s="60"/>
    </row>
    <row r="2783" spans="1:8">
      <c r="A2783" s="60"/>
      <c r="B2783" s="77"/>
      <c r="C2783" s="60"/>
      <c r="D2783" s="81"/>
      <c r="E2783" s="62"/>
      <c r="F2783" s="60"/>
      <c r="G2783" s="62"/>
      <c r="H2783" s="60"/>
    </row>
    <row r="2784" spans="1:8">
      <c r="A2784" s="60"/>
      <c r="B2784" s="77"/>
      <c r="C2784" s="60"/>
      <c r="D2784" s="81"/>
      <c r="E2784" s="62"/>
      <c r="F2784" s="60"/>
      <c r="G2784" s="62"/>
      <c r="H2784" s="60"/>
    </row>
    <row r="2785" spans="1:8">
      <c r="A2785" s="60"/>
      <c r="B2785" s="77"/>
      <c r="C2785" s="60"/>
      <c r="D2785" s="81"/>
      <c r="E2785" s="62"/>
      <c r="F2785" s="60"/>
      <c r="G2785" s="62"/>
      <c r="H2785" s="60"/>
    </row>
    <row r="2786" spans="1:8">
      <c r="A2786" s="60"/>
      <c r="B2786" s="77"/>
      <c r="C2786" s="60"/>
      <c r="D2786" s="81"/>
      <c r="E2786" s="62"/>
      <c r="F2786" s="60"/>
      <c r="G2786" s="62"/>
      <c r="H2786" s="60"/>
    </row>
    <row r="2787" spans="1:8">
      <c r="A2787" s="60"/>
      <c r="B2787" s="77"/>
      <c r="C2787" s="60"/>
      <c r="D2787" s="81"/>
      <c r="E2787" s="62"/>
      <c r="F2787" s="60"/>
      <c r="G2787" s="62"/>
      <c r="H2787" s="60"/>
    </row>
    <row r="2788" spans="1:8">
      <c r="A2788" s="60"/>
      <c r="B2788" s="77"/>
      <c r="C2788" s="60"/>
      <c r="D2788" s="81"/>
      <c r="E2788" s="62"/>
      <c r="F2788" s="60"/>
      <c r="G2788" s="62"/>
      <c r="H2788" s="60"/>
    </row>
    <row r="2789" spans="1:8">
      <c r="A2789" s="60"/>
      <c r="B2789" s="77"/>
      <c r="C2789" s="60"/>
      <c r="D2789" s="81"/>
      <c r="E2789" s="62"/>
      <c r="F2789" s="60"/>
      <c r="G2789" s="62"/>
      <c r="H2789" s="60"/>
    </row>
    <row r="2790" spans="1:8">
      <c r="A2790" s="60"/>
      <c r="B2790" s="77"/>
      <c r="C2790" s="60"/>
      <c r="D2790" s="81"/>
      <c r="E2790" s="62"/>
      <c r="F2790" s="60"/>
      <c r="G2790" s="62"/>
      <c r="H2790" s="60"/>
    </row>
    <row r="2791" spans="1:8">
      <c r="A2791" s="60"/>
      <c r="B2791" s="77"/>
      <c r="C2791" s="60"/>
      <c r="D2791" s="81"/>
      <c r="E2791" s="62"/>
      <c r="F2791" s="60"/>
      <c r="G2791" s="62"/>
      <c r="H2791" s="60"/>
    </row>
    <row r="2792" spans="1:8">
      <c r="A2792" s="60"/>
      <c r="B2792" s="77"/>
      <c r="C2792" s="60"/>
      <c r="D2792" s="81"/>
      <c r="E2792" s="62"/>
      <c r="F2792" s="60"/>
      <c r="G2792" s="62"/>
      <c r="H2792" s="60"/>
    </row>
    <row r="2793" spans="1:8">
      <c r="A2793" s="60"/>
      <c r="B2793" s="77"/>
      <c r="C2793" s="60"/>
      <c r="D2793" s="81"/>
      <c r="E2793" s="62"/>
      <c r="F2793" s="60"/>
      <c r="G2793" s="62"/>
      <c r="H2793" s="60"/>
    </row>
    <row r="2794" spans="1:8">
      <c r="A2794" s="60"/>
      <c r="B2794" s="77"/>
      <c r="C2794" s="60"/>
      <c r="D2794" s="81"/>
      <c r="E2794" s="62"/>
      <c r="F2794" s="60"/>
      <c r="G2794" s="62"/>
      <c r="H2794" s="60"/>
    </row>
    <row r="2795" spans="1:8">
      <c r="A2795" s="60"/>
      <c r="B2795" s="77"/>
      <c r="C2795" s="60"/>
      <c r="D2795" s="81"/>
      <c r="E2795" s="62"/>
      <c r="F2795" s="60"/>
      <c r="G2795" s="62"/>
      <c r="H2795" s="60"/>
    </row>
    <row r="2796" spans="1:8">
      <c r="A2796" s="60"/>
      <c r="B2796" s="77"/>
      <c r="C2796" s="60"/>
      <c r="D2796" s="81"/>
      <c r="E2796" s="62"/>
      <c r="F2796" s="60"/>
      <c r="G2796" s="62"/>
      <c r="H2796" s="60"/>
    </row>
    <row r="2797" spans="1:8">
      <c r="A2797" s="60"/>
      <c r="B2797" s="77"/>
      <c r="C2797" s="60"/>
      <c r="D2797" s="81"/>
      <c r="E2797" s="62"/>
      <c r="F2797" s="60"/>
      <c r="G2797" s="62"/>
      <c r="H2797" s="60"/>
    </row>
    <row r="2798" spans="1:8">
      <c r="A2798" s="60"/>
      <c r="B2798" s="77"/>
      <c r="C2798" s="60"/>
      <c r="D2798" s="81"/>
      <c r="E2798" s="62"/>
      <c r="F2798" s="60"/>
      <c r="G2798" s="62"/>
      <c r="H2798" s="60"/>
    </row>
    <row r="2799" spans="1:8">
      <c r="A2799" s="60"/>
      <c r="B2799" s="77"/>
      <c r="C2799" s="60"/>
      <c r="D2799" s="81"/>
      <c r="E2799" s="62"/>
      <c r="F2799" s="60"/>
      <c r="G2799" s="62"/>
      <c r="H2799" s="60"/>
    </row>
    <row r="2800" spans="1:8">
      <c r="A2800" s="60"/>
      <c r="B2800" s="77"/>
      <c r="C2800" s="60"/>
      <c r="D2800" s="81"/>
      <c r="E2800" s="62"/>
      <c r="F2800" s="60"/>
      <c r="G2800" s="62"/>
      <c r="H2800" s="60"/>
    </row>
    <row r="2801" spans="1:8">
      <c r="A2801" s="60"/>
      <c r="B2801" s="77"/>
      <c r="C2801" s="60"/>
      <c r="D2801" s="81"/>
      <c r="E2801" s="62"/>
      <c r="F2801" s="60"/>
      <c r="G2801" s="62"/>
      <c r="H2801" s="60"/>
    </row>
    <row r="2802" spans="1:8">
      <c r="A2802" s="60"/>
      <c r="B2802" s="77"/>
      <c r="C2802" s="60"/>
      <c r="D2802" s="81"/>
      <c r="E2802" s="62"/>
      <c r="F2802" s="60"/>
      <c r="G2802" s="62"/>
      <c r="H2802" s="60"/>
    </row>
    <row r="2803" spans="1:8">
      <c r="A2803" s="60"/>
      <c r="B2803" s="77"/>
      <c r="C2803" s="60"/>
      <c r="D2803" s="81"/>
      <c r="E2803" s="62"/>
      <c r="F2803" s="60"/>
      <c r="G2803" s="62"/>
      <c r="H2803" s="60"/>
    </row>
    <row r="2804" spans="1:8">
      <c r="A2804" s="60"/>
      <c r="B2804" s="77"/>
      <c r="C2804" s="60"/>
      <c r="D2804" s="81"/>
      <c r="E2804" s="62"/>
      <c r="F2804" s="60"/>
      <c r="G2804" s="62"/>
      <c r="H2804" s="60"/>
    </row>
    <row r="2805" spans="1:8">
      <c r="A2805" s="60"/>
      <c r="B2805" s="77"/>
      <c r="C2805" s="60"/>
      <c r="D2805" s="81"/>
      <c r="E2805" s="62"/>
      <c r="F2805" s="60"/>
      <c r="G2805" s="62"/>
      <c r="H2805" s="60"/>
    </row>
    <row r="2806" spans="1:8">
      <c r="A2806" s="60"/>
      <c r="B2806" s="77"/>
      <c r="C2806" s="60"/>
      <c r="D2806" s="81"/>
      <c r="E2806" s="62"/>
      <c r="F2806" s="60"/>
      <c r="G2806" s="62"/>
      <c r="H2806" s="60"/>
    </row>
    <row r="2807" spans="1:8">
      <c r="A2807" s="60"/>
      <c r="B2807" s="77"/>
      <c r="C2807" s="60"/>
      <c r="D2807" s="81"/>
      <c r="E2807" s="62"/>
      <c r="F2807" s="60"/>
      <c r="G2807" s="62"/>
      <c r="H2807" s="60"/>
    </row>
    <row r="2808" spans="1:8">
      <c r="A2808" s="60"/>
      <c r="B2808" s="77"/>
      <c r="C2808" s="60"/>
      <c r="D2808" s="81"/>
      <c r="E2808" s="62"/>
      <c r="F2808" s="60"/>
      <c r="G2808" s="62"/>
      <c r="H2808" s="60"/>
    </row>
    <row r="2809" spans="1:8">
      <c r="A2809" s="60"/>
      <c r="B2809" s="77"/>
      <c r="C2809" s="60"/>
      <c r="D2809" s="81"/>
      <c r="E2809" s="62"/>
      <c r="F2809" s="60"/>
      <c r="G2809" s="62"/>
      <c r="H2809" s="60"/>
    </row>
    <row r="2810" spans="1:8">
      <c r="A2810" s="60"/>
      <c r="B2810" s="77"/>
      <c r="C2810" s="60"/>
      <c r="D2810" s="81"/>
      <c r="E2810" s="62"/>
      <c r="F2810" s="60"/>
      <c r="G2810" s="62"/>
      <c r="H2810" s="60"/>
    </row>
    <row r="2811" spans="1:8">
      <c r="A2811" s="60"/>
      <c r="B2811" s="77"/>
      <c r="C2811" s="60"/>
      <c r="D2811" s="81"/>
      <c r="E2811" s="62"/>
      <c r="F2811" s="60"/>
      <c r="G2811" s="62"/>
      <c r="H2811" s="60"/>
    </row>
    <row r="2812" spans="1:8">
      <c r="A2812" s="60"/>
      <c r="B2812" s="77"/>
      <c r="C2812" s="60"/>
      <c r="D2812" s="81"/>
      <c r="E2812" s="62"/>
      <c r="F2812" s="60"/>
      <c r="G2812" s="62"/>
      <c r="H2812" s="60"/>
    </row>
    <row r="2813" spans="1:8">
      <c r="A2813" s="60"/>
      <c r="B2813" s="77"/>
      <c r="C2813" s="60"/>
      <c r="D2813" s="81"/>
      <c r="E2813" s="62"/>
      <c r="F2813" s="60"/>
      <c r="G2813" s="62"/>
      <c r="H2813" s="60"/>
    </row>
    <row r="2814" spans="1:8">
      <c r="A2814" s="60"/>
      <c r="B2814" s="77"/>
      <c r="C2814" s="60"/>
      <c r="D2814" s="81"/>
      <c r="E2814" s="62"/>
      <c r="F2814" s="60"/>
      <c r="G2814" s="62"/>
      <c r="H2814" s="60"/>
    </row>
    <row r="2815" spans="1:8">
      <c r="A2815" s="60"/>
      <c r="B2815" s="77"/>
      <c r="C2815" s="60"/>
      <c r="D2815" s="81"/>
      <c r="E2815" s="62"/>
      <c r="F2815" s="60"/>
      <c r="G2815" s="62"/>
      <c r="H2815" s="60"/>
    </row>
    <row r="2816" spans="1:8">
      <c r="A2816" s="60"/>
      <c r="B2816" s="77"/>
      <c r="C2816" s="60"/>
      <c r="D2816" s="81"/>
      <c r="E2816" s="62"/>
      <c r="F2816" s="60"/>
      <c r="G2816" s="62"/>
      <c r="H2816" s="60"/>
    </row>
    <row r="2817" spans="1:8">
      <c r="A2817" s="60"/>
      <c r="B2817" s="77"/>
      <c r="C2817" s="60"/>
      <c r="D2817" s="81"/>
      <c r="E2817" s="62"/>
      <c r="F2817" s="60"/>
      <c r="G2817" s="62"/>
      <c r="H2817" s="60"/>
    </row>
    <row r="2818" spans="1:8">
      <c r="A2818" s="60"/>
      <c r="B2818" s="77"/>
      <c r="C2818" s="60"/>
      <c r="D2818" s="81"/>
      <c r="E2818" s="62"/>
      <c r="F2818" s="60"/>
      <c r="G2818" s="62"/>
      <c r="H2818" s="60"/>
    </row>
    <row r="2819" spans="1:8">
      <c r="A2819" s="60"/>
      <c r="B2819" s="77"/>
      <c r="C2819" s="60"/>
      <c r="D2819" s="81"/>
      <c r="E2819" s="62"/>
      <c r="F2819" s="60"/>
      <c r="G2819" s="62"/>
      <c r="H2819" s="60"/>
    </row>
    <row r="2820" spans="1:8">
      <c r="A2820" s="60"/>
      <c r="B2820" s="77"/>
      <c r="C2820" s="60"/>
      <c r="D2820" s="81"/>
      <c r="E2820" s="62"/>
      <c r="F2820" s="60"/>
      <c r="G2820" s="62"/>
      <c r="H2820" s="60"/>
    </row>
    <row r="2821" spans="1:8">
      <c r="A2821" s="60"/>
      <c r="B2821" s="77"/>
      <c r="C2821" s="60"/>
      <c r="D2821" s="81"/>
      <c r="E2821" s="62"/>
      <c r="F2821" s="60"/>
      <c r="G2821" s="62"/>
      <c r="H2821" s="60"/>
    </row>
    <row r="2822" spans="1:8">
      <c r="A2822" s="60"/>
      <c r="B2822" s="77"/>
      <c r="C2822" s="60"/>
      <c r="D2822" s="81"/>
      <c r="E2822" s="62"/>
      <c r="F2822" s="60"/>
      <c r="G2822" s="62"/>
      <c r="H2822" s="60"/>
    </row>
    <row r="2823" spans="1:8">
      <c r="A2823" s="60"/>
      <c r="B2823" s="77"/>
      <c r="C2823" s="60"/>
      <c r="D2823" s="81"/>
      <c r="E2823" s="62"/>
      <c r="F2823" s="60"/>
      <c r="G2823" s="62"/>
      <c r="H2823" s="60"/>
    </row>
    <row r="2824" spans="1:8">
      <c r="A2824" s="60"/>
      <c r="B2824" s="77"/>
      <c r="C2824" s="60"/>
      <c r="D2824" s="81"/>
      <c r="E2824" s="62"/>
      <c r="F2824" s="60"/>
      <c r="G2824" s="62"/>
      <c r="H2824" s="60"/>
    </row>
    <row r="2825" spans="1:8">
      <c r="A2825" s="60"/>
      <c r="B2825" s="77"/>
      <c r="C2825" s="60"/>
      <c r="D2825" s="81"/>
      <c r="E2825" s="62"/>
      <c r="F2825" s="60"/>
      <c r="G2825" s="62"/>
      <c r="H2825" s="60"/>
    </row>
    <row r="2826" spans="1:8">
      <c r="A2826" s="60"/>
      <c r="B2826" s="77"/>
      <c r="C2826" s="60"/>
      <c r="D2826" s="81"/>
      <c r="E2826" s="62"/>
      <c r="F2826" s="60"/>
      <c r="G2826" s="62"/>
      <c r="H2826" s="60"/>
    </row>
    <row r="2827" spans="1:8">
      <c r="A2827" s="60"/>
      <c r="B2827" s="77"/>
      <c r="C2827" s="60"/>
      <c r="D2827" s="81"/>
      <c r="E2827" s="62"/>
      <c r="F2827" s="60"/>
      <c r="G2827" s="62"/>
      <c r="H2827" s="60"/>
    </row>
    <row r="2828" spans="1:8">
      <c r="A2828" s="60"/>
      <c r="B2828" s="77"/>
      <c r="C2828" s="60"/>
      <c r="D2828" s="81"/>
      <c r="E2828" s="62"/>
      <c r="F2828" s="60"/>
      <c r="G2828" s="62"/>
      <c r="H2828" s="60"/>
    </row>
    <row r="2829" spans="1:8">
      <c r="A2829" s="60"/>
      <c r="B2829" s="77"/>
      <c r="C2829" s="60"/>
      <c r="D2829" s="81"/>
      <c r="E2829" s="62"/>
      <c r="F2829" s="60"/>
      <c r="G2829" s="62"/>
      <c r="H2829" s="60"/>
    </row>
    <row r="2830" spans="1:8">
      <c r="A2830" s="60"/>
      <c r="B2830" s="77"/>
      <c r="C2830" s="60"/>
      <c r="D2830" s="81"/>
      <c r="E2830" s="62"/>
      <c r="F2830" s="60"/>
      <c r="G2830" s="62"/>
      <c r="H2830" s="60"/>
    </row>
    <row r="2831" spans="1:8">
      <c r="A2831" s="60"/>
      <c r="B2831" s="77"/>
      <c r="C2831" s="60"/>
      <c r="D2831" s="81"/>
      <c r="E2831" s="62"/>
      <c r="F2831" s="60"/>
      <c r="G2831" s="62"/>
      <c r="H2831" s="60"/>
    </row>
    <row r="2832" spans="1:8">
      <c r="A2832" s="60"/>
      <c r="B2832" s="77"/>
      <c r="C2832" s="60"/>
      <c r="D2832" s="81"/>
      <c r="E2832" s="62"/>
      <c r="F2832" s="60"/>
      <c r="G2832" s="62"/>
      <c r="H2832" s="60"/>
    </row>
    <row r="2833" spans="1:8">
      <c r="A2833" s="60"/>
      <c r="B2833" s="77"/>
      <c r="C2833" s="60"/>
      <c r="D2833" s="81"/>
      <c r="E2833" s="62"/>
      <c r="F2833" s="60"/>
      <c r="G2833" s="62"/>
      <c r="H2833" s="60"/>
    </row>
    <row r="2834" spans="1:8">
      <c r="A2834" s="60"/>
      <c r="B2834" s="77"/>
      <c r="C2834" s="60"/>
      <c r="D2834" s="81"/>
      <c r="E2834" s="62"/>
      <c r="F2834" s="60"/>
      <c r="G2834" s="62"/>
      <c r="H2834" s="60"/>
    </row>
    <row r="2835" spans="1:8">
      <c r="A2835" s="60"/>
      <c r="B2835" s="77"/>
      <c r="C2835" s="60"/>
      <c r="D2835" s="81"/>
      <c r="E2835" s="62"/>
      <c r="F2835" s="60"/>
      <c r="G2835" s="62"/>
      <c r="H2835" s="60"/>
    </row>
    <row r="2836" spans="1:8">
      <c r="A2836" s="60"/>
      <c r="B2836" s="77"/>
      <c r="C2836" s="60"/>
      <c r="D2836" s="81"/>
      <c r="E2836" s="62"/>
      <c r="F2836" s="60"/>
      <c r="G2836" s="62"/>
      <c r="H2836" s="60"/>
    </row>
    <row r="2837" spans="1:8">
      <c r="A2837" s="60"/>
      <c r="B2837" s="77"/>
      <c r="C2837" s="60"/>
      <c r="D2837" s="81"/>
      <c r="E2837" s="62"/>
      <c r="F2837" s="60"/>
      <c r="G2837" s="62"/>
      <c r="H2837" s="60"/>
    </row>
    <row r="2838" spans="1:8">
      <c r="A2838" s="60"/>
      <c r="B2838" s="77"/>
      <c r="C2838" s="60"/>
      <c r="D2838" s="81"/>
      <c r="E2838" s="62"/>
      <c r="F2838" s="60"/>
      <c r="G2838" s="62"/>
      <c r="H2838" s="60"/>
    </row>
    <row r="2839" spans="1:8">
      <c r="A2839" s="60"/>
      <c r="B2839" s="77"/>
      <c r="C2839" s="60"/>
      <c r="D2839" s="81"/>
      <c r="E2839" s="62"/>
      <c r="F2839" s="60"/>
      <c r="G2839" s="62"/>
      <c r="H2839" s="60"/>
    </row>
    <row r="2840" spans="1:8">
      <c r="A2840" s="60"/>
      <c r="B2840" s="77"/>
      <c r="C2840" s="60"/>
      <c r="D2840" s="81"/>
      <c r="E2840" s="62"/>
      <c r="F2840" s="60"/>
      <c r="G2840" s="62"/>
      <c r="H2840" s="60"/>
    </row>
    <row r="2841" spans="1:8">
      <c r="A2841" s="60"/>
      <c r="B2841" s="77"/>
      <c r="C2841" s="60"/>
      <c r="D2841" s="81"/>
      <c r="E2841" s="62"/>
      <c r="F2841" s="60"/>
      <c r="G2841" s="62"/>
      <c r="H2841" s="60"/>
    </row>
    <row r="2842" spans="1:8">
      <c r="A2842" s="60"/>
      <c r="B2842" s="77"/>
      <c r="C2842" s="60"/>
      <c r="D2842" s="81"/>
      <c r="E2842" s="62"/>
      <c r="F2842" s="60"/>
      <c r="G2842" s="62"/>
      <c r="H2842" s="60"/>
    </row>
    <row r="2843" spans="1:8">
      <c r="A2843" s="60"/>
      <c r="B2843" s="77"/>
      <c r="C2843" s="60"/>
      <c r="D2843" s="81"/>
      <c r="E2843" s="62"/>
      <c r="F2843" s="60"/>
      <c r="G2843" s="62"/>
      <c r="H2843" s="60"/>
    </row>
    <row r="2844" spans="1:8">
      <c r="A2844" s="60"/>
      <c r="B2844" s="77"/>
      <c r="C2844" s="60"/>
      <c r="D2844" s="81"/>
      <c r="E2844" s="62"/>
      <c r="F2844" s="60"/>
      <c r="G2844" s="62"/>
      <c r="H2844" s="60"/>
    </row>
    <row r="2845" spans="1:8">
      <c r="A2845" s="60"/>
      <c r="B2845" s="77"/>
      <c r="C2845" s="60"/>
      <c r="D2845" s="81"/>
      <c r="E2845" s="62"/>
      <c r="F2845" s="60"/>
      <c r="G2845" s="62"/>
      <c r="H2845" s="60"/>
    </row>
    <row r="2846" spans="1:8">
      <c r="A2846" s="60"/>
      <c r="B2846" s="77"/>
      <c r="C2846" s="60"/>
      <c r="D2846" s="81"/>
      <c r="E2846" s="62"/>
      <c r="F2846" s="60"/>
      <c r="G2846" s="62"/>
      <c r="H2846" s="60"/>
    </row>
    <row r="2847" spans="1:8">
      <c r="A2847" s="60"/>
      <c r="B2847" s="77"/>
      <c r="C2847" s="60"/>
      <c r="D2847" s="81"/>
      <c r="E2847" s="62"/>
      <c r="F2847" s="60"/>
      <c r="G2847" s="62"/>
      <c r="H2847" s="60"/>
    </row>
    <row r="2848" spans="1:8">
      <c r="A2848" s="60"/>
      <c r="B2848" s="77"/>
      <c r="C2848" s="60"/>
      <c r="D2848" s="81"/>
      <c r="E2848" s="62"/>
      <c r="F2848" s="60"/>
      <c r="G2848" s="62"/>
      <c r="H2848" s="60"/>
    </row>
    <row r="2849" spans="1:8">
      <c r="A2849" s="60"/>
      <c r="B2849" s="77"/>
      <c r="C2849" s="60"/>
      <c r="D2849" s="81"/>
      <c r="E2849" s="62"/>
      <c r="F2849" s="60"/>
      <c r="G2849" s="62"/>
      <c r="H2849" s="60"/>
    </row>
    <row r="2850" spans="1:8">
      <c r="A2850" s="60"/>
      <c r="B2850" s="77"/>
      <c r="C2850" s="60"/>
      <c r="D2850" s="81"/>
      <c r="E2850" s="62"/>
      <c r="F2850" s="60"/>
      <c r="G2850" s="62"/>
      <c r="H2850" s="60"/>
    </row>
    <row r="2851" spans="1:8">
      <c r="A2851" s="60"/>
      <c r="B2851" s="77"/>
      <c r="C2851" s="60"/>
      <c r="D2851" s="81"/>
      <c r="E2851" s="62"/>
      <c r="F2851" s="60"/>
      <c r="G2851" s="62"/>
      <c r="H2851" s="60"/>
    </row>
    <row r="2852" spans="1:8">
      <c r="A2852" s="60"/>
      <c r="B2852" s="77"/>
      <c r="C2852" s="60"/>
      <c r="D2852" s="81"/>
      <c r="E2852" s="62"/>
      <c r="F2852" s="60"/>
      <c r="G2852" s="62"/>
      <c r="H2852" s="60"/>
    </row>
    <row r="2853" spans="1:8">
      <c r="A2853" s="60"/>
      <c r="B2853" s="77"/>
      <c r="C2853" s="60"/>
      <c r="D2853" s="81"/>
      <c r="E2853" s="62"/>
      <c r="F2853" s="60"/>
      <c r="G2853" s="62"/>
      <c r="H2853" s="60"/>
    </row>
    <row r="2854" spans="1:8">
      <c r="A2854" s="60"/>
      <c r="B2854" s="77"/>
      <c r="C2854" s="60"/>
      <c r="D2854" s="81"/>
      <c r="E2854" s="62"/>
      <c r="F2854" s="60"/>
      <c r="G2854" s="62"/>
      <c r="H2854" s="60"/>
    </row>
    <row r="2855" spans="1:8">
      <c r="A2855" s="60"/>
      <c r="B2855" s="77"/>
      <c r="C2855" s="60"/>
      <c r="D2855" s="81"/>
      <c r="E2855" s="62"/>
      <c r="F2855" s="60"/>
      <c r="G2855" s="62"/>
      <c r="H2855" s="60"/>
    </row>
    <row r="2856" spans="1:8">
      <c r="A2856" s="60"/>
      <c r="B2856" s="77"/>
      <c r="C2856" s="60"/>
      <c r="D2856" s="81"/>
      <c r="E2856" s="62"/>
      <c r="F2856" s="60"/>
      <c r="G2856" s="62"/>
      <c r="H2856" s="60"/>
    </row>
    <row r="2857" spans="1:8">
      <c r="A2857" s="60"/>
      <c r="B2857" s="77"/>
      <c r="C2857" s="60"/>
      <c r="D2857" s="81"/>
      <c r="E2857" s="62"/>
      <c r="F2857" s="60"/>
      <c r="G2857" s="62"/>
      <c r="H2857" s="60"/>
    </row>
    <row r="2858" spans="1:8">
      <c r="A2858" s="60"/>
      <c r="B2858" s="77"/>
      <c r="C2858" s="60"/>
      <c r="D2858" s="81"/>
      <c r="E2858" s="62"/>
      <c r="F2858" s="60"/>
      <c r="G2858" s="62"/>
      <c r="H2858" s="60"/>
    </row>
    <row r="2859" spans="1:8">
      <c r="A2859" s="60"/>
      <c r="B2859" s="77"/>
      <c r="C2859" s="60"/>
      <c r="D2859" s="81"/>
      <c r="E2859" s="62"/>
      <c r="F2859" s="60"/>
      <c r="G2859" s="62"/>
      <c r="H2859" s="60"/>
    </row>
    <row r="2860" spans="1:8">
      <c r="A2860" s="60"/>
      <c r="B2860" s="77"/>
      <c r="C2860" s="60"/>
      <c r="D2860" s="81"/>
      <c r="E2860" s="62"/>
      <c r="F2860" s="60"/>
      <c r="G2860" s="62"/>
      <c r="H2860" s="60"/>
    </row>
    <row r="2861" spans="1:8">
      <c r="A2861" s="60"/>
      <c r="B2861" s="77"/>
      <c r="C2861" s="60"/>
      <c r="D2861" s="81"/>
      <c r="E2861" s="62"/>
      <c r="F2861" s="60"/>
      <c r="G2861" s="62"/>
      <c r="H2861" s="60"/>
    </row>
    <row r="2862" spans="1:8">
      <c r="A2862" s="60"/>
      <c r="B2862" s="77"/>
      <c r="C2862" s="60"/>
      <c r="D2862" s="81"/>
      <c r="E2862" s="62"/>
      <c r="F2862" s="60"/>
      <c r="G2862" s="62"/>
      <c r="H2862" s="60"/>
    </row>
    <row r="2863" spans="1:8">
      <c r="A2863" s="60"/>
      <c r="B2863" s="77"/>
      <c r="C2863" s="60"/>
      <c r="D2863" s="81"/>
      <c r="E2863" s="62"/>
      <c r="F2863" s="60"/>
      <c r="G2863" s="62"/>
      <c r="H2863" s="60"/>
    </row>
    <row r="2864" spans="1:8">
      <c r="A2864" s="60"/>
      <c r="B2864" s="77"/>
      <c r="C2864" s="60"/>
      <c r="D2864" s="81"/>
      <c r="E2864" s="62"/>
      <c r="F2864" s="60"/>
      <c r="G2864" s="62"/>
      <c r="H2864" s="60"/>
    </row>
    <row r="2865" spans="1:8">
      <c r="A2865" s="60"/>
      <c r="B2865" s="77"/>
      <c r="C2865" s="60"/>
      <c r="D2865" s="81"/>
      <c r="E2865" s="62"/>
      <c r="F2865" s="60"/>
      <c r="G2865" s="62"/>
      <c r="H2865" s="60"/>
    </row>
    <row r="2866" spans="1:8">
      <c r="A2866" s="60"/>
      <c r="B2866" s="77"/>
      <c r="C2866" s="60"/>
      <c r="D2866" s="81"/>
      <c r="E2866" s="62"/>
      <c r="F2866" s="60"/>
      <c r="G2866" s="62"/>
      <c r="H2866" s="60"/>
    </row>
    <row r="2867" spans="1:8">
      <c r="A2867" s="60"/>
      <c r="B2867" s="77"/>
      <c r="C2867" s="60"/>
      <c r="D2867" s="81"/>
      <c r="E2867" s="62"/>
      <c r="F2867" s="60"/>
      <c r="G2867" s="62"/>
      <c r="H2867" s="60"/>
    </row>
    <row r="2868" spans="1:8">
      <c r="A2868" s="60"/>
      <c r="B2868" s="77"/>
      <c r="C2868" s="60"/>
      <c r="D2868" s="81"/>
      <c r="E2868" s="62"/>
      <c r="F2868" s="60"/>
      <c r="G2868" s="62"/>
      <c r="H2868" s="60"/>
    </row>
    <row r="2869" spans="1:8">
      <c r="A2869" s="60"/>
      <c r="B2869" s="77"/>
      <c r="C2869" s="60"/>
      <c r="D2869" s="81"/>
      <c r="E2869" s="62"/>
      <c r="F2869" s="60"/>
      <c r="G2869" s="62"/>
      <c r="H2869" s="60"/>
    </row>
    <row r="2870" spans="1:8">
      <c r="A2870" s="60"/>
      <c r="B2870" s="77"/>
      <c r="C2870" s="60"/>
      <c r="D2870" s="81"/>
      <c r="E2870" s="62"/>
      <c r="F2870" s="60"/>
      <c r="G2870" s="62"/>
      <c r="H2870" s="60"/>
    </row>
    <row r="2871" spans="1:8">
      <c r="A2871" s="60"/>
      <c r="B2871" s="77"/>
      <c r="C2871" s="60"/>
      <c r="D2871" s="81"/>
      <c r="E2871" s="62"/>
      <c r="F2871" s="60"/>
      <c r="G2871" s="62"/>
      <c r="H2871" s="60"/>
    </row>
    <row r="2872" spans="1:8">
      <c r="A2872" s="60"/>
      <c r="B2872" s="77"/>
      <c r="C2872" s="60"/>
      <c r="D2872" s="81"/>
      <c r="E2872" s="62"/>
      <c r="F2872" s="60"/>
      <c r="G2872" s="62"/>
      <c r="H2872" s="60"/>
    </row>
    <row r="2873" spans="1:8">
      <c r="A2873" s="60"/>
      <c r="B2873" s="77"/>
      <c r="C2873" s="60"/>
      <c r="D2873" s="81"/>
      <c r="E2873" s="62"/>
      <c r="F2873" s="60"/>
      <c r="G2873" s="62"/>
      <c r="H2873" s="60"/>
    </row>
    <row r="2874" spans="1:8">
      <c r="A2874" s="60"/>
      <c r="B2874" s="77"/>
      <c r="C2874" s="60"/>
      <c r="D2874" s="81"/>
      <c r="E2874" s="62"/>
      <c r="F2874" s="60"/>
      <c r="G2874" s="62"/>
      <c r="H2874" s="60"/>
    </row>
    <row r="2875" spans="1:8">
      <c r="A2875" s="60"/>
      <c r="B2875" s="77"/>
      <c r="C2875" s="60"/>
      <c r="D2875" s="81"/>
      <c r="E2875" s="62"/>
      <c r="F2875" s="60"/>
      <c r="G2875" s="62"/>
      <c r="H2875" s="60"/>
    </row>
    <row r="2876" spans="1:8">
      <c r="A2876" s="60"/>
      <c r="B2876" s="77"/>
      <c r="C2876" s="60"/>
      <c r="D2876" s="81"/>
      <c r="E2876" s="62"/>
      <c r="F2876" s="60"/>
      <c r="G2876" s="62"/>
      <c r="H2876" s="60"/>
    </row>
    <row r="2877" spans="1:8">
      <c r="A2877" s="60"/>
      <c r="B2877" s="77"/>
      <c r="C2877" s="60"/>
      <c r="D2877" s="81"/>
      <c r="E2877" s="62"/>
      <c r="F2877" s="60"/>
      <c r="G2877" s="62"/>
      <c r="H2877" s="60"/>
    </row>
    <row r="2878" spans="1:8">
      <c r="A2878" s="60"/>
      <c r="B2878" s="77"/>
      <c r="C2878" s="60"/>
      <c r="D2878" s="81"/>
      <c r="E2878" s="62"/>
      <c r="F2878" s="60"/>
      <c r="G2878" s="62"/>
      <c r="H2878" s="60"/>
    </row>
    <row r="2879" spans="1:8">
      <c r="A2879" s="60"/>
      <c r="B2879" s="77"/>
      <c r="C2879" s="60"/>
      <c r="D2879" s="81"/>
      <c r="E2879" s="62"/>
      <c r="F2879" s="60"/>
      <c r="G2879" s="62"/>
      <c r="H2879" s="60"/>
    </row>
    <row r="2880" spans="1:8">
      <c r="A2880" s="60"/>
      <c r="B2880" s="77"/>
      <c r="C2880" s="60"/>
      <c r="D2880" s="81"/>
      <c r="E2880" s="62"/>
      <c r="F2880" s="60"/>
      <c r="G2880" s="62"/>
      <c r="H2880" s="60"/>
    </row>
    <row r="2881" spans="1:8">
      <c r="A2881" s="60"/>
      <c r="B2881" s="77"/>
      <c r="C2881" s="60"/>
      <c r="D2881" s="81"/>
      <c r="E2881" s="62"/>
      <c r="F2881" s="60"/>
      <c r="G2881" s="62"/>
      <c r="H2881" s="60"/>
    </row>
    <row r="2882" spans="1:8">
      <c r="A2882" s="60"/>
      <c r="B2882" s="77"/>
      <c r="C2882" s="60"/>
      <c r="D2882" s="81"/>
      <c r="E2882" s="62"/>
      <c r="F2882" s="60"/>
      <c r="G2882" s="62"/>
      <c r="H2882" s="60"/>
    </row>
    <row r="2883" spans="1:8">
      <c r="A2883" s="60"/>
      <c r="B2883" s="77"/>
      <c r="C2883" s="60"/>
      <c r="D2883" s="81"/>
      <c r="E2883" s="62"/>
      <c r="F2883" s="60"/>
      <c r="G2883" s="62"/>
      <c r="H2883" s="60"/>
    </row>
    <row r="2884" spans="1:8">
      <c r="A2884" s="60"/>
      <c r="B2884" s="77"/>
      <c r="C2884" s="60"/>
      <c r="D2884" s="81"/>
      <c r="E2884" s="62"/>
      <c r="F2884" s="60"/>
      <c r="G2884" s="62"/>
      <c r="H2884" s="60"/>
    </row>
    <row r="2885" spans="1:8">
      <c r="A2885" s="60"/>
      <c r="B2885" s="77"/>
      <c r="C2885" s="60"/>
      <c r="D2885" s="81"/>
      <c r="E2885" s="62"/>
      <c r="F2885" s="60"/>
      <c r="G2885" s="62"/>
      <c r="H2885" s="60"/>
    </row>
    <row r="2886" spans="1:8">
      <c r="A2886" s="60"/>
      <c r="B2886" s="77"/>
      <c r="C2886" s="60"/>
      <c r="D2886" s="81"/>
      <c r="E2886" s="62"/>
      <c r="F2886" s="60"/>
      <c r="G2886" s="62"/>
      <c r="H2886" s="60"/>
    </row>
    <row r="2887" spans="1:8">
      <c r="A2887" s="60"/>
      <c r="B2887" s="77"/>
      <c r="C2887" s="60"/>
      <c r="D2887" s="81"/>
      <c r="E2887" s="62"/>
      <c r="F2887" s="60"/>
      <c r="G2887" s="62"/>
      <c r="H2887" s="60"/>
    </row>
    <row r="2888" spans="1:8">
      <c r="A2888" s="60"/>
      <c r="B2888" s="77"/>
      <c r="C2888" s="60"/>
      <c r="D2888" s="81"/>
      <c r="E2888" s="62"/>
      <c r="F2888" s="60"/>
      <c r="G2888" s="62"/>
      <c r="H2888" s="60"/>
    </row>
    <row r="2889" spans="1:8">
      <c r="A2889" s="60"/>
      <c r="B2889" s="77"/>
      <c r="C2889" s="60"/>
      <c r="D2889" s="81"/>
      <c r="E2889" s="62"/>
      <c r="F2889" s="60"/>
      <c r="G2889" s="62"/>
      <c r="H2889" s="60"/>
    </row>
    <row r="2890" spans="1:8">
      <c r="A2890" s="60"/>
      <c r="B2890" s="77"/>
      <c r="C2890" s="60"/>
      <c r="D2890" s="81"/>
      <c r="E2890" s="62"/>
      <c r="F2890" s="60"/>
      <c r="G2890" s="62"/>
      <c r="H2890" s="60"/>
    </row>
    <row r="2891" spans="1:8">
      <c r="A2891" s="60"/>
      <c r="B2891" s="77"/>
      <c r="C2891" s="60"/>
      <c r="D2891" s="81"/>
      <c r="E2891" s="62"/>
      <c r="F2891" s="60"/>
      <c r="G2891" s="62"/>
      <c r="H2891" s="60"/>
    </row>
    <row r="2892" spans="1:8">
      <c r="A2892" s="60"/>
      <c r="B2892" s="77"/>
      <c r="C2892" s="60"/>
      <c r="D2892" s="81"/>
      <c r="E2892" s="62"/>
      <c r="F2892" s="60"/>
      <c r="G2892" s="62"/>
      <c r="H2892" s="60"/>
    </row>
    <row r="2893" spans="1:8">
      <c r="A2893" s="60"/>
      <c r="B2893" s="77"/>
      <c r="C2893" s="60"/>
      <c r="D2893" s="81"/>
      <c r="E2893" s="62"/>
      <c r="F2893" s="60"/>
      <c r="G2893" s="62"/>
      <c r="H2893" s="60"/>
    </row>
    <row r="2894" spans="1:8">
      <c r="A2894" s="60"/>
      <c r="B2894" s="77"/>
      <c r="C2894" s="60"/>
      <c r="D2894" s="81"/>
      <c r="E2894" s="62"/>
      <c r="F2894" s="60"/>
      <c r="G2894" s="62"/>
      <c r="H2894" s="60"/>
    </row>
    <row r="2895" spans="1:8">
      <c r="A2895" s="60"/>
      <c r="B2895" s="77"/>
      <c r="C2895" s="60"/>
      <c r="D2895" s="81"/>
      <c r="E2895" s="62"/>
      <c r="F2895" s="60"/>
      <c r="G2895" s="62"/>
      <c r="H2895" s="60"/>
    </row>
    <row r="2896" spans="1:8">
      <c r="A2896" s="60"/>
      <c r="B2896" s="77"/>
      <c r="C2896" s="60"/>
      <c r="D2896" s="81"/>
      <c r="E2896" s="62"/>
      <c r="F2896" s="60"/>
      <c r="G2896" s="62"/>
      <c r="H2896" s="60"/>
    </row>
    <row r="2897" spans="1:8">
      <c r="A2897" s="60"/>
      <c r="B2897" s="77"/>
      <c r="C2897" s="60"/>
      <c r="D2897" s="81"/>
      <c r="E2897" s="62"/>
      <c r="F2897" s="60"/>
      <c r="G2897" s="62"/>
      <c r="H2897" s="60"/>
    </row>
    <row r="2898" spans="1:8">
      <c r="A2898" s="60"/>
      <c r="B2898" s="77"/>
      <c r="C2898" s="60"/>
      <c r="D2898" s="81"/>
      <c r="E2898" s="62"/>
      <c r="F2898" s="60"/>
      <c r="G2898" s="62"/>
      <c r="H2898" s="60"/>
    </row>
    <row r="2899" spans="1:8">
      <c r="A2899" s="60"/>
      <c r="B2899" s="77"/>
      <c r="C2899" s="60"/>
      <c r="D2899" s="81"/>
      <c r="E2899" s="62"/>
      <c r="F2899" s="60"/>
      <c r="G2899" s="62"/>
      <c r="H2899" s="60"/>
    </row>
    <row r="2900" spans="1:8">
      <c r="A2900" s="60"/>
      <c r="B2900" s="77"/>
      <c r="C2900" s="60"/>
      <c r="D2900" s="81"/>
      <c r="E2900" s="62"/>
      <c r="F2900" s="60"/>
      <c r="G2900" s="62"/>
      <c r="H2900" s="60"/>
    </row>
    <row r="2901" spans="1:8">
      <c r="A2901" s="60"/>
      <c r="B2901" s="77"/>
      <c r="C2901" s="60"/>
      <c r="D2901" s="81"/>
      <c r="E2901" s="62"/>
      <c r="F2901" s="60"/>
      <c r="G2901" s="62"/>
      <c r="H2901" s="60"/>
    </row>
    <row r="2902" spans="1:8">
      <c r="A2902" s="60"/>
      <c r="B2902" s="77"/>
      <c r="C2902" s="60"/>
      <c r="D2902" s="81"/>
      <c r="E2902" s="62"/>
      <c r="F2902" s="60"/>
      <c r="G2902" s="62"/>
      <c r="H2902" s="60"/>
    </row>
    <row r="2903" spans="1:8">
      <c r="A2903" s="60"/>
      <c r="B2903" s="77"/>
      <c r="C2903" s="60"/>
      <c r="D2903" s="81"/>
      <c r="E2903" s="62"/>
      <c r="F2903" s="60"/>
      <c r="G2903" s="62"/>
      <c r="H2903" s="60"/>
    </row>
    <row r="2904" spans="1:8">
      <c r="A2904" s="60"/>
      <c r="B2904" s="77"/>
      <c r="C2904" s="60"/>
      <c r="D2904" s="81"/>
      <c r="E2904" s="62"/>
      <c r="F2904" s="60"/>
      <c r="G2904" s="62"/>
      <c r="H2904" s="60"/>
    </row>
    <row r="2905" spans="1:8">
      <c r="A2905" s="60"/>
      <c r="B2905" s="77"/>
      <c r="C2905" s="60"/>
      <c r="D2905" s="81"/>
      <c r="E2905" s="62"/>
      <c r="F2905" s="60"/>
      <c r="G2905" s="62"/>
      <c r="H2905" s="60"/>
    </row>
    <row r="2906" spans="1:8">
      <c r="A2906" s="60"/>
      <c r="B2906" s="77"/>
      <c r="C2906" s="60"/>
      <c r="D2906" s="81"/>
      <c r="E2906" s="62"/>
      <c r="F2906" s="60"/>
      <c r="G2906" s="62"/>
      <c r="H2906" s="60"/>
    </row>
    <row r="2907" spans="1:8">
      <c r="A2907" s="60"/>
      <c r="B2907" s="77"/>
      <c r="C2907" s="60"/>
      <c r="D2907" s="81"/>
      <c r="E2907" s="62"/>
      <c r="F2907" s="60"/>
      <c r="G2907" s="62"/>
      <c r="H2907" s="60"/>
    </row>
    <row r="2908" spans="1:8">
      <c r="A2908" s="60"/>
      <c r="B2908" s="77"/>
      <c r="C2908" s="60"/>
      <c r="D2908" s="81"/>
      <c r="E2908" s="62"/>
      <c r="F2908" s="60"/>
      <c r="G2908" s="62"/>
      <c r="H2908" s="60"/>
    </row>
    <row r="2909" spans="1:8">
      <c r="A2909" s="60"/>
      <c r="B2909" s="77"/>
      <c r="C2909" s="60"/>
      <c r="D2909" s="81"/>
      <c r="E2909" s="62"/>
      <c r="F2909" s="60"/>
      <c r="G2909" s="62"/>
      <c r="H2909" s="60"/>
    </row>
    <row r="2910" spans="1:8">
      <c r="A2910" s="60"/>
      <c r="B2910" s="77"/>
      <c r="C2910" s="60"/>
      <c r="D2910" s="81"/>
      <c r="E2910" s="62"/>
      <c r="F2910" s="60"/>
      <c r="G2910" s="62"/>
      <c r="H2910" s="60"/>
    </row>
    <row r="2911" spans="1:8">
      <c r="A2911" s="60"/>
      <c r="B2911" s="77"/>
      <c r="C2911" s="60"/>
      <c r="D2911" s="81"/>
      <c r="E2911" s="62"/>
      <c r="F2911" s="60"/>
      <c r="G2911" s="62"/>
      <c r="H2911" s="60"/>
    </row>
    <row r="2912" spans="1:8">
      <c r="A2912" s="60"/>
      <c r="B2912" s="77"/>
      <c r="C2912" s="60"/>
      <c r="D2912" s="81"/>
      <c r="E2912" s="62"/>
      <c r="F2912" s="60"/>
      <c r="G2912" s="62"/>
      <c r="H2912" s="60"/>
    </row>
    <row r="2913" spans="1:8">
      <c r="A2913" s="60"/>
      <c r="B2913" s="77"/>
      <c r="C2913" s="60"/>
      <c r="D2913" s="81"/>
      <c r="E2913" s="62"/>
      <c r="F2913" s="60"/>
      <c r="G2913" s="62"/>
      <c r="H2913" s="60"/>
    </row>
    <row r="2914" spans="1:8">
      <c r="A2914" s="60"/>
      <c r="B2914" s="77"/>
      <c r="C2914" s="60"/>
      <c r="D2914" s="81"/>
      <c r="E2914" s="62"/>
      <c r="F2914" s="60"/>
      <c r="G2914" s="62"/>
      <c r="H2914" s="60"/>
    </row>
    <row r="2915" spans="1:8">
      <c r="A2915" s="60"/>
      <c r="B2915" s="77"/>
      <c r="C2915" s="60"/>
      <c r="D2915" s="81"/>
      <c r="E2915" s="62"/>
      <c r="F2915" s="60"/>
      <c r="G2915" s="62"/>
      <c r="H2915" s="60"/>
    </row>
    <row r="2916" spans="1:8">
      <c r="A2916" s="60"/>
      <c r="B2916" s="77"/>
      <c r="C2916" s="60"/>
      <c r="D2916" s="81"/>
      <c r="E2916" s="62"/>
      <c r="F2916" s="60"/>
      <c r="G2916" s="62"/>
      <c r="H2916" s="60"/>
    </row>
    <row r="2917" spans="1:8">
      <c r="A2917" s="60"/>
      <c r="B2917" s="77"/>
      <c r="C2917" s="60"/>
      <c r="D2917" s="81"/>
      <c r="E2917" s="62"/>
      <c r="F2917" s="60"/>
      <c r="G2917" s="62"/>
      <c r="H2917" s="60"/>
    </row>
    <row r="2918" spans="1:8">
      <c r="A2918" s="60"/>
      <c r="B2918" s="77"/>
      <c r="C2918" s="60"/>
      <c r="D2918" s="81"/>
      <c r="E2918" s="62"/>
      <c r="F2918" s="60"/>
      <c r="G2918" s="62"/>
      <c r="H2918" s="60"/>
    </row>
    <row r="2919" spans="1:8">
      <c r="A2919" s="60"/>
      <c r="B2919" s="77"/>
      <c r="C2919" s="60"/>
      <c r="D2919" s="81"/>
      <c r="E2919" s="62"/>
      <c r="F2919" s="60"/>
      <c r="G2919" s="62"/>
      <c r="H2919" s="60"/>
    </row>
    <row r="2920" spans="1:8">
      <c r="A2920" s="60"/>
      <c r="B2920" s="77"/>
      <c r="C2920" s="60"/>
      <c r="D2920" s="81"/>
      <c r="E2920" s="62"/>
      <c r="F2920" s="60"/>
      <c r="G2920" s="62"/>
      <c r="H2920" s="60"/>
    </row>
    <row r="2921" spans="1:8">
      <c r="A2921" s="60"/>
      <c r="B2921" s="77"/>
      <c r="C2921" s="60"/>
      <c r="D2921" s="81"/>
      <c r="E2921" s="62"/>
      <c r="F2921" s="60"/>
      <c r="G2921" s="62"/>
      <c r="H2921" s="60"/>
    </row>
    <row r="2922" spans="1:8">
      <c r="A2922" s="60"/>
      <c r="B2922" s="77"/>
      <c r="C2922" s="60"/>
      <c r="D2922" s="81"/>
      <c r="E2922" s="62"/>
      <c r="F2922" s="60"/>
      <c r="G2922" s="62"/>
      <c r="H2922" s="60"/>
    </row>
    <row r="2923" spans="1:8">
      <c r="A2923" s="60"/>
      <c r="B2923" s="77"/>
      <c r="C2923" s="60"/>
      <c r="D2923" s="81"/>
      <c r="E2923" s="62"/>
      <c r="F2923" s="60"/>
      <c r="G2923" s="62"/>
      <c r="H2923" s="60"/>
    </row>
    <row r="2924" spans="1:8">
      <c r="A2924" s="60"/>
      <c r="B2924" s="77"/>
      <c r="C2924" s="60"/>
      <c r="D2924" s="81"/>
      <c r="E2924" s="62"/>
      <c r="F2924" s="60"/>
      <c r="G2924" s="62"/>
      <c r="H2924" s="60"/>
    </row>
    <row r="2925" spans="1:8">
      <c r="A2925" s="60"/>
      <c r="B2925" s="77"/>
      <c r="C2925" s="60"/>
      <c r="D2925" s="81"/>
      <c r="E2925" s="62"/>
      <c r="F2925" s="60"/>
      <c r="G2925" s="62"/>
      <c r="H2925" s="60"/>
    </row>
    <row r="2926" spans="1:8">
      <c r="A2926" s="60"/>
      <c r="B2926" s="77"/>
      <c r="C2926" s="60"/>
      <c r="D2926" s="81"/>
      <c r="E2926" s="62"/>
      <c r="F2926" s="60"/>
      <c r="G2926" s="62"/>
      <c r="H2926" s="60"/>
    </row>
    <row r="2927" spans="1:8">
      <c r="A2927" s="60"/>
      <c r="B2927" s="77"/>
      <c r="C2927" s="60"/>
      <c r="D2927" s="81"/>
      <c r="E2927" s="62"/>
      <c r="F2927" s="60"/>
      <c r="G2927" s="62"/>
      <c r="H2927" s="60"/>
    </row>
    <row r="2928" spans="1:8">
      <c r="A2928" s="60"/>
      <c r="B2928" s="77"/>
      <c r="C2928" s="60"/>
      <c r="D2928" s="81"/>
      <c r="E2928" s="62"/>
      <c r="F2928" s="60"/>
      <c r="G2928" s="62"/>
      <c r="H2928" s="60"/>
    </row>
    <row r="2929" spans="1:8">
      <c r="A2929" s="60"/>
      <c r="B2929" s="77"/>
      <c r="C2929" s="60"/>
      <c r="D2929" s="81"/>
      <c r="E2929" s="62"/>
      <c r="F2929" s="60"/>
      <c r="G2929" s="62"/>
      <c r="H2929" s="60"/>
    </row>
    <row r="2930" spans="1:8">
      <c r="A2930" s="60"/>
      <c r="B2930" s="77"/>
      <c r="C2930" s="60"/>
      <c r="D2930" s="81"/>
      <c r="E2930" s="62"/>
      <c r="F2930" s="60"/>
      <c r="G2930" s="62"/>
      <c r="H2930" s="60"/>
    </row>
    <row r="2931" spans="1:8">
      <c r="A2931" s="60"/>
      <c r="B2931" s="77"/>
      <c r="C2931" s="60"/>
      <c r="D2931" s="81"/>
      <c r="E2931" s="62"/>
      <c r="F2931" s="60"/>
      <c r="G2931" s="62"/>
      <c r="H2931" s="60"/>
    </row>
    <row r="2932" spans="1:8">
      <c r="A2932" s="60"/>
      <c r="B2932" s="77"/>
      <c r="C2932" s="60"/>
      <c r="D2932" s="81"/>
      <c r="E2932" s="62"/>
      <c r="F2932" s="60"/>
      <c r="G2932" s="62"/>
      <c r="H2932" s="60"/>
    </row>
    <row r="2933" spans="1:8">
      <c r="A2933" s="60"/>
      <c r="B2933" s="77"/>
      <c r="C2933" s="60"/>
      <c r="D2933" s="81"/>
      <c r="E2933" s="62"/>
      <c r="F2933" s="60"/>
      <c r="G2933" s="62"/>
      <c r="H2933" s="60"/>
    </row>
    <row r="2934" spans="1:8">
      <c r="A2934" s="60"/>
      <c r="B2934" s="77"/>
      <c r="C2934" s="60"/>
      <c r="D2934" s="81"/>
      <c r="E2934" s="62"/>
      <c r="F2934" s="60"/>
      <c r="G2934" s="62"/>
      <c r="H2934" s="60"/>
    </row>
    <row r="2935" spans="1:8">
      <c r="A2935" s="60"/>
      <c r="B2935" s="77"/>
      <c r="C2935" s="60"/>
      <c r="D2935" s="81"/>
      <c r="E2935" s="62"/>
      <c r="F2935" s="60"/>
      <c r="G2935" s="62"/>
      <c r="H2935" s="60"/>
    </row>
    <row r="2936" spans="1:8">
      <c r="A2936" s="60"/>
      <c r="B2936" s="77"/>
      <c r="C2936" s="60"/>
      <c r="D2936" s="81"/>
      <c r="E2936" s="62"/>
      <c r="F2936" s="60"/>
      <c r="G2936" s="62"/>
      <c r="H2936" s="60"/>
    </row>
    <row r="2937" spans="1:8">
      <c r="A2937" s="60"/>
      <c r="B2937" s="77"/>
      <c r="C2937" s="60"/>
      <c r="D2937" s="81"/>
      <c r="E2937" s="62"/>
      <c r="F2937" s="60"/>
      <c r="G2937" s="62"/>
      <c r="H2937" s="60"/>
    </row>
    <row r="2938" spans="1:8">
      <c r="A2938" s="60"/>
      <c r="B2938" s="77"/>
      <c r="C2938" s="60"/>
      <c r="D2938" s="81"/>
      <c r="E2938" s="62"/>
      <c r="F2938" s="60"/>
      <c r="G2938" s="62"/>
      <c r="H2938" s="60"/>
    </row>
    <row r="2939" spans="1:8">
      <c r="A2939" s="60"/>
      <c r="B2939" s="77"/>
      <c r="C2939" s="60"/>
      <c r="D2939" s="81"/>
      <c r="E2939" s="62"/>
      <c r="F2939" s="60"/>
      <c r="G2939" s="62"/>
      <c r="H2939" s="60"/>
    </row>
    <row r="2940" spans="1:8">
      <c r="A2940" s="60"/>
      <c r="B2940" s="77"/>
      <c r="C2940" s="60"/>
      <c r="D2940" s="81"/>
      <c r="E2940" s="62"/>
      <c r="F2940" s="60"/>
      <c r="G2940" s="62"/>
      <c r="H2940" s="60"/>
    </row>
    <row r="2941" spans="1:8">
      <c r="A2941" s="60"/>
      <c r="B2941" s="77"/>
      <c r="C2941" s="60"/>
      <c r="D2941" s="81"/>
      <c r="E2941" s="62"/>
      <c r="F2941" s="60"/>
      <c r="G2941" s="62"/>
      <c r="H2941" s="60"/>
    </row>
    <row r="2942" spans="1:8">
      <c r="A2942" s="60"/>
      <c r="B2942" s="77"/>
      <c r="C2942" s="60"/>
      <c r="D2942" s="81"/>
      <c r="E2942" s="62"/>
      <c r="F2942" s="60"/>
      <c r="G2942" s="62"/>
      <c r="H2942" s="60"/>
    </row>
    <row r="2943" spans="1:8">
      <c r="A2943" s="60"/>
      <c r="B2943" s="77"/>
      <c r="C2943" s="60"/>
      <c r="D2943" s="81"/>
      <c r="E2943" s="62"/>
      <c r="F2943" s="60"/>
      <c r="G2943" s="62"/>
      <c r="H2943" s="60"/>
    </row>
    <row r="2944" spans="1:8">
      <c r="A2944" s="60"/>
      <c r="B2944" s="77"/>
      <c r="C2944" s="60"/>
      <c r="D2944" s="81"/>
      <c r="E2944" s="62"/>
      <c r="F2944" s="60"/>
      <c r="G2944" s="62"/>
      <c r="H2944" s="60"/>
    </row>
    <row r="2945" spans="1:8">
      <c r="A2945" s="60"/>
      <c r="B2945" s="77"/>
      <c r="C2945" s="60"/>
      <c r="D2945" s="81"/>
      <c r="E2945" s="62"/>
      <c r="F2945" s="60"/>
      <c r="G2945" s="62"/>
      <c r="H2945" s="60"/>
    </row>
    <row r="2946" spans="1:8">
      <c r="A2946" s="60"/>
      <c r="B2946" s="77"/>
      <c r="C2946" s="60"/>
      <c r="D2946" s="81"/>
      <c r="E2946" s="62"/>
      <c r="F2946" s="60"/>
      <c r="G2946" s="62"/>
      <c r="H2946" s="60"/>
    </row>
    <row r="2947" spans="1:8">
      <c r="A2947" s="60"/>
      <c r="B2947" s="77"/>
      <c r="C2947" s="60"/>
      <c r="D2947" s="81"/>
      <c r="E2947" s="62"/>
      <c r="F2947" s="60"/>
      <c r="G2947" s="62"/>
      <c r="H2947" s="60"/>
    </row>
    <row r="2948" spans="1:8">
      <c r="A2948" s="60"/>
      <c r="B2948" s="77"/>
      <c r="C2948" s="60"/>
      <c r="D2948" s="81"/>
      <c r="E2948" s="62"/>
      <c r="F2948" s="60"/>
      <c r="G2948" s="62"/>
      <c r="H2948" s="60"/>
    </row>
    <row r="2949" spans="1:8">
      <c r="A2949" s="60"/>
      <c r="B2949" s="77"/>
      <c r="C2949" s="60"/>
      <c r="D2949" s="81"/>
      <c r="E2949" s="62"/>
      <c r="F2949" s="60"/>
      <c r="G2949" s="62"/>
      <c r="H2949" s="60"/>
    </row>
    <row r="2950" spans="1:8">
      <c r="A2950" s="60"/>
      <c r="B2950" s="77"/>
      <c r="C2950" s="60"/>
      <c r="D2950" s="81"/>
      <c r="E2950" s="62"/>
      <c r="F2950" s="60"/>
      <c r="G2950" s="62"/>
      <c r="H2950" s="60"/>
    </row>
    <row r="2951" spans="1:8">
      <c r="A2951" s="60"/>
      <c r="B2951" s="77"/>
      <c r="C2951" s="60"/>
      <c r="D2951" s="81"/>
      <c r="E2951" s="62"/>
      <c r="F2951" s="60"/>
      <c r="G2951" s="62"/>
      <c r="H2951" s="60"/>
    </row>
    <row r="2952" spans="1:8">
      <c r="A2952" s="60"/>
      <c r="B2952" s="77"/>
      <c r="C2952" s="60"/>
      <c r="D2952" s="81"/>
      <c r="E2952" s="62"/>
      <c r="F2952" s="60"/>
      <c r="G2952" s="62"/>
      <c r="H2952" s="60"/>
    </row>
    <row r="2953" spans="1:8">
      <c r="A2953" s="60"/>
      <c r="B2953" s="77"/>
      <c r="C2953" s="60"/>
      <c r="D2953" s="81"/>
      <c r="E2953" s="62"/>
      <c r="F2953" s="60"/>
      <c r="G2953" s="62"/>
      <c r="H2953" s="60"/>
    </row>
    <row r="2954" spans="1:8">
      <c r="A2954" s="60"/>
      <c r="B2954" s="77"/>
      <c r="C2954" s="60"/>
      <c r="D2954" s="81"/>
      <c r="E2954" s="62"/>
      <c r="F2954" s="60"/>
      <c r="G2954" s="62"/>
      <c r="H2954" s="60"/>
    </row>
    <row r="2955" spans="1:8">
      <c r="A2955" s="60"/>
      <c r="B2955" s="77"/>
      <c r="C2955" s="60"/>
      <c r="D2955" s="81"/>
      <c r="E2955" s="62"/>
      <c r="F2955" s="60"/>
      <c r="G2955" s="62"/>
      <c r="H2955" s="60"/>
    </row>
    <row r="2956" spans="1:8">
      <c r="A2956" s="60"/>
      <c r="B2956" s="77"/>
      <c r="C2956" s="60"/>
      <c r="D2956" s="81"/>
      <c r="E2956" s="62"/>
      <c r="F2956" s="60"/>
      <c r="G2956" s="62"/>
      <c r="H2956" s="60"/>
    </row>
    <row r="2957" spans="1:8">
      <c r="A2957" s="60"/>
      <c r="B2957" s="77"/>
      <c r="C2957" s="60"/>
      <c r="D2957" s="81"/>
      <c r="E2957" s="62"/>
      <c r="F2957" s="60"/>
      <c r="G2957" s="62"/>
      <c r="H2957" s="60"/>
    </row>
    <row r="2958" spans="1:8">
      <c r="A2958" s="60"/>
      <c r="B2958" s="77"/>
      <c r="C2958" s="60"/>
      <c r="D2958" s="81"/>
      <c r="E2958" s="62"/>
      <c r="F2958" s="60"/>
      <c r="G2958" s="62"/>
      <c r="H2958" s="60"/>
    </row>
    <row r="2959" spans="1:8">
      <c r="A2959" s="60"/>
      <c r="B2959" s="77"/>
      <c r="C2959" s="60"/>
      <c r="D2959" s="81"/>
      <c r="E2959" s="62"/>
      <c r="F2959" s="60"/>
      <c r="G2959" s="62"/>
      <c r="H2959" s="60"/>
    </row>
    <row r="2960" spans="1:8">
      <c r="A2960" s="60"/>
      <c r="B2960" s="77"/>
      <c r="C2960" s="60"/>
      <c r="D2960" s="81"/>
      <c r="E2960" s="62"/>
      <c r="F2960" s="60"/>
      <c r="G2960" s="62"/>
      <c r="H2960" s="60"/>
    </row>
    <row r="2961" spans="1:8">
      <c r="A2961" s="60"/>
      <c r="B2961" s="77"/>
      <c r="C2961" s="60"/>
      <c r="D2961" s="81"/>
      <c r="E2961" s="62"/>
      <c r="F2961" s="60"/>
      <c r="G2961" s="62"/>
      <c r="H2961" s="60"/>
    </row>
    <row r="2962" spans="1:8">
      <c r="A2962" s="60"/>
      <c r="B2962" s="77"/>
      <c r="C2962" s="60"/>
      <c r="D2962" s="81"/>
      <c r="E2962" s="62"/>
      <c r="F2962" s="60"/>
      <c r="G2962" s="62"/>
      <c r="H2962" s="60"/>
    </row>
    <row r="2963" spans="1:8">
      <c r="A2963" s="60"/>
      <c r="B2963" s="77"/>
      <c r="C2963" s="60"/>
      <c r="D2963" s="81"/>
      <c r="E2963" s="62"/>
      <c r="F2963" s="60"/>
      <c r="G2963" s="62"/>
      <c r="H2963" s="60"/>
    </row>
    <row r="2964" spans="1:8">
      <c r="A2964" s="60"/>
      <c r="B2964" s="77"/>
      <c r="C2964" s="60"/>
      <c r="D2964" s="81"/>
      <c r="E2964" s="62"/>
      <c r="F2964" s="60"/>
      <c r="G2964" s="62"/>
      <c r="H2964" s="60"/>
    </row>
    <row r="2965" spans="1:8">
      <c r="A2965" s="60"/>
      <c r="B2965" s="77"/>
      <c r="C2965" s="60"/>
      <c r="D2965" s="81"/>
      <c r="E2965" s="62"/>
      <c r="F2965" s="60"/>
      <c r="G2965" s="62"/>
      <c r="H2965" s="60"/>
    </row>
    <row r="2966" spans="1:8">
      <c r="A2966" s="60"/>
      <c r="B2966" s="77"/>
      <c r="C2966" s="60"/>
      <c r="D2966" s="81"/>
      <c r="E2966" s="62"/>
      <c r="F2966" s="60"/>
      <c r="G2966" s="62"/>
      <c r="H2966" s="60"/>
    </row>
    <row r="2967" spans="1:8">
      <c r="A2967" s="60"/>
      <c r="B2967" s="77"/>
      <c r="C2967" s="60"/>
      <c r="D2967" s="81"/>
      <c r="E2967" s="62"/>
      <c r="F2967" s="60"/>
      <c r="G2967" s="62"/>
      <c r="H2967" s="60"/>
    </row>
    <row r="2968" spans="1:8">
      <c r="A2968" s="60"/>
      <c r="B2968" s="77"/>
      <c r="C2968" s="60"/>
      <c r="D2968" s="81"/>
      <c r="E2968" s="62"/>
      <c r="F2968" s="60"/>
      <c r="G2968" s="62"/>
      <c r="H2968" s="60"/>
    </row>
    <row r="2969" spans="1:8">
      <c r="A2969" s="60"/>
      <c r="B2969" s="77"/>
      <c r="C2969" s="60"/>
      <c r="D2969" s="81"/>
      <c r="E2969" s="62"/>
      <c r="F2969" s="60"/>
      <c r="G2969" s="62"/>
      <c r="H2969" s="60"/>
    </row>
    <row r="2970" spans="1:8">
      <c r="A2970" s="60"/>
      <c r="B2970" s="77"/>
      <c r="C2970" s="60"/>
      <c r="D2970" s="81"/>
      <c r="E2970" s="62"/>
      <c r="F2970" s="60"/>
      <c r="G2970" s="62"/>
      <c r="H2970" s="60"/>
    </row>
    <row r="2971" spans="1:8">
      <c r="A2971" s="60"/>
      <c r="B2971" s="77"/>
      <c r="C2971" s="60"/>
      <c r="D2971" s="81"/>
      <c r="E2971" s="62"/>
      <c r="F2971" s="60"/>
      <c r="G2971" s="62"/>
      <c r="H2971" s="60"/>
    </row>
    <row r="2972" spans="1:8">
      <c r="A2972" s="60"/>
      <c r="B2972" s="77"/>
      <c r="C2972" s="60"/>
      <c r="D2972" s="81"/>
      <c r="E2972" s="62"/>
      <c r="F2972" s="60"/>
      <c r="G2972" s="62"/>
      <c r="H2972" s="60"/>
    </row>
    <row r="2973" spans="1:8">
      <c r="A2973" s="60"/>
      <c r="B2973" s="77"/>
      <c r="C2973" s="60"/>
      <c r="D2973" s="81"/>
      <c r="E2973" s="62"/>
      <c r="F2973" s="60"/>
      <c r="G2973" s="62"/>
      <c r="H2973" s="60"/>
    </row>
    <row r="2974" spans="1:8">
      <c r="A2974" s="60"/>
      <c r="B2974" s="77"/>
      <c r="C2974" s="60"/>
      <c r="D2974" s="81"/>
      <c r="E2974" s="62"/>
      <c r="F2974" s="60"/>
      <c r="G2974" s="62"/>
      <c r="H2974" s="60"/>
    </row>
    <row r="2975" spans="1:8">
      <c r="A2975" s="60"/>
      <c r="B2975" s="77"/>
      <c r="C2975" s="60"/>
      <c r="D2975" s="81"/>
      <c r="E2975" s="62"/>
      <c r="F2975" s="60"/>
      <c r="G2975" s="62"/>
      <c r="H2975" s="60"/>
    </row>
    <row r="2976" spans="1:8">
      <c r="A2976" s="60"/>
      <c r="B2976" s="77"/>
      <c r="C2976" s="60"/>
      <c r="D2976" s="81"/>
      <c r="E2976" s="62"/>
      <c r="F2976" s="60"/>
      <c r="G2976" s="62"/>
      <c r="H2976" s="60"/>
    </row>
    <row r="2977" spans="1:8">
      <c r="A2977" s="60"/>
      <c r="B2977" s="77"/>
      <c r="C2977" s="60"/>
      <c r="D2977" s="81"/>
      <c r="E2977" s="62"/>
      <c r="F2977" s="60"/>
      <c r="G2977" s="62"/>
      <c r="H2977" s="60"/>
    </row>
    <row r="2978" spans="1:8">
      <c r="A2978" s="60"/>
      <c r="B2978" s="77"/>
      <c r="C2978" s="60"/>
      <c r="D2978" s="81"/>
      <c r="E2978" s="62"/>
      <c r="F2978" s="60"/>
      <c r="G2978" s="62"/>
      <c r="H2978" s="60"/>
    </row>
    <row r="2979" spans="1:8">
      <c r="A2979" s="60"/>
      <c r="B2979" s="77"/>
      <c r="C2979" s="60"/>
      <c r="D2979" s="81"/>
      <c r="E2979" s="62"/>
      <c r="F2979" s="60"/>
      <c r="G2979" s="62"/>
      <c r="H2979" s="60"/>
    </row>
    <row r="2980" spans="1:8">
      <c r="A2980" s="60"/>
      <c r="B2980" s="77"/>
      <c r="C2980" s="60"/>
      <c r="D2980" s="81"/>
      <c r="E2980" s="62"/>
      <c r="F2980" s="60"/>
      <c r="G2980" s="62"/>
      <c r="H2980" s="60"/>
    </row>
    <row r="2981" spans="1:8">
      <c r="A2981" s="60"/>
      <c r="B2981" s="77"/>
      <c r="C2981" s="60"/>
      <c r="D2981" s="81"/>
      <c r="E2981" s="62"/>
      <c r="F2981" s="60"/>
      <c r="G2981" s="62"/>
      <c r="H2981" s="60"/>
    </row>
    <row r="2982" spans="1:8">
      <c r="A2982" s="60"/>
      <c r="B2982" s="77"/>
      <c r="C2982" s="60"/>
      <c r="D2982" s="81"/>
      <c r="E2982" s="62"/>
      <c r="F2982" s="60"/>
      <c r="G2982" s="62"/>
      <c r="H2982" s="60"/>
    </row>
    <row r="2983" spans="1:8">
      <c r="A2983" s="60"/>
      <c r="B2983" s="77"/>
      <c r="C2983" s="60"/>
      <c r="D2983" s="81"/>
      <c r="E2983" s="62"/>
      <c r="F2983" s="60"/>
      <c r="G2983" s="62"/>
      <c r="H2983" s="60"/>
    </row>
    <row r="2984" spans="1:8">
      <c r="A2984" s="60"/>
      <c r="B2984" s="77"/>
      <c r="C2984" s="60"/>
      <c r="D2984" s="81"/>
      <c r="E2984" s="62"/>
      <c r="F2984" s="60"/>
      <c r="G2984" s="62"/>
      <c r="H2984" s="60"/>
    </row>
    <row r="2985" spans="1:8">
      <c r="A2985" s="60"/>
      <c r="B2985" s="77"/>
      <c r="C2985" s="60"/>
      <c r="D2985" s="81"/>
      <c r="E2985" s="62"/>
      <c r="F2985" s="60"/>
      <c r="G2985" s="62"/>
      <c r="H2985" s="60"/>
    </row>
    <row r="2986" spans="1:8">
      <c r="A2986" s="60"/>
      <c r="B2986" s="77"/>
      <c r="C2986" s="60"/>
      <c r="D2986" s="81"/>
      <c r="E2986" s="62"/>
      <c r="F2986" s="60"/>
      <c r="G2986" s="62"/>
      <c r="H2986" s="60"/>
    </row>
    <row r="2987" spans="1:8">
      <c r="A2987" s="60"/>
      <c r="B2987" s="77"/>
      <c r="C2987" s="60"/>
      <c r="D2987" s="81"/>
      <c r="E2987" s="62"/>
      <c r="F2987" s="60"/>
      <c r="G2987" s="62"/>
      <c r="H2987" s="60"/>
    </row>
    <row r="2988" spans="1:8">
      <c r="A2988" s="60"/>
      <c r="B2988" s="77"/>
      <c r="C2988" s="60"/>
      <c r="D2988" s="81"/>
      <c r="E2988" s="62"/>
      <c r="F2988" s="60"/>
      <c r="G2988" s="62"/>
      <c r="H2988" s="60"/>
    </row>
    <row r="2989" spans="1:8">
      <c r="A2989" s="60"/>
      <c r="B2989" s="77"/>
      <c r="C2989" s="60"/>
      <c r="D2989" s="81"/>
      <c r="E2989" s="62"/>
      <c r="F2989" s="60"/>
      <c r="G2989" s="62"/>
      <c r="H2989" s="60"/>
    </row>
    <row r="2990" spans="1:8">
      <c r="A2990" s="60"/>
      <c r="B2990" s="77"/>
      <c r="C2990" s="60"/>
      <c r="D2990" s="81"/>
      <c r="E2990" s="62"/>
      <c r="F2990" s="60"/>
      <c r="G2990" s="62"/>
      <c r="H2990" s="60"/>
    </row>
    <row r="2991" spans="1:8">
      <c r="A2991" s="60"/>
      <c r="B2991" s="77"/>
      <c r="C2991" s="60"/>
      <c r="D2991" s="81"/>
      <c r="E2991" s="62"/>
      <c r="F2991" s="60"/>
      <c r="G2991" s="62"/>
      <c r="H2991" s="60"/>
    </row>
    <row r="2992" spans="1:8">
      <c r="A2992" s="60"/>
      <c r="B2992" s="77"/>
      <c r="C2992" s="60"/>
      <c r="D2992" s="81"/>
      <c r="E2992" s="62"/>
      <c r="F2992" s="60"/>
      <c r="G2992" s="62"/>
      <c r="H2992" s="60"/>
    </row>
    <row r="2993" spans="1:8">
      <c r="A2993" s="60"/>
      <c r="B2993" s="77"/>
      <c r="C2993" s="60"/>
      <c r="D2993" s="81"/>
      <c r="E2993" s="62"/>
      <c r="F2993" s="60"/>
      <c r="G2993" s="62"/>
      <c r="H2993" s="60"/>
    </row>
    <row r="2994" spans="1:8">
      <c r="A2994" s="60"/>
      <c r="B2994" s="77"/>
      <c r="C2994" s="60"/>
      <c r="D2994" s="81"/>
      <c r="E2994" s="62"/>
      <c r="F2994" s="60"/>
      <c r="G2994" s="62"/>
      <c r="H2994" s="60"/>
    </row>
    <row r="2995" spans="1:8">
      <c r="A2995" s="60"/>
      <c r="B2995" s="77"/>
      <c r="C2995" s="60"/>
      <c r="D2995" s="81"/>
      <c r="E2995" s="62"/>
      <c r="F2995" s="60"/>
      <c r="G2995" s="62"/>
      <c r="H2995" s="60"/>
    </row>
    <row r="2996" spans="1:8">
      <c r="A2996" s="60"/>
      <c r="B2996" s="77"/>
      <c r="C2996" s="60"/>
      <c r="D2996" s="81"/>
      <c r="E2996" s="62"/>
      <c r="F2996" s="60"/>
      <c r="G2996" s="62"/>
      <c r="H2996" s="60"/>
    </row>
    <row r="2997" spans="1:8">
      <c r="A2997" s="60"/>
      <c r="B2997" s="77"/>
      <c r="C2997" s="60"/>
      <c r="D2997" s="81"/>
      <c r="E2997" s="62"/>
      <c r="F2997" s="60"/>
      <c r="G2997" s="62"/>
      <c r="H2997" s="60"/>
    </row>
    <row r="2998" spans="1:8">
      <c r="A2998" s="60"/>
      <c r="B2998" s="77"/>
      <c r="C2998" s="60"/>
      <c r="D2998" s="81"/>
      <c r="E2998" s="62"/>
      <c r="F2998" s="60"/>
      <c r="G2998" s="62"/>
      <c r="H2998" s="60"/>
    </row>
    <row r="2999" spans="1:8">
      <c r="A2999" s="60"/>
      <c r="B2999" s="77"/>
      <c r="C2999" s="60"/>
      <c r="D2999" s="81"/>
      <c r="E2999" s="62"/>
      <c r="F2999" s="60"/>
      <c r="G2999" s="62"/>
      <c r="H2999" s="60"/>
    </row>
    <row r="3000" spans="1:8">
      <c r="A3000" s="60"/>
      <c r="B3000" s="77"/>
      <c r="C3000" s="60"/>
      <c r="D3000" s="81"/>
      <c r="E3000" s="62"/>
      <c r="F3000" s="60"/>
      <c r="G3000" s="62"/>
      <c r="H3000" s="60"/>
    </row>
    <row r="3001" spans="1:8">
      <c r="A3001" s="60"/>
      <c r="B3001" s="77"/>
      <c r="C3001" s="60"/>
      <c r="D3001" s="81"/>
      <c r="E3001" s="62"/>
      <c r="F3001" s="60"/>
      <c r="G3001" s="62"/>
      <c r="H3001" s="60"/>
    </row>
    <row r="3002" spans="1:8">
      <c r="A3002" s="60"/>
      <c r="B3002" s="77"/>
      <c r="C3002" s="60"/>
      <c r="D3002" s="81"/>
      <c r="E3002" s="62"/>
      <c r="F3002" s="60"/>
      <c r="G3002" s="62"/>
      <c r="H3002" s="60"/>
    </row>
    <row r="3003" spans="1:8">
      <c r="A3003" s="60"/>
      <c r="B3003" s="77"/>
      <c r="C3003" s="60"/>
      <c r="D3003" s="81"/>
      <c r="E3003" s="62"/>
      <c r="F3003" s="60"/>
      <c r="G3003" s="62"/>
      <c r="H3003" s="60"/>
    </row>
    <row r="3004" spans="1:8">
      <c r="A3004" s="60"/>
      <c r="B3004" s="77"/>
      <c r="C3004" s="60"/>
      <c r="D3004" s="81"/>
      <c r="E3004" s="62"/>
      <c r="F3004" s="60"/>
      <c r="G3004" s="62"/>
      <c r="H3004" s="60"/>
    </row>
    <row r="3005" spans="1:8">
      <c r="A3005" s="60"/>
      <c r="B3005" s="77"/>
      <c r="C3005" s="60"/>
      <c r="D3005" s="81"/>
      <c r="E3005" s="62"/>
      <c r="F3005" s="60"/>
      <c r="G3005" s="62"/>
      <c r="H3005" s="60"/>
    </row>
    <row r="3006" spans="1:8">
      <c r="A3006" s="60"/>
      <c r="B3006" s="77"/>
      <c r="C3006" s="60"/>
      <c r="D3006" s="81"/>
      <c r="E3006" s="62"/>
      <c r="F3006" s="60"/>
      <c r="G3006" s="62"/>
      <c r="H3006" s="60"/>
    </row>
    <row r="3007" spans="1:8">
      <c r="A3007" s="60"/>
      <c r="B3007" s="77"/>
      <c r="C3007" s="60"/>
      <c r="D3007" s="81"/>
      <c r="E3007" s="62"/>
      <c r="F3007" s="60"/>
      <c r="G3007" s="62"/>
      <c r="H3007" s="60"/>
    </row>
    <row r="3008" spans="1:8">
      <c r="A3008" s="60"/>
      <c r="B3008" s="77"/>
      <c r="C3008" s="60"/>
      <c r="D3008" s="81"/>
      <c r="E3008" s="62"/>
      <c r="F3008" s="60"/>
      <c r="G3008" s="62"/>
      <c r="H3008" s="60"/>
    </row>
    <row r="3009" spans="1:8">
      <c r="A3009" s="60"/>
      <c r="B3009" s="77"/>
      <c r="C3009" s="60"/>
      <c r="D3009" s="81"/>
      <c r="E3009" s="62"/>
      <c r="F3009" s="60"/>
      <c r="G3009" s="62"/>
      <c r="H3009" s="60"/>
    </row>
    <row r="3010" spans="1:8">
      <c r="A3010" s="60"/>
      <c r="B3010" s="77"/>
      <c r="C3010" s="60"/>
      <c r="D3010" s="81"/>
      <c r="E3010" s="62"/>
      <c r="F3010" s="60"/>
      <c r="G3010" s="62"/>
      <c r="H3010" s="60"/>
    </row>
    <row r="3011" spans="1:8">
      <c r="A3011" s="60"/>
      <c r="B3011" s="77"/>
      <c r="C3011" s="60"/>
      <c r="D3011" s="81"/>
      <c r="E3011" s="62"/>
      <c r="F3011" s="60"/>
      <c r="G3011" s="62"/>
      <c r="H3011" s="60"/>
    </row>
    <row r="3012" spans="1:8">
      <c r="A3012" s="60"/>
      <c r="B3012" s="77"/>
      <c r="C3012" s="60"/>
      <c r="D3012" s="81"/>
      <c r="E3012" s="62"/>
      <c r="F3012" s="60"/>
      <c r="G3012" s="62"/>
      <c r="H3012" s="60"/>
    </row>
    <row r="3013" spans="1:8">
      <c r="A3013" s="60"/>
      <c r="B3013" s="77"/>
      <c r="C3013" s="60"/>
      <c r="D3013" s="81"/>
      <c r="E3013" s="62"/>
      <c r="F3013" s="60"/>
      <c r="G3013" s="62"/>
      <c r="H3013" s="60"/>
    </row>
    <row r="3014" spans="1:8">
      <c r="A3014" s="60"/>
      <c r="B3014" s="77"/>
      <c r="C3014" s="60"/>
      <c r="D3014" s="81"/>
      <c r="E3014" s="62"/>
      <c r="F3014" s="60"/>
      <c r="G3014" s="62"/>
      <c r="H3014" s="60"/>
    </row>
    <row r="3015" spans="1:8">
      <c r="A3015" s="60"/>
      <c r="B3015" s="77"/>
      <c r="C3015" s="60"/>
      <c r="D3015" s="81"/>
      <c r="E3015" s="62"/>
      <c r="F3015" s="60"/>
      <c r="G3015" s="62"/>
      <c r="H3015" s="60"/>
    </row>
    <row r="3016" spans="1:8">
      <c r="A3016" s="60"/>
      <c r="B3016" s="77"/>
      <c r="C3016" s="60"/>
      <c r="D3016" s="81"/>
      <c r="E3016" s="62"/>
      <c r="F3016" s="60"/>
      <c r="G3016" s="62"/>
      <c r="H3016" s="60"/>
    </row>
    <row r="3017" spans="1:8">
      <c r="A3017" s="60"/>
      <c r="B3017" s="77"/>
      <c r="C3017" s="60"/>
      <c r="D3017" s="81"/>
      <c r="E3017" s="62"/>
      <c r="F3017" s="60"/>
      <c r="G3017" s="62"/>
      <c r="H3017" s="60"/>
    </row>
    <row r="3018" spans="1:8">
      <c r="A3018" s="60"/>
      <c r="B3018" s="77"/>
      <c r="C3018" s="60"/>
      <c r="D3018" s="81"/>
      <c r="E3018" s="62"/>
      <c r="F3018" s="60"/>
      <c r="G3018" s="62"/>
      <c r="H3018" s="60"/>
    </row>
    <row r="3019" spans="1:8">
      <c r="A3019" s="60"/>
      <c r="B3019" s="77"/>
      <c r="C3019" s="60"/>
      <c r="D3019" s="81"/>
      <c r="E3019" s="62"/>
      <c r="F3019" s="60"/>
      <c r="G3019" s="62"/>
      <c r="H3019" s="60"/>
    </row>
    <row r="3020" spans="1:8">
      <c r="A3020" s="60"/>
      <c r="B3020" s="77"/>
      <c r="C3020" s="60"/>
      <c r="D3020" s="81"/>
      <c r="E3020" s="62"/>
      <c r="F3020" s="60"/>
      <c r="G3020" s="62"/>
      <c r="H3020" s="60"/>
    </row>
    <row r="3021" spans="1:8">
      <c r="A3021" s="60"/>
      <c r="B3021" s="77"/>
      <c r="C3021" s="60"/>
      <c r="D3021" s="81"/>
      <c r="E3021" s="62"/>
      <c r="F3021" s="60"/>
      <c r="G3021" s="62"/>
      <c r="H3021" s="60"/>
    </row>
    <row r="3022" spans="1:8">
      <c r="A3022" s="60"/>
      <c r="B3022" s="77"/>
      <c r="C3022" s="60"/>
      <c r="D3022" s="81"/>
      <c r="E3022" s="62"/>
      <c r="F3022" s="60"/>
      <c r="G3022" s="62"/>
      <c r="H3022" s="60"/>
    </row>
    <row r="3023" spans="1:8">
      <c r="A3023" s="60"/>
      <c r="B3023" s="77"/>
      <c r="C3023" s="60"/>
      <c r="D3023" s="81"/>
      <c r="E3023" s="62"/>
      <c r="F3023" s="60"/>
      <c r="G3023" s="62"/>
      <c r="H3023" s="60"/>
    </row>
    <row r="3024" spans="1:8">
      <c r="A3024" s="60"/>
      <c r="B3024" s="77"/>
      <c r="C3024" s="60"/>
      <c r="D3024" s="81"/>
      <c r="E3024" s="62"/>
      <c r="F3024" s="60"/>
      <c r="G3024" s="62"/>
      <c r="H3024" s="60"/>
    </row>
    <row r="3025" spans="1:8">
      <c r="A3025" s="60"/>
      <c r="B3025" s="77"/>
      <c r="C3025" s="60"/>
      <c r="D3025" s="81"/>
      <c r="E3025" s="62"/>
      <c r="F3025" s="60"/>
      <c r="G3025" s="62"/>
      <c r="H3025" s="60"/>
    </row>
    <row r="3026" spans="1:8">
      <c r="A3026" s="60"/>
      <c r="B3026" s="77"/>
      <c r="C3026" s="60"/>
      <c r="D3026" s="81"/>
      <c r="E3026" s="62"/>
      <c r="F3026" s="60"/>
      <c r="G3026" s="62"/>
      <c r="H3026" s="60"/>
    </row>
    <row r="3027" spans="1:8">
      <c r="A3027" s="60"/>
      <c r="B3027" s="77"/>
      <c r="C3027" s="60"/>
      <c r="D3027" s="81"/>
      <c r="E3027" s="62"/>
      <c r="F3027" s="60"/>
      <c r="G3027" s="62"/>
      <c r="H3027" s="60"/>
    </row>
    <row r="3028" spans="1:8">
      <c r="A3028" s="60"/>
      <c r="B3028" s="77"/>
      <c r="C3028" s="60"/>
      <c r="D3028" s="81"/>
      <c r="E3028" s="62"/>
      <c r="F3028" s="60"/>
      <c r="G3028" s="62"/>
      <c r="H3028" s="60"/>
    </row>
    <row r="3029" spans="1:8">
      <c r="A3029" s="60"/>
      <c r="B3029" s="77"/>
      <c r="C3029" s="60"/>
      <c r="D3029" s="81"/>
      <c r="E3029" s="62"/>
      <c r="F3029" s="60"/>
      <c r="G3029" s="62"/>
      <c r="H3029" s="60"/>
    </row>
    <row r="3030" spans="1:8">
      <c r="A3030" s="60"/>
      <c r="B3030" s="77"/>
      <c r="C3030" s="60"/>
      <c r="D3030" s="81"/>
      <c r="E3030" s="62"/>
      <c r="F3030" s="60"/>
      <c r="G3030" s="62"/>
      <c r="H3030" s="60"/>
    </row>
    <row r="3031" spans="1:8">
      <c r="A3031" s="60"/>
      <c r="B3031" s="77"/>
      <c r="C3031" s="60"/>
      <c r="D3031" s="81"/>
      <c r="E3031" s="62"/>
      <c r="F3031" s="60"/>
      <c r="G3031" s="62"/>
      <c r="H3031" s="60"/>
    </row>
    <row r="3032" spans="1:8">
      <c r="A3032" s="60"/>
      <c r="B3032" s="77"/>
      <c r="C3032" s="60"/>
      <c r="D3032" s="81"/>
      <c r="E3032" s="62"/>
      <c r="F3032" s="60"/>
      <c r="G3032" s="62"/>
      <c r="H3032" s="60"/>
    </row>
    <row r="3033" spans="1:8">
      <c r="A3033" s="60"/>
      <c r="B3033" s="77"/>
      <c r="C3033" s="60"/>
      <c r="D3033" s="81"/>
      <c r="E3033" s="62"/>
      <c r="F3033" s="60"/>
      <c r="G3033" s="62"/>
      <c r="H3033" s="60"/>
    </row>
    <row r="3034" spans="1:8">
      <c r="A3034" s="60"/>
      <c r="B3034" s="77"/>
      <c r="C3034" s="60"/>
      <c r="D3034" s="81"/>
      <c r="E3034" s="62"/>
      <c r="F3034" s="60"/>
      <c r="G3034" s="62"/>
      <c r="H3034" s="60"/>
    </row>
    <row r="3035" spans="1:8">
      <c r="A3035" s="60"/>
      <c r="B3035" s="77"/>
      <c r="C3035" s="60"/>
      <c r="D3035" s="81"/>
      <c r="E3035" s="62"/>
      <c r="F3035" s="60"/>
      <c r="G3035" s="62"/>
      <c r="H3035" s="60"/>
    </row>
    <row r="3036" spans="1:8">
      <c r="A3036" s="60"/>
      <c r="B3036" s="77"/>
      <c r="C3036" s="60"/>
      <c r="D3036" s="81"/>
      <c r="E3036" s="62"/>
      <c r="F3036" s="60"/>
      <c r="G3036" s="62"/>
      <c r="H3036" s="60"/>
    </row>
    <row r="3037" spans="1:8">
      <c r="A3037" s="60"/>
      <c r="B3037" s="77"/>
      <c r="C3037" s="60"/>
      <c r="D3037" s="81"/>
      <c r="E3037" s="62"/>
      <c r="F3037" s="60"/>
      <c r="G3037" s="62"/>
      <c r="H3037" s="60"/>
    </row>
    <row r="3038" spans="1:8">
      <c r="A3038" s="60"/>
      <c r="B3038" s="77"/>
      <c r="C3038" s="60"/>
      <c r="D3038" s="81"/>
      <c r="E3038" s="62"/>
      <c r="F3038" s="60"/>
      <c r="G3038" s="62"/>
      <c r="H3038" s="60"/>
    </row>
    <row r="3039" spans="1:8">
      <c r="A3039" s="60"/>
      <c r="B3039" s="77"/>
      <c r="C3039" s="60"/>
      <c r="D3039" s="81"/>
      <c r="E3039" s="62"/>
      <c r="F3039" s="60"/>
      <c r="G3039" s="62"/>
      <c r="H3039" s="60"/>
    </row>
    <row r="3040" spans="1:8">
      <c r="A3040" s="60"/>
      <c r="B3040" s="77"/>
      <c r="C3040" s="60"/>
      <c r="D3040" s="81"/>
      <c r="E3040" s="62"/>
      <c r="F3040" s="60"/>
      <c r="G3040" s="62"/>
      <c r="H3040" s="60"/>
    </row>
    <row r="3041" spans="1:8">
      <c r="A3041" s="60"/>
      <c r="B3041" s="77"/>
      <c r="C3041" s="60"/>
      <c r="D3041" s="81"/>
      <c r="E3041" s="62"/>
      <c r="F3041" s="60"/>
      <c r="G3041" s="62"/>
      <c r="H3041" s="60"/>
    </row>
    <row r="3042" spans="1:8">
      <c r="A3042" s="60"/>
      <c r="B3042" s="77"/>
      <c r="C3042" s="60"/>
      <c r="D3042" s="81"/>
      <c r="E3042" s="62"/>
      <c r="F3042" s="60"/>
      <c r="G3042" s="62"/>
      <c r="H3042" s="60"/>
    </row>
    <row r="3043" spans="1:8">
      <c r="A3043" s="60"/>
      <c r="B3043" s="77"/>
      <c r="C3043" s="60"/>
      <c r="D3043" s="81"/>
      <c r="E3043" s="62"/>
      <c r="F3043" s="60"/>
      <c r="G3043" s="62"/>
      <c r="H3043" s="60"/>
    </row>
    <row r="3044" spans="1:8">
      <c r="A3044" s="60"/>
      <c r="B3044" s="77"/>
      <c r="C3044" s="60"/>
      <c r="D3044" s="81"/>
      <c r="E3044" s="62"/>
      <c r="F3044" s="60"/>
      <c r="G3044" s="62"/>
      <c r="H3044" s="60"/>
    </row>
    <row r="3045" spans="1:8">
      <c r="A3045" s="60"/>
      <c r="B3045" s="77"/>
      <c r="C3045" s="60"/>
      <c r="D3045" s="81"/>
      <c r="E3045" s="62"/>
      <c r="F3045" s="60"/>
      <c r="G3045" s="62"/>
      <c r="H3045" s="60"/>
    </row>
    <row r="3046" spans="1:8">
      <c r="A3046" s="60"/>
      <c r="B3046" s="77"/>
      <c r="C3046" s="60"/>
      <c r="D3046" s="81"/>
      <c r="E3046" s="62"/>
      <c r="F3046" s="60"/>
      <c r="G3046" s="62"/>
      <c r="H3046" s="60"/>
    </row>
    <row r="3047" spans="1:8">
      <c r="A3047" s="60"/>
      <c r="B3047" s="77"/>
      <c r="C3047" s="60"/>
      <c r="D3047" s="81"/>
      <c r="E3047" s="62"/>
      <c r="F3047" s="60"/>
      <c r="G3047" s="62"/>
      <c r="H3047" s="60"/>
    </row>
    <row r="3048" spans="1:8">
      <c r="A3048" s="60"/>
      <c r="B3048" s="77"/>
      <c r="C3048" s="60"/>
      <c r="D3048" s="81"/>
      <c r="E3048" s="62"/>
      <c r="F3048" s="60"/>
      <c r="G3048" s="62"/>
      <c r="H3048" s="60"/>
    </row>
    <row r="3049" spans="1:8">
      <c r="A3049" s="60"/>
      <c r="B3049" s="77"/>
      <c r="C3049" s="60"/>
      <c r="D3049" s="81"/>
      <c r="E3049" s="62"/>
      <c r="F3049" s="60"/>
      <c r="G3049" s="62"/>
      <c r="H3049" s="60"/>
    </row>
    <row r="3050" spans="1:8">
      <c r="A3050" s="60"/>
      <c r="B3050" s="77"/>
      <c r="C3050" s="60"/>
      <c r="D3050" s="81"/>
      <c r="E3050" s="62"/>
      <c r="F3050" s="60"/>
      <c r="G3050" s="62"/>
      <c r="H3050" s="60"/>
    </row>
    <row r="3051" spans="1:8">
      <c r="A3051" s="60"/>
      <c r="B3051" s="77"/>
      <c r="C3051" s="60"/>
      <c r="D3051" s="81"/>
      <c r="E3051" s="62"/>
      <c r="F3051" s="60"/>
      <c r="G3051" s="62"/>
      <c r="H3051" s="60"/>
    </row>
    <row r="3052" spans="1:8">
      <c r="A3052" s="60"/>
      <c r="B3052" s="77"/>
      <c r="C3052" s="60"/>
      <c r="D3052" s="81"/>
      <c r="E3052" s="62"/>
      <c r="F3052" s="60"/>
      <c r="G3052" s="62"/>
      <c r="H3052" s="60"/>
    </row>
    <row r="3053" spans="1:8">
      <c r="A3053" s="60"/>
      <c r="B3053" s="77"/>
      <c r="C3053" s="60"/>
      <c r="D3053" s="81"/>
      <c r="E3053" s="62"/>
      <c r="F3053" s="60"/>
      <c r="G3053" s="62"/>
      <c r="H3053" s="60"/>
    </row>
    <row r="3054" spans="1:8">
      <c r="A3054" s="60"/>
      <c r="B3054" s="77"/>
      <c r="C3054" s="60"/>
      <c r="D3054" s="81"/>
      <c r="E3054" s="62"/>
      <c r="F3054" s="60"/>
      <c r="G3054" s="62"/>
      <c r="H3054" s="60"/>
    </row>
    <row r="3055" spans="1:8">
      <c r="A3055" s="60"/>
      <c r="B3055" s="77"/>
      <c r="C3055" s="60"/>
      <c r="D3055" s="81"/>
      <c r="E3055" s="62"/>
      <c r="F3055" s="60"/>
      <c r="G3055" s="62"/>
      <c r="H3055" s="60"/>
    </row>
    <row r="3056" spans="1:8">
      <c r="A3056" s="60"/>
      <c r="B3056" s="77"/>
      <c r="C3056" s="60"/>
      <c r="D3056" s="81"/>
      <c r="E3056" s="62"/>
      <c r="F3056" s="60"/>
      <c r="G3056" s="62"/>
      <c r="H3056" s="60"/>
    </row>
    <row r="3057" spans="1:8">
      <c r="A3057" s="60"/>
      <c r="B3057" s="77"/>
      <c r="C3057" s="60"/>
      <c r="D3057" s="81"/>
      <c r="E3057" s="62"/>
      <c r="F3057" s="60"/>
      <c r="G3057" s="62"/>
      <c r="H3057" s="60"/>
    </row>
    <row r="3058" spans="1:8">
      <c r="A3058" s="60"/>
      <c r="B3058" s="77"/>
      <c r="C3058" s="60"/>
      <c r="D3058" s="81"/>
      <c r="E3058" s="62"/>
      <c r="F3058" s="60"/>
      <c r="G3058" s="62"/>
      <c r="H3058" s="60"/>
    </row>
    <row r="3059" spans="1:8">
      <c r="A3059" s="60"/>
      <c r="B3059" s="77"/>
      <c r="C3059" s="60"/>
      <c r="D3059" s="81"/>
      <c r="E3059" s="62"/>
      <c r="F3059" s="60"/>
      <c r="G3059" s="62"/>
      <c r="H3059" s="60"/>
    </row>
    <row r="3060" spans="1:8">
      <c r="A3060" s="60"/>
      <c r="B3060" s="77"/>
      <c r="C3060" s="60"/>
      <c r="D3060" s="81"/>
      <c r="E3060" s="62"/>
      <c r="F3060" s="60"/>
      <c r="G3060" s="62"/>
      <c r="H3060" s="60"/>
    </row>
    <row r="3061" spans="1:8">
      <c r="A3061" s="60"/>
      <c r="B3061" s="77"/>
      <c r="C3061" s="60"/>
      <c r="D3061" s="81"/>
      <c r="E3061" s="62"/>
      <c r="F3061" s="60"/>
      <c r="G3061" s="62"/>
      <c r="H3061" s="60"/>
    </row>
    <row r="3062" spans="1:8">
      <c r="A3062" s="60"/>
      <c r="B3062" s="77"/>
      <c r="C3062" s="60"/>
      <c r="D3062" s="81"/>
      <c r="E3062" s="62"/>
      <c r="F3062" s="60"/>
      <c r="G3062" s="62"/>
      <c r="H3062" s="60"/>
    </row>
    <row r="3063" spans="1:8">
      <c r="A3063" s="60"/>
      <c r="B3063" s="77"/>
      <c r="C3063" s="60"/>
      <c r="D3063" s="81"/>
      <c r="E3063" s="62"/>
      <c r="F3063" s="60"/>
      <c r="G3063" s="62"/>
      <c r="H3063" s="60"/>
    </row>
    <row r="3064" spans="1:8">
      <c r="A3064" s="60"/>
      <c r="B3064" s="77"/>
      <c r="C3064" s="60"/>
      <c r="D3064" s="81"/>
      <c r="E3064" s="62"/>
      <c r="F3064" s="60"/>
      <c r="G3064" s="62"/>
      <c r="H3064" s="60"/>
    </row>
    <row r="3065" spans="1:8">
      <c r="A3065" s="60"/>
      <c r="B3065" s="77"/>
      <c r="C3065" s="60"/>
      <c r="D3065" s="81"/>
      <c r="E3065" s="62"/>
      <c r="F3065" s="60"/>
      <c r="G3065" s="62"/>
      <c r="H3065" s="60"/>
    </row>
    <row r="3066" spans="1:8">
      <c r="A3066" s="60"/>
      <c r="B3066" s="77"/>
      <c r="C3066" s="60"/>
      <c r="D3066" s="81"/>
      <c r="E3066" s="62"/>
      <c r="F3066" s="60"/>
      <c r="G3066" s="62"/>
      <c r="H3066" s="60"/>
    </row>
    <row r="3067" spans="1:8">
      <c r="A3067" s="60"/>
      <c r="B3067" s="77"/>
      <c r="C3067" s="60"/>
      <c r="D3067" s="81"/>
      <c r="E3067" s="62"/>
      <c r="F3067" s="60"/>
      <c r="G3067" s="62"/>
      <c r="H3067" s="60"/>
    </row>
    <row r="3068" spans="1:8">
      <c r="A3068" s="60"/>
      <c r="B3068" s="77"/>
      <c r="C3068" s="60"/>
      <c r="D3068" s="81"/>
      <c r="E3068" s="62"/>
      <c r="F3068" s="60"/>
      <c r="G3068" s="62"/>
      <c r="H3068" s="60"/>
    </row>
    <row r="3069" spans="1:8">
      <c r="A3069" s="60"/>
      <c r="B3069" s="77"/>
      <c r="C3069" s="60"/>
      <c r="D3069" s="81"/>
      <c r="E3069" s="62"/>
      <c r="F3069" s="60"/>
      <c r="G3069" s="62"/>
      <c r="H3069" s="60"/>
    </row>
    <row r="3070" spans="1:8">
      <c r="A3070" s="60"/>
      <c r="B3070" s="77"/>
      <c r="C3070" s="60"/>
      <c r="D3070" s="81"/>
      <c r="E3070" s="62"/>
      <c r="F3070" s="60"/>
      <c r="G3070" s="62"/>
      <c r="H3070" s="60"/>
    </row>
    <row r="3071" spans="1:8">
      <c r="A3071" s="60"/>
      <c r="B3071" s="77"/>
      <c r="C3071" s="60"/>
      <c r="D3071" s="81"/>
      <c r="E3071" s="62"/>
      <c r="F3071" s="60"/>
      <c r="G3071" s="62"/>
      <c r="H3071" s="60"/>
    </row>
    <row r="3072" spans="1:8">
      <c r="A3072" s="60"/>
      <c r="B3072" s="77"/>
      <c r="C3072" s="60"/>
      <c r="D3072" s="81"/>
      <c r="E3072" s="62"/>
      <c r="F3072" s="60"/>
      <c r="G3072" s="62"/>
      <c r="H3072" s="60"/>
    </row>
    <row r="3073" spans="1:8">
      <c r="A3073" s="60"/>
      <c r="B3073" s="77"/>
      <c r="C3073" s="60"/>
      <c r="D3073" s="81"/>
      <c r="E3073" s="62"/>
      <c r="F3073" s="60"/>
      <c r="G3073" s="62"/>
      <c r="H3073" s="60"/>
    </row>
    <row r="3074" spans="1:8">
      <c r="A3074" s="60"/>
      <c r="B3074" s="77"/>
      <c r="C3074" s="60"/>
      <c r="D3074" s="81"/>
      <c r="E3074" s="62"/>
      <c r="F3074" s="60"/>
      <c r="G3074" s="62"/>
      <c r="H3074" s="60"/>
    </row>
    <row r="3075" spans="1:8">
      <c r="A3075" s="60"/>
      <c r="B3075" s="77"/>
      <c r="C3075" s="60"/>
      <c r="D3075" s="81"/>
      <c r="E3075" s="62"/>
      <c r="F3075" s="60"/>
      <c r="G3075" s="62"/>
      <c r="H3075" s="60"/>
    </row>
    <row r="3076" spans="1:8">
      <c r="A3076" s="60"/>
      <c r="B3076" s="77"/>
      <c r="C3076" s="60"/>
      <c r="D3076" s="81"/>
      <c r="E3076" s="62"/>
      <c r="F3076" s="60"/>
      <c r="G3076" s="62"/>
      <c r="H3076" s="60"/>
    </row>
    <row r="3077" spans="1:8">
      <c r="A3077" s="60"/>
      <c r="B3077" s="77"/>
      <c r="C3077" s="60"/>
      <c r="D3077" s="81"/>
      <c r="E3077" s="62"/>
      <c r="F3077" s="60"/>
      <c r="G3077" s="62"/>
      <c r="H3077" s="60"/>
    </row>
    <row r="3078" spans="1:8">
      <c r="A3078" s="60"/>
      <c r="B3078" s="77"/>
      <c r="C3078" s="60"/>
      <c r="D3078" s="81"/>
      <c r="E3078" s="62"/>
      <c r="F3078" s="60"/>
      <c r="G3078" s="62"/>
      <c r="H3078" s="60"/>
    </row>
    <row r="3079" spans="1:8">
      <c r="A3079" s="60"/>
      <c r="B3079" s="77"/>
      <c r="C3079" s="60"/>
      <c r="D3079" s="81"/>
      <c r="E3079" s="62"/>
      <c r="F3079" s="60"/>
      <c r="G3079" s="62"/>
      <c r="H3079" s="60"/>
    </row>
    <row r="3080" spans="1:8">
      <c r="A3080" s="60"/>
      <c r="B3080" s="77"/>
      <c r="C3080" s="60"/>
      <c r="D3080" s="81"/>
      <c r="E3080" s="62"/>
      <c r="F3080" s="60"/>
      <c r="G3080" s="62"/>
      <c r="H3080" s="60"/>
    </row>
    <row r="3081" spans="1:8">
      <c r="A3081" s="60"/>
      <c r="B3081" s="77"/>
      <c r="C3081" s="60"/>
      <c r="D3081" s="81"/>
      <c r="E3081" s="62"/>
      <c r="F3081" s="60"/>
      <c r="G3081" s="62"/>
      <c r="H3081" s="60"/>
    </row>
    <row r="3082" spans="1:8">
      <c r="A3082" s="60"/>
      <c r="B3082" s="77"/>
      <c r="C3082" s="60"/>
      <c r="D3082" s="81"/>
      <c r="E3082" s="62"/>
      <c r="F3082" s="60"/>
      <c r="G3082" s="62"/>
      <c r="H3082" s="60"/>
    </row>
    <row r="3083" spans="1:8">
      <c r="A3083" s="60"/>
      <c r="B3083" s="77"/>
      <c r="C3083" s="60"/>
      <c r="D3083" s="81"/>
      <c r="E3083" s="62"/>
      <c r="F3083" s="60"/>
      <c r="G3083" s="62"/>
      <c r="H3083" s="60"/>
    </row>
    <row r="3084" spans="1:8">
      <c r="A3084" s="60"/>
      <c r="B3084" s="77"/>
      <c r="C3084" s="60"/>
      <c r="D3084" s="81"/>
      <c r="E3084" s="62"/>
      <c r="F3084" s="60"/>
      <c r="G3084" s="62"/>
      <c r="H3084" s="60"/>
    </row>
    <row r="3085" spans="1:8">
      <c r="A3085" s="60"/>
      <c r="B3085" s="77"/>
      <c r="C3085" s="60"/>
      <c r="D3085" s="81"/>
      <c r="E3085" s="62"/>
      <c r="F3085" s="60"/>
      <c r="G3085" s="62"/>
      <c r="H3085" s="60"/>
    </row>
    <row r="3086" spans="1:8">
      <c r="A3086" s="60"/>
      <c r="B3086" s="77"/>
      <c r="C3086" s="60"/>
      <c r="D3086" s="81"/>
      <c r="E3086" s="62"/>
      <c r="F3086" s="60"/>
      <c r="G3086" s="62"/>
      <c r="H3086" s="60"/>
    </row>
    <row r="3087" spans="1:8">
      <c r="A3087" s="60"/>
      <c r="B3087" s="77"/>
      <c r="C3087" s="60"/>
      <c r="D3087" s="81"/>
      <c r="E3087" s="62"/>
      <c r="F3087" s="60"/>
      <c r="G3087" s="62"/>
      <c r="H3087" s="60"/>
    </row>
    <row r="3088" spans="1:8">
      <c r="A3088" s="60"/>
      <c r="B3088" s="77"/>
      <c r="C3088" s="60"/>
      <c r="D3088" s="81"/>
      <c r="E3088" s="62"/>
      <c r="F3088" s="60"/>
      <c r="G3088" s="62"/>
      <c r="H3088" s="60"/>
    </row>
    <row r="3089" spans="1:8">
      <c r="A3089" s="60"/>
      <c r="B3089" s="77"/>
      <c r="C3089" s="60"/>
      <c r="D3089" s="81"/>
      <c r="E3089" s="62"/>
      <c r="F3089" s="60"/>
      <c r="G3089" s="62"/>
      <c r="H3089" s="60"/>
    </row>
    <row r="3090" spans="1:8">
      <c r="A3090" s="60"/>
      <c r="B3090" s="77"/>
      <c r="C3090" s="60"/>
      <c r="D3090" s="81"/>
      <c r="E3090" s="62"/>
      <c r="F3090" s="60"/>
      <c r="G3090" s="62"/>
      <c r="H3090" s="60"/>
    </row>
    <row r="3091" spans="1:8">
      <c r="A3091" s="60"/>
      <c r="B3091" s="77"/>
      <c r="C3091" s="60"/>
      <c r="D3091" s="81"/>
      <c r="E3091" s="62"/>
      <c r="F3091" s="60"/>
      <c r="G3091" s="62"/>
      <c r="H3091" s="60"/>
    </row>
    <row r="3092" spans="1:8">
      <c r="A3092" s="60"/>
      <c r="B3092" s="77"/>
      <c r="C3092" s="60"/>
      <c r="D3092" s="81"/>
      <c r="E3092" s="62"/>
      <c r="F3092" s="60"/>
      <c r="G3092" s="62"/>
      <c r="H3092" s="60"/>
    </row>
    <row r="3093" spans="1:8">
      <c r="A3093" s="60"/>
      <c r="B3093" s="77"/>
      <c r="C3093" s="60"/>
      <c r="D3093" s="81"/>
      <c r="E3093" s="62"/>
      <c r="F3093" s="60"/>
      <c r="G3093" s="62"/>
      <c r="H3093" s="60"/>
    </row>
    <row r="3094" spans="1:8">
      <c r="A3094" s="60"/>
      <c r="B3094" s="77"/>
      <c r="C3094" s="60"/>
      <c r="D3094" s="81"/>
      <c r="E3094" s="62"/>
      <c r="F3094" s="60"/>
      <c r="G3094" s="62"/>
      <c r="H3094" s="60"/>
    </row>
    <row r="3095" spans="1:8">
      <c r="A3095" s="60"/>
      <c r="B3095" s="77"/>
      <c r="C3095" s="60"/>
      <c r="D3095" s="81"/>
      <c r="E3095" s="62"/>
      <c r="F3095" s="60"/>
      <c r="G3095" s="62"/>
      <c r="H3095" s="60"/>
    </row>
    <row r="3096" spans="1:8">
      <c r="A3096" s="60"/>
      <c r="B3096" s="77"/>
      <c r="C3096" s="60"/>
      <c r="D3096" s="81"/>
      <c r="E3096" s="62"/>
      <c r="F3096" s="60"/>
      <c r="G3096" s="62"/>
      <c r="H3096" s="60"/>
    </row>
    <row r="3097" spans="1:8">
      <c r="A3097" s="60"/>
      <c r="B3097" s="77"/>
      <c r="C3097" s="60"/>
      <c r="D3097" s="81"/>
      <c r="E3097" s="62"/>
      <c r="F3097" s="60"/>
      <c r="G3097" s="62"/>
      <c r="H3097" s="60"/>
    </row>
    <row r="3098" spans="1:8">
      <c r="A3098" s="60"/>
      <c r="B3098" s="77"/>
      <c r="C3098" s="60"/>
      <c r="D3098" s="81"/>
      <c r="E3098" s="62"/>
      <c r="F3098" s="60"/>
      <c r="G3098" s="62"/>
      <c r="H3098" s="60"/>
    </row>
    <row r="3099" spans="1:8">
      <c r="A3099" s="60"/>
      <c r="B3099" s="77"/>
      <c r="C3099" s="60"/>
      <c r="D3099" s="81"/>
      <c r="E3099" s="62"/>
      <c r="F3099" s="60"/>
      <c r="G3099" s="62"/>
      <c r="H3099" s="60"/>
    </row>
    <row r="3100" spans="1:8">
      <c r="A3100" s="60"/>
      <c r="B3100" s="77"/>
      <c r="C3100" s="60"/>
      <c r="D3100" s="81"/>
      <c r="E3100" s="62"/>
      <c r="F3100" s="60"/>
      <c r="G3100" s="62"/>
      <c r="H3100" s="60"/>
    </row>
    <row r="3101" spans="1:8">
      <c r="A3101" s="60"/>
      <c r="B3101" s="77"/>
      <c r="C3101" s="60"/>
      <c r="D3101" s="81"/>
      <c r="E3101" s="62"/>
      <c r="F3101" s="60"/>
      <c r="G3101" s="62"/>
      <c r="H3101" s="60"/>
    </row>
    <row r="3102" spans="1:8">
      <c r="A3102" s="60"/>
      <c r="B3102" s="77"/>
      <c r="C3102" s="60"/>
      <c r="D3102" s="81"/>
      <c r="E3102" s="62"/>
      <c r="F3102" s="60"/>
      <c r="G3102" s="62"/>
      <c r="H3102" s="60"/>
    </row>
    <row r="3103" spans="1:8">
      <c r="A3103" s="60"/>
      <c r="B3103" s="77"/>
      <c r="C3103" s="60"/>
      <c r="D3103" s="81"/>
      <c r="E3103" s="62"/>
      <c r="F3103" s="60"/>
      <c r="G3103" s="62"/>
      <c r="H3103" s="60"/>
    </row>
    <row r="3104" spans="1:8">
      <c r="A3104" s="60"/>
      <c r="B3104" s="77"/>
      <c r="C3104" s="60"/>
      <c r="D3104" s="81"/>
      <c r="E3104" s="62"/>
      <c r="F3104" s="60"/>
      <c r="G3104" s="62"/>
      <c r="H3104" s="60"/>
    </row>
    <row r="3105" spans="1:8">
      <c r="A3105" s="60"/>
      <c r="B3105" s="77"/>
      <c r="C3105" s="60"/>
      <c r="D3105" s="81"/>
      <c r="E3105" s="62"/>
      <c r="F3105" s="60"/>
      <c r="G3105" s="62"/>
      <c r="H3105" s="60"/>
    </row>
    <row r="3106" spans="1:8">
      <c r="A3106" s="60"/>
      <c r="B3106" s="77"/>
      <c r="C3106" s="60"/>
      <c r="D3106" s="81"/>
      <c r="E3106" s="62"/>
      <c r="F3106" s="60"/>
      <c r="G3106" s="62"/>
      <c r="H3106" s="60"/>
    </row>
    <row r="3107" spans="1:8">
      <c r="A3107" s="60"/>
      <c r="B3107" s="77"/>
      <c r="C3107" s="60"/>
      <c r="D3107" s="81"/>
      <c r="E3107" s="62"/>
      <c r="F3107" s="60"/>
      <c r="G3107" s="62"/>
      <c r="H3107" s="60"/>
    </row>
    <row r="3108" spans="1:8">
      <c r="A3108" s="60"/>
      <c r="B3108" s="77"/>
      <c r="C3108" s="60"/>
      <c r="D3108" s="81"/>
      <c r="E3108" s="62"/>
      <c r="F3108" s="60"/>
      <c r="G3108" s="62"/>
      <c r="H3108" s="60"/>
    </row>
    <row r="3109" spans="1:8">
      <c r="A3109" s="60"/>
      <c r="B3109" s="77"/>
      <c r="C3109" s="60"/>
      <c r="D3109" s="81"/>
      <c r="E3109" s="62"/>
      <c r="F3109" s="60"/>
      <c r="G3109" s="62"/>
      <c r="H3109" s="60"/>
    </row>
    <row r="3110" spans="1:8">
      <c r="A3110" s="60"/>
      <c r="B3110" s="77"/>
      <c r="C3110" s="60"/>
      <c r="D3110" s="81"/>
      <c r="E3110" s="62"/>
      <c r="F3110" s="60"/>
      <c r="G3110" s="62"/>
      <c r="H3110" s="60"/>
    </row>
    <row r="3111" spans="1:8">
      <c r="A3111" s="60"/>
      <c r="B3111" s="77"/>
      <c r="C3111" s="60"/>
      <c r="D3111" s="81"/>
      <c r="E3111" s="62"/>
      <c r="F3111" s="60"/>
      <c r="G3111" s="62"/>
      <c r="H3111" s="60"/>
    </row>
    <row r="3112" spans="1:8">
      <c r="A3112" s="60"/>
      <c r="B3112" s="77"/>
      <c r="C3112" s="60"/>
      <c r="D3112" s="81"/>
      <c r="E3112" s="62"/>
      <c r="F3112" s="60"/>
      <c r="G3112" s="62"/>
      <c r="H3112" s="60"/>
    </row>
    <row r="3113" spans="1:8">
      <c r="A3113" s="60"/>
      <c r="B3113" s="77"/>
      <c r="C3113" s="60"/>
      <c r="D3113" s="81"/>
      <c r="E3113" s="62"/>
      <c r="F3113" s="60"/>
      <c r="G3113" s="62"/>
      <c r="H3113" s="60"/>
    </row>
    <row r="3114" spans="1:8">
      <c r="A3114" s="60"/>
      <c r="B3114" s="77"/>
      <c r="C3114" s="60"/>
      <c r="D3114" s="81"/>
      <c r="E3114" s="62"/>
      <c r="F3114" s="60"/>
      <c r="G3114" s="62"/>
      <c r="H3114" s="60"/>
    </row>
    <row r="3115" spans="1:8">
      <c r="A3115" s="60"/>
      <c r="B3115" s="77"/>
      <c r="C3115" s="60"/>
      <c r="D3115" s="81"/>
      <c r="E3115" s="62"/>
      <c r="F3115" s="60"/>
      <c r="G3115" s="62"/>
      <c r="H3115" s="60"/>
    </row>
    <row r="3116" spans="1:8">
      <c r="A3116" s="60"/>
      <c r="B3116" s="77"/>
      <c r="C3116" s="60"/>
      <c r="D3116" s="81"/>
      <c r="E3116" s="62"/>
      <c r="F3116" s="60"/>
      <c r="G3116" s="62"/>
      <c r="H3116" s="60"/>
    </row>
    <row r="3117" spans="1:8">
      <c r="A3117" s="60"/>
      <c r="B3117" s="77"/>
      <c r="C3117" s="60"/>
      <c r="D3117" s="81"/>
      <c r="E3117" s="62"/>
      <c r="F3117" s="60"/>
      <c r="G3117" s="62"/>
      <c r="H3117" s="60"/>
    </row>
    <row r="3118" spans="1:8">
      <c r="A3118" s="60"/>
      <c r="B3118" s="77"/>
      <c r="C3118" s="60"/>
      <c r="D3118" s="81"/>
      <c r="E3118" s="62"/>
      <c r="F3118" s="60"/>
      <c r="G3118" s="62"/>
      <c r="H3118" s="60"/>
    </row>
    <row r="3119" spans="1:8">
      <c r="A3119" s="60"/>
      <c r="B3119" s="77"/>
      <c r="C3119" s="60"/>
      <c r="D3119" s="81"/>
      <c r="E3119" s="62"/>
      <c r="F3119" s="60"/>
      <c r="G3119" s="62"/>
      <c r="H3119" s="60"/>
    </row>
    <row r="3120" spans="1:8">
      <c r="A3120" s="60"/>
      <c r="B3120" s="77"/>
      <c r="C3120" s="60"/>
      <c r="D3120" s="81"/>
      <c r="E3120" s="62"/>
      <c r="F3120" s="60"/>
      <c r="G3120" s="62"/>
      <c r="H3120" s="60"/>
    </row>
    <row r="3121" spans="1:8">
      <c r="A3121" s="60"/>
      <c r="B3121" s="77"/>
      <c r="C3121" s="60"/>
      <c r="D3121" s="81"/>
      <c r="E3121" s="62"/>
      <c r="F3121" s="60"/>
      <c r="G3121" s="62"/>
      <c r="H3121" s="60"/>
    </row>
    <row r="3122" spans="1:8">
      <c r="A3122" s="60"/>
      <c r="B3122" s="77"/>
      <c r="C3122" s="60"/>
      <c r="D3122" s="81"/>
      <c r="E3122" s="62"/>
      <c r="F3122" s="60"/>
      <c r="G3122" s="62"/>
      <c r="H3122" s="60"/>
    </row>
    <row r="3123" spans="1:8">
      <c r="A3123" s="60"/>
      <c r="B3123" s="77"/>
      <c r="C3123" s="60"/>
      <c r="D3123" s="81"/>
      <c r="E3123" s="62"/>
      <c r="F3123" s="60"/>
      <c r="G3123" s="62"/>
      <c r="H3123" s="60"/>
    </row>
    <row r="3124" spans="1:8">
      <c r="A3124" s="60"/>
      <c r="B3124" s="77"/>
      <c r="C3124" s="60"/>
      <c r="D3124" s="81"/>
      <c r="E3124" s="62"/>
      <c r="F3124" s="60"/>
      <c r="G3124" s="62"/>
      <c r="H3124" s="60"/>
    </row>
    <row r="3125" spans="1:8">
      <c r="A3125" s="60"/>
      <c r="B3125" s="77"/>
      <c r="C3125" s="60"/>
      <c r="D3125" s="81"/>
      <c r="E3125" s="62"/>
      <c r="F3125" s="60"/>
      <c r="G3125" s="62"/>
      <c r="H3125" s="60"/>
    </row>
    <row r="3126" spans="1:8">
      <c r="A3126" s="60"/>
      <c r="B3126" s="77"/>
      <c r="C3126" s="60"/>
      <c r="D3126" s="81"/>
      <c r="E3126" s="62"/>
      <c r="F3126" s="60"/>
      <c r="G3126" s="62"/>
      <c r="H3126" s="60"/>
    </row>
    <row r="3127" spans="1:8">
      <c r="A3127" s="60"/>
      <c r="B3127" s="77"/>
      <c r="C3127" s="60"/>
      <c r="D3127" s="81"/>
      <c r="E3127" s="62"/>
      <c r="F3127" s="60"/>
      <c r="G3127" s="62"/>
      <c r="H3127" s="60"/>
    </row>
    <row r="3128" spans="1:8">
      <c r="A3128" s="60"/>
      <c r="B3128" s="77"/>
      <c r="C3128" s="60"/>
      <c r="D3128" s="81"/>
      <c r="E3128" s="62"/>
      <c r="F3128" s="60"/>
      <c r="G3128" s="62"/>
      <c r="H3128" s="60"/>
    </row>
    <row r="3129" spans="1:8">
      <c r="A3129" s="60"/>
      <c r="B3129" s="77"/>
      <c r="C3129" s="60"/>
      <c r="D3129" s="81"/>
      <c r="E3129" s="62"/>
      <c r="F3129" s="60"/>
      <c r="G3129" s="62"/>
      <c r="H3129" s="60"/>
    </row>
    <row r="3130" spans="1:8">
      <c r="A3130" s="60"/>
      <c r="B3130" s="77"/>
      <c r="C3130" s="60"/>
      <c r="D3130" s="81"/>
      <c r="E3130" s="62"/>
      <c r="F3130" s="60"/>
      <c r="G3130" s="62"/>
      <c r="H3130" s="60"/>
    </row>
    <row r="3131" spans="1:8">
      <c r="A3131" s="60"/>
      <c r="B3131" s="77"/>
      <c r="C3131" s="60"/>
      <c r="D3131" s="81"/>
      <c r="E3131" s="62"/>
      <c r="F3131" s="60"/>
      <c r="G3131" s="62"/>
      <c r="H3131" s="60"/>
    </row>
    <row r="3132" spans="1:8">
      <c r="A3132" s="60"/>
      <c r="B3132" s="77"/>
      <c r="C3132" s="60"/>
      <c r="D3132" s="81"/>
      <c r="E3132" s="62"/>
      <c r="F3132" s="60"/>
      <c r="G3132" s="62"/>
      <c r="H3132" s="60"/>
    </row>
    <row r="3133" spans="1:8">
      <c r="A3133" s="60"/>
      <c r="B3133" s="77"/>
      <c r="C3133" s="60"/>
      <c r="D3133" s="81"/>
      <c r="E3133" s="62"/>
      <c r="F3133" s="60"/>
      <c r="G3133" s="62"/>
      <c r="H3133" s="60"/>
    </row>
    <row r="3134" spans="1:8">
      <c r="A3134" s="60"/>
      <c r="B3134" s="77"/>
      <c r="C3134" s="60"/>
      <c r="D3134" s="81"/>
      <c r="E3134" s="62"/>
      <c r="F3134" s="60"/>
      <c r="G3134" s="62"/>
      <c r="H3134" s="60"/>
    </row>
    <row r="3135" spans="1:8">
      <c r="A3135" s="60"/>
      <c r="B3135" s="77"/>
      <c r="C3135" s="60"/>
      <c r="D3135" s="81"/>
      <c r="E3135" s="62"/>
      <c r="F3135" s="60"/>
      <c r="G3135" s="62"/>
      <c r="H3135" s="60"/>
    </row>
    <row r="3136" spans="1:8">
      <c r="A3136" s="60"/>
      <c r="B3136" s="77"/>
      <c r="C3136" s="60"/>
      <c r="D3136" s="81"/>
      <c r="E3136" s="62"/>
      <c r="F3136" s="60"/>
      <c r="G3136" s="62"/>
      <c r="H3136" s="60"/>
    </row>
    <row r="3137" spans="1:8">
      <c r="A3137" s="60"/>
      <c r="B3137" s="77"/>
      <c r="C3137" s="60"/>
      <c r="D3137" s="81"/>
      <c r="E3137" s="62"/>
      <c r="F3137" s="60"/>
      <c r="G3137" s="62"/>
      <c r="H3137" s="60"/>
    </row>
    <row r="3138" spans="1:8">
      <c r="A3138" s="60"/>
      <c r="B3138" s="77"/>
      <c r="C3138" s="60"/>
      <c r="D3138" s="81"/>
      <c r="E3138" s="62"/>
      <c r="F3138" s="60"/>
      <c r="G3138" s="62"/>
      <c r="H3138" s="60"/>
    </row>
    <row r="3139" spans="1:8">
      <c r="A3139" s="60"/>
      <c r="B3139" s="77"/>
      <c r="C3139" s="60"/>
      <c r="D3139" s="81"/>
      <c r="E3139" s="62"/>
      <c r="F3139" s="60"/>
      <c r="G3139" s="62"/>
      <c r="H3139" s="60"/>
    </row>
    <row r="3140" spans="1:8">
      <c r="A3140" s="60"/>
      <c r="B3140" s="77"/>
      <c r="C3140" s="60"/>
      <c r="D3140" s="81"/>
      <c r="E3140" s="62"/>
      <c r="F3140" s="60"/>
      <c r="G3140" s="62"/>
      <c r="H3140" s="60"/>
    </row>
    <row r="3141" spans="1:8">
      <c r="A3141" s="60"/>
      <c r="B3141" s="77"/>
      <c r="C3141" s="60"/>
      <c r="D3141" s="81"/>
      <c r="E3141" s="62"/>
      <c r="F3141" s="60"/>
      <c r="G3141" s="62"/>
      <c r="H3141" s="60"/>
    </row>
    <row r="3142" spans="1:8">
      <c r="A3142" s="60"/>
      <c r="B3142" s="77"/>
      <c r="C3142" s="60"/>
      <c r="D3142" s="81"/>
      <c r="E3142" s="62"/>
      <c r="F3142" s="60"/>
      <c r="G3142" s="62"/>
      <c r="H3142" s="60"/>
    </row>
    <row r="3143" spans="1:8">
      <c r="A3143" s="60"/>
      <c r="B3143" s="77"/>
      <c r="C3143" s="60"/>
      <c r="D3143" s="81"/>
      <c r="E3143" s="62"/>
      <c r="F3143" s="60"/>
      <c r="G3143" s="62"/>
      <c r="H3143" s="60"/>
    </row>
    <row r="3144" spans="1:8">
      <c r="A3144" s="60"/>
      <c r="B3144" s="77"/>
      <c r="C3144" s="60"/>
      <c r="D3144" s="81"/>
      <c r="E3144" s="62"/>
      <c r="F3144" s="60"/>
      <c r="G3144" s="62"/>
      <c r="H3144" s="60"/>
    </row>
    <row r="3145" spans="1:8">
      <c r="A3145" s="60"/>
      <c r="B3145" s="77"/>
      <c r="C3145" s="60"/>
      <c r="D3145" s="81"/>
      <c r="E3145" s="62"/>
      <c r="F3145" s="60"/>
      <c r="G3145" s="62"/>
      <c r="H3145" s="60"/>
    </row>
    <row r="3146" spans="1:8">
      <c r="A3146" s="60"/>
      <c r="B3146" s="77"/>
      <c r="C3146" s="60"/>
      <c r="D3146" s="81"/>
      <c r="E3146" s="62"/>
      <c r="F3146" s="60"/>
      <c r="G3146" s="62"/>
      <c r="H3146" s="60"/>
    </row>
    <row r="3147" spans="1:8">
      <c r="A3147" s="60"/>
      <c r="B3147" s="77"/>
      <c r="C3147" s="60"/>
      <c r="D3147" s="81"/>
      <c r="E3147" s="62"/>
      <c r="F3147" s="60"/>
      <c r="G3147" s="62"/>
      <c r="H3147" s="60"/>
    </row>
    <row r="3148" spans="1:8">
      <c r="A3148" s="60"/>
      <c r="B3148" s="77"/>
      <c r="C3148" s="60"/>
      <c r="D3148" s="81"/>
      <c r="E3148" s="62"/>
      <c r="F3148" s="60"/>
      <c r="G3148" s="62"/>
      <c r="H3148" s="60"/>
    </row>
    <row r="3149" spans="1:8">
      <c r="A3149" s="60"/>
      <c r="B3149" s="77"/>
      <c r="C3149" s="60"/>
      <c r="D3149" s="81"/>
      <c r="E3149" s="62"/>
      <c r="F3149" s="60"/>
      <c r="G3149" s="62"/>
      <c r="H3149" s="60"/>
    </row>
    <row r="3150" spans="1:8">
      <c r="A3150" s="60"/>
      <c r="B3150" s="77"/>
      <c r="C3150" s="60"/>
      <c r="D3150" s="81"/>
      <c r="E3150" s="62"/>
      <c r="F3150" s="60"/>
      <c r="G3150" s="62"/>
      <c r="H3150" s="60"/>
    </row>
    <row r="3151" spans="1:8">
      <c r="A3151" s="60"/>
      <c r="B3151" s="77"/>
      <c r="C3151" s="60"/>
      <c r="D3151" s="81"/>
      <c r="E3151" s="62"/>
      <c r="F3151" s="60"/>
      <c r="G3151" s="62"/>
      <c r="H3151" s="60"/>
    </row>
    <row r="3152" spans="1:8">
      <c r="A3152" s="60"/>
      <c r="B3152" s="77"/>
      <c r="C3152" s="60"/>
      <c r="D3152" s="81"/>
      <c r="E3152" s="62"/>
      <c r="F3152" s="60"/>
      <c r="G3152" s="62"/>
      <c r="H3152" s="60"/>
    </row>
    <row r="3153" spans="1:8">
      <c r="A3153" s="60"/>
      <c r="B3153" s="77"/>
      <c r="C3153" s="60"/>
      <c r="D3153" s="81"/>
      <c r="E3153" s="62"/>
      <c r="F3153" s="60"/>
      <c r="G3153" s="62"/>
      <c r="H3153" s="60"/>
    </row>
    <row r="3154" spans="1:8">
      <c r="A3154" s="60"/>
      <c r="B3154" s="77"/>
      <c r="C3154" s="60"/>
      <c r="D3154" s="81"/>
      <c r="E3154" s="62"/>
      <c r="F3154" s="60"/>
      <c r="G3154" s="62"/>
      <c r="H3154" s="60"/>
    </row>
    <row r="3155" spans="1:8">
      <c r="A3155" s="60"/>
      <c r="B3155" s="77"/>
      <c r="C3155" s="60"/>
      <c r="D3155" s="81"/>
      <c r="E3155" s="62"/>
      <c r="F3155" s="60"/>
      <c r="G3155" s="62"/>
      <c r="H3155" s="60"/>
    </row>
    <row r="3156" spans="1:8">
      <c r="A3156" s="60"/>
      <c r="B3156" s="77"/>
      <c r="C3156" s="60"/>
      <c r="D3156" s="81"/>
      <c r="E3156" s="62"/>
      <c r="F3156" s="60"/>
      <c r="G3156" s="62"/>
      <c r="H3156" s="60"/>
    </row>
    <row r="3157" spans="1:8">
      <c r="A3157" s="60"/>
      <c r="B3157" s="77"/>
      <c r="C3157" s="60"/>
      <c r="D3157" s="81"/>
      <c r="E3157" s="62"/>
      <c r="F3157" s="60"/>
      <c r="G3157" s="62"/>
      <c r="H3157" s="60"/>
    </row>
    <row r="3158" spans="1:8">
      <c r="A3158" s="60"/>
      <c r="B3158" s="77"/>
      <c r="C3158" s="60"/>
      <c r="D3158" s="81"/>
      <c r="E3158" s="62"/>
      <c r="F3158" s="60"/>
      <c r="G3158" s="62"/>
      <c r="H3158" s="60"/>
    </row>
    <row r="3159" spans="1:8">
      <c r="A3159" s="60"/>
      <c r="B3159" s="77"/>
      <c r="C3159" s="60"/>
      <c r="D3159" s="81"/>
      <c r="E3159" s="62"/>
      <c r="F3159" s="60"/>
      <c r="G3159" s="62"/>
      <c r="H3159" s="60"/>
    </row>
    <row r="3160" spans="1:8">
      <c r="A3160" s="60"/>
      <c r="B3160" s="77"/>
      <c r="C3160" s="60"/>
      <c r="D3160" s="81"/>
      <c r="E3160" s="62"/>
      <c r="F3160" s="60"/>
      <c r="G3160" s="62"/>
      <c r="H3160" s="60"/>
    </row>
    <row r="3161" spans="1:8">
      <c r="A3161" s="60"/>
      <c r="B3161" s="77"/>
      <c r="C3161" s="60"/>
      <c r="D3161" s="81"/>
      <c r="E3161" s="62"/>
      <c r="F3161" s="60"/>
      <c r="G3161" s="62"/>
      <c r="H3161" s="60"/>
    </row>
    <row r="3162" spans="1:8">
      <c r="A3162" s="60"/>
      <c r="B3162" s="77"/>
      <c r="C3162" s="60"/>
      <c r="D3162" s="81"/>
      <c r="E3162" s="62"/>
      <c r="F3162" s="60"/>
      <c r="G3162" s="62"/>
      <c r="H3162" s="60"/>
    </row>
    <row r="3163" spans="1:8">
      <c r="A3163" s="60"/>
      <c r="B3163" s="77"/>
      <c r="C3163" s="60"/>
      <c r="D3163" s="81"/>
      <c r="E3163" s="62"/>
      <c r="F3163" s="60"/>
      <c r="G3163" s="62"/>
      <c r="H3163" s="60"/>
    </row>
    <row r="3164" spans="1:8">
      <c r="A3164" s="60"/>
      <c r="B3164" s="77"/>
      <c r="C3164" s="60"/>
      <c r="D3164" s="81"/>
      <c r="E3164" s="62"/>
      <c r="F3164" s="60"/>
      <c r="G3164" s="62"/>
      <c r="H3164" s="60"/>
    </row>
    <row r="3165" spans="1:8">
      <c r="A3165" s="60"/>
      <c r="B3165" s="77"/>
      <c r="C3165" s="60"/>
      <c r="D3165" s="81"/>
      <c r="E3165" s="62"/>
      <c r="F3165" s="60"/>
      <c r="G3165" s="62"/>
      <c r="H3165" s="60"/>
    </row>
    <row r="3166" spans="1:8">
      <c r="A3166" s="60"/>
      <c r="B3166" s="77"/>
      <c r="C3166" s="60"/>
      <c r="D3166" s="81"/>
      <c r="E3166" s="62"/>
      <c r="F3166" s="60"/>
      <c r="G3166" s="62"/>
      <c r="H3166" s="60"/>
    </row>
    <row r="3167" spans="1:8">
      <c r="A3167" s="60"/>
      <c r="B3167" s="77"/>
      <c r="C3167" s="60"/>
      <c r="D3167" s="81"/>
      <c r="E3167" s="62"/>
      <c r="F3167" s="60"/>
      <c r="G3167" s="62"/>
      <c r="H3167" s="60"/>
    </row>
    <row r="3168" spans="1:8">
      <c r="A3168" s="60"/>
      <c r="B3168" s="77"/>
      <c r="C3168" s="60"/>
      <c r="D3168" s="81"/>
      <c r="E3168" s="62"/>
      <c r="F3168" s="60"/>
      <c r="G3168" s="62"/>
      <c r="H3168" s="60"/>
    </row>
    <row r="3169" spans="1:8">
      <c r="A3169" s="60"/>
      <c r="B3169" s="77"/>
      <c r="C3169" s="60"/>
      <c r="D3169" s="81"/>
      <c r="E3169" s="62"/>
      <c r="F3169" s="60"/>
      <c r="G3169" s="62"/>
      <c r="H3169" s="60"/>
    </row>
    <row r="3170" spans="1:8">
      <c r="A3170" s="60"/>
      <c r="B3170" s="77"/>
      <c r="C3170" s="60"/>
      <c r="D3170" s="81"/>
      <c r="E3170" s="62"/>
      <c r="F3170" s="60"/>
      <c r="G3170" s="62"/>
      <c r="H3170" s="60"/>
    </row>
    <row r="3171" spans="1:8">
      <c r="A3171" s="60"/>
      <c r="B3171" s="77"/>
      <c r="C3171" s="60"/>
      <c r="D3171" s="81"/>
      <c r="E3171" s="62"/>
      <c r="F3171" s="60"/>
      <c r="G3171" s="62"/>
      <c r="H3171" s="60"/>
    </row>
    <row r="3172" spans="1:8">
      <c r="A3172" s="60"/>
      <c r="B3172" s="77"/>
      <c r="C3172" s="60"/>
      <c r="D3172" s="81"/>
      <c r="E3172" s="62"/>
      <c r="F3172" s="60"/>
      <c r="G3172" s="62"/>
      <c r="H3172" s="60"/>
    </row>
    <row r="3173" spans="1:8">
      <c r="A3173" s="60"/>
      <c r="B3173" s="77"/>
      <c r="C3173" s="60"/>
      <c r="D3173" s="81"/>
      <c r="E3173" s="62"/>
      <c r="F3173" s="60"/>
      <c r="G3173" s="62"/>
      <c r="H3173" s="60"/>
    </row>
    <row r="3174" spans="1:8">
      <c r="A3174" s="60"/>
      <c r="B3174" s="77"/>
      <c r="C3174" s="60"/>
      <c r="D3174" s="81"/>
      <c r="E3174" s="62"/>
      <c r="F3174" s="60"/>
      <c r="G3174" s="62"/>
      <c r="H3174" s="60"/>
    </row>
    <row r="3175" spans="1:8">
      <c r="A3175" s="60"/>
      <c r="B3175" s="77"/>
      <c r="C3175" s="60"/>
      <c r="D3175" s="81"/>
      <c r="E3175" s="62"/>
      <c r="F3175" s="60"/>
      <c r="G3175" s="62"/>
      <c r="H3175" s="60"/>
    </row>
    <row r="3176" spans="1:8">
      <c r="A3176" s="60"/>
      <c r="B3176" s="77"/>
      <c r="C3176" s="60"/>
      <c r="D3176" s="81"/>
      <c r="E3176" s="62"/>
      <c r="F3176" s="60"/>
      <c r="G3176" s="62"/>
      <c r="H3176" s="60"/>
    </row>
    <row r="3177" spans="1:8">
      <c r="A3177" s="60"/>
      <c r="B3177" s="77"/>
      <c r="C3177" s="60"/>
      <c r="D3177" s="81"/>
      <c r="E3177" s="62"/>
      <c r="F3177" s="60"/>
      <c r="G3177" s="62"/>
      <c r="H3177" s="60"/>
    </row>
    <row r="3178" spans="1:8">
      <c r="A3178" s="60"/>
      <c r="B3178" s="77"/>
      <c r="C3178" s="60"/>
      <c r="D3178" s="81"/>
      <c r="E3178" s="62"/>
      <c r="F3178" s="60"/>
      <c r="G3178" s="62"/>
      <c r="H3178" s="60"/>
    </row>
    <row r="3179" spans="1:8">
      <c r="A3179" s="60"/>
      <c r="B3179" s="77"/>
      <c r="C3179" s="60"/>
      <c r="D3179" s="81"/>
      <c r="E3179" s="62"/>
      <c r="F3179" s="60"/>
      <c r="G3179" s="62"/>
      <c r="H3179" s="60"/>
    </row>
    <row r="3180" spans="1:8">
      <c r="A3180" s="60"/>
      <c r="B3180" s="77"/>
      <c r="C3180" s="60"/>
      <c r="D3180" s="81"/>
      <c r="E3180" s="62"/>
      <c r="F3180" s="60"/>
      <c r="G3180" s="62"/>
      <c r="H3180" s="60"/>
    </row>
    <row r="3181" spans="1:8">
      <c r="A3181" s="60"/>
      <c r="B3181" s="77"/>
      <c r="C3181" s="60"/>
      <c r="D3181" s="81"/>
      <c r="E3181" s="62"/>
      <c r="F3181" s="60"/>
      <c r="G3181" s="62"/>
      <c r="H3181" s="60"/>
    </row>
    <row r="3182" spans="1:8">
      <c r="A3182" s="60"/>
      <c r="B3182" s="77"/>
      <c r="C3182" s="60"/>
      <c r="D3182" s="81"/>
      <c r="E3182" s="62"/>
      <c r="F3182" s="60"/>
      <c r="G3182" s="62"/>
      <c r="H3182" s="60"/>
    </row>
    <row r="3183" spans="1:8">
      <c r="A3183" s="60"/>
      <c r="B3183" s="77"/>
      <c r="C3183" s="60"/>
      <c r="D3183" s="81"/>
      <c r="E3183" s="62"/>
      <c r="F3183" s="60"/>
      <c r="G3183" s="62"/>
      <c r="H3183" s="60"/>
    </row>
    <row r="3184" spans="1:8">
      <c r="A3184" s="60"/>
      <c r="B3184" s="77"/>
      <c r="C3184" s="60"/>
      <c r="D3184" s="81"/>
      <c r="E3184" s="62"/>
      <c r="F3184" s="60"/>
      <c r="G3184" s="62"/>
      <c r="H3184" s="60"/>
    </row>
    <row r="3185" spans="1:8">
      <c r="A3185" s="60"/>
      <c r="B3185" s="77"/>
      <c r="C3185" s="60"/>
      <c r="D3185" s="81"/>
      <c r="E3185" s="62"/>
      <c r="F3185" s="60"/>
      <c r="G3185" s="62"/>
      <c r="H3185" s="60"/>
    </row>
    <row r="3186" spans="1:8">
      <c r="A3186" s="60"/>
      <c r="B3186" s="77"/>
      <c r="C3186" s="60"/>
      <c r="D3186" s="81"/>
      <c r="E3186" s="62"/>
      <c r="F3186" s="60"/>
      <c r="G3186" s="62"/>
      <c r="H3186" s="60"/>
    </row>
    <row r="3187" spans="1:8">
      <c r="A3187" s="60"/>
      <c r="B3187" s="77"/>
      <c r="C3187" s="60"/>
      <c r="D3187" s="81"/>
      <c r="E3187" s="62"/>
      <c r="F3187" s="60"/>
      <c r="G3187" s="62"/>
      <c r="H3187" s="60"/>
    </row>
    <row r="3188" spans="1:8">
      <c r="A3188" s="60"/>
      <c r="B3188" s="77"/>
      <c r="C3188" s="60"/>
      <c r="D3188" s="81"/>
      <c r="E3188" s="62"/>
      <c r="F3188" s="60"/>
      <c r="G3188" s="62"/>
      <c r="H3188" s="60"/>
    </row>
    <row r="3189" spans="1:8">
      <c r="A3189" s="60"/>
      <c r="B3189" s="77"/>
      <c r="C3189" s="60"/>
      <c r="D3189" s="81"/>
      <c r="E3189" s="62"/>
      <c r="F3189" s="60"/>
      <c r="G3189" s="62"/>
      <c r="H3189" s="60"/>
    </row>
    <row r="3190" spans="1:8">
      <c r="A3190" s="60"/>
      <c r="B3190" s="77"/>
      <c r="C3190" s="60"/>
      <c r="D3190" s="81"/>
      <c r="E3190" s="62"/>
      <c r="F3190" s="60"/>
      <c r="G3190" s="62"/>
      <c r="H3190" s="60"/>
    </row>
    <row r="3191" spans="1:8">
      <c r="A3191" s="60"/>
      <c r="B3191" s="77"/>
      <c r="C3191" s="60"/>
      <c r="D3191" s="81"/>
      <c r="E3191" s="62"/>
      <c r="F3191" s="60"/>
      <c r="G3191" s="62"/>
      <c r="H3191" s="60"/>
    </row>
    <row r="3192" spans="1:8">
      <c r="A3192" s="60"/>
      <c r="B3192" s="77"/>
      <c r="C3192" s="60"/>
      <c r="D3192" s="81"/>
      <c r="E3192" s="62"/>
      <c r="F3192" s="60"/>
      <c r="G3192" s="62"/>
      <c r="H3192" s="60"/>
    </row>
    <row r="3193" spans="1:8">
      <c r="A3193" s="60"/>
      <c r="B3193" s="77"/>
      <c r="C3193" s="60"/>
      <c r="D3193" s="81"/>
      <c r="E3193" s="62"/>
      <c r="F3193" s="60"/>
      <c r="G3193" s="62"/>
      <c r="H3193" s="60"/>
    </row>
    <row r="3194" spans="1:8">
      <c r="A3194" s="60"/>
      <c r="B3194" s="77"/>
      <c r="C3194" s="60"/>
      <c r="D3194" s="81"/>
      <c r="E3194" s="62"/>
      <c r="F3194" s="60"/>
      <c r="G3194" s="62"/>
      <c r="H3194" s="60"/>
    </row>
    <row r="3195" spans="1:8">
      <c r="A3195" s="60"/>
      <c r="B3195" s="77"/>
      <c r="C3195" s="60"/>
      <c r="D3195" s="81"/>
      <c r="E3195" s="62"/>
      <c r="F3195" s="60"/>
      <c r="G3195" s="62"/>
      <c r="H3195" s="60"/>
    </row>
    <row r="3196" spans="1:8">
      <c r="A3196" s="60"/>
      <c r="B3196" s="77"/>
      <c r="C3196" s="60"/>
      <c r="D3196" s="81"/>
      <c r="E3196" s="62"/>
      <c r="F3196" s="60"/>
      <c r="G3196" s="62"/>
      <c r="H3196" s="60"/>
    </row>
    <row r="3197" spans="1:8">
      <c r="A3197" s="60"/>
      <c r="B3197" s="77"/>
      <c r="C3197" s="60"/>
      <c r="D3197" s="81"/>
      <c r="E3197" s="62"/>
      <c r="F3197" s="60"/>
      <c r="G3197" s="62"/>
      <c r="H3197" s="60"/>
    </row>
    <row r="3198" spans="1:8">
      <c r="A3198" s="60"/>
      <c r="B3198" s="77"/>
      <c r="C3198" s="60"/>
      <c r="D3198" s="81"/>
      <c r="E3198" s="62"/>
      <c r="F3198" s="60"/>
      <c r="G3198" s="62"/>
      <c r="H3198" s="60"/>
    </row>
    <row r="3199" spans="1:8">
      <c r="A3199" s="60"/>
      <c r="B3199" s="77"/>
      <c r="C3199" s="60"/>
      <c r="D3199" s="81"/>
      <c r="E3199" s="62"/>
      <c r="F3199" s="60"/>
      <c r="G3199" s="62"/>
      <c r="H3199" s="60"/>
    </row>
    <row r="3200" spans="1:8">
      <c r="A3200" s="60"/>
      <c r="B3200" s="77"/>
      <c r="C3200" s="60"/>
      <c r="D3200" s="81"/>
      <c r="E3200" s="62"/>
      <c r="F3200" s="60"/>
      <c r="G3200" s="62"/>
      <c r="H3200" s="60"/>
    </row>
    <row r="3201" spans="1:8">
      <c r="A3201" s="60"/>
      <c r="B3201" s="77"/>
      <c r="C3201" s="60"/>
      <c r="D3201" s="81"/>
      <c r="E3201" s="62"/>
      <c r="F3201" s="60"/>
      <c r="G3201" s="62"/>
      <c r="H3201" s="60"/>
    </row>
    <row r="3202" spans="1:8">
      <c r="A3202" s="60"/>
      <c r="B3202" s="77"/>
      <c r="C3202" s="60"/>
      <c r="D3202" s="81"/>
      <c r="E3202" s="62"/>
      <c r="F3202" s="60"/>
      <c r="G3202" s="62"/>
      <c r="H3202" s="60"/>
    </row>
    <row r="3203" spans="1:8">
      <c r="A3203" s="60"/>
      <c r="B3203" s="77"/>
      <c r="C3203" s="60"/>
      <c r="D3203" s="81"/>
      <c r="E3203" s="62"/>
      <c r="F3203" s="60"/>
      <c r="G3203" s="62"/>
      <c r="H3203" s="60"/>
    </row>
    <row r="3204" spans="1:8">
      <c r="A3204" s="60"/>
      <c r="B3204" s="77"/>
      <c r="C3204" s="60"/>
      <c r="D3204" s="81"/>
      <c r="E3204" s="62"/>
      <c r="F3204" s="60"/>
      <c r="G3204" s="62"/>
      <c r="H3204" s="60"/>
    </row>
    <row r="3205" spans="1:8">
      <c r="A3205" s="60"/>
      <c r="B3205" s="77"/>
      <c r="C3205" s="60"/>
      <c r="D3205" s="81"/>
      <c r="E3205" s="62"/>
      <c r="F3205" s="60"/>
      <c r="G3205" s="62"/>
      <c r="H3205" s="60"/>
    </row>
    <row r="3206" spans="1:8">
      <c r="A3206" s="60"/>
      <c r="B3206" s="77"/>
      <c r="C3206" s="60"/>
      <c r="D3206" s="81"/>
      <c r="E3206" s="62"/>
      <c r="F3206" s="60"/>
      <c r="G3206" s="62"/>
      <c r="H3206" s="60"/>
    </row>
    <row r="3207" spans="1:8">
      <c r="A3207" s="60"/>
      <c r="B3207" s="77"/>
      <c r="C3207" s="60"/>
      <c r="D3207" s="81"/>
      <c r="E3207" s="62"/>
      <c r="F3207" s="60"/>
      <c r="G3207" s="62"/>
      <c r="H3207" s="60"/>
    </row>
    <row r="3208" spans="1:8">
      <c r="A3208" s="60"/>
      <c r="B3208" s="77"/>
      <c r="C3208" s="60"/>
      <c r="D3208" s="81"/>
      <c r="E3208" s="62"/>
      <c r="F3208" s="60"/>
      <c r="G3208" s="62"/>
      <c r="H3208" s="60"/>
    </row>
    <row r="3209" spans="1:8">
      <c r="A3209" s="60"/>
      <c r="B3209" s="77"/>
      <c r="C3209" s="60"/>
      <c r="D3209" s="81"/>
      <c r="E3209" s="62"/>
      <c r="F3209" s="60"/>
      <c r="G3209" s="62"/>
      <c r="H3209" s="60"/>
    </row>
    <row r="3210" spans="1:8">
      <c r="A3210" s="60"/>
      <c r="B3210" s="77"/>
      <c r="C3210" s="60"/>
      <c r="D3210" s="81"/>
      <c r="E3210" s="62"/>
      <c r="F3210" s="60"/>
      <c r="G3210" s="62"/>
      <c r="H3210" s="60"/>
    </row>
    <row r="3211" spans="1:8">
      <c r="A3211" s="60"/>
      <c r="B3211" s="77"/>
      <c r="C3211" s="60"/>
      <c r="D3211" s="81"/>
      <c r="E3211" s="62"/>
      <c r="F3211" s="60"/>
      <c r="G3211" s="62"/>
      <c r="H3211" s="60"/>
    </row>
    <row r="3212" spans="1:8">
      <c r="A3212" s="60"/>
      <c r="B3212" s="77"/>
      <c r="C3212" s="60"/>
      <c r="D3212" s="81"/>
      <c r="E3212" s="62"/>
      <c r="F3212" s="60"/>
      <c r="G3212" s="62"/>
      <c r="H3212" s="60"/>
    </row>
    <row r="3213" spans="1:8">
      <c r="A3213" s="60"/>
      <c r="B3213" s="77"/>
      <c r="C3213" s="60"/>
      <c r="D3213" s="81"/>
      <c r="E3213" s="62"/>
      <c r="F3213" s="60"/>
      <c r="G3213" s="62"/>
      <c r="H3213" s="60"/>
    </row>
    <row r="3214" spans="1:8">
      <c r="A3214" s="60"/>
      <c r="B3214" s="77"/>
      <c r="C3214" s="60"/>
      <c r="D3214" s="81"/>
      <c r="E3214" s="62"/>
      <c r="F3214" s="60"/>
      <c r="G3214" s="62"/>
      <c r="H3214" s="60"/>
    </row>
    <row r="3215" spans="1:8">
      <c r="A3215" s="60"/>
      <c r="B3215" s="77"/>
      <c r="C3215" s="60"/>
      <c r="D3215" s="81"/>
      <c r="E3215" s="62"/>
      <c r="F3215" s="60"/>
      <c r="G3215" s="62"/>
      <c r="H3215" s="60"/>
    </row>
    <row r="3216" spans="1:8">
      <c r="A3216" s="60"/>
      <c r="B3216" s="77"/>
      <c r="C3216" s="60"/>
      <c r="D3216" s="81"/>
      <c r="E3216" s="62"/>
      <c r="F3216" s="60"/>
      <c r="G3216" s="62"/>
      <c r="H3216" s="60"/>
    </row>
    <row r="3217" spans="1:8">
      <c r="A3217" s="60"/>
      <c r="B3217" s="77"/>
      <c r="C3217" s="60"/>
      <c r="D3217" s="81"/>
      <c r="E3217" s="62"/>
      <c r="F3217" s="60"/>
      <c r="G3217" s="62"/>
      <c r="H3217" s="60"/>
    </row>
    <row r="3218" spans="1:8">
      <c r="A3218" s="60"/>
      <c r="B3218" s="77"/>
      <c r="C3218" s="60"/>
      <c r="D3218" s="81"/>
      <c r="E3218" s="62"/>
      <c r="F3218" s="60"/>
      <c r="G3218" s="62"/>
      <c r="H3218" s="60"/>
    </row>
    <row r="3219" spans="1:8">
      <c r="A3219" s="60"/>
      <c r="B3219" s="77"/>
      <c r="C3219" s="60"/>
      <c r="D3219" s="81"/>
      <c r="E3219" s="62"/>
      <c r="F3219" s="60"/>
      <c r="G3219" s="62"/>
      <c r="H3219" s="60"/>
    </row>
    <row r="3220" spans="1:8">
      <c r="A3220" s="60"/>
      <c r="B3220" s="77"/>
      <c r="C3220" s="60"/>
      <c r="D3220" s="81"/>
      <c r="E3220" s="62"/>
      <c r="F3220" s="60"/>
      <c r="G3220" s="62"/>
      <c r="H3220" s="60"/>
    </row>
    <row r="3221" spans="1:8">
      <c r="A3221" s="60"/>
      <c r="B3221" s="77"/>
      <c r="C3221" s="60"/>
      <c r="D3221" s="81"/>
      <c r="E3221" s="62"/>
      <c r="F3221" s="60"/>
      <c r="G3221" s="62"/>
      <c r="H3221" s="60"/>
    </row>
    <row r="3222" spans="1:8">
      <c r="A3222" s="60"/>
      <c r="B3222" s="77"/>
      <c r="C3222" s="60"/>
      <c r="D3222" s="81"/>
      <c r="E3222" s="62"/>
      <c r="F3222" s="60"/>
      <c r="G3222" s="62"/>
      <c r="H3222" s="60"/>
    </row>
    <row r="3223" spans="1:8">
      <c r="A3223" s="60"/>
      <c r="B3223" s="77"/>
      <c r="C3223" s="60"/>
      <c r="D3223" s="81"/>
      <c r="E3223" s="62"/>
      <c r="F3223" s="60"/>
      <c r="G3223" s="62"/>
      <c r="H3223" s="60"/>
    </row>
    <row r="3224" spans="1:8">
      <c r="A3224" s="60"/>
      <c r="B3224" s="77"/>
      <c r="C3224" s="60"/>
      <c r="D3224" s="81"/>
      <c r="E3224" s="62"/>
      <c r="F3224" s="60"/>
      <c r="G3224" s="62"/>
      <c r="H3224" s="60"/>
    </row>
    <row r="3225" spans="1:8">
      <c r="A3225" s="60"/>
      <c r="B3225" s="77"/>
      <c r="C3225" s="60"/>
      <c r="D3225" s="81"/>
      <c r="E3225" s="62"/>
      <c r="F3225" s="60"/>
      <c r="G3225" s="62"/>
      <c r="H3225" s="60"/>
    </row>
    <row r="3226" spans="1:8">
      <c r="A3226" s="60"/>
      <c r="B3226" s="77"/>
      <c r="C3226" s="60"/>
      <c r="D3226" s="81"/>
      <c r="E3226" s="62"/>
      <c r="F3226" s="60"/>
      <c r="G3226" s="62"/>
      <c r="H3226" s="60"/>
    </row>
    <row r="3227" spans="1:8">
      <c r="A3227" s="60"/>
      <c r="B3227" s="77"/>
      <c r="C3227" s="60"/>
      <c r="D3227" s="81"/>
      <c r="E3227" s="62"/>
      <c r="F3227" s="60"/>
      <c r="G3227" s="62"/>
      <c r="H3227" s="60"/>
    </row>
    <row r="3228" spans="1:8">
      <c r="A3228" s="60"/>
      <c r="B3228" s="77"/>
      <c r="C3228" s="60"/>
      <c r="D3228" s="81"/>
      <c r="E3228" s="62"/>
      <c r="F3228" s="60"/>
      <c r="G3228" s="62"/>
      <c r="H3228" s="60"/>
    </row>
    <row r="3229" spans="1:8">
      <c r="A3229" s="60"/>
      <c r="B3229" s="77"/>
      <c r="C3229" s="60"/>
      <c r="D3229" s="81"/>
      <c r="E3229" s="62"/>
      <c r="F3229" s="60"/>
      <c r="G3229" s="62"/>
      <c r="H3229" s="60"/>
    </row>
    <row r="3230" spans="1:8">
      <c r="A3230" s="60"/>
      <c r="B3230" s="77"/>
      <c r="C3230" s="60"/>
      <c r="D3230" s="81"/>
      <c r="E3230" s="62"/>
      <c r="F3230" s="60"/>
      <c r="G3230" s="62"/>
      <c r="H3230" s="60"/>
    </row>
    <row r="3231" spans="1:8">
      <c r="A3231" s="60"/>
      <c r="B3231" s="77"/>
      <c r="C3231" s="60"/>
      <c r="D3231" s="81"/>
      <c r="E3231" s="62"/>
      <c r="F3231" s="60"/>
      <c r="G3231" s="62"/>
      <c r="H3231" s="60"/>
    </row>
    <row r="3232" spans="1:8">
      <c r="A3232" s="60"/>
      <c r="B3232" s="77"/>
      <c r="C3232" s="60"/>
      <c r="D3232" s="81"/>
      <c r="E3232" s="62"/>
      <c r="F3232" s="60"/>
      <c r="G3232" s="62"/>
      <c r="H3232" s="60"/>
    </row>
    <row r="3233" spans="1:8">
      <c r="A3233" s="60"/>
      <c r="B3233" s="77"/>
      <c r="C3233" s="60"/>
      <c r="D3233" s="81"/>
      <c r="E3233" s="62"/>
      <c r="F3233" s="60"/>
      <c r="G3233" s="62"/>
      <c r="H3233" s="60"/>
    </row>
    <row r="3234" spans="1:8">
      <c r="A3234" s="60"/>
      <c r="B3234" s="77"/>
      <c r="C3234" s="60"/>
      <c r="D3234" s="81"/>
      <c r="E3234" s="62"/>
      <c r="F3234" s="60"/>
      <c r="G3234" s="62"/>
      <c r="H3234" s="60"/>
    </row>
    <row r="3235" spans="1:8">
      <c r="A3235" s="60"/>
      <c r="B3235" s="77"/>
      <c r="C3235" s="60"/>
      <c r="D3235" s="81"/>
      <c r="E3235" s="62"/>
      <c r="F3235" s="60"/>
      <c r="G3235" s="62"/>
      <c r="H3235" s="60"/>
    </row>
    <row r="3236" spans="1:8">
      <c r="A3236" s="60"/>
      <c r="B3236" s="77"/>
      <c r="C3236" s="60"/>
      <c r="D3236" s="81"/>
      <c r="E3236" s="62"/>
      <c r="F3236" s="60"/>
      <c r="G3236" s="62"/>
      <c r="H3236" s="60"/>
    </row>
    <row r="3237" spans="1:8">
      <c r="A3237" s="60"/>
      <c r="B3237" s="77"/>
      <c r="C3237" s="60"/>
      <c r="D3237" s="81"/>
      <c r="E3237" s="62"/>
      <c r="F3237" s="60"/>
      <c r="G3237" s="62"/>
      <c r="H3237" s="60"/>
    </row>
    <row r="3238" spans="1:8">
      <c r="A3238" s="60"/>
      <c r="B3238" s="77"/>
      <c r="C3238" s="60"/>
      <c r="D3238" s="81"/>
      <c r="E3238" s="62"/>
      <c r="F3238" s="60"/>
      <c r="G3238" s="62"/>
      <c r="H3238" s="60"/>
    </row>
    <row r="3239" spans="1:8">
      <c r="A3239" s="60"/>
      <c r="B3239" s="77"/>
      <c r="C3239" s="60"/>
      <c r="D3239" s="81"/>
      <c r="E3239" s="62"/>
      <c r="F3239" s="60"/>
      <c r="G3239" s="62"/>
      <c r="H3239" s="60"/>
    </row>
    <row r="3240" spans="1:8">
      <c r="A3240" s="60"/>
      <c r="B3240" s="77"/>
      <c r="C3240" s="60"/>
      <c r="D3240" s="81"/>
      <c r="E3240" s="62"/>
      <c r="F3240" s="60"/>
      <c r="G3240" s="62"/>
      <c r="H3240" s="60"/>
    </row>
    <row r="3241" spans="1:8">
      <c r="A3241" s="60"/>
      <c r="B3241" s="77"/>
      <c r="C3241" s="60"/>
      <c r="D3241" s="81"/>
      <c r="E3241" s="62"/>
      <c r="F3241" s="60"/>
      <c r="G3241" s="62"/>
      <c r="H3241" s="60"/>
    </row>
    <row r="3242" spans="1:8">
      <c r="A3242" s="60"/>
      <c r="B3242" s="77"/>
      <c r="C3242" s="60"/>
      <c r="D3242" s="81"/>
      <c r="E3242" s="62"/>
      <c r="F3242" s="60"/>
      <c r="G3242" s="62"/>
      <c r="H3242" s="60"/>
    </row>
    <row r="3243" spans="1:8">
      <c r="A3243" s="60"/>
      <c r="B3243" s="77"/>
      <c r="C3243" s="60"/>
      <c r="D3243" s="81"/>
      <c r="E3243" s="62"/>
      <c r="F3243" s="60"/>
      <c r="G3243" s="62"/>
      <c r="H3243" s="60"/>
    </row>
    <row r="3244" spans="1:8">
      <c r="A3244" s="60"/>
      <c r="B3244" s="77"/>
      <c r="C3244" s="60"/>
      <c r="D3244" s="81"/>
      <c r="E3244" s="62"/>
      <c r="F3244" s="60"/>
      <c r="G3244" s="62"/>
      <c r="H3244" s="60"/>
    </row>
    <row r="3245" spans="1:8">
      <c r="A3245" s="60"/>
      <c r="B3245" s="77"/>
      <c r="C3245" s="60"/>
      <c r="D3245" s="81"/>
      <c r="E3245" s="62"/>
      <c r="F3245" s="60"/>
      <c r="G3245" s="62"/>
      <c r="H3245" s="60"/>
    </row>
    <row r="3246" spans="1:8">
      <c r="A3246" s="60"/>
      <c r="B3246" s="77"/>
      <c r="C3246" s="60"/>
      <c r="D3246" s="81"/>
      <c r="E3246" s="62"/>
      <c r="F3246" s="60"/>
      <c r="G3246" s="62"/>
      <c r="H3246" s="60"/>
    </row>
    <row r="3247" spans="1:8">
      <c r="A3247" s="60"/>
      <c r="B3247" s="77"/>
      <c r="C3247" s="60"/>
      <c r="D3247" s="81"/>
      <c r="E3247" s="62"/>
      <c r="F3247" s="60"/>
      <c r="G3247" s="62"/>
      <c r="H3247" s="60"/>
    </row>
    <row r="3248" spans="1:8">
      <c r="A3248" s="60"/>
      <c r="B3248" s="77"/>
      <c r="C3248" s="60"/>
      <c r="D3248" s="81"/>
      <c r="E3248" s="62"/>
      <c r="F3248" s="60"/>
      <c r="G3248" s="62"/>
      <c r="H3248" s="60"/>
    </row>
    <row r="3249" spans="1:8">
      <c r="A3249" s="60"/>
      <c r="B3249" s="77"/>
      <c r="C3249" s="60"/>
      <c r="D3249" s="81"/>
      <c r="E3249" s="62"/>
      <c r="F3249" s="60"/>
      <c r="G3249" s="62"/>
      <c r="H3249" s="60"/>
    </row>
    <row r="3250" spans="1:8">
      <c r="A3250" s="60"/>
      <c r="B3250" s="77"/>
      <c r="C3250" s="60"/>
      <c r="D3250" s="81"/>
      <c r="E3250" s="62"/>
      <c r="F3250" s="60"/>
      <c r="G3250" s="62"/>
      <c r="H3250" s="60"/>
    </row>
    <row r="3251" spans="1:8">
      <c r="A3251" s="60"/>
      <c r="B3251" s="77"/>
      <c r="C3251" s="60"/>
      <c r="D3251" s="81"/>
      <c r="E3251" s="62"/>
      <c r="F3251" s="60"/>
      <c r="G3251" s="62"/>
      <c r="H3251" s="60"/>
    </row>
    <row r="3252" spans="1:8">
      <c r="A3252" s="60"/>
      <c r="B3252" s="77"/>
      <c r="C3252" s="60"/>
      <c r="D3252" s="81"/>
      <c r="E3252" s="62"/>
      <c r="F3252" s="60"/>
      <c r="G3252" s="62"/>
      <c r="H3252" s="60"/>
    </row>
    <row r="3253" spans="1:8">
      <c r="A3253" s="60"/>
      <c r="B3253" s="77"/>
      <c r="C3253" s="60"/>
      <c r="D3253" s="81"/>
      <c r="E3253" s="62"/>
      <c r="F3253" s="60"/>
      <c r="G3253" s="62"/>
      <c r="H3253" s="60"/>
    </row>
    <row r="3254" spans="1:8">
      <c r="A3254" s="60"/>
      <c r="B3254" s="77"/>
      <c r="C3254" s="60"/>
      <c r="D3254" s="81"/>
      <c r="E3254" s="62"/>
      <c r="F3254" s="60"/>
      <c r="G3254" s="62"/>
      <c r="H3254" s="60"/>
    </row>
    <row r="3255" spans="1:8">
      <c r="A3255" s="60"/>
      <c r="B3255" s="77"/>
      <c r="C3255" s="60"/>
      <c r="D3255" s="81"/>
      <c r="E3255" s="62"/>
      <c r="F3255" s="60"/>
      <c r="G3255" s="62"/>
      <c r="H3255" s="60"/>
    </row>
    <row r="3256" spans="1:8">
      <c r="A3256" s="60"/>
      <c r="B3256" s="77"/>
      <c r="C3256" s="60"/>
      <c r="D3256" s="81"/>
      <c r="E3256" s="62"/>
      <c r="F3256" s="60"/>
      <c r="G3256" s="62"/>
      <c r="H3256" s="60"/>
    </row>
    <row r="3257" spans="1:8">
      <c r="A3257" s="60"/>
      <c r="B3257" s="77"/>
      <c r="C3257" s="60"/>
      <c r="D3257" s="81"/>
      <c r="E3257" s="62"/>
      <c r="F3257" s="60"/>
      <c r="G3257" s="62"/>
      <c r="H3257" s="60"/>
    </row>
    <row r="3258" spans="1:8">
      <c r="A3258" s="60"/>
      <c r="B3258" s="77"/>
      <c r="C3258" s="60"/>
      <c r="D3258" s="81"/>
      <c r="E3258" s="62"/>
      <c r="F3258" s="60"/>
      <c r="G3258" s="62"/>
      <c r="H3258" s="60"/>
    </row>
    <row r="3259" spans="1:8">
      <c r="A3259" s="60"/>
      <c r="B3259" s="77"/>
      <c r="C3259" s="60"/>
      <c r="D3259" s="81"/>
      <c r="E3259" s="62"/>
      <c r="F3259" s="60"/>
      <c r="G3259" s="62"/>
      <c r="H3259" s="60"/>
    </row>
    <row r="3260" spans="1:8">
      <c r="A3260" s="60"/>
      <c r="B3260" s="77"/>
      <c r="C3260" s="60"/>
      <c r="D3260" s="81"/>
      <c r="E3260" s="62"/>
      <c r="F3260" s="60"/>
      <c r="G3260" s="62"/>
      <c r="H3260" s="60"/>
    </row>
    <row r="3261" spans="1:8">
      <c r="A3261" s="60"/>
      <c r="B3261" s="77"/>
      <c r="C3261" s="60"/>
      <c r="D3261" s="81"/>
      <c r="E3261" s="62"/>
      <c r="F3261" s="60"/>
      <c r="G3261" s="62"/>
      <c r="H3261" s="60"/>
    </row>
    <row r="3262" spans="1:8">
      <c r="A3262" s="60"/>
      <c r="B3262" s="77"/>
      <c r="C3262" s="60"/>
      <c r="D3262" s="81"/>
      <c r="E3262" s="62"/>
      <c r="F3262" s="60"/>
      <c r="G3262" s="62"/>
      <c r="H3262" s="60"/>
    </row>
    <row r="3263" spans="1:8">
      <c r="A3263" s="60"/>
      <c r="B3263" s="77"/>
      <c r="C3263" s="60"/>
      <c r="D3263" s="81"/>
      <c r="E3263" s="62"/>
      <c r="F3263" s="60"/>
      <c r="G3263" s="62"/>
      <c r="H3263" s="60"/>
    </row>
    <row r="3264" spans="1:8">
      <c r="A3264" s="60"/>
      <c r="B3264" s="77"/>
      <c r="C3264" s="60"/>
      <c r="D3264" s="81"/>
      <c r="E3264" s="62"/>
      <c r="F3264" s="60"/>
      <c r="G3264" s="62"/>
      <c r="H3264" s="60"/>
    </row>
    <row r="3265" spans="1:8">
      <c r="A3265" s="60"/>
      <c r="B3265" s="77"/>
      <c r="C3265" s="60"/>
      <c r="D3265" s="81"/>
      <c r="E3265" s="62"/>
      <c r="F3265" s="60"/>
      <c r="G3265" s="62"/>
      <c r="H3265" s="60"/>
    </row>
    <row r="3266" spans="1:8">
      <c r="A3266" s="60"/>
      <c r="B3266" s="77"/>
      <c r="C3266" s="60"/>
      <c r="D3266" s="81"/>
      <c r="E3266" s="62"/>
      <c r="F3266" s="60"/>
      <c r="G3266" s="62"/>
      <c r="H3266" s="60"/>
    </row>
    <row r="3267" spans="1:8">
      <c r="A3267" s="60"/>
      <c r="B3267" s="77"/>
      <c r="C3267" s="60"/>
      <c r="D3267" s="81"/>
      <c r="E3267" s="62"/>
      <c r="F3267" s="60"/>
      <c r="G3267" s="62"/>
      <c r="H3267" s="60"/>
    </row>
    <row r="3268" spans="1:8">
      <c r="A3268" s="60"/>
      <c r="B3268" s="77"/>
      <c r="C3268" s="60"/>
      <c r="D3268" s="81"/>
      <c r="E3268" s="62"/>
      <c r="F3268" s="60"/>
      <c r="G3268" s="62"/>
      <c r="H3268" s="60"/>
    </row>
    <row r="3269" spans="1:8">
      <c r="A3269" s="60"/>
      <c r="B3269" s="77"/>
      <c r="C3269" s="60"/>
      <c r="D3269" s="81"/>
      <c r="E3269" s="62"/>
      <c r="F3269" s="60"/>
      <c r="G3269" s="62"/>
      <c r="H3269" s="60"/>
    </row>
    <row r="3270" spans="1:8">
      <c r="A3270" s="60"/>
      <c r="B3270" s="77"/>
      <c r="C3270" s="60"/>
      <c r="D3270" s="81"/>
      <c r="E3270" s="62"/>
      <c r="F3270" s="60"/>
      <c r="G3270" s="62"/>
      <c r="H3270" s="60"/>
    </row>
    <row r="3271" spans="1:8">
      <c r="A3271" s="60"/>
      <c r="B3271" s="77"/>
      <c r="C3271" s="60"/>
      <c r="D3271" s="81"/>
      <c r="E3271" s="62"/>
      <c r="F3271" s="60"/>
      <c r="G3271" s="62"/>
      <c r="H3271" s="60"/>
    </row>
    <row r="3272" spans="1:8">
      <c r="A3272" s="60"/>
      <c r="B3272" s="77"/>
      <c r="C3272" s="60"/>
      <c r="D3272" s="81"/>
      <c r="E3272" s="62"/>
      <c r="F3272" s="60"/>
      <c r="G3272" s="62"/>
      <c r="H3272" s="60"/>
    </row>
    <row r="3273" spans="1:8">
      <c r="A3273" s="60"/>
      <c r="B3273" s="77"/>
      <c r="C3273" s="60"/>
      <c r="D3273" s="81"/>
      <c r="E3273" s="62"/>
      <c r="F3273" s="60"/>
      <c r="G3273" s="62"/>
      <c r="H3273" s="60"/>
    </row>
    <row r="3274" spans="1:8">
      <c r="A3274" s="60"/>
      <c r="B3274" s="77"/>
      <c r="C3274" s="60"/>
      <c r="D3274" s="81"/>
      <c r="E3274" s="62"/>
      <c r="F3274" s="60"/>
      <c r="G3274" s="62"/>
      <c r="H3274" s="60"/>
    </row>
    <row r="3275" spans="1:8">
      <c r="A3275" s="60"/>
      <c r="B3275" s="77"/>
      <c r="C3275" s="60"/>
      <c r="D3275" s="81"/>
      <c r="E3275" s="62"/>
      <c r="F3275" s="60"/>
      <c r="G3275" s="62"/>
      <c r="H3275" s="60"/>
    </row>
    <row r="3276" spans="1:8">
      <c r="A3276" s="60"/>
      <c r="B3276" s="77"/>
      <c r="C3276" s="60"/>
      <c r="D3276" s="81"/>
      <c r="E3276" s="62"/>
      <c r="F3276" s="60"/>
      <c r="G3276" s="62"/>
      <c r="H3276" s="60"/>
    </row>
    <row r="3277" spans="1:8">
      <c r="A3277" s="60"/>
      <c r="B3277" s="77"/>
      <c r="C3277" s="60"/>
      <c r="D3277" s="81"/>
      <c r="E3277" s="62"/>
      <c r="F3277" s="60"/>
      <c r="G3277" s="62"/>
      <c r="H3277" s="60"/>
    </row>
    <row r="3278" spans="1:8">
      <c r="A3278" s="60"/>
      <c r="B3278" s="77"/>
      <c r="C3278" s="60"/>
      <c r="D3278" s="81"/>
      <c r="E3278" s="62"/>
      <c r="F3278" s="60"/>
      <c r="G3278" s="62"/>
      <c r="H3278" s="60"/>
    </row>
    <row r="3279" spans="1:8">
      <c r="A3279" s="60"/>
      <c r="B3279" s="77"/>
      <c r="C3279" s="60"/>
      <c r="D3279" s="81"/>
      <c r="E3279" s="62"/>
      <c r="F3279" s="60"/>
      <c r="G3279" s="62"/>
      <c r="H3279" s="60"/>
    </row>
    <row r="3280" spans="1:8">
      <c r="A3280" s="60"/>
      <c r="B3280" s="77"/>
      <c r="C3280" s="60"/>
      <c r="D3280" s="81"/>
      <c r="E3280" s="62"/>
      <c r="F3280" s="60"/>
      <c r="G3280" s="62"/>
      <c r="H3280" s="60"/>
    </row>
    <row r="3281" spans="1:8">
      <c r="A3281" s="60"/>
      <c r="B3281" s="77"/>
      <c r="C3281" s="60"/>
      <c r="D3281" s="81"/>
      <c r="E3281" s="62"/>
      <c r="F3281" s="60"/>
      <c r="G3281" s="62"/>
      <c r="H3281" s="60"/>
    </row>
    <row r="3282" spans="1:8">
      <c r="A3282" s="60"/>
      <c r="B3282" s="77"/>
      <c r="C3282" s="60"/>
      <c r="D3282" s="81"/>
      <c r="E3282" s="62"/>
      <c r="F3282" s="60"/>
      <c r="G3282" s="62"/>
      <c r="H3282" s="60"/>
    </row>
    <row r="3283" spans="1:8">
      <c r="A3283" s="60"/>
      <c r="B3283" s="77"/>
      <c r="C3283" s="60"/>
      <c r="D3283" s="81"/>
      <c r="E3283" s="62"/>
      <c r="F3283" s="60"/>
      <c r="G3283" s="62"/>
      <c r="H3283" s="60"/>
    </row>
    <row r="3284" spans="1:8">
      <c r="A3284" s="60"/>
      <c r="B3284" s="77"/>
      <c r="C3284" s="60"/>
      <c r="D3284" s="81"/>
      <c r="E3284" s="62"/>
      <c r="F3284" s="60"/>
      <c r="G3284" s="62"/>
      <c r="H3284" s="60"/>
    </row>
    <row r="3285" spans="1:8">
      <c r="A3285" s="60"/>
      <c r="B3285" s="77"/>
      <c r="C3285" s="60"/>
      <c r="D3285" s="81"/>
      <c r="E3285" s="62"/>
      <c r="F3285" s="60"/>
      <c r="G3285" s="62"/>
      <c r="H3285" s="60"/>
    </row>
    <row r="3286" spans="1:8">
      <c r="A3286" s="60"/>
      <c r="B3286" s="77"/>
      <c r="C3286" s="60"/>
      <c r="D3286" s="81"/>
      <c r="E3286" s="62"/>
      <c r="F3286" s="60"/>
      <c r="G3286" s="62"/>
      <c r="H3286" s="60"/>
    </row>
    <row r="3287" spans="1:8">
      <c r="A3287" s="60"/>
      <c r="B3287" s="77"/>
      <c r="C3287" s="60"/>
      <c r="D3287" s="81"/>
      <c r="E3287" s="62"/>
      <c r="F3287" s="60"/>
      <c r="G3287" s="62"/>
      <c r="H3287" s="60"/>
    </row>
    <row r="3288" spans="1:8">
      <c r="A3288" s="60"/>
      <c r="B3288" s="77"/>
      <c r="C3288" s="60"/>
      <c r="D3288" s="81"/>
      <c r="E3288" s="62"/>
      <c r="F3288" s="60"/>
      <c r="G3288" s="62"/>
      <c r="H3288" s="60"/>
    </row>
    <row r="3289" spans="1:8">
      <c r="A3289" s="60"/>
      <c r="B3289" s="77"/>
      <c r="C3289" s="60"/>
      <c r="D3289" s="81"/>
      <c r="E3289" s="62"/>
      <c r="F3289" s="60"/>
      <c r="G3289" s="62"/>
      <c r="H3289" s="60"/>
    </row>
    <row r="3290" spans="1:8">
      <c r="A3290" s="60"/>
      <c r="B3290" s="77"/>
      <c r="C3290" s="60"/>
      <c r="D3290" s="81"/>
      <c r="E3290" s="62"/>
      <c r="F3290" s="60"/>
      <c r="G3290" s="62"/>
      <c r="H3290" s="60"/>
    </row>
    <row r="3291" spans="1:8">
      <c r="A3291" s="60"/>
      <c r="B3291" s="77"/>
      <c r="C3291" s="60"/>
      <c r="D3291" s="81"/>
      <c r="E3291" s="62"/>
      <c r="F3291" s="60"/>
      <c r="G3291" s="62"/>
      <c r="H3291" s="60"/>
    </row>
    <row r="3292" spans="1:8">
      <c r="A3292" s="60"/>
      <c r="B3292" s="77"/>
      <c r="C3292" s="60"/>
      <c r="D3292" s="81"/>
      <c r="E3292" s="62"/>
      <c r="F3292" s="60"/>
      <c r="G3292" s="62"/>
      <c r="H3292" s="60"/>
    </row>
    <row r="3293" spans="1:8">
      <c r="A3293" s="60"/>
      <c r="B3293" s="77"/>
      <c r="C3293" s="60"/>
      <c r="D3293" s="81"/>
      <c r="E3293" s="62"/>
      <c r="F3293" s="60"/>
      <c r="G3293" s="62"/>
      <c r="H3293" s="60"/>
    </row>
    <row r="3294" spans="1:8">
      <c r="A3294" s="60"/>
      <c r="B3294" s="77"/>
      <c r="C3294" s="60"/>
      <c r="D3294" s="81"/>
      <c r="E3294" s="62"/>
      <c r="F3294" s="60"/>
      <c r="G3294" s="62"/>
      <c r="H3294" s="60"/>
    </row>
    <row r="3295" spans="1:8">
      <c r="A3295" s="60"/>
      <c r="B3295" s="77"/>
      <c r="C3295" s="60"/>
      <c r="D3295" s="81"/>
      <c r="E3295" s="62"/>
      <c r="F3295" s="60"/>
      <c r="G3295" s="62"/>
      <c r="H3295" s="60"/>
    </row>
    <row r="3296" spans="1:8">
      <c r="A3296" s="60"/>
      <c r="B3296" s="77"/>
      <c r="C3296" s="60"/>
      <c r="D3296" s="81"/>
      <c r="E3296" s="62"/>
      <c r="F3296" s="60"/>
      <c r="G3296" s="62"/>
      <c r="H3296" s="60"/>
    </row>
    <row r="3297" spans="1:8">
      <c r="A3297" s="60"/>
      <c r="B3297" s="77"/>
      <c r="C3297" s="60"/>
      <c r="D3297" s="81"/>
      <c r="E3297" s="62"/>
      <c r="F3297" s="60"/>
      <c r="G3297" s="62"/>
      <c r="H3297" s="60"/>
    </row>
    <row r="3298" spans="1:8">
      <c r="A3298" s="60"/>
      <c r="B3298" s="77"/>
      <c r="C3298" s="60"/>
      <c r="D3298" s="81"/>
      <c r="E3298" s="62"/>
      <c r="F3298" s="60"/>
      <c r="G3298" s="62"/>
      <c r="H3298" s="60"/>
    </row>
    <row r="3299" spans="1:8">
      <c r="A3299" s="60"/>
      <c r="B3299" s="77"/>
      <c r="C3299" s="60"/>
      <c r="D3299" s="81"/>
      <c r="E3299" s="62"/>
      <c r="F3299" s="60"/>
      <c r="G3299" s="62"/>
      <c r="H3299" s="60"/>
    </row>
    <row r="3300" spans="1:8">
      <c r="A3300" s="60"/>
      <c r="B3300" s="77"/>
      <c r="C3300" s="60"/>
      <c r="D3300" s="81"/>
      <c r="E3300" s="62"/>
      <c r="F3300" s="60"/>
      <c r="G3300" s="62"/>
      <c r="H3300" s="60"/>
    </row>
    <row r="3301" spans="1:8">
      <c r="A3301" s="60"/>
      <c r="B3301" s="77"/>
      <c r="C3301" s="60"/>
      <c r="D3301" s="81"/>
      <c r="E3301" s="62"/>
      <c r="F3301" s="60"/>
      <c r="G3301" s="62"/>
      <c r="H3301" s="60"/>
    </row>
    <row r="3302" spans="1:8">
      <c r="A3302" s="60"/>
      <c r="B3302" s="77"/>
      <c r="C3302" s="60"/>
      <c r="D3302" s="81"/>
      <c r="E3302" s="62"/>
      <c r="F3302" s="60"/>
      <c r="G3302" s="62"/>
      <c r="H3302" s="60"/>
    </row>
    <row r="3303" spans="1:8">
      <c r="A3303" s="60"/>
      <c r="B3303" s="77"/>
      <c r="C3303" s="60"/>
      <c r="D3303" s="81"/>
      <c r="E3303" s="62"/>
      <c r="F3303" s="60"/>
      <c r="G3303" s="62"/>
      <c r="H3303" s="60"/>
    </row>
    <row r="3304" spans="1:8">
      <c r="A3304" s="60"/>
      <c r="B3304" s="77"/>
      <c r="C3304" s="60"/>
      <c r="D3304" s="81"/>
      <c r="E3304" s="62"/>
      <c r="F3304" s="60"/>
      <c r="G3304" s="62"/>
      <c r="H3304" s="60"/>
    </row>
    <row r="3305" spans="1:8">
      <c r="A3305" s="60"/>
      <c r="B3305" s="77"/>
      <c r="C3305" s="60"/>
      <c r="D3305" s="81"/>
      <c r="E3305" s="62"/>
      <c r="F3305" s="60"/>
      <c r="G3305" s="62"/>
      <c r="H3305" s="60"/>
    </row>
    <row r="3306" spans="1:8">
      <c r="A3306" s="60"/>
      <c r="B3306" s="77"/>
      <c r="C3306" s="60"/>
      <c r="D3306" s="81"/>
      <c r="E3306" s="62"/>
      <c r="F3306" s="60"/>
      <c r="G3306" s="62"/>
      <c r="H3306" s="60"/>
    </row>
    <row r="3307" spans="1:8">
      <c r="A3307" s="60"/>
      <c r="B3307" s="77"/>
      <c r="C3307" s="60"/>
      <c r="D3307" s="81"/>
      <c r="E3307" s="62"/>
      <c r="F3307" s="60"/>
      <c r="G3307" s="62"/>
      <c r="H3307" s="60"/>
    </row>
    <row r="3308" spans="1:8">
      <c r="A3308" s="60"/>
      <c r="B3308" s="77"/>
      <c r="C3308" s="60"/>
      <c r="D3308" s="81"/>
      <c r="E3308" s="62"/>
      <c r="F3308" s="60"/>
      <c r="G3308" s="62"/>
      <c r="H3308" s="60"/>
    </row>
    <row r="3309" spans="1:8">
      <c r="A3309" s="60"/>
      <c r="B3309" s="77"/>
      <c r="C3309" s="60"/>
      <c r="D3309" s="81"/>
      <c r="E3309" s="62"/>
      <c r="F3309" s="60"/>
      <c r="G3309" s="62"/>
      <c r="H3309" s="60"/>
    </row>
    <row r="3310" spans="1:8">
      <c r="A3310" s="60"/>
      <c r="B3310" s="77"/>
      <c r="C3310" s="60"/>
      <c r="D3310" s="81"/>
      <c r="E3310" s="62"/>
      <c r="F3310" s="60"/>
      <c r="G3310" s="62"/>
      <c r="H3310" s="60"/>
    </row>
    <row r="3311" spans="1:8">
      <c r="A3311" s="60"/>
      <c r="B3311" s="77"/>
      <c r="C3311" s="60"/>
      <c r="D3311" s="81"/>
      <c r="E3311" s="62"/>
      <c r="F3311" s="60"/>
      <c r="G3311" s="62"/>
      <c r="H3311" s="60"/>
    </row>
    <row r="3312" spans="1:8">
      <c r="A3312" s="60"/>
      <c r="B3312" s="77"/>
      <c r="C3312" s="60"/>
      <c r="D3312" s="81"/>
      <c r="E3312" s="62"/>
      <c r="F3312" s="60"/>
      <c r="G3312" s="62"/>
      <c r="H3312" s="60"/>
    </row>
    <row r="3313" spans="1:8">
      <c r="A3313" s="60"/>
      <c r="B3313" s="77"/>
      <c r="C3313" s="60"/>
      <c r="D3313" s="81"/>
      <c r="E3313" s="62"/>
      <c r="F3313" s="60"/>
      <c r="G3313" s="62"/>
      <c r="H3313" s="60"/>
    </row>
    <row r="3314" spans="1:8">
      <c r="A3314" s="60"/>
      <c r="B3314" s="77"/>
      <c r="C3314" s="60"/>
      <c r="D3314" s="81"/>
      <c r="E3314" s="62"/>
      <c r="F3314" s="60"/>
      <c r="G3314" s="62"/>
      <c r="H3314" s="60"/>
    </row>
    <row r="3315" spans="1:8">
      <c r="A3315" s="60"/>
      <c r="B3315" s="77"/>
      <c r="C3315" s="60"/>
      <c r="D3315" s="81"/>
      <c r="E3315" s="62"/>
      <c r="F3315" s="60"/>
      <c r="G3315" s="62"/>
      <c r="H3315" s="60"/>
    </row>
    <row r="3316" spans="1:8">
      <c r="A3316" s="60"/>
      <c r="B3316" s="77"/>
      <c r="C3316" s="60"/>
      <c r="D3316" s="81"/>
      <c r="E3316" s="62"/>
      <c r="F3316" s="60"/>
      <c r="G3316" s="62"/>
      <c r="H3316" s="60"/>
    </row>
    <row r="3317" spans="1:8">
      <c r="A3317" s="60"/>
      <c r="B3317" s="77"/>
      <c r="C3317" s="60"/>
      <c r="D3317" s="81"/>
      <c r="E3317" s="62"/>
      <c r="F3317" s="60"/>
      <c r="G3317" s="62"/>
      <c r="H3317" s="60"/>
    </row>
    <row r="3318" spans="1:8">
      <c r="A3318" s="60"/>
      <c r="B3318" s="77"/>
      <c r="C3318" s="60"/>
      <c r="D3318" s="81"/>
      <c r="E3318" s="62"/>
      <c r="F3318" s="60"/>
      <c r="G3318" s="62"/>
      <c r="H3318" s="60"/>
    </row>
    <row r="3319" spans="1:8">
      <c r="A3319" s="60"/>
      <c r="B3319" s="77"/>
      <c r="C3319" s="60"/>
      <c r="D3319" s="81"/>
      <c r="E3319" s="62"/>
      <c r="F3319" s="60"/>
      <c r="G3319" s="62"/>
      <c r="H3319" s="60"/>
    </row>
    <row r="3320" spans="1:8">
      <c r="A3320" s="60"/>
      <c r="B3320" s="77"/>
      <c r="C3320" s="60"/>
      <c r="D3320" s="81"/>
      <c r="E3320" s="62"/>
      <c r="F3320" s="60"/>
      <c r="G3320" s="62"/>
      <c r="H3320" s="60"/>
    </row>
    <row r="3321" spans="1:8">
      <c r="A3321" s="60"/>
      <c r="B3321" s="77"/>
      <c r="C3321" s="60"/>
      <c r="D3321" s="81"/>
      <c r="E3321" s="62"/>
      <c r="F3321" s="60"/>
      <c r="G3321" s="62"/>
      <c r="H3321" s="60"/>
    </row>
    <row r="3322" spans="1:8">
      <c r="A3322" s="60"/>
      <c r="B3322" s="77"/>
      <c r="C3322" s="60"/>
      <c r="D3322" s="81"/>
      <c r="E3322" s="62"/>
      <c r="F3322" s="60"/>
      <c r="G3322" s="62"/>
      <c r="H3322" s="60"/>
    </row>
    <row r="3323" spans="1:8">
      <c r="A3323" s="60"/>
      <c r="B3323" s="77"/>
      <c r="C3323" s="60"/>
      <c r="D3323" s="81"/>
      <c r="E3323" s="62"/>
      <c r="F3323" s="60"/>
      <c r="G3323" s="62"/>
      <c r="H3323" s="60"/>
    </row>
    <row r="3324" spans="1:8">
      <c r="A3324" s="60"/>
      <c r="B3324" s="77"/>
      <c r="C3324" s="60"/>
      <c r="D3324" s="81"/>
      <c r="E3324" s="62"/>
      <c r="F3324" s="60"/>
      <c r="G3324" s="62"/>
      <c r="H3324" s="60"/>
    </row>
    <row r="3325" spans="1:8">
      <c r="A3325" s="60"/>
      <c r="B3325" s="77"/>
      <c r="C3325" s="60"/>
      <c r="D3325" s="81"/>
      <c r="E3325" s="62"/>
      <c r="F3325" s="60"/>
      <c r="G3325" s="62"/>
      <c r="H3325" s="60"/>
    </row>
    <row r="3326" spans="1:8">
      <c r="A3326" s="60"/>
      <c r="B3326" s="77"/>
      <c r="C3326" s="60"/>
      <c r="D3326" s="81"/>
      <c r="E3326" s="62"/>
      <c r="F3326" s="60"/>
      <c r="G3326" s="62"/>
      <c r="H3326" s="60"/>
    </row>
    <row r="3327" spans="1:8">
      <c r="A3327" s="60"/>
      <c r="B3327" s="77"/>
      <c r="C3327" s="60"/>
      <c r="D3327" s="81"/>
      <c r="E3327" s="62"/>
      <c r="F3327" s="60"/>
      <c r="G3327" s="62"/>
      <c r="H3327" s="60"/>
    </row>
    <row r="3328" spans="1:8">
      <c r="A3328" s="60"/>
      <c r="B3328" s="77"/>
      <c r="C3328" s="60"/>
      <c r="D3328" s="81"/>
      <c r="E3328" s="62"/>
      <c r="F3328" s="60"/>
      <c r="G3328" s="62"/>
      <c r="H3328" s="60"/>
    </row>
    <row r="3329" spans="1:8">
      <c r="A3329" s="60"/>
      <c r="B3329" s="77"/>
      <c r="C3329" s="60"/>
      <c r="D3329" s="81"/>
      <c r="E3329" s="62"/>
      <c r="F3329" s="60"/>
      <c r="G3329" s="62"/>
      <c r="H3329" s="60"/>
    </row>
    <row r="3330" spans="1:8">
      <c r="A3330" s="60"/>
      <c r="B3330" s="77"/>
      <c r="C3330" s="60"/>
      <c r="D3330" s="81"/>
      <c r="E3330" s="62"/>
      <c r="F3330" s="60"/>
      <c r="G3330" s="62"/>
      <c r="H3330" s="60"/>
    </row>
    <row r="3331" spans="1:8">
      <c r="A3331" s="60"/>
      <c r="B3331" s="77"/>
      <c r="C3331" s="60"/>
      <c r="D3331" s="81"/>
      <c r="E3331" s="62"/>
      <c r="F3331" s="60"/>
      <c r="G3331" s="62"/>
      <c r="H3331" s="60"/>
    </row>
    <row r="3332" spans="1:8">
      <c r="A3332" s="60"/>
      <c r="B3332" s="77"/>
      <c r="C3332" s="60"/>
      <c r="D3332" s="81"/>
      <c r="E3332" s="62"/>
      <c r="F3332" s="60"/>
      <c r="G3332" s="62"/>
      <c r="H3332" s="60"/>
    </row>
    <row r="3333" spans="1:8">
      <c r="A3333" s="60"/>
      <c r="B3333" s="77"/>
      <c r="C3333" s="60"/>
      <c r="D3333" s="81"/>
      <c r="E3333" s="62"/>
      <c r="F3333" s="60"/>
      <c r="G3333" s="62"/>
      <c r="H3333" s="60"/>
    </row>
    <row r="3334" spans="1:8">
      <c r="A3334" s="60"/>
      <c r="B3334" s="77"/>
      <c r="C3334" s="60"/>
      <c r="D3334" s="81"/>
      <c r="E3334" s="62"/>
      <c r="F3334" s="60"/>
      <c r="G3334" s="62"/>
      <c r="H3334" s="60"/>
    </row>
    <row r="3335" spans="1:8">
      <c r="A3335" s="60"/>
      <c r="B3335" s="77"/>
      <c r="C3335" s="60"/>
      <c r="D3335" s="81"/>
      <c r="E3335" s="62"/>
      <c r="F3335" s="60"/>
      <c r="G3335" s="62"/>
      <c r="H3335" s="60"/>
    </row>
    <row r="3336" spans="1:8">
      <c r="A3336" s="60"/>
      <c r="B3336" s="77"/>
      <c r="C3336" s="60"/>
      <c r="D3336" s="81"/>
      <c r="E3336" s="62"/>
      <c r="F3336" s="60"/>
      <c r="G3336" s="62"/>
      <c r="H3336" s="60"/>
    </row>
    <row r="3337" spans="1:8">
      <c r="A3337" s="60"/>
      <c r="B3337" s="77"/>
      <c r="C3337" s="60"/>
      <c r="D3337" s="81"/>
      <c r="E3337" s="62"/>
      <c r="F3337" s="60"/>
      <c r="G3337" s="62"/>
      <c r="H3337" s="60"/>
    </row>
    <row r="3338" spans="1:8">
      <c r="A3338" s="60"/>
      <c r="B3338" s="77"/>
      <c r="C3338" s="60"/>
      <c r="D3338" s="81"/>
      <c r="E3338" s="62"/>
      <c r="F3338" s="60"/>
      <c r="G3338" s="62"/>
      <c r="H3338" s="60"/>
    </row>
    <row r="3339" spans="1:8">
      <c r="A3339" s="60"/>
      <c r="B3339" s="77"/>
      <c r="C3339" s="60"/>
      <c r="D3339" s="81"/>
      <c r="E3339" s="62"/>
      <c r="F3339" s="60"/>
      <c r="G3339" s="62"/>
      <c r="H3339" s="60"/>
    </row>
    <row r="3340" spans="1:8">
      <c r="A3340" s="60"/>
      <c r="B3340" s="77"/>
      <c r="C3340" s="60"/>
      <c r="D3340" s="81"/>
      <c r="E3340" s="62"/>
      <c r="F3340" s="60"/>
      <c r="G3340" s="62"/>
      <c r="H3340" s="60"/>
    </row>
    <row r="3341" spans="1:8">
      <c r="A3341" s="60"/>
      <c r="B3341" s="77"/>
      <c r="C3341" s="60"/>
      <c r="D3341" s="81"/>
      <c r="E3341" s="62"/>
      <c r="F3341" s="60"/>
      <c r="G3341" s="62"/>
      <c r="H3341" s="60"/>
    </row>
    <row r="3342" spans="1:8">
      <c r="A3342" s="60"/>
      <c r="B3342" s="77"/>
      <c r="C3342" s="60"/>
      <c r="D3342" s="81"/>
      <c r="E3342" s="62"/>
      <c r="F3342" s="60"/>
      <c r="G3342" s="62"/>
      <c r="H3342" s="60"/>
    </row>
    <row r="3343" spans="1:8">
      <c r="A3343" s="60"/>
      <c r="B3343" s="77"/>
      <c r="C3343" s="60"/>
      <c r="D3343" s="81"/>
      <c r="E3343" s="62"/>
      <c r="F3343" s="60"/>
      <c r="G3343" s="62"/>
      <c r="H3343" s="60"/>
    </row>
    <row r="3344" spans="1:8">
      <c r="A3344" s="60"/>
      <c r="B3344" s="77"/>
      <c r="C3344" s="60"/>
      <c r="D3344" s="81"/>
      <c r="E3344" s="62"/>
      <c r="F3344" s="60"/>
      <c r="G3344" s="62"/>
      <c r="H3344" s="60"/>
    </row>
    <row r="3345" spans="1:8">
      <c r="A3345" s="60"/>
      <c r="B3345" s="77"/>
      <c r="C3345" s="60"/>
      <c r="D3345" s="81"/>
      <c r="E3345" s="62"/>
      <c r="F3345" s="60"/>
      <c r="G3345" s="62"/>
      <c r="H3345" s="60"/>
    </row>
    <row r="3346" spans="1:8">
      <c r="A3346" s="60"/>
      <c r="B3346" s="77"/>
      <c r="C3346" s="60"/>
      <c r="D3346" s="81"/>
      <c r="E3346" s="62"/>
      <c r="F3346" s="60"/>
      <c r="G3346" s="62"/>
      <c r="H3346" s="60"/>
    </row>
    <row r="3347" spans="1:8">
      <c r="A3347" s="60"/>
      <c r="B3347" s="77"/>
      <c r="C3347" s="60"/>
      <c r="D3347" s="81"/>
      <c r="E3347" s="62"/>
      <c r="F3347" s="60"/>
      <c r="G3347" s="62"/>
      <c r="H3347" s="60"/>
    </row>
    <row r="3348" spans="1:8">
      <c r="A3348" s="60"/>
      <c r="B3348" s="77"/>
      <c r="C3348" s="60"/>
      <c r="D3348" s="81"/>
      <c r="E3348" s="62"/>
      <c r="F3348" s="60"/>
      <c r="G3348" s="62"/>
      <c r="H3348" s="60"/>
    </row>
    <row r="3349" spans="1:8">
      <c r="A3349" s="60"/>
      <c r="B3349" s="77"/>
      <c r="C3349" s="60"/>
      <c r="D3349" s="81"/>
      <c r="E3349" s="62"/>
      <c r="F3349" s="60"/>
      <c r="G3349" s="62"/>
      <c r="H3349" s="60"/>
    </row>
    <row r="3350" spans="1:8">
      <c r="A3350" s="60"/>
      <c r="B3350" s="77"/>
      <c r="C3350" s="60"/>
      <c r="D3350" s="81"/>
      <c r="E3350" s="62"/>
      <c r="F3350" s="60"/>
      <c r="G3350" s="62"/>
      <c r="H3350" s="60"/>
    </row>
    <row r="3351" spans="1:8">
      <c r="A3351" s="60"/>
      <c r="B3351" s="77"/>
      <c r="C3351" s="60"/>
      <c r="D3351" s="81"/>
      <c r="E3351" s="62"/>
      <c r="F3351" s="60"/>
      <c r="G3351" s="62"/>
      <c r="H3351" s="60"/>
    </row>
    <row r="3352" spans="1:8">
      <c r="A3352" s="60"/>
      <c r="B3352" s="77"/>
      <c r="C3352" s="60"/>
      <c r="D3352" s="81"/>
      <c r="E3352" s="62"/>
      <c r="F3352" s="60"/>
      <c r="G3352" s="62"/>
      <c r="H3352" s="60"/>
    </row>
    <row r="3353" spans="1:8">
      <c r="A3353" s="60"/>
      <c r="B3353" s="77"/>
      <c r="C3353" s="60"/>
      <c r="D3353" s="81"/>
      <c r="E3353" s="62"/>
      <c r="F3353" s="60"/>
      <c r="G3353" s="62"/>
      <c r="H3353" s="60"/>
    </row>
    <row r="3354" spans="1:8">
      <c r="A3354" s="60"/>
      <c r="B3354" s="77"/>
      <c r="C3354" s="60"/>
      <c r="D3354" s="81"/>
      <c r="E3354" s="62"/>
      <c r="F3354" s="60"/>
      <c r="G3354" s="62"/>
      <c r="H3354" s="60"/>
    </row>
    <row r="3355" spans="1:8">
      <c r="A3355" s="60"/>
      <c r="B3355" s="77"/>
      <c r="C3355" s="60"/>
      <c r="D3355" s="81"/>
      <c r="E3355" s="62"/>
      <c r="F3355" s="60"/>
      <c r="G3355" s="62"/>
      <c r="H3355" s="60"/>
    </row>
    <row r="3356" spans="1:8">
      <c r="A3356" s="60"/>
      <c r="B3356" s="77"/>
      <c r="C3356" s="60"/>
      <c r="D3356" s="81"/>
      <c r="E3356" s="62"/>
      <c r="F3356" s="60"/>
      <c r="G3356" s="62"/>
      <c r="H3356" s="60"/>
    </row>
    <row r="3357" spans="1:8">
      <c r="A3357" s="60"/>
      <c r="B3357" s="77"/>
      <c r="C3357" s="60"/>
      <c r="D3357" s="81"/>
      <c r="E3357" s="62"/>
      <c r="F3357" s="60"/>
      <c r="G3357" s="62"/>
      <c r="H3357" s="60"/>
    </row>
    <row r="3358" spans="1:8">
      <c r="A3358" s="60"/>
      <c r="B3358" s="77"/>
      <c r="C3358" s="60"/>
      <c r="D3358" s="81"/>
      <c r="E3358" s="62"/>
      <c r="F3358" s="60"/>
      <c r="G3358" s="62"/>
      <c r="H3358" s="60"/>
    </row>
    <row r="3359" spans="1:8">
      <c r="A3359" s="60"/>
      <c r="B3359" s="77"/>
      <c r="C3359" s="60"/>
      <c r="D3359" s="81"/>
      <c r="E3359" s="62"/>
      <c r="F3359" s="60"/>
      <c r="G3359" s="62"/>
      <c r="H3359" s="60"/>
    </row>
    <row r="3360" spans="1:8">
      <c r="A3360" s="60"/>
      <c r="B3360" s="77"/>
      <c r="C3360" s="60"/>
      <c r="D3360" s="81"/>
      <c r="E3360" s="62"/>
      <c r="F3360" s="60"/>
      <c r="G3360" s="62"/>
      <c r="H3360" s="60"/>
    </row>
    <row r="3361" spans="1:8">
      <c r="A3361" s="60"/>
      <c r="B3361" s="77"/>
      <c r="C3361" s="60"/>
      <c r="D3361" s="81"/>
      <c r="E3361" s="62"/>
      <c r="F3361" s="60"/>
      <c r="G3361" s="62"/>
      <c r="H3361" s="60"/>
    </row>
    <row r="3362" spans="1:8">
      <c r="A3362" s="60"/>
      <c r="B3362" s="77"/>
      <c r="C3362" s="60"/>
      <c r="D3362" s="81"/>
      <c r="E3362" s="62"/>
      <c r="F3362" s="60"/>
      <c r="G3362" s="62"/>
      <c r="H3362" s="60"/>
    </row>
    <row r="3363" spans="1:8">
      <c r="A3363" s="60"/>
      <c r="B3363" s="77"/>
      <c r="C3363" s="60"/>
      <c r="D3363" s="81"/>
      <c r="E3363" s="62"/>
      <c r="F3363" s="60"/>
      <c r="G3363" s="62"/>
      <c r="H3363" s="60"/>
    </row>
    <row r="3364" spans="1:8">
      <c r="A3364" s="60"/>
      <c r="B3364" s="77"/>
      <c r="C3364" s="60"/>
      <c r="D3364" s="81"/>
      <c r="E3364" s="62"/>
      <c r="F3364" s="60"/>
      <c r="G3364" s="62"/>
      <c r="H3364" s="60"/>
    </row>
    <row r="3365" spans="1:8">
      <c r="A3365" s="60"/>
      <c r="B3365" s="77"/>
      <c r="C3365" s="60"/>
      <c r="D3365" s="81"/>
      <c r="E3365" s="62"/>
      <c r="F3365" s="60"/>
      <c r="G3365" s="62"/>
      <c r="H3365" s="60"/>
    </row>
    <row r="3366" spans="1:8">
      <c r="A3366" s="60"/>
      <c r="B3366" s="77"/>
      <c r="C3366" s="60"/>
      <c r="D3366" s="81"/>
      <c r="E3366" s="62"/>
      <c r="F3366" s="60"/>
      <c r="G3366" s="62"/>
      <c r="H3366" s="60"/>
    </row>
    <row r="3367" spans="1:8">
      <c r="A3367" s="60"/>
      <c r="B3367" s="77"/>
      <c r="C3367" s="60"/>
      <c r="D3367" s="81"/>
      <c r="E3367" s="62"/>
      <c r="F3367" s="60"/>
      <c r="G3367" s="62"/>
      <c r="H3367" s="60"/>
    </row>
    <row r="3368" spans="1:8">
      <c r="A3368" s="60"/>
      <c r="B3368" s="77"/>
      <c r="C3368" s="60"/>
      <c r="D3368" s="81"/>
      <c r="E3368" s="62"/>
      <c r="F3368" s="60"/>
      <c r="G3368" s="62"/>
      <c r="H3368" s="60"/>
    </row>
    <row r="3369" spans="1:8">
      <c r="A3369" s="60"/>
      <c r="B3369" s="77"/>
      <c r="C3369" s="60"/>
      <c r="D3369" s="81"/>
      <c r="E3369" s="62"/>
      <c r="F3369" s="60"/>
      <c r="G3369" s="62"/>
      <c r="H3369" s="60"/>
    </row>
    <row r="3370" spans="1:8">
      <c r="A3370" s="60"/>
      <c r="B3370" s="77"/>
      <c r="C3370" s="60"/>
      <c r="D3370" s="81"/>
      <c r="E3370" s="62"/>
      <c r="F3370" s="60"/>
      <c r="G3370" s="62"/>
      <c r="H3370" s="60"/>
    </row>
    <row r="3371" spans="1:8">
      <c r="A3371" s="60"/>
      <c r="B3371" s="77"/>
      <c r="C3371" s="60"/>
      <c r="D3371" s="81"/>
      <c r="E3371" s="62"/>
      <c r="F3371" s="60"/>
      <c r="G3371" s="62"/>
      <c r="H3371" s="60"/>
    </row>
    <row r="3372" spans="1:8">
      <c r="A3372" s="60"/>
      <c r="B3372" s="77"/>
      <c r="C3372" s="60"/>
      <c r="D3372" s="81"/>
      <c r="E3372" s="62"/>
      <c r="F3372" s="60"/>
      <c r="G3372" s="62"/>
      <c r="H3372" s="60"/>
    </row>
    <row r="3373" spans="1:8">
      <c r="A3373" s="60"/>
      <c r="B3373" s="77"/>
      <c r="C3373" s="60"/>
      <c r="D3373" s="81"/>
      <c r="E3373" s="62"/>
      <c r="F3373" s="60"/>
      <c r="G3373" s="62"/>
      <c r="H3373" s="60"/>
    </row>
    <row r="3374" spans="1:8">
      <c r="A3374" s="60"/>
      <c r="B3374" s="77"/>
      <c r="C3374" s="60"/>
      <c r="D3374" s="81"/>
      <c r="E3374" s="62"/>
      <c r="F3374" s="60"/>
      <c r="G3374" s="62"/>
      <c r="H3374" s="60"/>
    </row>
    <row r="3375" spans="1:8">
      <c r="A3375" s="60"/>
      <c r="B3375" s="77"/>
      <c r="C3375" s="60"/>
      <c r="D3375" s="81"/>
      <c r="E3375" s="62"/>
      <c r="F3375" s="60"/>
      <c r="G3375" s="62"/>
      <c r="H3375" s="60"/>
    </row>
    <row r="3376" spans="1:8">
      <c r="A3376" s="60"/>
      <c r="B3376" s="77"/>
      <c r="C3376" s="60"/>
      <c r="D3376" s="81"/>
      <c r="E3376" s="62"/>
      <c r="F3376" s="60"/>
      <c r="G3376" s="62"/>
      <c r="H3376" s="60"/>
    </row>
    <row r="3377" spans="1:8">
      <c r="A3377" s="60"/>
      <c r="B3377" s="77"/>
      <c r="C3377" s="60"/>
      <c r="D3377" s="81"/>
      <c r="E3377" s="62"/>
      <c r="F3377" s="60"/>
      <c r="G3377" s="62"/>
      <c r="H3377" s="60"/>
    </row>
    <row r="3378" spans="1:8">
      <c r="A3378" s="60"/>
      <c r="B3378" s="77"/>
      <c r="C3378" s="60"/>
      <c r="D3378" s="81"/>
      <c r="E3378" s="62"/>
      <c r="F3378" s="60"/>
      <c r="G3378" s="62"/>
      <c r="H3378" s="60"/>
    </row>
    <row r="3379" spans="1:8">
      <c r="A3379" s="60"/>
      <c r="B3379" s="77"/>
      <c r="C3379" s="60"/>
      <c r="D3379" s="81"/>
      <c r="E3379" s="62"/>
      <c r="F3379" s="60"/>
      <c r="G3379" s="62"/>
      <c r="H3379" s="60"/>
    </row>
    <row r="3380" spans="1:8">
      <c r="A3380" s="60"/>
      <c r="B3380" s="77"/>
      <c r="C3380" s="60"/>
      <c r="D3380" s="81"/>
      <c r="E3380" s="62"/>
      <c r="F3380" s="60"/>
      <c r="G3380" s="62"/>
      <c r="H3380" s="60"/>
    </row>
    <row r="3381" spans="1:8">
      <c r="A3381" s="60"/>
      <c r="B3381" s="77"/>
      <c r="C3381" s="60"/>
      <c r="D3381" s="81"/>
      <c r="E3381" s="62"/>
      <c r="F3381" s="60"/>
      <c r="G3381" s="62"/>
      <c r="H3381" s="60"/>
    </row>
    <row r="3382" spans="1:8">
      <c r="A3382" s="60"/>
      <c r="B3382" s="77"/>
      <c r="C3382" s="60"/>
      <c r="D3382" s="81"/>
      <c r="E3382" s="62"/>
      <c r="F3382" s="60"/>
      <c r="G3382" s="62"/>
      <c r="H3382" s="60"/>
    </row>
    <row r="3383" spans="1:8">
      <c r="A3383" s="60"/>
      <c r="B3383" s="77"/>
      <c r="C3383" s="60"/>
      <c r="D3383" s="81"/>
      <c r="E3383" s="62"/>
      <c r="F3383" s="60"/>
      <c r="G3383" s="62"/>
      <c r="H3383" s="60"/>
    </row>
    <row r="3384" spans="1:8">
      <c r="A3384" s="60"/>
      <c r="B3384" s="77"/>
      <c r="C3384" s="60"/>
      <c r="D3384" s="81"/>
      <c r="E3384" s="62"/>
      <c r="F3384" s="60"/>
      <c r="G3384" s="62"/>
      <c r="H3384" s="60"/>
    </row>
    <row r="3385" spans="1:8">
      <c r="A3385" s="60"/>
      <c r="B3385" s="77"/>
      <c r="C3385" s="60"/>
      <c r="D3385" s="81"/>
      <c r="E3385" s="62"/>
      <c r="F3385" s="60"/>
      <c r="G3385" s="62"/>
      <c r="H3385" s="60"/>
    </row>
    <row r="3386" spans="1:8">
      <c r="A3386" s="60"/>
      <c r="B3386" s="77"/>
      <c r="C3386" s="60"/>
      <c r="D3386" s="81"/>
      <c r="E3386" s="62"/>
      <c r="F3386" s="60"/>
      <c r="G3386" s="62"/>
      <c r="H3386" s="60"/>
    </row>
    <row r="3387" spans="1:8">
      <c r="A3387" s="60"/>
      <c r="B3387" s="77"/>
      <c r="C3387" s="60"/>
      <c r="D3387" s="81"/>
      <c r="E3387" s="62"/>
      <c r="F3387" s="60"/>
      <c r="G3387" s="62"/>
      <c r="H3387" s="60"/>
    </row>
    <row r="3388" spans="1:8">
      <c r="A3388" s="60"/>
      <c r="B3388" s="77"/>
      <c r="C3388" s="60"/>
      <c r="D3388" s="81"/>
      <c r="E3388" s="62"/>
      <c r="F3388" s="60"/>
      <c r="G3388" s="62"/>
      <c r="H3388" s="60"/>
    </row>
    <row r="3389" spans="1:8">
      <c r="A3389" s="60"/>
      <c r="B3389" s="77"/>
      <c r="C3389" s="60"/>
      <c r="D3389" s="81"/>
      <c r="E3389" s="62"/>
      <c r="F3389" s="60"/>
      <c r="G3389" s="62"/>
      <c r="H3389" s="60"/>
    </row>
    <row r="3390" spans="1:8">
      <c r="A3390" s="60"/>
      <c r="B3390" s="77"/>
      <c r="C3390" s="60"/>
      <c r="D3390" s="81"/>
      <c r="E3390" s="62"/>
      <c r="F3390" s="60"/>
      <c r="G3390" s="62"/>
      <c r="H3390" s="60"/>
    </row>
    <row r="3391" spans="1:8">
      <c r="A3391" s="60"/>
      <c r="B3391" s="77"/>
      <c r="C3391" s="60"/>
      <c r="D3391" s="81"/>
      <c r="E3391" s="62"/>
      <c r="F3391" s="60"/>
      <c r="G3391" s="62"/>
      <c r="H3391" s="60"/>
    </row>
    <row r="3392" spans="1:8">
      <c r="A3392" s="60"/>
      <c r="B3392" s="77"/>
      <c r="C3392" s="60"/>
      <c r="D3392" s="81"/>
      <c r="E3392" s="62"/>
      <c r="F3392" s="60"/>
      <c r="G3392" s="62"/>
      <c r="H3392" s="60"/>
    </row>
    <row r="3393" spans="1:8">
      <c r="A3393" s="60"/>
      <c r="B3393" s="77"/>
      <c r="C3393" s="60"/>
      <c r="D3393" s="81"/>
      <c r="E3393" s="62"/>
      <c r="F3393" s="60"/>
      <c r="G3393" s="62"/>
      <c r="H3393" s="60"/>
    </row>
    <row r="3394" spans="1:8">
      <c r="A3394" s="60"/>
      <c r="B3394" s="77"/>
      <c r="C3394" s="60"/>
      <c r="D3394" s="81"/>
      <c r="E3394" s="62"/>
      <c r="F3394" s="60"/>
      <c r="G3394" s="62"/>
      <c r="H3394" s="60"/>
    </row>
    <row r="3395" spans="1:8">
      <c r="A3395" s="60"/>
      <c r="B3395" s="77"/>
      <c r="C3395" s="60"/>
      <c r="D3395" s="81"/>
      <c r="E3395" s="62"/>
      <c r="F3395" s="60"/>
      <c r="G3395" s="62"/>
      <c r="H3395" s="60"/>
    </row>
    <row r="3396" spans="1:8">
      <c r="A3396" s="60"/>
      <c r="B3396" s="77"/>
      <c r="C3396" s="60"/>
      <c r="D3396" s="81"/>
      <c r="E3396" s="62"/>
      <c r="F3396" s="60"/>
      <c r="G3396" s="62"/>
      <c r="H3396" s="60"/>
    </row>
    <row r="3397" spans="1:8">
      <c r="A3397" s="60"/>
      <c r="B3397" s="77"/>
      <c r="C3397" s="60"/>
      <c r="D3397" s="81"/>
      <c r="E3397" s="62"/>
      <c r="F3397" s="60"/>
      <c r="G3397" s="62"/>
      <c r="H3397" s="60"/>
    </row>
    <row r="3398" spans="1:8">
      <c r="A3398" s="60"/>
      <c r="B3398" s="77"/>
      <c r="C3398" s="60"/>
      <c r="D3398" s="81"/>
      <c r="E3398" s="62"/>
      <c r="F3398" s="60"/>
      <c r="G3398" s="62"/>
      <c r="H3398" s="60"/>
    </row>
    <row r="3399" spans="1:8">
      <c r="A3399" s="60"/>
      <c r="B3399" s="77"/>
      <c r="C3399" s="60"/>
      <c r="D3399" s="81"/>
      <c r="E3399" s="62"/>
      <c r="F3399" s="60"/>
      <c r="G3399" s="62"/>
      <c r="H3399" s="60"/>
    </row>
    <row r="3400" spans="1:8">
      <c r="A3400" s="60"/>
      <c r="B3400" s="77"/>
      <c r="C3400" s="60"/>
      <c r="D3400" s="81"/>
      <c r="E3400" s="62"/>
      <c r="F3400" s="60"/>
      <c r="G3400" s="62"/>
      <c r="H3400" s="60"/>
    </row>
    <row r="3401" spans="1:8">
      <c r="A3401" s="60"/>
      <c r="B3401" s="77"/>
      <c r="C3401" s="60"/>
      <c r="D3401" s="81"/>
      <c r="E3401" s="62"/>
      <c r="F3401" s="60"/>
      <c r="G3401" s="62"/>
      <c r="H3401" s="60"/>
    </row>
    <row r="3402" spans="1:8">
      <c r="A3402" s="60"/>
      <c r="B3402" s="77"/>
      <c r="C3402" s="60"/>
      <c r="D3402" s="81"/>
      <c r="E3402" s="62"/>
      <c r="F3402" s="60"/>
      <c r="G3402" s="62"/>
      <c r="H3402" s="60"/>
    </row>
    <row r="3403" spans="1:8">
      <c r="A3403" s="60"/>
      <c r="B3403" s="77"/>
      <c r="C3403" s="60"/>
      <c r="D3403" s="81"/>
      <c r="E3403" s="62"/>
      <c r="F3403" s="60"/>
      <c r="G3403" s="62"/>
      <c r="H3403" s="60"/>
    </row>
    <row r="3404" spans="1:8">
      <c r="A3404" s="60"/>
      <c r="B3404" s="77"/>
      <c r="C3404" s="60"/>
      <c r="D3404" s="81"/>
      <c r="E3404" s="62"/>
      <c r="F3404" s="60"/>
      <c r="G3404" s="62"/>
      <c r="H3404" s="60"/>
    </row>
    <row r="3405" spans="1:8">
      <c r="A3405" s="60"/>
      <c r="B3405" s="77"/>
      <c r="C3405" s="60"/>
      <c r="D3405" s="81"/>
      <c r="E3405" s="62"/>
      <c r="F3405" s="60"/>
      <c r="G3405" s="62"/>
      <c r="H3405" s="60"/>
    </row>
    <row r="3406" spans="1:8">
      <c r="A3406" s="60"/>
      <c r="B3406" s="77"/>
      <c r="C3406" s="60"/>
      <c r="D3406" s="81"/>
      <c r="E3406" s="62"/>
      <c r="F3406" s="60"/>
      <c r="G3406" s="62"/>
      <c r="H3406" s="60"/>
    </row>
    <row r="3407" spans="1:8">
      <c r="A3407" s="60"/>
      <c r="B3407" s="77"/>
      <c r="C3407" s="60"/>
      <c r="D3407" s="81"/>
      <c r="E3407" s="62"/>
      <c r="F3407" s="60"/>
      <c r="G3407" s="62"/>
      <c r="H3407" s="60"/>
    </row>
    <row r="3408" spans="1:8">
      <c r="A3408" s="60"/>
      <c r="B3408" s="77"/>
      <c r="C3408" s="60"/>
      <c r="D3408" s="81"/>
      <c r="E3408" s="62"/>
      <c r="F3408" s="60"/>
      <c r="G3408" s="62"/>
      <c r="H3408" s="60"/>
    </row>
    <row r="3409" spans="1:8">
      <c r="A3409" s="60"/>
      <c r="B3409" s="77"/>
      <c r="C3409" s="60"/>
      <c r="D3409" s="81"/>
      <c r="E3409" s="62"/>
      <c r="F3409" s="60"/>
      <c r="G3409" s="62"/>
      <c r="H3409" s="60"/>
    </row>
    <row r="3410" spans="1:8">
      <c r="A3410" s="60"/>
      <c r="B3410" s="77"/>
      <c r="C3410" s="60"/>
      <c r="D3410" s="81"/>
      <c r="E3410" s="62"/>
      <c r="F3410" s="60"/>
      <c r="G3410" s="62"/>
      <c r="H3410" s="60"/>
    </row>
    <row r="3411" spans="1:8">
      <c r="A3411" s="60"/>
      <c r="B3411" s="77"/>
      <c r="C3411" s="60"/>
      <c r="D3411" s="81"/>
      <c r="E3411" s="62"/>
      <c r="F3411" s="60"/>
      <c r="G3411" s="62"/>
      <c r="H3411" s="60"/>
    </row>
    <row r="3412" spans="1:8">
      <c r="A3412" s="60"/>
      <c r="B3412" s="77"/>
      <c r="C3412" s="60"/>
      <c r="D3412" s="81"/>
      <c r="E3412" s="62"/>
      <c r="F3412" s="60"/>
      <c r="G3412" s="62"/>
      <c r="H3412" s="60"/>
    </row>
    <row r="3413" spans="1:8">
      <c r="A3413" s="60"/>
      <c r="B3413" s="77"/>
      <c r="C3413" s="60"/>
      <c r="D3413" s="81"/>
      <c r="E3413" s="62"/>
      <c r="F3413" s="60"/>
      <c r="G3413" s="62"/>
      <c r="H3413" s="60"/>
    </row>
    <row r="3414" spans="1:8">
      <c r="A3414" s="60"/>
      <c r="B3414" s="77"/>
      <c r="C3414" s="60"/>
      <c r="D3414" s="81"/>
      <c r="E3414" s="62"/>
      <c r="F3414" s="60"/>
      <c r="G3414" s="62"/>
      <c r="H3414" s="60"/>
    </row>
    <row r="3415" spans="1:8">
      <c r="A3415" s="60"/>
      <c r="B3415" s="77"/>
      <c r="C3415" s="60"/>
      <c r="D3415" s="81"/>
      <c r="E3415" s="62"/>
      <c r="F3415" s="60"/>
      <c r="G3415" s="62"/>
      <c r="H3415" s="60"/>
    </row>
    <row r="3416" spans="1:8">
      <c r="A3416" s="60"/>
      <c r="B3416" s="77"/>
      <c r="C3416" s="60"/>
      <c r="D3416" s="81"/>
      <c r="E3416" s="62"/>
      <c r="F3416" s="60"/>
      <c r="G3416" s="62"/>
      <c r="H3416" s="60"/>
    </row>
    <row r="3417" spans="1:8">
      <c r="A3417" s="60"/>
      <c r="B3417" s="77"/>
      <c r="C3417" s="60"/>
      <c r="D3417" s="81"/>
      <c r="E3417" s="62"/>
      <c r="F3417" s="60"/>
      <c r="G3417" s="62"/>
      <c r="H3417" s="60"/>
    </row>
    <row r="3418" spans="1:8">
      <c r="A3418" s="60"/>
      <c r="B3418" s="77"/>
      <c r="C3418" s="60"/>
      <c r="D3418" s="81"/>
      <c r="E3418" s="62"/>
      <c r="F3418" s="60"/>
      <c r="G3418" s="62"/>
      <c r="H3418" s="60"/>
    </row>
    <row r="3419" spans="1:8">
      <c r="A3419" s="60"/>
      <c r="B3419" s="77"/>
      <c r="C3419" s="60"/>
      <c r="D3419" s="81"/>
      <c r="E3419" s="62"/>
      <c r="F3419" s="60"/>
      <c r="G3419" s="62"/>
      <c r="H3419" s="60"/>
    </row>
    <row r="3420" spans="1:8">
      <c r="A3420" s="60"/>
      <c r="B3420" s="77"/>
      <c r="C3420" s="60"/>
      <c r="D3420" s="81"/>
      <c r="E3420" s="62"/>
      <c r="F3420" s="60"/>
      <c r="G3420" s="62"/>
      <c r="H3420" s="60"/>
    </row>
    <row r="3421" spans="1:8">
      <c r="A3421" s="60"/>
      <c r="B3421" s="77"/>
      <c r="C3421" s="60"/>
      <c r="D3421" s="81"/>
      <c r="E3421" s="62"/>
      <c r="F3421" s="60"/>
      <c r="G3421" s="62"/>
      <c r="H3421" s="60"/>
    </row>
    <row r="3422" spans="1:8">
      <c r="A3422" s="60"/>
      <c r="B3422" s="77"/>
      <c r="C3422" s="60"/>
      <c r="D3422" s="81"/>
      <c r="E3422" s="62"/>
      <c r="F3422" s="60"/>
      <c r="G3422" s="62"/>
      <c r="H3422" s="60"/>
    </row>
    <row r="3423" spans="1:8">
      <c r="A3423" s="60"/>
      <c r="B3423" s="77"/>
      <c r="C3423" s="60"/>
      <c r="D3423" s="81"/>
      <c r="E3423" s="62"/>
      <c r="F3423" s="60"/>
      <c r="G3423" s="62"/>
      <c r="H3423" s="60"/>
    </row>
    <row r="3424" spans="1:8">
      <c r="A3424" s="60"/>
      <c r="B3424" s="77"/>
      <c r="C3424" s="60"/>
      <c r="D3424" s="81"/>
      <c r="E3424" s="62"/>
      <c r="F3424" s="60"/>
      <c r="G3424" s="62"/>
      <c r="H3424" s="60"/>
    </row>
    <row r="3425" spans="1:8">
      <c r="A3425" s="60"/>
      <c r="B3425" s="77"/>
      <c r="C3425" s="60"/>
      <c r="D3425" s="81"/>
      <c r="E3425" s="62"/>
      <c r="F3425" s="60"/>
      <c r="G3425" s="62"/>
      <c r="H3425" s="60"/>
    </row>
    <row r="3426" spans="1:8">
      <c r="A3426" s="60"/>
      <c r="B3426" s="77"/>
      <c r="C3426" s="60"/>
      <c r="D3426" s="81"/>
      <c r="E3426" s="62"/>
      <c r="F3426" s="60"/>
      <c r="G3426" s="62"/>
      <c r="H3426" s="60"/>
    </row>
    <row r="3427" spans="1:8">
      <c r="A3427" s="60"/>
      <c r="B3427" s="77"/>
      <c r="C3427" s="60"/>
      <c r="D3427" s="81"/>
      <c r="E3427" s="62"/>
      <c r="F3427" s="60"/>
      <c r="G3427" s="62"/>
      <c r="H3427" s="60"/>
    </row>
    <row r="3428" spans="1:8">
      <c r="A3428" s="60"/>
      <c r="B3428" s="77"/>
      <c r="C3428" s="60"/>
      <c r="D3428" s="81"/>
      <c r="E3428" s="62"/>
      <c r="F3428" s="60"/>
      <c r="G3428" s="62"/>
      <c r="H3428" s="60"/>
    </row>
    <row r="3429" spans="1:8">
      <c r="A3429" s="60"/>
      <c r="B3429" s="77"/>
      <c r="C3429" s="60"/>
      <c r="D3429" s="81"/>
      <c r="E3429" s="62"/>
      <c r="F3429" s="60"/>
      <c r="G3429" s="62"/>
      <c r="H3429" s="60"/>
    </row>
    <row r="3430" spans="1:8">
      <c r="A3430" s="60"/>
      <c r="B3430" s="77"/>
      <c r="C3430" s="60"/>
      <c r="D3430" s="81"/>
      <c r="E3430" s="62"/>
      <c r="F3430" s="60"/>
      <c r="G3430" s="62"/>
      <c r="H3430" s="60"/>
    </row>
    <row r="3431" spans="1:8">
      <c r="A3431" s="60"/>
      <c r="B3431" s="77"/>
      <c r="C3431" s="60"/>
      <c r="D3431" s="81"/>
      <c r="E3431" s="62"/>
      <c r="F3431" s="60"/>
      <c r="G3431" s="62"/>
      <c r="H3431" s="60"/>
    </row>
    <row r="3432" spans="1:8">
      <c r="A3432" s="60"/>
      <c r="B3432" s="77"/>
      <c r="C3432" s="60"/>
      <c r="D3432" s="81"/>
      <c r="E3432" s="62"/>
      <c r="F3432" s="60"/>
      <c r="G3432" s="62"/>
      <c r="H3432" s="60"/>
    </row>
    <row r="3433" spans="1:8">
      <c r="A3433" s="60"/>
      <c r="B3433" s="77"/>
      <c r="C3433" s="60"/>
      <c r="D3433" s="81"/>
      <c r="E3433" s="62"/>
      <c r="F3433" s="60"/>
      <c r="G3433" s="62"/>
      <c r="H3433" s="60"/>
    </row>
    <row r="3434" spans="1:8">
      <c r="A3434" s="60"/>
      <c r="B3434" s="77"/>
      <c r="C3434" s="60"/>
      <c r="D3434" s="81"/>
      <c r="E3434" s="62"/>
      <c r="F3434" s="60"/>
      <c r="G3434" s="62"/>
      <c r="H3434" s="60"/>
    </row>
    <row r="3435" spans="1:8">
      <c r="A3435" s="60"/>
      <c r="B3435" s="77"/>
      <c r="C3435" s="60"/>
      <c r="D3435" s="81"/>
      <c r="E3435" s="62"/>
      <c r="F3435" s="60"/>
      <c r="G3435" s="62"/>
      <c r="H3435" s="60"/>
    </row>
    <row r="3436" spans="1:8">
      <c r="A3436" s="60"/>
      <c r="B3436" s="77"/>
      <c r="C3436" s="60"/>
      <c r="D3436" s="81"/>
      <c r="E3436" s="62"/>
      <c r="F3436" s="60"/>
      <c r="G3436" s="62"/>
      <c r="H3436" s="60"/>
    </row>
    <row r="3437" spans="1:8">
      <c r="A3437" s="60"/>
      <c r="B3437" s="77"/>
      <c r="C3437" s="60"/>
      <c r="D3437" s="81"/>
      <c r="E3437" s="62"/>
      <c r="F3437" s="60"/>
      <c r="G3437" s="62"/>
      <c r="H3437" s="60"/>
    </row>
    <row r="3438" spans="1:8">
      <c r="A3438" s="60"/>
      <c r="B3438" s="77"/>
      <c r="C3438" s="60"/>
      <c r="D3438" s="81"/>
      <c r="E3438" s="62"/>
      <c r="F3438" s="60"/>
      <c r="G3438" s="62"/>
      <c r="H3438" s="60"/>
    </row>
    <row r="3439" spans="1:8">
      <c r="A3439" s="60"/>
      <c r="B3439" s="77"/>
      <c r="C3439" s="60"/>
      <c r="D3439" s="81"/>
      <c r="E3439" s="62"/>
      <c r="F3439" s="60"/>
      <c r="G3439" s="62"/>
      <c r="H3439" s="60"/>
    </row>
    <row r="3440" spans="1:8">
      <c r="A3440" s="60"/>
      <c r="B3440" s="77"/>
      <c r="C3440" s="60"/>
      <c r="D3440" s="81"/>
      <c r="E3440" s="62"/>
      <c r="F3440" s="60"/>
      <c r="G3440" s="62"/>
      <c r="H3440" s="60"/>
    </row>
    <row r="3441" spans="1:8">
      <c r="A3441" s="60"/>
      <c r="B3441" s="77"/>
      <c r="C3441" s="60"/>
      <c r="D3441" s="81"/>
      <c r="E3441" s="62"/>
      <c r="F3441" s="60"/>
      <c r="G3441" s="62"/>
      <c r="H3441" s="60"/>
    </row>
    <row r="3442" spans="1:8">
      <c r="A3442" s="60"/>
      <c r="B3442" s="77"/>
      <c r="C3442" s="60"/>
      <c r="D3442" s="81"/>
      <c r="E3442" s="62"/>
      <c r="F3442" s="60"/>
      <c r="G3442" s="62"/>
      <c r="H3442" s="60"/>
    </row>
    <row r="3443" spans="1:8">
      <c r="A3443" s="60"/>
      <c r="B3443" s="77"/>
      <c r="C3443" s="60"/>
      <c r="D3443" s="81"/>
      <c r="E3443" s="62"/>
      <c r="F3443" s="60"/>
      <c r="G3443" s="62"/>
      <c r="H3443" s="60"/>
    </row>
    <row r="3444" spans="1:8">
      <c r="A3444" s="60"/>
      <c r="B3444" s="77"/>
      <c r="C3444" s="60"/>
      <c r="D3444" s="81"/>
      <c r="E3444" s="62"/>
      <c r="F3444" s="60"/>
      <c r="G3444" s="62"/>
      <c r="H3444" s="60"/>
    </row>
    <row r="3445" spans="1:8">
      <c r="A3445" s="60"/>
      <c r="B3445" s="77"/>
      <c r="C3445" s="60"/>
      <c r="D3445" s="81"/>
      <c r="E3445" s="62"/>
      <c r="F3445" s="60"/>
      <c r="G3445" s="62"/>
      <c r="H3445" s="60"/>
    </row>
    <row r="3446" spans="1:8">
      <c r="A3446" s="60"/>
      <c r="B3446" s="77"/>
      <c r="C3446" s="60"/>
      <c r="D3446" s="81"/>
      <c r="E3446" s="62"/>
      <c r="F3446" s="60"/>
      <c r="G3446" s="62"/>
      <c r="H3446" s="60"/>
    </row>
    <row r="3447" spans="1:8">
      <c r="A3447" s="60"/>
      <c r="B3447" s="77"/>
      <c r="C3447" s="60"/>
      <c r="D3447" s="81"/>
      <c r="E3447" s="62"/>
      <c r="F3447" s="60"/>
      <c r="G3447" s="62"/>
      <c r="H3447" s="60"/>
    </row>
    <row r="3448" spans="1:8">
      <c r="A3448" s="60"/>
      <c r="B3448" s="77"/>
      <c r="C3448" s="60"/>
      <c r="D3448" s="81"/>
      <c r="E3448" s="62"/>
      <c r="F3448" s="60"/>
      <c r="G3448" s="62"/>
      <c r="H3448" s="60"/>
    </row>
    <row r="3449" spans="1:8">
      <c r="A3449" s="60"/>
      <c r="B3449" s="77"/>
      <c r="C3449" s="60"/>
      <c r="D3449" s="81"/>
      <c r="E3449" s="62"/>
      <c r="F3449" s="60"/>
      <c r="G3449" s="62"/>
      <c r="H3449" s="60"/>
    </row>
    <row r="3450" spans="1:8">
      <c r="A3450" s="60"/>
      <c r="B3450" s="77"/>
      <c r="C3450" s="60"/>
      <c r="D3450" s="81"/>
      <c r="E3450" s="62"/>
      <c r="F3450" s="60"/>
      <c r="G3450" s="62"/>
      <c r="H3450" s="60"/>
    </row>
    <row r="3451" spans="1:8">
      <c r="A3451" s="60"/>
      <c r="B3451" s="77"/>
      <c r="C3451" s="60"/>
      <c r="D3451" s="81"/>
      <c r="E3451" s="62"/>
      <c r="F3451" s="60"/>
      <c r="G3451" s="62"/>
      <c r="H3451" s="60"/>
    </row>
    <row r="3452" spans="1:8">
      <c r="A3452" s="60"/>
      <c r="B3452" s="77"/>
      <c r="C3452" s="60"/>
      <c r="D3452" s="81"/>
      <c r="E3452" s="62"/>
      <c r="F3452" s="60"/>
      <c r="G3452" s="62"/>
      <c r="H3452" s="60"/>
    </row>
    <row r="3453" spans="1:8">
      <c r="A3453" s="60"/>
      <c r="B3453" s="77"/>
      <c r="C3453" s="60"/>
      <c r="D3453" s="81"/>
      <c r="E3453" s="62"/>
      <c r="F3453" s="60"/>
      <c r="G3453" s="62"/>
      <c r="H3453" s="60"/>
    </row>
    <row r="3454" spans="1:8">
      <c r="A3454" s="60"/>
      <c r="B3454" s="77"/>
      <c r="C3454" s="60"/>
      <c r="D3454" s="81"/>
      <c r="E3454" s="62"/>
      <c r="F3454" s="60"/>
      <c r="G3454" s="62"/>
      <c r="H3454" s="60"/>
    </row>
    <row r="3455" spans="1:8">
      <c r="A3455" s="60"/>
      <c r="B3455" s="77"/>
      <c r="C3455" s="60"/>
      <c r="D3455" s="81"/>
      <c r="E3455" s="62"/>
      <c r="F3455" s="60"/>
      <c r="G3455" s="62"/>
      <c r="H3455" s="60"/>
    </row>
    <row r="3456" spans="1:8">
      <c r="A3456" s="60"/>
      <c r="B3456" s="77"/>
      <c r="C3456" s="60"/>
      <c r="D3456" s="81"/>
      <c r="E3456" s="62"/>
      <c r="F3456" s="60"/>
      <c r="G3456" s="62"/>
      <c r="H3456" s="60"/>
    </row>
    <row r="3457" spans="1:8">
      <c r="A3457" s="60"/>
      <c r="B3457" s="77"/>
      <c r="C3457" s="60"/>
      <c r="D3457" s="81"/>
      <c r="E3457" s="62"/>
      <c r="F3457" s="60"/>
      <c r="G3457" s="62"/>
      <c r="H3457" s="60"/>
    </row>
    <row r="3458" spans="1:8">
      <c r="A3458" s="60"/>
      <c r="B3458" s="77"/>
      <c r="C3458" s="60"/>
      <c r="D3458" s="81"/>
      <c r="E3458" s="62"/>
      <c r="F3458" s="60"/>
      <c r="G3458" s="62"/>
      <c r="H3458" s="60"/>
    </row>
    <row r="3459" spans="1:8">
      <c r="A3459" s="60"/>
      <c r="B3459" s="77"/>
      <c r="C3459" s="60"/>
      <c r="D3459" s="81"/>
      <c r="E3459" s="62"/>
      <c r="F3459" s="60"/>
      <c r="G3459" s="62"/>
      <c r="H3459" s="60"/>
    </row>
    <row r="3460" spans="1:8">
      <c r="A3460" s="60"/>
      <c r="B3460" s="77"/>
      <c r="C3460" s="60"/>
      <c r="D3460" s="81"/>
      <c r="E3460" s="62"/>
      <c r="F3460" s="60"/>
      <c r="G3460" s="62"/>
      <c r="H3460" s="60"/>
    </row>
    <row r="3461" spans="1:8">
      <c r="A3461" s="60"/>
      <c r="B3461" s="77"/>
      <c r="C3461" s="60"/>
      <c r="D3461" s="81"/>
      <c r="E3461" s="62"/>
      <c r="F3461" s="60"/>
      <c r="G3461" s="62"/>
      <c r="H3461" s="60"/>
    </row>
    <row r="3462" spans="1:8">
      <c r="A3462" s="60"/>
      <c r="B3462" s="77"/>
      <c r="C3462" s="60"/>
      <c r="D3462" s="81"/>
      <c r="E3462" s="62"/>
      <c r="F3462" s="60"/>
      <c r="G3462" s="62"/>
      <c r="H3462" s="60"/>
    </row>
    <row r="3463" spans="1:8">
      <c r="A3463" s="60"/>
      <c r="B3463" s="77"/>
      <c r="C3463" s="60"/>
      <c r="D3463" s="81"/>
      <c r="E3463" s="62"/>
      <c r="F3463" s="60"/>
      <c r="G3463" s="62"/>
      <c r="H3463" s="60"/>
    </row>
    <row r="3464" spans="1:8">
      <c r="A3464" s="60"/>
      <c r="B3464" s="77"/>
      <c r="C3464" s="60"/>
      <c r="D3464" s="81"/>
      <c r="E3464" s="62"/>
      <c r="F3464" s="60"/>
      <c r="G3464" s="62"/>
      <c r="H3464" s="60"/>
    </row>
    <row r="3465" spans="1:8">
      <c r="A3465" s="60"/>
      <c r="B3465" s="77"/>
      <c r="C3465" s="60"/>
      <c r="D3465" s="81"/>
      <c r="E3465" s="62"/>
      <c r="F3465" s="60"/>
      <c r="G3465" s="62"/>
      <c r="H3465" s="60"/>
    </row>
    <row r="3466" spans="1:8">
      <c r="A3466" s="60"/>
      <c r="B3466" s="77"/>
      <c r="C3466" s="60"/>
      <c r="D3466" s="81"/>
      <c r="E3466" s="62"/>
      <c r="F3466" s="60"/>
      <c r="G3466" s="62"/>
      <c r="H3466" s="60"/>
    </row>
    <row r="3467" spans="1:8">
      <c r="A3467" s="60"/>
      <c r="B3467" s="77"/>
      <c r="C3467" s="60"/>
      <c r="D3467" s="81"/>
      <c r="E3467" s="62"/>
      <c r="F3467" s="60"/>
      <c r="G3467" s="62"/>
      <c r="H3467" s="60"/>
    </row>
    <row r="3468" spans="1:8">
      <c r="A3468" s="60"/>
      <c r="B3468" s="77"/>
      <c r="C3468" s="60"/>
      <c r="D3468" s="81"/>
      <c r="E3468" s="62"/>
      <c r="F3468" s="60"/>
      <c r="G3468" s="62"/>
      <c r="H3468" s="60"/>
    </row>
    <row r="3469" spans="1:8">
      <c r="A3469" s="60"/>
      <c r="B3469" s="77"/>
      <c r="C3469" s="60"/>
      <c r="D3469" s="81"/>
      <c r="E3469" s="62"/>
      <c r="F3469" s="60"/>
      <c r="G3469" s="62"/>
      <c r="H3469" s="60"/>
    </row>
    <row r="3470" spans="1:8">
      <c r="A3470" s="60"/>
      <c r="B3470" s="77"/>
      <c r="C3470" s="60"/>
      <c r="D3470" s="81"/>
      <c r="E3470" s="62"/>
      <c r="F3470" s="60"/>
      <c r="G3470" s="62"/>
      <c r="H3470" s="60"/>
    </row>
    <row r="3471" spans="1:8">
      <c r="A3471" s="60"/>
      <c r="B3471" s="77"/>
      <c r="C3471" s="60"/>
      <c r="D3471" s="81"/>
      <c r="E3471" s="62"/>
      <c r="F3471" s="60"/>
      <c r="G3471" s="62"/>
      <c r="H3471" s="60"/>
    </row>
    <row r="3472" spans="1:8">
      <c r="A3472" s="60"/>
      <c r="B3472" s="77"/>
      <c r="C3472" s="60"/>
      <c r="D3472" s="81"/>
      <c r="E3472" s="62"/>
      <c r="F3472" s="60"/>
      <c r="G3472" s="62"/>
      <c r="H3472" s="60"/>
    </row>
    <row r="3473" spans="1:8">
      <c r="A3473" s="60"/>
      <c r="B3473" s="77"/>
      <c r="C3473" s="60"/>
      <c r="D3473" s="81"/>
      <c r="E3473" s="62"/>
      <c r="F3473" s="60"/>
      <c r="G3473" s="62"/>
      <c r="H3473" s="60"/>
    </row>
    <row r="3474" spans="1:8">
      <c r="A3474" s="60"/>
      <c r="B3474" s="77"/>
      <c r="C3474" s="60"/>
      <c r="D3474" s="81"/>
      <c r="E3474" s="62"/>
      <c r="F3474" s="60"/>
      <c r="G3474" s="62"/>
      <c r="H3474" s="60"/>
    </row>
    <row r="3475" spans="1:8">
      <c r="A3475" s="60"/>
      <c r="B3475" s="77"/>
      <c r="C3475" s="60"/>
      <c r="D3475" s="81"/>
      <c r="E3475" s="62"/>
      <c r="F3475" s="60"/>
      <c r="G3475" s="62"/>
      <c r="H3475" s="60"/>
    </row>
    <row r="3476" spans="1:8">
      <c r="A3476" s="60"/>
      <c r="B3476" s="77"/>
      <c r="C3476" s="60"/>
      <c r="D3476" s="81"/>
      <c r="E3476" s="62"/>
      <c r="F3476" s="60"/>
      <c r="G3476" s="62"/>
      <c r="H3476" s="60"/>
    </row>
    <row r="3477" spans="1:8">
      <c r="A3477" s="60"/>
      <c r="B3477" s="77"/>
      <c r="C3477" s="60"/>
      <c r="D3477" s="81"/>
      <c r="E3477" s="62"/>
      <c r="F3477" s="60"/>
      <c r="G3477" s="62"/>
      <c r="H3477" s="60"/>
    </row>
    <row r="3478" spans="1:8">
      <c r="A3478" s="60"/>
      <c r="B3478" s="77"/>
      <c r="C3478" s="60"/>
      <c r="D3478" s="81"/>
      <c r="E3478" s="62"/>
      <c r="F3478" s="60"/>
      <c r="G3478" s="62"/>
      <c r="H3478" s="60"/>
    </row>
    <row r="3479" spans="1:8">
      <c r="A3479" s="60"/>
      <c r="B3479" s="77"/>
      <c r="C3479" s="60"/>
      <c r="D3479" s="81"/>
      <c r="E3479" s="62"/>
      <c r="F3479" s="60"/>
      <c r="G3479" s="62"/>
      <c r="H3479" s="60"/>
    </row>
    <row r="3480" spans="1:8">
      <c r="A3480" s="60"/>
      <c r="B3480" s="77"/>
      <c r="C3480" s="60"/>
      <c r="D3480" s="81"/>
      <c r="E3480" s="62"/>
      <c r="F3480" s="60"/>
      <c r="G3480" s="62"/>
      <c r="H3480" s="60"/>
    </row>
    <row r="3481" spans="1:8">
      <c r="A3481" s="60"/>
      <c r="B3481" s="77"/>
      <c r="C3481" s="60"/>
      <c r="D3481" s="81"/>
      <c r="E3481" s="62"/>
      <c r="F3481" s="60"/>
      <c r="G3481" s="62"/>
      <c r="H3481" s="60"/>
    </row>
    <row r="3482" spans="1:8">
      <c r="A3482" s="60"/>
      <c r="B3482" s="77"/>
      <c r="C3482" s="60"/>
      <c r="D3482" s="81"/>
      <c r="E3482" s="62"/>
      <c r="F3482" s="60"/>
      <c r="G3482" s="62"/>
      <c r="H3482" s="60"/>
    </row>
    <row r="3483" spans="1:8">
      <c r="A3483" s="60"/>
      <c r="B3483" s="77"/>
      <c r="C3483" s="60"/>
      <c r="D3483" s="81"/>
      <c r="E3483" s="62"/>
      <c r="F3483" s="60"/>
      <c r="G3483" s="62"/>
      <c r="H3483" s="60"/>
    </row>
    <row r="3484" spans="1:8">
      <c r="A3484" s="60"/>
      <c r="B3484" s="77"/>
      <c r="C3484" s="60"/>
      <c r="D3484" s="81"/>
      <c r="E3484" s="62"/>
      <c r="F3484" s="60"/>
      <c r="G3484" s="62"/>
      <c r="H3484" s="60"/>
    </row>
    <row r="3485" spans="1:8">
      <c r="A3485" s="60"/>
      <c r="B3485" s="77"/>
      <c r="C3485" s="60"/>
      <c r="D3485" s="81"/>
      <c r="E3485" s="62"/>
      <c r="F3485" s="60"/>
      <c r="G3485" s="62"/>
      <c r="H3485" s="60"/>
    </row>
    <row r="3486" spans="1:8">
      <c r="A3486" s="60"/>
      <c r="B3486" s="77"/>
      <c r="C3486" s="60"/>
      <c r="D3486" s="81"/>
      <c r="E3486" s="62"/>
      <c r="F3486" s="60"/>
      <c r="G3486" s="62"/>
      <c r="H3486" s="60"/>
    </row>
    <row r="3487" spans="1:8">
      <c r="A3487" s="60"/>
      <c r="B3487" s="77"/>
      <c r="C3487" s="60"/>
      <c r="D3487" s="81"/>
      <c r="E3487" s="62"/>
      <c r="F3487" s="60"/>
      <c r="G3487" s="62"/>
      <c r="H3487" s="60"/>
    </row>
    <row r="3488" spans="1:8">
      <c r="A3488" s="60"/>
      <c r="B3488" s="77"/>
      <c r="C3488" s="60"/>
      <c r="D3488" s="81"/>
      <c r="E3488" s="62"/>
      <c r="F3488" s="60"/>
      <c r="G3488" s="62"/>
      <c r="H3488" s="60"/>
    </row>
    <row r="3489" spans="1:8">
      <c r="A3489" s="60"/>
      <c r="B3489" s="77"/>
      <c r="C3489" s="60"/>
      <c r="D3489" s="81"/>
      <c r="E3489" s="62"/>
      <c r="F3489" s="60"/>
      <c r="G3489" s="62"/>
      <c r="H3489" s="60"/>
    </row>
    <row r="3490" spans="1:8">
      <c r="A3490" s="60"/>
      <c r="B3490" s="77"/>
      <c r="C3490" s="60"/>
      <c r="D3490" s="81"/>
      <c r="E3490" s="62"/>
      <c r="F3490" s="60"/>
      <c r="G3490" s="62"/>
      <c r="H3490" s="60"/>
    </row>
    <row r="3491" spans="1:8">
      <c r="A3491" s="60"/>
      <c r="B3491" s="77"/>
      <c r="C3491" s="60"/>
      <c r="D3491" s="81"/>
      <c r="E3491" s="62"/>
      <c r="F3491" s="60"/>
      <c r="G3491" s="62"/>
      <c r="H3491" s="60"/>
    </row>
    <row r="3492" spans="1:8">
      <c r="A3492" s="60"/>
      <c r="B3492" s="77"/>
      <c r="C3492" s="60"/>
      <c r="D3492" s="81"/>
      <c r="E3492" s="62"/>
      <c r="F3492" s="60"/>
      <c r="G3492" s="62"/>
      <c r="H3492" s="60"/>
    </row>
    <row r="3493" spans="1:8">
      <c r="A3493" s="60"/>
      <c r="B3493" s="77"/>
      <c r="C3493" s="60"/>
      <c r="D3493" s="81"/>
      <c r="E3493" s="62"/>
      <c r="F3493" s="60"/>
      <c r="G3493" s="62"/>
      <c r="H3493" s="60"/>
    </row>
    <row r="3494" spans="1:8">
      <c r="A3494" s="60"/>
      <c r="B3494" s="77"/>
      <c r="C3494" s="60"/>
      <c r="D3494" s="81"/>
      <c r="E3494" s="62"/>
      <c r="F3494" s="60"/>
      <c r="G3494" s="62"/>
      <c r="H3494" s="60"/>
    </row>
    <row r="3495" spans="1:8">
      <c r="A3495" s="60"/>
      <c r="B3495" s="77"/>
      <c r="C3495" s="60"/>
      <c r="D3495" s="81"/>
      <c r="E3495" s="62"/>
      <c r="F3495" s="60"/>
      <c r="G3495" s="62"/>
      <c r="H3495" s="60"/>
    </row>
    <row r="3496" spans="1:8">
      <c r="A3496" s="60"/>
      <c r="B3496" s="77"/>
      <c r="C3496" s="60"/>
      <c r="D3496" s="81"/>
      <c r="E3496" s="62"/>
      <c r="F3496" s="60"/>
      <c r="G3496" s="62"/>
      <c r="H3496" s="60"/>
    </row>
    <row r="3497" spans="1:8">
      <c r="A3497" s="60"/>
      <c r="B3497" s="77"/>
      <c r="C3497" s="60"/>
      <c r="D3497" s="81"/>
      <c r="E3497" s="62"/>
      <c r="F3497" s="60"/>
      <c r="G3497" s="62"/>
      <c r="H3497" s="60"/>
    </row>
    <row r="3498" spans="1:8">
      <c r="A3498" s="60"/>
      <c r="B3498" s="77"/>
      <c r="C3498" s="60"/>
      <c r="D3498" s="81"/>
      <c r="E3498" s="62"/>
      <c r="F3498" s="60"/>
      <c r="G3498" s="62"/>
      <c r="H3498" s="60"/>
    </row>
    <row r="3499" spans="1:8">
      <c r="A3499" s="60"/>
      <c r="B3499" s="77"/>
      <c r="C3499" s="60"/>
      <c r="D3499" s="81"/>
      <c r="E3499" s="62"/>
      <c r="F3499" s="60"/>
      <c r="G3499" s="62"/>
      <c r="H3499" s="60"/>
    </row>
    <row r="3500" spans="1:8">
      <c r="A3500" s="60"/>
      <c r="B3500" s="77"/>
      <c r="C3500" s="60"/>
      <c r="D3500" s="81"/>
      <c r="E3500" s="62"/>
      <c r="F3500" s="60"/>
      <c r="G3500" s="62"/>
      <c r="H3500" s="60"/>
    </row>
    <row r="3501" spans="1:8">
      <c r="A3501" s="60"/>
      <c r="B3501" s="77"/>
      <c r="C3501" s="60"/>
      <c r="D3501" s="81"/>
      <c r="E3501" s="62"/>
      <c r="F3501" s="60"/>
      <c r="G3501" s="62"/>
      <c r="H3501" s="60"/>
    </row>
    <row r="3502" spans="1:8">
      <c r="A3502" s="60"/>
      <c r="B3502" s="77"/>
      <c r="C3502" s="60"/>
      <c r="D3502" s="81"/>
      <c r="E3502" s="62"/>
      <c r="F3502" s="60"/>
      <c r="G3502" s="62"/>
      <c r="H3502" s="60"/>
    </row>
    <row r="3503" spans="1:8">
      <c r="A3503" s="60"/>
      <c r="B3503" s="77"/>
      <c r="C3503" s="60"/>
      <c r="D3503" s="81"/>
      <c r="E3503" s="62"/>
      <c r="F3503" s="60"/>
      <c r="G3503" s="62"/>
      <c r="H3503" s="60"/>
    </row>
    <row r="3504" spans="1:8">
      <c r="A3504" s="60"/>
      <c r="B3504" s="77"/>
      <c r="C3504" s="60"/>
      <c r="D3504" s="81"/>
      <c r="E3504" s="62"/>
      <c r="F3504" s="60"/>
      <c r="G3504" s="62"/>
      <c r="H3504" s="60"/>
    </row>
    <row r="3505" spans="1:8">
      <c r="A3505" s="60"/>
      <c r="B3505" s="77"/>
      <c r="C3505" s="60"/>
      <c r="D3505" s="81"/>
      <c r="E3505" s="62"/>
      <c r="F3505" s="60"/>
      <c r="G3505" s="62"/>
      <c r="H3505" s="60"/>
    </row>
    <row r="3506" spans="1:8">
      <c r="A3506" s="60"/>
      <c r="B3506" s="77"/>
      <c r="C3506" s="60"/>
      <c r="D3506" s="81"/>
      <c r="E3506" s="62"/>
      <c r="F3506" s="60"/>
      <c r="G3506" s="62"/>
      <c r="H3506" s="60"/>
    </row>
    <row r="3507" spans="1:8">
      <c r="A3507" s="60"/>
      <c r="B3507" s="77"/>
      <c r="C3507" s="60"/>
      <c r="D3507" s="81"/>
      <c r="E3507" s="62"/>
      <c r="F3507" s="60"/>
      <c r="G3507" s="62"/>
      <c r="H3507" s="60"/>
    </row>
    <row r="3508" spans="1:8">
      <c r="A3508" s="60"/>
      <c r="B3508" s="77"/>
      <c r="C3508" s="60"/>
      <c r="D3508" s="81"/>
      <c r="E3508" s="62"/>
      <c r="F3508" s="60"/>
      <c r="G3508" s="62"/>
      <c r="H3508" s="60"/>
    </row>
    <row r="3509" spans="1:8">
      <c r="A3509" s="60"/>
      <c r="B3509" s="77"/>
      <c r="C3509" s="60"/>
      <c r="D3509" s="81"/>
      <c r="E3509" s="62"/>
      <c r="F3509" s="60"/>
      <c r="G3509" s="62"/>
      <c r="H3509" s="60"/>
    </row>
    <row r="3510" spans="1:8">
      <c r="A3510" s="60"/>
      <c r="B3510" s="77"/>
      <c r="C3510" s="60"/>
      <c r="D3510" s="81"/>
      <c r="E3510" s="62"/>
      <c r="F3510" s="60"/>
      <c r="G3510" s="62"/>
      <c r="H3510" s="60"/>
    </row>
    <row r="3511" spans="1:8">
      <c r="A3511" s="60"/>
      <c r="B3511" s="77"/>
      <c r="C3511" s="60"/>
      <c r="D3511" s="81"/>
      <c r="E3511" s="62"/>
      <c r="F3511" s="60"/>
      <c r="G3511" s="62"/>
      <c r="H3511" s="60"/>
    </row>
    <row r="3512" spans="1:8">
      <c r="A3512" s="60"/>
      <c r="B3512" s="77"/>
      <c r="C3512" s="60"/>
      <c r="D3512" s="81"/>
      <c r="E3512" s="62"/>
      <c r="F3512" s="60"/>
      <c r="G3512" s="62"/>
      <c r="H3512" s="60"/>
    </row>
    <row r="3513" spans="1:8">
      <c r="A3513" s="60"/>
      <c r="B3513" s="77"/>
      <c r="C3513" s="60"/>
      <c r="D3513" s="81"/>
      <c r="E3513" s="62"/>
      <c r="F3513" s="60"/>
      <c r="G3513" s="62"/>
      <c r="H3513" s="60"/>
    </row>
    <row r="3514" spans="1:8">
      <c r="A3514" s="60"/>
      <c r="B3514" s="77"/>
      <c r="C3514" s="60"/>
      <c r="D3514" s="81"/>
      <c r="E3514" s="62"/>
      <c r="F3514" s="60"/>
      <c r="G3514" s="62"/>
      <c r="H3514" s="60"/>
    </row>
    <row r="3515" spans="1:8">
      <c r="A3515" s="60"/>
      <c r="B3515" s="77"/>
      <c r="C3515" s="60"/>
      <c r="D3515" s="81"/>
      <c r="E3515" s="62"/>
      <c r="F3515" s="60"/>
      <c r="G3515" s="62"/>
      <c r="H3515" s="60"/>
    </row>
    <row r="3516" spans="1:8">
      <c r="A3516" s="60"/>
      <c r="B3516" s="77"/>
      <c r="C3516" s="60"/>
      <c r="D3516" s="81"/>
      <c r="E3516" s="62"/>
      <c r="F3516" s="60"/>
      <c r="G3516" s="62"/>
      <c r="H3516" s="60"/>
    </row>
    <row r="3517" spans="1:8">
      <c r="A3517" s="60"/>
      <c r="B3517" s="77"/>
      <c r="C3517" s="60"/>
      <c r="D3517" s="81"/>
      <c r="E3517" s="62"/>
      <c r="F3517" s="60"/>
      <c r="G3517" s="62"/>
      <c r="H3517" s="60"/>
    </row>
    <row r="3518" spans="1:8">
      <c r="A3518" s="60"/>
      <c r="B3518" s="77"/>
      <c r="C3518" s="60"/>
      <c r="D3518" s="81"/>
      <c r="E3518" s="62"/>
      <c r="F3518" s="60"/>
      <c r="G3518" s="62"/>
      <c r="H3518" s="60"/>
    </row>
    <row r="3519" spans="1:8">
      <c r="A3519" s="60"/>
      <c r="B3519" s="77"/>
      <c r="C3519" s="60"/>
      <c r="D3519" s="81"/>
      <c r="E3519" s="62"/>
      <c r="F3519" s="60"/>
      <c r="G3519" s="62"/>
      <c r="H3519" s="60"/>
    </row>
    <row r="3520" spans="1:8">
      <c r="A3520" s="60"/>
      <c r="B3520" s="77"/>
      <c r="C3520" s="60"/>
      <c r="D3520" s="81"/>
      <c r="E3520" s="62"/>
      <c r="F3520" s="60"/>
      <c r="G3520" s="62"/>
      <c r="H3520" s="60"/>
    </row>
    <row r="3521" spans="1:8">
      <c r="A3521" s="60"/>
      <c r="B3521" s="77"/>
      <c r="C3521" s="60"/>
      <c r="D3521" s="81"/>
      <c r="E3521" s="62"/>
      <c r="F3521" s="60"/>
      <c r="G3521" s="62"/>
      <c r="H3521" s="60"/>
    </row>
    <row r="3522" spans="1:8">
      <c r="A3522" s="60"/>
      <c r="B3522" s="77"/>
      <c r="C3522" s="60"/>
      <c r="D3522" s="81"/>
      <c r="E3522" s="62"/>
      <c r="F3522" s="60"/>
      <c r="G3522" s="62"/>
      <c r="H3522" s="60"/>
    </row>
    <row r="3523" spans="1:8">
      <c r="A3523" s="60"/>
      <c r="B3523" s="77"/>
      <c r="C3523" s="60"/>
      <c r="D3523" s="81"/>
      <c r="E3523" s="62"/>
      <c r="F3523" s="60"/>
      <c r="G3523" s="62"/>
      <c r="H3523" s="60"/>
    </row>
    <row r="3524" spans="1:8">
      <c r="A3524" s="60"/>
      <c r="B3524" s="77"/>
      <c r="C3524" s="60"/>
      <c r="D3524" s="81"/>
      <c r="E3524" s="62"/>
      <c r="F3524" s="60"/>
      <c r="G3524" s="62"/>
      <c r="H3524" s="60"/>
    </row>
    <row r="3525" spans="1:8">
      <c r="A3525" s="60"/>
      <c r="B3525" s="77"/>
      <c r="C3525" s="60"/>
      <c r="D3525" s="81"/>
      <c r="E3525" s="62"/>
      <c r="F3525" s="60"/>
      <c r="G3525" s="62"/>
      <c r="H3525" s="60"/>
    </row>
    <row r="3526" spans="1:8">
      <c r="A3526" s="60"/>
      <c r="B3526" s="77"/>
      <c r="C3526" s="60"/>
      <c r="D3526" s="81"/>
      <c r="E3526" s="62"/>
      <c r="F3526" s="60"/>
      <c r="G3526" s="62"/>
      <c r="H3526" s="60"/>
    </row>
    <row r="3527" spans="1:8">
      <c r="A3527" s="60"/>
      <c r="B3527" s="77"/>
      <c r="C3527" s="60"/>
      <c r="D3527" s="81"/>
      <c r="E3527" s="62"/>
      <c r="F3527" s="60"/>
      <c r="G3527" s="62"/>
      <c r="H3527" s="60"/>
    </row>
    <row r="3528" spans="1:8">
      <c r="A3528" s="60"/>
      <c r="B3528" s="77"/>
      <c r="C3528" s="60"/>
      <c r="D3528" s="81"/>
      <c r="E3528" s="62"/>
      <c r="F3528" s="60"/>
      <c r="G3528" s="62"/>
      <c r="H3528" s="60"/>
    </row>
    <row r="3529" spans="1:8">
      <c r="A3529" s="60"/>
      <c r="B3529" s="77"/>
      <c r="C3529" s="60"/>
      <c r="D3529" s="81"/>
      <c r="E3529" s="62"/>
      <c r="F3529" s="60"/>
      <c r="G3529" s="62"/>
      <c r="H3529" s="60"/>
    </row>
    <row r="3530" spans="1:8">
      <c r="A3530" s="60"/>
      <c r="B3530" s="77"/>
      <c r="C3530" s="60"/>
      <c r="D3530" s="81"/>
      <c r="E3530" s="62"/>
      <c r="F3530" s="60"/>
      <c r="G3530" s="62"/>
      <c r="H3530" s="60"/>
    </row>
    <row r="3531" spans="1:8">
      <c r="A3531" s="60"/>
      <c r="B3531" s="77"/>
      <c r="C3531" s="60"/>
      <c r="D3531" s="81"/>
      <c r="E3531" s="62"/>
      <c r="F3531" s="60"/>
      <c r="G3531" s="62"/>
      <c r="H3531" s="60"/>
    </row>
    <row r="3532" spans="1:8">
      <c r="A3532" s="60"/>
      <c r="B3532" s="77"/>
      <c r="C3532" s="60"/>
      <c r="D3532" s="81"/>
      <c r="E3532" s="62"/>
      <c r="F3532" s="60"/>
      <c r="G3532" s="62"/>
      <c r="H3532" s="60"/>
    </row>
    <row r="3533" spans="1:8">
      <c r="A3533" s="60"/>
      <c r="B3533" s="77"/>
      <c r="C3533" s="60"/>
      <c r="D3533" s="81"/>
      <c r="E3533" s="62"/>
      <c r="F3533" s="60"/>
      <c r="G3533" s="62"/>
      <c r="H3533" s="60"/>
    </row>
    <row r="3534" spans="1:8">
      <c r="A3534" s="60"/>
      <c r="B3534" s="77"/>
      <c r="C3534" s="60"/>
      <c r="D3534" s="81"/>
      <c r="E3534" s="62"/>
      <c r="F3534" s="60"/>
      <c r="G3534" s="62"/>
      <c r="H3534" s="60"/>
    </row>
    <row r="3535" spans="1:8">
      <c r="A3535" s="60"/>
      <c r="B3535" s="77"/>
      <c r="C3535" s="60"/>
      <c r="D3535" s="81"/>
      <c r="E3535" s="62"/>
      <c r="F3535" s="60"/>
      <c r="G3535" s="62"/>
      <c r="H3535" s="60"/>
    </row>
    <row r="3536" spans="1:8">
      <c r="A3536" s="60"/>
      <c r="B3536" s="77"/>
      <c r="C3536" s="60"/>
      <c r="D3536" s="81"/>
      <c r="E3536" s="62"/>
      <c r="F3536" s="60"/>
      <c r="G3536" s="62"/>
      <c r="H3536" s="60"/>
    </row>
    <row r="3537" spans="1:8">
      <c r="A3537" s="60"/>
      <c r="B3537" s="77"/>
      <c r="C3537" s="60"/>
      <c r="D3537" s="81"/>
      <c r="E3537" s="62"/>
      <c r="F3537" s="60"/>
      <c r="G3537" s="62"/>
      <c r="H3537" s="60"/>
    </row>
    <row r="3538" spans="1:8">
      <c r="A3538" s="60"/>
      <c r="B3538" s="77"/>
      <c r="C3538" s="60"/>
      <c r="D3538" s="81"/>
      <c r="E3538" s="62"/>
      <c r="F3538" s="60"/>
      <c r="G3538" s="62"/>
      <c r="H3538" s="60"/>
    </row>
    <row r="3539" spans="1:8">
      <c r="A3539" s="60"/>
      <c r="B3539" s="77"/>
      <c r="C3539" s="60"/>
      <c r="D3539" s="81"/>
      <c r="E3539" s="62"/>
      <c r="F3539" s="60"/>
      <c r="G3539" s="62"/>
      <c r="H3539" s="60"/>
    </row>
    <row r="3540" spans="1:8">
      <c r="A3540" s="60"/>
      <c r="B3540" s="77"/>
      <c r="C3540" s="60"/>
      <c r="D3540" s="81"/>
      <c r="E3540" s="62"/>
      <c r="F3540" s="60"/>
      <c r="G3540" s="62"/>
      <c r="H3540" s="60"/>
    </row>
    <row r="3541" spans="1:8">
      <c r="A3541" s="60"/>
      <c r="B3541" s="77"/>
      <c r="C3541" s="60"/>
      <c r="D3541" s="81"/>
      <c r="E3541" s="62"/>
      <c r="F3541" s="60"/>
      <c r="G3541" s="62"/>
      <c r="H3541" s="60"/>
    </row>
    <row r="3542" spans="1:8">
      <c r="A3542" s="60"/>
      <c r="B3542" s="77"/>
      <c r="C3542" s="60"/>
      <c r="D3542" s="81"/>
      <c r="E3542" s="62"/>
      <c r="F3542" s="60"/>
      <c r="G3542" s="62"/>
      <c r="H3542" s="60"/>
    </row>
    <row r="3543" spans="1:8">
      <c r="A3543" s="60"/>
      <c r="B3543" s="77"/>
      <c r="C3543" s="60"/>
      <c r="D3543" s="81"/>
      <c r="E3543" s="62"/>
      <c r="F3543" s="60"/>
      <c r="G3543" s="62"/>
      <c r="H3543" s="60"/>
    </row>
    <row r="3544" spans="1:8">
      <c r="A3544" s="60"/>
      <c r="B3544" s="77"/>
      <c r="C3544" s="60"/>
      <c r="D3544" s="81"/>
      <c r="E3544" s="62"/>
      <c r="F3544" s="60"/>
      <c r="G3544" s="62"/>
      <c r="H3544" s="60"/>
    </row>
    <row r="3545" spans="1:8">
      <c r="A3545" s="60"/>
      <c r="B3545" s="77"/>
      <c r="C3545" s="60"/>
      <c r="D3545" s="81"/>
      <c r="E3545" s="62"/>
      <c r="F3545" s="60"/>
      <c r="G3545" s="62"/>
      <c r="H3545" s="60"/>
    </row>
    <row r="3546" spans="1:8">
      <c r="A3546" s="60"/>
      <c r="B3546" s="77"/>
      <c r="C3546" s="60"/>
      <c r="D3546" s="81"/>
      <c r="E3546" s="62"/>
      <c r="F3546" s="60"/>
      <c r="G3546" s="62"/>
      <c r="H3546" s="60"/>
    </row>
    <row r="3547" spans="1:8">
      <c r="A3547" s="60"/>
      <c r="B3547" s="77"/>
      <c r="C3547" s="60"/>
      <c r="D3547" s="81"/>
      <c r="E3547" s="62"/>
      <c r="F3547" s="60"/>
      <c r="G3547" s="62"/>
      <c r="H3547" s="60"/>
    </row>
    <row r="3548" spans="1:8">
      <c r="A3548" s="60"/>
      <c r="B3548" s="77"/>
      <c r="C3548" s="60"/>
      <c r="D3548" s="81"/>
      <c r="E3548" s="62"/>
      <c r="F3548" s="60"/>
      <c r="G3548" s="62"/>
      <c r="H3548" s="60"/>
    </row>
    <row r="3549" spans="1:8">
      <c r="A3549" s="60"/>
      <c r="B3549" s="77"/>
      <c r="C3549" s="60"/>
      <c r="D3549" s="81"/>
      <c r="E3549" s="62"/>
      <c r="F3549" s="60"/>
      <c r="G3549" s="62"/>
      <c r="H3549" s="60"/>
    </row>
    <row r="3550" spans="1:8">
      <c r="A3550" s="60"/>
      <c r="B3550" s="77"/>
      <c r="C3550" s="60"/>
      <c r="D3550" s="81"/>
      <c r="E3550" s="62"/>
      <c r="F3550" s="60"/>
      <c r="G3550" s="62"/>
      <c r="H3550" s="60"/>
    </row>
    <row r="3551" spans="1:8">
      <c r="A3551" s="60"/>
      <c r="B3551" s="77"/>
      <c r="C3551" s="60"/>
      <c r="D3551" s="81"/>
      <c r="E3551" s="62"/>
      <c r="F3551" s="60"/>
      <c r="G3551" s="62"/>
      <c r="H3551" s="60"/>
    </row>
    <row r="3552" spans="1:8">
      <c r="A3552" s="60"/>
      <c r="B3552" s="77"/>
      <c r="C3552" s="60"/>
      <c r="D3552" s="81"/>
      <c r="E3552" s="62"/>
      <c r="F3552" s="60"/>
      <c r="G3552" s="62"/>
      <c r="H3552" s="60"/>
    </row>
    <row r="3553" spans="1:8">
      <c r="A3553" s="60"/>
      <c r="B3553" s="77"/>
      <c r="C3553" s="60"/>
      <c r="D3553" s="81"/>
      <c r="E3553" s="62"/>
      <c r="F3553" s="60"/>
      <c r="G3553" s="62"/>
      <c r="H3553" s="60"/>
    </row>
    <row r="3554" spans="1:8">
      <c r="A3554" s="60"/>
      <c r="B3554" s="77"/>
      <c r="C3554" s="60"/>
      <c r="D3554" s="81"/>
      <c r="E3554" s="62"/>
      <c r="F3554" s="60"/>
      <c r="G3554" s="62"/>
      <c r="H3554" s="60"/>
    </row>
    <row r="3555" spans="1:8">
      <c r="A3555" s="60"/>
      <c r="B3555" s="77"/>
      <c r="C3555" s="60"/>
      <c r="D3555" s="81"/>
      <c r="E3555" s="62"/>
      <c r="F3555" s="60"/>
      <c r="G3555" s="62"/>
      <c r="H3555" s="60"/>
    </row>
    <row r="3556" spans="1:8">
      <c r="A3556" s="60"/>
      <c r="B3556" s="77"/>
      <c r="C3556" s="60"/>
      <c r="D3556" s="81"/>
      <c r="E3556" s="62"/>
      <c r="F3556" s="60"/>
      <c r="G3556" s="62"/>
      <c r="H3556" s="60"/>
    </row>
    <row r="3557" spans="1:8">
      <c r="A3557" s="60"/>
      <c r="B3557" s="77"/>
      <c r="C3557" s="60"/>
      <c r="D3557" s="81"/>
      <c r="E3557" s="62"/>
      <c r="F3557" s="60"/>
      <c r="G3557" s="62"/>
      <c r="H3557" s="60"/>
    </row>
    <row r="3558" spans="1:8">
      <c r="A3558" s="60"/>
      <c r="B3558" s="77"/>
      <c r="C3558" s="60"/>
      <c r="D3558" s="81"/>
      <c r="E3558" s="62"/>
      <c r="F3558" s="60"/>
      <c r="G3558" s="62"/>
      <c r="H3558" s="60"/>
    </row>
    <row r="3559" spans="1:8">
      <c r="A3559" s="60"/>
      <c r="B3559" s="77"/>
      <c r="C3559" s="60"/>
      <c r="D3559" s="81"/>
      <c r="E3559" s="62"/>
      <c r="F3559" s="60"/>
      <c r="G3559" s="62"/>
      <c r="H3559" s="60"/>
    </row>
    <row r="3560" spans="1:8">
      <c r="A3560" s="60"/>
      <c r="B3560" s="77"/>
      <c r="C3560" s="60"/>
      <c r="D3560" s="81"/>
      <c r="E3560" s="62"/>
      <c r="F3560" s="60"/>
      <c r="G3560" s="62"/>
      <c r="H3560" s="60"/>
    </row>
    <row r="3561" spans="1:8">
      <c r="A3561" s="60"/>
      <c r="B3561" s="77"/>
      <c r="C3561" s="60"/>
      <c r="D3561" s="81"/>
      <c r="E3561" s="62"/>
      <c r="F3561" s="60"/>
      <c r="G3561" s="62"/>
      <c r="H3561" s="60"/>
    </row>
    <row r="3562" spans="1:8">
      <c r="A3562" s="60"/>
      <c r="B3562" s="77"/>
      <c r="C3562" s="60"/>
      <c r="D3562" s="81"/>
      <c r="E3562" s="62"/>
      <c r="F3562" s="60"/>
      <c r="G3562" s="62"/>
      <c r="H3562" s="60"/>
    </row>
    <row r="3563" spans="1:8">
      <c r="A3563" s="60"/>
      <c r="B3563" s="77"/>
      <c r="C3563" s="60"/>
      <c r="D3563" s="81"/>
      <c r="E3563" s="62"/>
      <c r="F3563" s="60"/>
      <c r="G3563" s="62"/>
      <c r="H3563" s="60"/>
    </row>
    <row r="3564" spans="1:8">
      <c r="A3564" s="60"/>
      <c r="B3564" s="77"/>
      <c r="C3564" s="60"/>
      <c r="D3564" s="81"/>
      <c r="E3564" s="62"/>
      <c r="F3564" s="60"/>
      <c r="G3564" s="62"/>
      <c r="H3564" s="60"/>
    </row>
    <row r="3565" spans="1:8">
      <c r="A3565" s="60"/>
      <c r="B3565" s="77"/>
      <c r="C3565" s="60"/>
      <c r="D3565" s="81"/>
      <c r="E3565" s="62"/>
      <c r="F3565" s="60"/>
      <c r="G3565" s="62"/>
      <c r="H3565" s="60"/>
    </row>
    <row r="3566" spans="1:8">
      <c r="A3566" s="60"/>
      <c r="B3566" s="77"/>
      <c r="C3566" s="60"/>
      <c r="D3566" s="81"/>
      <c r="E3566" s="62"/>
      <c r="F3566" s="60"/>
      <c r="G3566" s="62"/>
      <c r="H3566" s="60"/>
    </row>
    <row r="3567" spans="1:8">
      <c r="A3567" s="60"/>
      <c r="B3567" s="77"/>
      <c r="C3567" s="60"/>
      <c r="D3567" s="81"/>
      <c r="E3567" s="62"/>
      <c r="F3567" s="60"/>
      <c r="G3567" s="62"/>
      <c r="H3567" s="60"/>
    </row>
    <row r="3568" spans="1:8">
      <c r="A3568" s="60"/>
      <c r="B3568" s="77"/>
      <c r="C3568" s="60"/>
      <c r="D3568" s="81"/>
      <c r="E3568" s="62"/>
      <c r="F3568" s="60"/>
      <c r="G3568" s="62"/>
      <c r="H3568" s="60"/>
    </row>
    <row r="3569" spans="1:8">
      <c r="A3569" s="60"/>
      <c r="B3569" s="77"/>
      <c r="C3569" s="60"/>
      <c r="D3569" s="81"/>
      <c r="E3569" s="62"/>
      <c r="F3569" s="60"/>
      <c r="G3569" s="62"/>
      <c r="H3569" s="60"/>
    </row>
    <row r="3570" spans="1:8">
      <c r="A3570" s="60"/>
      <c r="B3570" s="77"/>
      <c r="C3570" s="60"/>
      <c r="D3570" s="81"/>
      <c r="E3570" s="62"/>
      <c r="F3570" s="60"/>
      <c r="G3570" s="62"/>
      <c r="H3570" s="60"/>
    </row>
    <row r="3571" spans="1:8">
      <c r="A3571" s="60"/>
      <c r="B3571" s="77"/>
      <c r="C3571" s="60"/>
      <c r="D3571" s="81"/>
      <c r="E3571" s="62"/>
      <c r="F3571" s="60"/>
      <c r="G3571" s="62"/>
      <c r="H3571" s="60"/>
    </row>
    <row r="3572" spans="1:8">
      <c r="A3572" s="60"/>
      <c r="B3572" s="77"/>
      <c r="C3572" s="60"/>
      <c r="D3572" s="81"/>
      <c r="E3572" s="62"/>
      <c r="F3572" s="60"/>
      <c r="G3572" s="62"/>
      <c r="H3572" s="60"/>
    </row>
    <row r="3573" spans="1:8">
      <c r="A3573" s="60"/>
      <c r="B3573" s="77"/>
      <c r="C3573" s="60"/>
      <c r="D3573" s="81"/>
      <c r="E3573" s="62"/>
      <c r="F3573" s="60"/>
      <c r="G3573" s="62"/>
      <c r="H3573" s="60"/>
    </row>
    <row r="3574" spans="1:8">
      <c r="A3574" s="60"/>
      <c r="B3574" s="77"/>
      <c r="C3574" s="60"/>
      <c r="D3574" s="81"/>
      <c r="E3574" s="62"/>
      <c r="F3574" s="60"/>
      <c r="G3574" s="62"/>
      <c r="H3574" s="60"/>
    </row>
    <row r="3575" spans="1:8">
      <c r="A3575" s="60"/>
      <c r="B3575" s="77"/>
      <c r="C3575" s="60"/>
      <c r="D3575" s="81"/>
      <c r="E3575" s="62"/>
      <c r="F3575" s="60"/>
      <c r="G3575" s="62"/>
      <c r="H3575" s="60"/>
    </row>
    <row r="3576" spans="1:8">
      <c r="A3576" s="60"/>
      <c r="B3576" s="77"/>
      <c r="C3576" s="60"/>
      <c r="D3576" s="81"/>
      <c r="E3576" s="62"/>
      <c r="F3576" s="60"/>
      <c r="G3576" s="62"/>
      <c r="H3576" s="60"/>
    </row>
    <row r="3577" spans="1:8">
      <c r="A3577" s="60"/>
      <c r="B3577" s="77"/>
      <c r="C3577" s="60"/>
      <c r="D3577" s="81"/>
      <c r="E3577" s="62"/>
      <c r="F3577" s="60"/>
      <c r="G3577" s="62"/>
      <c r="H3577" s="60"/>
    </row>
    <row r="3578" spans="1:8">
      <c r="A3578" s="60"/>
      <c r="B3578" s="77"/>
      <c r="C3578" s="60"/>
      <c r="D3578" s="81"/>
      <c r="E3578" s="62"/>
      <c r="F3578" s="60"/>
      <c r="G3578" s="62"/>
      <c r="H3578" s="60"/>
    </row>
    <row r="3579" spans="1:8">
      <c r="A3579" s="60"/>
      <c r="B3579" s="77"/>
      <c r="C3579" s="60"/>
      <c r="D3579" s="81"/>
      <c r="E3579" s="62"/>
      <c r="F3579" s="60"/>
      <c r="G3579" s="62"/>
      <c r="H3579" s="60"/>
    </row>
    <row r="3580" spans="1:8">
      <c r="A3580" s="60"/>
      <c r="B3580" s="77"/>
      <c r="C3580" s="60"/>
      <c r="D3580" s="81"/>
      <c r="E3580" s="62"/>
      <c r="F3580" s="60"/>
      <c r="G3580" s="62"/>
      <c r="H3580" s="60"/>
    </row>
    <row r="3581" spans="1:8">
      <c r="A3581" s="60"/>
      <c r="B3581" s="77"/>
      <c r="C3581" s="60"/>
      <c r="D3581" s="81"/>
      <c r="E3581" s="62"/>
      <c r="F3581" s="60"/>
      <c r="G3581" s="62"/>
      <c r="H3581" s="60"/>
    </row>
    <row r="3582" spans="1:8">
      <c r="A3582" s="60"/>
      <c r="B3582" s="77"/>
      <c r="C3582" s="60"/>
      <c r="D3582" s="81"/>
      <c r="E3582" s="62"/>
      <c r="F3582" s="60"/>
      <c r="G3582" s="62"/>
      <c r="H3582" s="60"/>
    </row>
    <row r="3583" spans="1:8">
      <c r="A3583" s="60"/>
      <c r="B3583" s="77"/>
      <c r="C3583" s="60"/>
      <c r="D3583" s="81"/>
      <c r="E3583" s="62"/>
      <c r="F3583" s="60"/>
      <c r="G3583" s="62"/>
      <c r="H3583" s="60"/>
    </row>
    <row r="3584" spans="1:8">
      <c r="A3584" s="60"/>
      <c r="B3584" s="77"/>
      <c r="C3584" s="60"/>
      <c r="D3584" s="81"/>
      <c r="E3584" s="62"/>
      <c r="F3584" s="60"/>
      <c r="G3584" s="62"/>
      <c r="H3584" s="60"/>
    </row>
    <row r="3585" spans="1:8">
      <c r="A3585" s="60"/>
      <c r="B3585" s="77"/>
      <c r="C3585" s="60"/>
      <c r="D3585" s="81"/>
      <c r="E3585" s="62"/>
      <c r="F3585" s="60"/>
      <c r="G3585" s="62"/>
      <c r="H3585" s="60"/>
    </row>
    <row r="3586" spans="1:8">
      <c r="A3586" s="60"/>
      <c r="B3586" s="77"/>
      <c r="C3586" s="60"/>
      <c r="D3586" s="81"/>
      <c r="E3586" s="62"/>
      <c r="F3586" s="60"/>
      <c r="G3586" s="62"/>
      <c r="H3586" s="60"/>
    </row>
    <row r="3587" spans="1:8">
      <c r="A3587" s="60"/>
      <c r="B3587" s="77"/>
      <c r="C3587" s="60"/>
      <c r="D3587" s="81"/>
      <c r="E3587" s="62"/>
      <c r="F3587" s="60"/>
      <c r="G3587" s="62"/>
      <c r="H3587" s="60"/>
    </row>
    <row r="3588" spans="1:8">
      <c r="A3588" s="60"/>
      <c r="B3588" s="77"/>
      <c r="C3588" s="60"/>
      <c r="D3588" s="81"/>
      <c r="E3588" s="62"/>
      <c r="F3588" s="60"/>
      <c r="G3588" s="62"/>
      <c r="H3588" s="60"/>
    </row>
    <row r="3589" spans="1:8">
      <c r="A3589" s="60"/>
      <c r="B3589" s="77"/>
      <c r="C3589" s="60"/>
      <c r="D3589" s="81"/>
      <c r="E3589" s="62"/>
      <c r="F3589" s="60"/>
      <c r="G3589" s="62"/>
      <c r="H3589" s="60"/>
    </row>
    <row r="3590" spans="1:8">
      <c r="A3590" s="60"/>
      <c r="B3590" s="77"/>
      <c r="C3590" s="60"/>
      <c r="D3590" s="81"/>
      <c r="E3590" s="62"/>
      <c r="F3590" s="60"/>
      <c r="G3590" s="62"/>
      <c r="H3590" s="60"/>
    </row>
    <row r="3591" spans="1:8">
      <c r="A3591" s="60"/>
      <c r="B3591" s="77"/>
      <c r="C3591" s="60"/>
      <c r="D3591" s="81"/>
      <c r="E3591" s="62"/>
      <c r="F3591" s="60"/>
      <c r="G3591" s="62"/>
      <c r="H3591" s="60"/>
    </row>
    <row r="3592" spans="1:8">
      <c r="A3592" s="60"/>
      <c r="B3592" s="77"/>
      <c r="C3592" s="60"/>
      <c r="D3592" s="81"/>
      <c r="E3592" s="62"/>
      <c r="F3592" s="60"/>
      <c r="G3592" s="62"/>
      <c r="H3592" s="60"/>
    </row>
    <row r="3593" spans="1:8">
      <c r="A3593" s="60"/>
      <c r="B3593" s="77"/>
      <c r="C3593" s="60"/>
      <c r="D3593" s="81"/>
      <c r="E3593" s="62"/>
      <c r="F3593" s="60"/>
      <c r="G3593" s="62"/>
      <c r="H3593" s="60"/>
    </row>
    <row r="3594" spans="1:8">
      <c r="A3594" s="60"/>
      <c r="B3594" s="77"/>
      <c r="C3594" s="60"/>
      <c r="D3594" s="81"/>
      <c r="E3594" s="62"/>
      <c r="F3594" s="60"/>
      <c r="G3594" s="62"/>
      <c r="H3594" s="60"/>
    </row>
    <row r="3595" spans="1:8">
      <c r="A3595" s="60"/>
      <c r="B3595" s="77"/>
      <c r="C3595" s="60"/>
      <c r="D3595" s="81"/>
      <c r="E3595" s="62"/>
      <c r="F3595" s="60"/>
      <c r="G3595" s="62"/>
      <c r="H3595" s="60"/>
    </row>
    <row r="3596" spans="1:8">
      <c r="A3596" s="60"/>
      <c r="B3596" s="77"/>
      <c r="C3596" s="60"/>
      <c r="D3596" s="81"/>
      <c r="E3596" s="62"/>
      <c r="F3596" s="60"/>
      <c r="G3596" s="62"/>
      <c r="H3596" s="60"/>
    </row>
    <row r="3597" spans="1:8">
      <c r="A3597" s="60"/>
      <c r="B3597" s="77"/>
      <c r="C3597" s="60"/>
      <c r="D3597" s="81"/>
      <c r="E3597" s="62"/>
      <c r="F3597" s="60"/>
      <c r="G3597" s="62"/>
      <c r="H3597" s="60"/>
    </row>
    <row r="3598" spans="1:8">
      <c r="A3598" s="60"/>
      <c r="B3598" s="77"/>
      <c r="C3598" s="60"/>
      <c r="D3598" s="81"/>
      <c r="E3598" s="62"/>
      <c r="F3598" s="60"/>
      <c r="G3598" s="62"/>
      <c r="H3598" s="60"/>
    </row>
    <row r="3599" spans="1:8">
      <c r="A3599" s="60"/>
      <c r="B3599" s="77"/>
      <c r="C3599" s="60"/>
      <c r="D3599" s="81"/>
      <c r="E3599" s="62"/>
      <c r="F3599" s="60"/>
      <c r="G3599" s="62"/>
      <c r="H3599" s="60"/>
    </row>
    <row r="3600" spans="1:8">
      <c r="A3600" s="60"/>
      <c r="B3600" s="77"/>
      <c r="C3600" s="60"/>
      <c r="D3600" s="81"/>
      <c r="E3600" s="62"/>
      <c r="F3600" s="60"/>
      <c r="G3600" s="62"/>
      <c r="H3600" s="60"/>
    </row>
    <row r="3601" spans="1:8">
      <c r="A3601" s="60"/>
      <c r="B3601" s="77"/>
      <c r="C3601" s="60"/>
      <c r="D3601" s="81"/>
      <c r="E3601" s="62"/>
      <c r="F3601" s="60"/>
      <c r="G3601" s="62"/>
      <c r="H3601" s="60"/>
    </row>
    <row r="3602" spans="1:8">
      <c r="A3602" s="60"/>
      <c r="B3602" s="77"/>
      <c r="C3602" s="60"/>
      <c r="D3602" s="81"/>
      <c r="E3602" s="62"/>
      <c r="F3602" s="60"/>
      <c r="G3602" s="62"/>
      <c r="H3602" s="60"/>
    </row>
    <row r="3603" spans="1:8">
      <c r="A3603" s="60"/>
      <c r="B3603" s="77"/>
      <c r="C3603" s="60"/>
      <c r="D3603" s="81"/>
      <c r="E3603" s="62"/>
      <c r="F3603" s="60"/>
      <c r="G3603" s="62"/>
      <c r="H3603" s="60"/>
    </row>
    <row r="3604" spans="1:8">
      <c r="A3604" s="60"/>
      <c r="B3604" s="77"/>
      <c r="C3604" s="60"/>
      <c r="D3604" s="81"/>
      <c r="E3604" s="62"/>
      <c r="F3604" s="60"/>
      <c r="G3604" s="62"/>
      <c r="H3604" s="60"/>
    </row>
    <row r="3605" spans="1:8">
      <c r="A3605" s="60"/>
      <c r="B3605" s="77"/>
      <c r="C3605" s="60"/>
      <c r="D3605" s="81"/>
      <c r="E3605" s="62"/>
      <c r="F3605" s="60"/>
      <c r="G3605" s="62"/>
      <c r="H3605" s="60"/>
    </row>
    <row r="3606" spans="1:8">
      <c r="A3606" s="60"/>
      <c r="B3606" s="77"/>
      <c r="C3606" s="60"/>
      <c r="D3606" s="81"/>
      <c r="E3606" s="62"/>
      <c r="F3606" s="60"/>
      <c r="G3606" s="62"/>
      <c r="H3606" s="60"/>
    </row>
    <row r="3607" spans="1:8">
      <c r="A3607" s="60"/>
      <c r="B3607" s="77"/>
      <c r="C3607" s="60"/>
      <c r="D3607" s="81"/>
      <c r="E3607" s="62"/>
      <c r="F3607" s="60"/>
      <c r="G3607" s="62"/>
      <c r="H3607" s="60"/>
    </row>
    <row r="3608" spans="1:8">
      <c r="A3608" s="60"/>
      <c r="B3608" s="77"/>
      <c r="C3608" s="60"/>
      <c r="D3608" s="81"/>
      <c r="E3608" s="62"/>
      <c r="F3608" s="60"/>
      <c r="G3608" s="62"/>
      <c r="H3608" s="60"/>
    </row>
    <row r="3609" spans="1:8">
      <c r="A3609" s="60"/>
      <c r="B3609" s="77"/>
      <c r="C3609" s="60"/>
      <c r="D3609" s="81"/>
      <c r="E3609" s="62"/>
      <c r="F3609" s="60"/>
      <c r="G3609" s="62"/>
      <c r="H3609" s="60"/>
    </row>
    <row r="3610" spans="1:8">
      <c r="A3610" s="60"/>
      <c r="B3610" s="77"/>
      <c r="C3610" s="60"/>
      <c r="D3610" s="81"/>
      <c r="E3610" s="62"/>
      <c r="F3610" s="60"/>
      <c r="G3610" s="62"/>
      <c r="H3610" s="60"/>
    </row>
    <row r="3611" spans="1:8">
      <c r="A3611" s="60"/>
      <c r="B3611" s="77"/>
      <c r="C3611" s="60"/>
      <c r="D3611" s="81"/>
      <c r="E3611" s="62"/>
      <c r="F3611" s="60"/>
      <c r="G3611" s="62"/>
      <c r="H3611" s="60"/>
    </row>
    <row r="3612" spans="1:8">
      <c r="A3612" s="60"/>
      <c r="B3612" s="77"/>
      <c r="C3612" s="60"/>
      <c r="D3612" s="81"/>
      <c r="E3612" s="62"/>
      <c r="F3612" s="60"/>
      <c r="G3612" s="62"/>
      <c r="H3612" s="60"/>
    </row>
    <row r="3613" spans="1:8">
      <c r="A3613" s="60"/>
      <c r="B3613" s="77"/>
      <c r="C3613" s="60"/>
      <c r="D3613" s="81"/>
      <c r="E3613" s="62"/>
      <c r="F3613" s="60"/>
      <c r="G3613" s="62"/>
      <c r="H3613" s="60"/>
    </row>
    <row r="3614" spans="1:8">
      <c r="A3614" s="60"/>
      <c r="B3614" s="77"/>
      <c r="C3614" s="60"/>
      <c r="D3614" s="81"/>
      <c r="E3614" s="62"/>
      <c r="F3614" s="60"/>
      <c r="G3614" s="62"/>
      <c r="H3614" s="60"/>
    </row>
    <row r="3615" spans="1:8">
      <c r="A3615" s="60"/>
      <c r="B3615" s="77"/>
      <c r="C3615" s="60"/>
      <c r="D3615" s="81"/>
      <c r="E3615" s="62"/>
      <c r="F3615" s="60"/>
      <c r="G3615" s="62"/>
      <c r="H3615" s="60"/>
    </row>
    <row r="3616" spans="1:8">
      <c r="A3616" s="60"/>
      <c r="B3616" s="77"/>
      <c r="C3616" s="60"/>
      <c r="D3616" s="81"/>
      <c r="E3616" s="62"/>
      <c r="F3616" s="60"/>
      <c r="G3616" s="62"/>
      <c r="H3616" s="60"/>
    </row>
    <row r="3617" spans="1:8">
      <c r="A3617" s="60"/>
      <c r="B3617" s="77"/>
      <c r="C3617" s="60"/>
      <c r="D3617" s="81"/>
      <c r="E3617" s="62"/>
      <c r="F3617" s="60"/>
      <c r="G3617" s="62"/>
      <c r="H3617" s="60"/>
    </row>
    <row r="3618" spans="1:8">
      <c r="A3618" s="60"/>
      <c r="B3618" s="77"/>
      <c r="C3618" s="60"/>
      <c r="D3618" s="81"/>
      <c r="E3618" s="62"/>
      <c r="F3618" s="60"/>
      <c r="G3618" s="62"/>
      <c r="H3618" s="60"/>
    </row>
    <row r="3619" spans="1:8">
      <c r="A3619" s="60"/>
      <c r="B3619" s="77"/>
      <c r="C3619" s="60"/>
      <c r="D3619" s="81"/>
      <c r="E3619" s="62"/>
      <c r="F3619" s="60"/>
      <c r="G3619" s="62"/>
      <c r="H3619" s="60"/>
    </row>
    <row r="3620" spans="1:8">
      <c r="A3620" s="60"/>
      <c r="B3620" s="77"/>
      <c r="C3620" s="60"/>
      <c r="D3620" s="81"/>
      <c r="E3620" s="62"/>
      <c r="F3620" s="60"/>
      <c r="G3620" s="62"/>
      <c r="H3620" s="60"/>
    </row>
    <row r="3621" spans="1:8">
      <c r="A3621" s="60"/>
      <c r="B3621" s="77"/>
      <c r="C3621" s="60"/>
      <c r="D3621" s="81"/>
      <c r="E3621" s="62"/>
      <c r="F3621" s="60"/>
      <c r="G3621" s="62"/>
      <c r="H3621" s="60"/>
    </row>
    <row r="3622" spans="1:8">
      <c r="A3622" s="60"/>
      <c r="B3622" s="77"/>
      <c r="C3622" s="60"/>
      <c r="D3622" s="81"/>
      <c r="E3622" s="62"/>
      <c r="F3622" s="60"/>
      <c r="G3622" s="62"/>
      <c r="H3622" s="60"/>
    </row>
    <row r="3623" spans="1:8">
      <c r="A3623" s="60"/>
      <c r="B3623" s="77"/>
      <c r="C3623" s="60"/>
      <c r="D3623" s="81"/>
      <c r="E3623" s="62"/>
      <c r="F3623" s="60"/>
      <c r="G3623" s="62"/>
      <c r="H3623" s="60"/>
    </row>
    <row r="3624" spans="1:8">
      <c r="A3624" s="60"/>
      <c r="B3624" s="77"/>
      <c r="C3624" s="60"/>
      <c r="D3624" s="81"/>
      <c r="E3624" s="62"/>
      <c r="F3624" s="60"/>
      <c r="G3624" s="62"/>
      <c r="H3624" s="60"/>
    </row>
    <row r="3625" spans="1:8">
      <c r="A3625" s="60"/>
      <c r="B3625" s="77"/>
      <c r="C3625" s="60"/>
      <c r="D3625" s="81"/>
      <c r="E3625" s="62"/>
      <c r="F3625" s="60"/>
      <c r="G3625" s="62"/>
      <c r="H3625" s="60"/>
    </row>
    <row r="3626" spans="1:8">
      <c r="A3626" s="60"/>
      <c r="B3626" s="77"/>
      <c r="C3626" s="60"/>
      <c r="D3626" s="81"/>
      <c r="E3626" s="62"/>
      <c r="F3626" s="60"/>
      <c r="G3626" s="62"/>
      <c r="H3626" s="60"/>
    </row>
    <row r="3627" spans="1:8">
      <c r="A3627" s="60"/>
      <c r="B3627" s="77"/>
      <c r="C3627" s="60"/>
      <c r="D3627" s="81"/>
      <c r="E3627" s="62"/>
      <c r="F3627" s="60"/>
      <c r="G3627" s="62"/>
      <c r="H3627" s="60"/>
    </row>
    <row r="3628" spans="1:8">
      <c r="A3628" s="60"/>
      <c r="B3628" s="77"/>
      <c r="C3628" s="60"/>
      <c r="D3628" s="81"/>
      <c r="E3628" s="62"/>
      <c r="F3628" s="60"/>
      <c r="G3628" s="62"/>
      <c r="H3628" s="60"/>
    </row>
    <row r="3629" spans="1:8">
      <c r="A3629" s="60"/>
      <c r="B3629" s="77"/>
      <c r="C3629" s="60"/>
      <c r="D3629" s="81"/>
      <c r="E3629" s="62"/>
      <c r="F3629" s="60"/>
      <c r="G3629" s="62"/>
      <c r="H3629" s="60"/>
    </row>
    <row r="3630" spans="1:8">
      <c r="A3630" s="60"/>
      <c r="B3630" s="77"/>
      <c r="C3630" s="60"/>
      <c r="D3630" s="81"/>
      <c r="E3630" s="62"/>
      <c r="F3630" s="60"/>
      <c r="G3630" s="62"/>
      <c r="H3630" s="60"/>
    </row>
    <row r="3631" spans="1:8">
      <c r="A3631" s="60"/>
      <c r="B3631" s="77"/>
      <c r="C3631" s="60"/>
      <c r="D3631" s="81"/>
      <c r="E3631" s="62"/>
      <c r="F3631" s="60"/>
      <c r="G3631" s="62"/>
      <c r="H3631" s="60"/>
    </row>
    <row r="3632" spans="1:8">
      <c r="A3632" s="60"/>
      <c r="B3632" s="77"/>
      <c r="C3632" s="60"/>
      <c r="D3632" s="81"/>
      <c r="E3632" s="62"/>
      <c r="F3632" s="60"/>
      <c r="G3632" s="62"/>
      <c r="H3632" s="60"/>
    </row>
    <row r="3633" spans="1:8">
      <c r="A3633" s="60"/>
      <c r="B3633" s="77"/>
      <c r="C3633" s="60"/>
      <c r="D3633" s="81"/>
      <c r="E3633" s="62"/>
      <c r="F3633" s="60"/>
      <c r="G3633" s="62"/>
      <c r="H3633" s="60"/>
    </row>
    <row r="3634" spans="1:8">
      <c r="A3634" s="60"/>
      <c r="B3634" s="77"/>
      <c r="C3634" s="60"/>
      <c r="D3634" s="81"/>
      <c r="E3634" s="62"/>
      <c r="F3634" s="60"/>
      <c r="G3634" s="62"/>
      <c r="H3634" s="60"/>
    </row>
    <row r="3635" spans="1:8">
      <c r="A3635" s="60"/>
      <c r="B3635" s="77"/>
      <c r="C3635" s="60"/>
      <c r="D3635" s="81"/>
      <c r="E3635" s="62"/>
      <c r="F3635" s="60"/>
      <c r="G3635" s="62"/>
      <c r="H3635" s="60"/>
    </row>
    <row r="3636" spans="1:8">
      <c r="A3636" s="60"/>
      <c r="B3636" s="77"/>
      <c r="C3636" s="60"/>
      <c r="D3636" s="81"/>
      <c r="E3636" s="62"/>
      <c r="F3636" s="60"/>
      <c r="G3636" s="62"/>
      <c r="H3636" s="60"/>
    </row>
    <row r="3637" spans="1:8">
      <c r="A3637" s="60"/>
      <c r="B3637" s="77"/>
      <c r="C3637" s="60"/>
      <c r="D3637" s="81"/>
      <c r="E3637" s="62"/>
      <c r="F3637" s="60"/>
      <c r="G3637" s="62"/>
      <c r="H3637" s="60"/>
    </row>
    <row r="3638" spans="1:8">
      <c r="A3638" s="60"/>
      <c r="B3638" s="77"/>
      <c r="C3638" s="60"/>
      <c r="D3638" s="81"/>
      <c r="E3638" s="62"/>
      <c r="F3638" s="60"/>
      <c r="G3638" s="62"/>
      <c r="H3638" s="60"/>
    </row>
    <row r="3639" spans="1:8">
      <c r="A3639" s="60"/>
      <c r="B3639" s="77"/>
      <c r="C3639" s="60"/>
      <c r="D3639" s="81"/>
      <c r="E3639" s="62"/>
      <c r="F3639" s="60"/>
      <c r="G3639" s="62"/>
      <c r="H3639" s="60"/>
    </row>
    <row r="3640" spans="1:8">
      <c r="A3640" s="60"/>
      <c r="B3640" s="77"/>
      <c r="C3640" s="60"/>
      <c r="D3640" s="81"/>
      <c r="E3640" s="62"/>
      <c r="F3640" s="60"/>
      <c r="G3640" s="62"/>
      <c r="H3640" s="60"/>
    </row>
    <row r="3641" spans="1:8">
      <c r="A3641" s="60"/>
      <c r="B3641" s="77"/>
      <c r="C3641" s="60"/>
      <c r="D3641" s="81"/>
      <c r="E3641" s="62"/>
      <c r="F3641" s="60"/>
      <c r="G3641" s="62"/>
      <c r="H3641" s="60"/>
    </row>
    <row r="3642" spans="1:8">
      <c r="A3642" s="60"/>
      <c r="B3642" s="77"/>
      <c r="C3642" s="60"/>
      <c r="D3642" s="81"/>
      <c r="E3642" s="62"/>
      <c r="F3642" s="60"/>
      <c r="G3642" s="62"/>
      <c r="H3642" s="60"/>
    </row>
    <row r="3643" spans="1:8">
      <c r="A3643" s="60"/>
      <c r="B3643" s="77"/>
      <c r="C3643" s="60"/>
      <c r="D3643" s="81"/>
      <c r="E3643" s="62"/>
      <c r="F3643" s="60"/>
      <c r="G3643" s="62"/>
      <c r="H3643" s="60"/>
    </row>
    <row r="3644" spans="1:8">
      <c r="A3644" s="60"/>
      <c r="B3644" s="77"/>
      <c r="C3644" s="60"/>
      <c r="D3644" s="81"/>
      <c r="E3644" s="62"/>
      <c r="F3644" s="60"/>
      <c r="G3644" s="62"/>
      <c r="H3644" s="60"/>
    </row>
    <row r="3645" spans="1:8">
      <c r="A3645" s="60"/>
      <c r="B3645" s="77"/>
      <c r="C3645" s="60"/>
      <c r="D3645" s="81"/>
      <c r="E3645" s="62"/>
      <c r="F3645" s="60"/>
      <c r="G3645" s="62"/>
      <c r="H3645" s="60"/>
    </row>
    <row r="3646" spans="1:8">
      <c r="A3646" s="60"/>
      <c r="B3646" s="77"/>
      <c r="C3646" s="60"/>
      <c r="D3646" s="81"/>
      <c r="E3646" s="62"/>
      <c r="F3646" s="60"/>
      <c r="G3646" s="62"/>
      <c r="H3646" s="60"/>
    </row>
    <row r="3647" spans="1:8">
      <c r="A3647" s="60"/>
      <c r="B3647" s="77"/>
      <c r="C3647" s="60"/>
      <c r="D3647" s="81"/>
      <c r="E3647" s="62"/>
      <c r="F3647" s="60"/>
      <c r="G3647" s="62"/>
      <c r="H3647" s="60"/>
    </row>
    <row r="3648" spans="1:8">
      <c r="A3648" s="60"/>
      <c r="B3648" s="77"/>
      <c r="C3648" s="60"/>
      <c r="D3648" s="81"/>
      <c r="E3648" s="62"/>
      <c r="F3648" s="60"/>
      <c r="G3648" s="62"/>
      <c r="H3648" s="60"/>
    </row>
    <row r="3649" spans="1:8">
      <c r="A3649" s="60"/>
      <c r="B3649" s="77"/>
      <c r="C3649" s="60"/>
      <c r="D3649" s="81"/>
      <c r="E3649" s="62"/>
      <c r="F3649" s="60"/>
      <c r="G3649" s="62"/>
      <c r="H3649" s="60"/>
    </row>
    <row r="3650" spans="1:8">
      <c r="A3650" s="60"/>
      <c r="B3650" s="77"/>
      <c r="C3650" s="60"/>
      <c r="D3650" s="81"/>
      <c r="E3650" s="62"/>
      <c r="F3650" s="60"/>
      <c r="G3650" s="62"/>
      <c r="H3650" s="60"/>
    </row>
    <row r="3651" spans="1:8">
      <c r="A3651" s="60"/>
      <c r="B3651" s="77"/>
      <c r="C3651" s="60"/>
      <c r="D3651" s="81"/>
      <c r="E3651" s="62"/>
      <c r="F3651" s="60"/>
      <c r="G3651" s="62"/>
      <c r="H3651" s="60"/>
    </row>
    <row r="3652" spans="1:8">
      <c r="A3652" s="60"/>
      <c r="B3652" s="77"/>
      <c r="C3652" s="60"/>
      <c r="D3652" s="81"/>
      <c r="E3652" s="62"/>
      <c r="F3652" s="60"/>
      <c r="G3652" s="62"/>
      <c r="H3652" s="60"/>
    </row>
    <row r="3653" spans="1:8">
      <c r="A3653" s="60"/>
      <c r="B3653" s="77"/>
      <c r="C3653" s="60"/>
      <c r="D3653" s="81"/>
      <c r="E3653" s="62"/>
      <c r="F3653" s="60"/>
      <c r="G3653" s="62"/>
      <c r="H3653" s="60"/>
    </row>
    <row r="3654" spans="1:8">
      <c r="A3654" s="60"/>
      <c r="B3654" s="77"/>
      <c r="C3654" s="60"/>
      <c r="D3654" s="81"/>
      <c r="E3654" s="62"/>
      <c r="F3654" s="60"/>
      <c r="G3654" s="62"/>
      <c r="H3654" s="60"/>
    </row>
    <row r="3655" spans="1:8">
      <c r="A3655" s="60"/>
      <c r="B3655" s="77"/>
      <c r="C3655" s="60"/>
      <c r="D3655" s="81"/>
      <c r="E3655" s="62"/>
      <c r="F3655" s="60"/>
      <c r="G3655" s="62"/>
      <c r="H3655" s="60"/>
    </row>
    <row r="3656" spans="1:8">
      <c r="A3656" s="60"/>
      <c r="B3656" s="77"/>
      <c r="C3656" s="60"/>
      <c r="D3656" s="81"/>
      <c r="E3656" s="62"/>
      <c r="F3656" s="60"/>
      <c r="G3656" s="62"/>
      <c r="H3656" s="60"/>
    </row>
    <row r="3657" spans="1:8">
      <c r="A3657" s="60"/>
      <c r="B3657" s="77"/>
      <c r="C3657" s="60"/>
      <c r="D3657" s="81"/>
      <c r="E3657" s="62"/>
      <c r="F3657" s="60"/>
      <c r="G3657" s="62"/>
      <c r="H3657" s="60"/>
    </row>
    <row r="3658" spans="1:8">
      <c r="A3658" s="60"/>
      <c r="B3658" s="77"/>
      <c r="C3658" s="60"/>
      <c r="D3658" s="81"/>
      <c r="E3658" s="62"/>
      <c r="F3658" s="60"/>
      <c r="G3658" s="62"/>
      <c r="H3658" s="60"/>
    </row>
    <row r="3659" spans="1:8">
      <c r="A3659" s="60"/>
      <c r="B3659" s="77"/>
      <c r="C3659" s="60"/>
      <c r="D3659" s="81"/>
      <c r="E3659" s="62"/>
      <c r="F3659" s="60"/>
      <c r="G3659" s="62"/>
      <c r="H3659" s="60"/>
    </row>
    <row r="3660" spans="1:8">
      <c r="A3660" s="60"/>
      <c r="B3660" s="77"/>
      <c r="C3660" s="60"/>
      <c r="D3660" s="81"/>
      <c r="E3660" s="62"/>
      <c r="F3660" s="60"/>
      <c r="G3660" s="62"/>
      <c r="H3660" s="60"/>
    </row>
    <row r="3661" spans="1:8">
      <c r="A3661" s="60"/>
      <c r="B3661" s="77"/>
      <c r="C3661" s="60"/>
      <c r="D3661" s="81"/>
      <c r="E3661" s="62"/>
      <c r="F3661" s="60"/>
      <c r="G3661" s="62"/>
      <c r="H3661" s="60"/>
    </row>
    <row r="3662" spans="1:8">
      <c r="A3662" s="60"/>
      <c r="B3662" s="77"/>
      <c r="C3662" s="60"/>
      <c r="D3662" s="81"/>
      <c r="E3662" s="62"/>
      <c r="F3662" s="60"/>
      <c r="G3662" s="62"/>
      <c r="H3662" s="60"/>
    </row>
    <row r="3663" spans="1:8">
      <c r="A3663" s="60"/>
      <c r="B3663" s="77"/>
      <c r="C3663" s="60"/>
      <c r="D3663" s="81"/>
      <c r="E3663" s="62"/>
      <c r="F3663" s="60"/>
      <c r="G3663" s="62"/>
      <c r="H3663" s="60"/>
    </row>
    <row r="3664" spans="1:8">
      <c r="A3664" s="60"/>
      <c r="B3664" s="77"/>
      <c r="C3664" s="60"/>
      <c r="D3664" s="81"/>
      <c r="E3664" s="62"/>
      <c r="F3664" s="60"/>
      <c r="G3664" s="62"/>
      <c r="H3664" s="60"/>
    </row>
    <row r="3665" spans="1:8">
      <c r="A3665" s="60"/>
      <c r="B3665" s="77"/>
      <c r="C3665" s="60"/>
      <c r="D3665" s="81"/>
      <c r="E3665" s="62"/>
      <c r="F3665" s="60"/>
      <c r="G3665" s="62"/>
      <c r="H3665" s="60"/>
    </row>
    <row r="3666" spans="1:8">
      <c r="A3666" s="60"/>
      <c r="B3666" s="77"/>
      <c r="C3666" s="60"/>
      <c r="D3666" s="81"/>
      <c r="E3666" s="62"/>
      <c r="F3666" s="60"/>
      <c r="G3666" s="62"/>
      <c r="H3666" s="60"/>
    </row>
    <row r="3667" spans="1:8">
      <c r="A3667" s="60"/>
      <c r="B3667" s="77"/>
      <c r="C3667" s="60"/>
      <c r="D3667" s="81"/>
      <c r="E3667" s="62"/>
      <c r="F3667" s="60"/>
      <c r="G3667" s="62"/>
      <c r="H3667" s="60"/>
    </row>
    <row r="3668" spans="1:8">
      <c r="A3668" s="60"/>
      <c r="B3668" s="77"/>
      <c r="C3668" s="60"/>
      <c r="D3668" s="81"/>
      <c r="E3668" s="62"/>
      <c r="F3668" s="60"/>
      <c r="G3668" s="62"/>
      <c r="H3668" s="60"/>
    </row>
    <row r="3669" spans="1:8">
      <c r="A3669" s="60"/>
      <c r="B3669" s="77"/>
      <c r="C3669" s="60"/>
      <c r="D3669" s="81"/>
      <c r="E3669" s="62"/>
      <c r="F3669" s="60"/>
      <c r="G3669" s="62"/>
      <c r="H3669" s="60"/>
    </row>
    <row r="3670" spans="1:8">
      <c r="A3670" s="60"/>
      <c r="B3670" s="77"/>
      <c r="C3670" s="60"/>
      <c r="D3670" s="81"/>
      <c r="E3670" s="62"/>
      <c r="F3670" s="60"/>
      <c r="G3670" s="62"/>
      <c r="H3670" s="60"/>
    </row>
    <row r="3671" spans="1:8">
      <c r="A3671" s="60"/>
      <c r="B3671" s="77"/>
      <c r="C3671" s="60"/>
      <c r="D3671" s="81"/>
      <c r="E3671" s="62"/>
      <c r="F3671" s="60"/>
      <c r="G3671" s="62"/>
      <c r="H3671" s="60"/>
    </row>
    <row r="3672" spans="1:8">
      <c r="A3672" s="60"/>
      <c r="B3672" s="77"/>
      <c r="C3672" s="60"/>
      <c r="D3672" s="81"/>
      <c r="E3672" s="62"/>
      <c r="F3672" s="60"/>
      <c r="G3672" s="62"/>
      <c r="H3672" s="60"/>
    </row>
    <row r="3673" spans="1:8">
      <c r="A3673" s="60"/>
      <c r="B3673" s="77"/>
      <c r="C3673" s="60"/>
      <c r="D3673" s="81"/>
      <c r="E3673" s="62"/>
      <c r="F3673" s="60"/>
      <c r="G3673" s="62"/>
      <c r="H3673" s="60"/>
    </row>
    <row r="3674" spans="1:8">
      <c r="A3674" s="60"/>
      <c r="B3674" s="77"/>
      <c r="C3674" s="60"/>
      <c r="D3674" s="81"/>
      <c r="E3674" s="62"/>
      <c r="F3674" s="60"/>
      <c r="G3674" s="62"/>
      <c r="H3674" s="60"/>
    </row>
    <row r="3675" spans="1:8">
      <c r="A3675" s="60"/>
      <c r="B3675" s="77"/>
      <c r="C3675" s="60"/>
      <c r="D3675" s="81"/>
      <c r="E3675" s="62"/>
      <c r="F3675" s="60"/>
      <c r="G3675" s="62"/>
      <c r="H3675" s="60"/>
    </row>
    <row r="3676" spans="1:8">
      <c r="A3676" s="60"/>
      <c r="B3676" s="77"/>
      <c r="C3676" s="60"/>
      <c r="D3676" s="81"/>
      <c r="E3676" s="62"/>
      <c r="F3676" s="60"/>
      <c r="G3676" s="62"/>
      <c r="H3676" s="60"/>
    </row>
    <row r="3677" spans="1:8">
      <c r="A3677" s="60"/>
      <c r="B3677" s="77"/>
      <c r="C3677" s="60"/>
      <c r="D3677" s="81"/>
      <c r="E3677" s="62"/>
      <c r="F3677" s="60"/>
      <c r="G3677" s="62"/>
      <c r="H3677" s="60"/>
    </row>
    <row r="3678" spans="1:8">
      <c r="A3678" s="60"/>
      <c r="B3678" s="77"/>
      <c r="C3678" s="60"/>
      <c r="D3678" s="81"/>
      <c r="E3678" s="62"/>
      <c r="F3678" s="60"/>
      <c r="G3678" s="62"/>
      <c r="H3678" s="60"/>
    </row>
    <row r="3679" spans="1:8">
      <c r="A3679" s="60"/>
      <c r="B3679" s="77"/>
      <c r="C3679" s="60"/>
      <c r="D3679" s="81"/>
      <c r="E3679" s="62"/>
      <c r="F3679" s="60"/>
      <c r="G3679" s="62"/>
      <c r="H3679" s="60"/>
    </row>
    <row r="3680" spans="1:8">
      <c r="A3680" s="60"/>
      <c r="B3680" s="77"/>
      <c r="C3680" s="60"/>
      <c r="D3680" s="81"/>
      <c r="E3680" s="62"/>
      <c r="F3680" s="60"/>
      <c r="G3680" s="62"/>
      <c r="H3680" s="60"/>
    </row>
    <row r="3681" spans="1:8">
      <c r="A3681" s="60"/>
      <c r="B3681" s="77"/>
      <c r="C3681" s="60"/>
      <c r="D3681" s="81"/>
      <c r="E3681" s="62"/>
      <c r="F3681" s="60"/>
      <c r="G3681" s="62"/>
      <c r="H3681" s="60"/>
    </row>
    <row r="3682" spans="1:8">
      <c r="A3682" s="60"/>
      <c r="B3682" s="77"/>
      <c r="C3682" s="60"/>
      <c r="D3682" s="81"/>
      <c r="E3682" s="62"/>
      <c r="F3682" s="60"/>
      <c r="G3682" s="62"/>
      <c r="H3682" s="60"/>
    </row>
    <row r="3683" spans="1:8">
      <c r="A3683" s="60"/>
      <c r="B3683" s="77"/>
      <c r="C3683" s="60"/>
      <c r="D3683" s="81"/>
      <c r="E3683" s="62"/>
      <c r="F3683" s="60"/>
      <c r="G3683" s="62"/>
      <c r="H3683" s="60"/>
    </row>
    <row r="3684" spans="1:8">
      <c r="A3684" s="60"/>
      <c r="B3684" s="77"/>
      <c r="C3684" s="60"/>
      <c r="D3684" s="81"/>
      <c r="E3684" s="62"/>
      <c r="F3684" s="60"/>
      <c r="G3684" s="62"/>
      <c r="H3684" s="60"/>
    </row>
    <row r="3685" spans="1:8">
      <c r="A3685" s="60"/>
      <c r="B3685" s="77"/>
      <c r="C3685" s="60"/>
      <c r="D3685" s="81"/>
      <c r="E3685" s="62"/>
      <c r="F3685" s="60"/>
      <c r="G3685" s="62"/>
      <c r="H3685" s="60"/>
    </row>
    <row r="3686" spans="1:8">
      <c r="A3686" s="60"/>
      <c r="B3686" s="77"/>
      <c r="C3686" s="60"/>
      <c r="D3686" s="81"/>
      <c r="E3686" s="62"/>
      <c r="F3686" s="60"/>
      <c r="G3686" s="62"/>
      <c r="H3686" s="60"/>
    </row>
    <row r="3687" spans="1:8">
      <c r="A3687" s="60"/>
      <c r="B3687" s="77"/>
      <c r="C3687" s="60"/>
      <c r="D3687" s="81"/>
      <c r="E3687" s="62"/>
      <c r="F3687" s="60"/>
      <c r="G3687" s="62"/>
      <c r="H3687" s="60"/>
    </row>
    <row r="3688" spans="1:8">
      <c r="A3688" s="60"/>
      <c r="B3688" s="77"/>
      <c r="C3688" s="60"/>
      <c r="D3688" s="81"/>
      <c r="E3688" s="62"/>
      <c r="F3688" s="60"/>
      <c r="G3688" s="62"/>
      <c r="H3688" s="60"/>
    </row>
    <row r="3689" spans="1:8">
      <c r="A3689" s="60"/>
      <c r="B3689" s="77"/>
      <c r="C3689" s="60"/>
      <c r="D3689" s="81"/>
      <c r="E3689" s="62"/>
      <c r="F3689" s="60"/>
      <c r="G3689" s="62"/>
      <c r="H3689" s="60"/>
    </row>
    <row r="3690" spans="1:8">
      <c r="A3690" s="60"/>
      <c r="B3690" s="77"/>
      <c r="C3690" s="60"/>
      <c r="D3690" s="81"/>
      <c r="E3690" s="62"/>
      <c r="F3690" s="60"/>
      <c r="G3690" s="62"/>
      <c r="H3690" s="60"/>
    </row>
    <row r="3691" spans="1:8">
      <c r="A3691" s="60"/>
      <c r="B3691" s="77"/>
      <c r="C3691" s="60"/>
      <c r="D3691" s="81"/>
      <c r="E3691" s="62"/>
      <c r="F3691" s="60"/>
      <c r="G3691" s="62"/>
      <c r="H3691" s="60"/>
    </row>
    <row r="3692" spans="1:8">
      <c r="A3692" s="60"/>
      <c r="B3692" s="77"/>
      <c r="C3692" s="60"/>
      <c r="D3692" s="81"/>
      <c r="E3692" s="62"/>
      <c r="F3692" s="60"/>
      <c r="G3692" s="62"/>
      <c r="H3692" s="60"/>
    </row>
    <row r="3693" spans="1:8">
      <c r="A3693" s="60"/>
      <c r="B3693" s="77"/>
      <c r="C3693" s="60"/>
      <c r="D3693" s="81"/>
      <c r="E3693" s="62"/>
      <c r="F3693" s="60"/>
      <c r="G3693" s="62"/>
      <c r="H3693" s="60"/>
    </row>
    <row r="3694" spans="1:8">
      <c r="A3694" s="60"/>
      <c r="B3694" s="77"/>
      <c r="C3694" s="60"/>
      <c r="D3694" s="81"/>
      <c r="E3694" s="62"/>
      <c r="F3694" s="60"/>
      <c r="G3694" s="62"/>
      <c r="H3694" s="60"/>
    </row>
    <row r="3695" spans="1:8">
      <c r="A3695" s="60"/>
      <c r="B3695" s="77"/>
      <c r="C3695" s="60"/>
      <c r="D3695" s="81"/>
      <c r="E3695" s="62"/>
      <c r="F3695" s="60"/>
      <c r="G3695" s="62"/>
      <c r="H3695" s="60"/>
    </row>
    <row r="3696" spans="1:8">
      <c r="A3696" s="60"/>
      <c r="B3696" s="77"/>
      <c r="C3696" s="60"/>
      <c r="D3696" s="81"/>
      <c r="E3696" s="62"/>
      <c r="F3696" s="60"/>
      <c r="G3696" s="62"/>
      <c r="H3696" s="60"/>
    </row>
    <row r="3697" spans="1:8">
      <c r="A3697" s="60"/>
      <c r="B3697" s="77"/>
      <c r="C3697" s="60"/>
      <c r="D3697" s="81"/>
      <c r="E3697" s="62"/>
      <c r="F3697" s="60"/>
      <c r="G3697" s="62"/>
      <c r="H3697" s="60"/>
    </row>
    <row r="3698" spans="1:8">
      <c r="A3698" s="60"/>
      <c r="B3698" s="77"/>
      <c r="C3698" s="60"/>
      <c r="D3698" s="81"/>
      <c r="E3698" s="62"/>
      <c r="F3698" s="60"/>
      <c r="G3698" s="62"/>
      <c r="H3698" s="60"/>
    </row>
    <row r="3699" spans="1:8">
      <c r="A3699" s="60"/>
      <c r="B3699" s="77"/>
      <c r="C3699" s="60"/>
      <c r="D3699" s="81"/>
      <c r="E3699" s="62"/>
      <c r="F3699" s="60"/>
      <c r="G3699" s="62"/>
      <c r="H3699" s="60"/>
    </row>
    <row r="3700" spans="1:8">
      <c r="A3700" s="60"/>
      <c r="B3700" s="77"/>
      <c r="C3700" s="60"/>
      <c r="D3700" s="81"/>
      <c r="E3700" s="62"/>
      <c r="F3700" s="60"/>
      <c r="G3700" s="62"/>
      <c r="H3700" s="60"/>
    </row>
    <row r="3701" spans="1:8">
      <c r="A3701" s="60"/>
      <c r="B3701" s="77"/>
      <c r="C3701" s="60"/>
      <c r="D3701" s="81"/>
      <c r="E3701" s="62"/>
      <c r="F3701" s="60"/>
      <c r="G3701" s="62"/>
      <c r="H3701" s="60"/>
    </row>
    <row r="3702" spans="1:8">
      <c r="A3702" s="60"/>
      <c r="B3702" s="77"/>
      <c r="C3702" s="60"/>
      <c r="D3702" s="81"/>
      <c r="E3702" s="62"/>
      <c r="F3702" s="60"/>
      <c r="G3702" s="62"/>
      <c r="H3702" s="60"/>
    </row>
    <row r="3703" spans="1:8">
      <c r="A3703" s="60"/>
      <c r="B3703" s="77"/>
      <c r="C3703" s="60"/>
      <c r="D3703" s="81"/>
      <c r="E3703" s="62"/>
      <c r="F3703" s="60"/>
      <c r="G3703" s="62"/>
      <c r="H3703" s="60"/>
    </row>
    <row r="3704" spans="1:8">
      <c r="A3704" s="60"/>
      <c r="B3704" s="77"/>
      <c r="C3704" s="60"/>
      <c r="D3704" s="81"/>
      <c r="E3704" s="62"/>
      <c r="F3704" s="60"/>
      <c r="G3704" s="62"/>
      <c r="H3704" s="60"/>
    </row>
    <row r="3705" spans="1:8">
      <c r="A3705" s="60"/>
      <c r="B3705" s="77"/>
      <c r="C3705" s="60"/>
      <c r="D3705" s="81"/>
      <c r="E3705" s="62"/>
      <c r="F3705" s="60"/>
      <c r="G3705" s="62"/>
      <c r="H3705" s="60"/>
    </row>
    <row r="3706" spans="1:8">
      <c r="A3706" s="60"/>
      <c r="B3706" s="77"/>
      <c r="C3706" s="60"/>
      <c r="D3706" s="81"/>
      <c r="E3706" s="62"/>
      <c r="F3706" s="60"/>
      <c r="G3706" s="62"/>
      <c r="H3706" s="60"/>
    </row>
    <row r="3707" spans="1:8">
      <c r="A3707" s="60"/>
      <c r="B3707" s="77"/>
      <c r="C3707" s="60"/>
      <c r="D3707" s="81"/>
      <c r="E3707" s="62"/>
      <c r="F3707" s="60"/>
      <c r="G3707" s="62"/>
      <c r="H3707" s="60"/>
    </row>
    <row r="3708" spans="1:8">
      <c r="A3708" s="60"/>
      <c r="B3708" s="77"/>
      <c r="C3708" s="60"/>
      <c r="D3708" s="81"/>
      <c r="E3708" s="62"/>
      <c r="F3708" s="60"/>
      <c r="G3708" s="62"/>
      <c r="H3708" s="60"/>
    </row>
    <row r="3709" spans="1:8">
      <c r="A3709" s="60"/>
      <c r="B3709" s="77"/>
      <c r="C3709" s="60"/>
      <c r="D3709" s="81"/>
      <c r="E3709" s="62"/>
      <c r="F3709" s="60"/>
      <c r="G3709" s="62"/>
      <c r="H3709" s="60"/>
    </row>
    <row r="3710" spans="1:8">
      <c r="A3710" s="60"/>
      <c r="B3710" s="77"/>
      <c r="C3710" s="60"/>
      <c r="D3710" s="81"/>
      <c r="E3710" s="62"/>
      <c r="F3710" s="60"/>
      <c r="G3710" s="62"/>
      <c r="H3710" s="60"/>
    </row>
    <row r="3711" spans="1:8">
      <c r="A3711" s="60"/>
      <c r="B3711" s="77"/>
      <c r="C3711" s="60"/>
      <c r="D3711" s="81"/>
      <c r="E3711" s="62"/>
      <c r="F3711" s="60"/>
      <c r="G3711" s="62"/>
      <c r="H3711" s="60"/>
    </row>
    <row r="3712" spans="1:8">
      <c r="A3712" s="60"/>
      <c r="B3712" s="77"/>
      <c r="C3712" s="60"/>
      <c r="D3712" s="81"/>
      <c r="E3712" s="62"/>
      <c r="F3712" s="60"/>
      <c r="G3712" s="62"/>
      <c r="H3712" s="60"/>
    </row>
    <row r="3713" spans="1:8">
      <c r="A3713" s="60"/>
      <c r="B3713" s="77"/>
      <c r="C3713" s="60"/>
      <c r="D3713" s="81"/>
      <c r="E3713" s="62"/>
      <c r="F3713" s="60"/>
      <c r="G3713" s="62"/>
      <c r="H3713" s="60"/>
    </row>
    <row r="3714" spans="1:8">
      <c r="A3714" s="60"/>
      <c r="B3714" s="77"/>
      <c r="C3714" s="60"/>
      <c r="D3714" s="81"/>
      <c r="E3714" s="62"/>
      <c r="F3714" s="60"/>
      <c r="G3714" s="62"/>
      <c r="H3714" s="60"/>
    </row>
    <row r="3715" spans="1:8">
      <c r="A3715" s="60"/>
      <c r="B3715" s="77"/>
      <c r="C3715" s="60"/>
      <c r="D3715" s="81"/>
      <c r="E3715" s="62"/>
      <c r="F3715" s="60"/>
      <c r="G3715" s="62"/>
      <c r="H3715" s="60"/>
    </row>
    <row r="3716" spans="1:8">
      <c r="A3716" s="60"/>
      <c r="B3716" s="77"/>
      <c r="C3716" s="60"/>
      <c r="D3716" s="81"/>
      <c r="E3716" s="62"/>
      <c r="F3716" s="60"/>
      <c r="G3716" s="62"/>
      <c r="H3716" s="60"/>
    </row>
    <row r="3717" spans="1:8">
      <c r="A3717" s="60"/>
      <c r="B3717" s="77"/>
      <c r="C3717" s="60"/>
      <c r="D3717" s="81"/>
      <c r="E3717" s="62"/>
      <c r="F3717" s="60"/>
      <c r="G3717" s="62"/>
      <c r="H3717" s="60"/>
    </row>
    <row r="3718" spans="1:8">
      <c r="A3718" s="60"/>
      <c r="B3718" s="77"/>
      <c r="C3718" s="60"/>
      <c r="D3718" s="81"/>
      <c r="E3718" s="62"/>
      <c r="F3718" s="60"/>
      <c r="G3718" s="62"/>
      <c r="H3718" s="60"/>
    </row>
    <row r="3719" spans="1:8">
      <c r="A3719" s="60"/>
      <c r="B3719" s="77"/>
      <c r="C3719" s="60"/>
      <c r="D3719" s="81"/>
      <c r="E3719" s="62"/>
      <c r="F3719" s="60"/>
      <c r="G3719" s="62"/>
      <c r="H3719" s="60"/>
    </row>
    <row r="3720" spans="1:8">
      <c r="A3720" s="60"/>
      <c r="B3720" s="77"/>
      <c r="C3720" s="60"/>
      <c r="D3720" s="81"/>
      <c r="E3720" s="62"/>
      <c r="F3720" s="60"/>
      <c r="G3720" s="62"/>
      <c r="H3720" s="60"/>
    </row>
    <row r="3721" spans="1:8">
      <c r="A3721" s="60"/>
      <c r="B3721" s="77"/>
      <c r="C3721" s="60"/>
      <c r="D3721" s="81"/>
      <c r="E3721" s="62"/>
      <c r="F3721" s="60"/>
      <c r="G3721" s="62"/>
      <c r="H3721" s="60"/>
    </row>
    <row r="3722" spans="1:8">
      <c r="A3722" s="60"/>
      <c r="B3722" s="77"/>
      <c r="C3722" s="60"/>
      <c r="D3722" s="81"/>
      <c r="E3722" s="62"/>
      <c r="F3722" s="60"/>
      <c r="G3722" s="62"/>
      <c r="H3722" s="60"/>
    </row>
    <row r="3723" spans="1:8">
      <c r="A3723" s="60"/>
      <c r="B3723" s="77"/>
      <c r="C3723" s="60"/>
      <c r="D3723" s="81"/>
      <c r="E3723" s="62"/>
      <c r="F3723" s="60"/>
      <c r="G3723" s="62"/>
      <c r="H3723" s="60"/>
    </row>
    <row r="3724" spans="1:8">
      <c r="A3724" s="60"/>
      <c r="B3724" s="77"/>
      <c r="C3724" s="60"/>
      <c r="D3724" s="81"/>
      <c r="E3724" s="62"/>
      <c r="F3724" s="60"/>
      <c r="G3724" s="62"/>
      <c r="H3724" s="60"/>
    </row>
    <row r="3725" spans="1:8">
      <c r="A3725" s="60"/>
      <c r="B3725" s="77"/>
      <c r="C3725" s="60"/>
      <c r="D3725" s="81"/>
      <c r="E3725" s="62"/>
      <c r="F3725" s="60"/>
      <c r="G3725" s="62"/>
      <c r="H3725" s="60"/>
    </row>
    <row r="3726" spans="1:8">
      <c r="A3726" s="60"/>
      <c r="B3726" s="77"/>
      <c r="C3726" s="60"/>
      <c r="D3726" s="81"/>
      <c r="E3726" s="62"/>
      <c r="F3726" s="60"/>
      <c r="G3726" s="62"/>
      <c r="H3726" s="60"/>
    </row>
    <row r="3727" spans="1:8">
      <c r="A3727" s="60"/>
      <c r="B3727" s="77"/>
      <c r="C3727" s="60"/>
      <c r="D3727" s="81"/>
      <c r="E3727" s="62"/>
      <c r="F3727" s="60"/>
      <c r="G3727" s="62"/>
      <c r="H3727" s="60"/>
    </row>
    <row r="3728" spans="1:8">
      <c r="A3728" s="60"/>
      <c r="B3728" s="77"/>
      <c r="C3728" s="60"/>
      <c r="D3728" s="81"/>
      <c r="E3728" s="62"/>
      <c r="F3728" s="60"/>
      <c r="G3728" s="62"/>
      <c r="H3728" s="60"/>
    </row>
    <row r="3729" spans="1:8">
      <c r="A3729" s="60"/>
      <c r="B3729" s="77"/>
      <c r="C3729" s="60"/>
      <c r="D3729" s="81"/>
      <c r="E3729" s="62"/>
      <c r="F3729" s="60"/>
      <c r="G3729" s="62"/>
      <c r="H3729" s="60"/>
    </row>
    <row r="3730" spans="1:8">
      <c r="A3730" s="60"/>
      <c r="B3730" s="77"/>
      <c r="C3730" s="60"/>
      <c r="D3730" s="81"/>
      <c r="E3730" s="62"/>
      <c r="F3730" s="60"/>
      <c r="G3730" s="62"/>
      <c r="H3730" s="60"/>
    </row>
    <row r="3731" spans="1:8">
      <c r="A3731" s="60"/>
      <c r="B3731" s="77"/>
      <c r="C3731" s="60"/>
      <c r="D3731" s="81"/>
      <c r="E3731" s="62"/>
      <c r="F3731" s="60"/>
      <c r="G3731" s="62"/>
      <c r="H3731" s="60"/>
    </row>
    <row r="3732" spans="1:8">
      <c r="A3732" s="60"/>
      <c r="B3732" s="77"/>
      <c r="C3732" s="60"/>
      <c r="D3732" s="81"/>
      <c r="E3732" s="62"/>
      <c r="F3732" s="60"/>
      <c r="G3732" s="62"/>
      <c r="H3732" s="60"/>
    </row>
    <row r="3733" spans="1:8">
      <c r="A3733" s="60"/>
      <c r="B3733" s="77"/>
      <c r="C3733" s="60"/>
      <c r="D3733" s="81"/>
      <c r="E3733" s="62"/>
      <c r="F3733" s="60"/>
      <c r="G3733" s="62"/>
      <c r="H3733" s="60"/>
    </row>
    <row r="3734" spans="1:8">
      <c r="A3734" s="60"/>
      <c r="B3734" s="77"/>
      <c r="C3734" s="60"/>
      <c r="D3734" s="81"/>
      <c r="E3734" s="62"/>
      <c r="F3734" s="60"/>
      <c r="G3734" s="62"/>
      <c r="H3734" s="60"/>
    </row>
    <row r="3735" spans="1:8">
      <c r="A3735" s="60"/>
      <c r="B3735" s="77"/>
      <c r="C3735" s="60"/>
      <c r="D3735" s="81"/>
      <c r="E3735" s="62"/>
      <c r="F3735" s="60"/>
      <c r="G3735" s="62"/>
      <c r="H3735" s="60"/>
    </row>
    <row r="3736" spans="1:8">
      <c r="A3736" s="60"/>
      <c r="B3736" s="77"/>
      <c r="C3736" s="60"/>
      <c r="D3736" s="81"/>
      <c r="E3736" s="62"/>
      <c r="F3736" s="60"/>
      <c r="G3736" s="62"/>
      <c r="H3736" s="60"/>
    </row>
    <row r="3737" spans="1:8">
      <c r="A3737" s="60"/>
      <c r="B3737" s="77"/>
      <c r="C3737" s="60"/>
      <c r="D3737" s="81"/>
      <c r="E3737" s="62"/>
      <c r="F3737" s="60"/>
      <c r="G3737" s="62"/>
      <c r="H3737" s="60"/>
    </row>
    <row r="3738" spans="1:8">
      <c r="A3738" s="60"/>
      <c r="B3738" s="77"/>
      <c r="C3738" s="60"/>
      <c r="D3738" s="81"/>
      <c r="E3738" s="62"/>
      <c r="F3738" s="60"/>
      <c r="G3738" s="62"/>
      <c r="H3738" s="60"/>
    </row>
    <row r="3739" spans="1:8">
      <c r="A3739" s="60"/>
      <c r="B3739" s="77"/>
      <c r="C3739" s="60"/>
      <c r="D3739" s="81"/>
      <c r="E3739" s="62"/>
      <c r="F3739" s="60"/>
      <c r="G3739" s="62"/>
      <c r="H3739" s="60"/>
    </row>
    <row r="3740" spans="1:8">
      <c r="A3740" s="60"/>
      <c r="B3740" s="77"/>
      <c r="C3740" s="60"/>
      <c r="D3740" s="81"/>
      <c r="E3740" s="62"/>
      <c r="F3740" s="60"/>
      <c r="G3740" s="62"/>
      <c r="H3740" s="60"/>
    </row>
    <row r="3741" spans="1:8">
      <c r="A3741" s="60"/>
      <c r="B3741" s="77"/>
      <c r="C3741" s="60"/>
      <c r="D3741" s="81"/>
      <c r="E3741" s="62"/>
      <c r="F3741" s="60"/>
      <c r="G3741" s="62"/>
      <c r="H3741" s="60"/>
    </row>
    <row r="3742" spans="1:8">
      <c r="A3742" s="60"/>
      <c r="B3742" s="77"/>
      <c r="C3742" s="60"/>
      <c r="D3742" s="81"/>
      <c r="E3742" s="62"/>
      <c r="F3742" s="60"/>
      <c r="G3742" s="62"/>
      <c r="H3742" s="60"/>
    </row>
    <row r="3743" spans="1:8">
      <c r="A3743" s="60"/>
      <c r="B3743" s="77"/>
      <c r="C3743" s="60"/>
      <c r="D3743" s="81"/>
      <c r="E3743" s="62"/>
      <c r="F3743" s="60"/>
      <c r="G3743" s="62"/>
      <c r="H3743" s="60"/>
    </row>
    <row r="3744" spans="1:8">
      <c r="A3744" s="60"/>
      <c r="B3744" s="77"/>
      <c r="C3744" s="60"/>
      <c r="D3744" s="81"/>
      <c r="E3744" s="62"/>
      <c r="F3744" s="60"/>
      <c r="G3744" s="62"/>
      <c r="H3744" s="60"/>
    </row>
    <row r="3745" spans="1:8">
      <c r="A3745" s="60"/>
      <c r="B3745" s="77"/>
      <c r="C3745" s="60"/>
      <c r="D3745" s="81"/>
      <c r="E3745" s="62"/>
      <c r="F3745" s="60"/>
      <c r="G3745" s="62"/>
      <c r="H3745" s="60"/>
    </row>
    <row r="3746" spans="1:8">
      <c r="A3746" s="60"/>
      <c r="B3746" s="77"/>
      <c r="C3746" s="60"/>
      <c r="D3746" s="81"/>
      <c r="E3746" s="62"/>
      <c r="F3746" s="60"/>
      <c r="G3746" s="62"/>
      <c r="H3746" s="60"/>
    </row>
    <row r="3747" spans="1:8">
      <c r="A3747" s="60"/>
      <c r="B3747" s="77"/>
      <c r="C3747" s="60"/>
      <c r="D3747" s="81"/>
      <c r="E3747" s="62"/>
      <c r="F3747" s="60"/>
      <c r="G3747" s="62"/>
      <c r="H3747" s="60"/>
    </row>
    <row r="3748" spans="1:8">
      <c r="A3748" s="60"/>
      <c r="B3748" s="77"/>
      <c r="C3748" s="60"/>
      <c r="D3748" s="81"/>
      <c r="E3748" s="62"/>
      <c r="F3748" s="60"/>
      <c r="G3748" s="62"/>
      <c r="H3748" s="60"/>
    </row>
    <row r="3749" spans="1:8">
      <c r="A3749" s="60"/>
      <c r="B3749" s="77"/>
      <c r="C3749" s="60"/>
      <c r="D3749" s="81"/>
      <c r="E3749" s="62"/>
      <c r="F3749" s="60"/>
      <c r="G3749" s="62"/>
      <c r="H3749" s="60"/>
    </row>
    <row r="3750" spans="1:8">
      <c r="A3750" s="60"/>
      <c r="B3750" s="77"/>
      <c r="C3750" s="60"/>
      <c r="D3750" s="81"/>
      <c r="E3750" s="62"/>
      <c r="F3750" s="60"/>
      <c r="G3750" s="62"/>
      <c r="H3750" s="60"/>
    </row>
    <row r="3751" spans="1:8">
      <c r="A3751" s="60"/>
      <c r="B3751" s="77"/>
      <c r="C3751" s="60"/>
      <c r="D3751" s="81"/>
      <c r="E3751" s="62"/>
      <c r="F3751" s="60"/>
      <c r="G3751" s="62"/>
      <c r="H3751" s="60"/>
    </row>
    <row r="3752" spans="1:8">
      <c r="A3752" s="60"/>
      <c r="B3752" s="77"/>
      <c r="C3752" s="60"/>
      <c r="D3752" s="81"/>
      <c r="E3752" s="62"/>
      <c r="F3752" s="60"/>
      <c r="G3752" s="62"/>
      <c r="H3752" s="60"/>
    </row>
    <row r="3753" spans="1:8">
      <c r="A3753" s="60"/>
      <c r="B3753" s="77"/>
      <c r="C3753" s="60"/>
      <c r="D3753" s="81"/>
      <c r="E3753" s="62"/>
      <c r="F3753" s="60"/>
      <c r="G3753" s="62"/>
      <c r="H3753" s="60"/>
    </row>
    <row r="3754" spans="1:8">
      <c r="A3754" s="60"/>
      <c r="B3754" s="77"/>
      <c r="C3754" s="60"/>
      <c r="D3754" s="81"/>
      <c r="E3754" s="62"/>
      <c r="F3754" s="60"/>
      <c r="G3754" s="62"/>
      <c r="H3754" s="60"/>
    </row>
    <row r="3755" spans="1:8">
      <c r="A3755" s="60"/>
      <c r="B3755" s="77"/>
      <c r="C3755" s="60"/>
      <c r="D3755" s="81"/>
      <c r="E3755" s="62"/>
      <c r="F3755" s="60"/>
      <c r="G3755" s="62"/>
      <c r="H3755" s="60"/>
    </row>
    <row r="3756" spans="1:8">
      <c r="A3756" s="60"/>
      <c r="B3756" s="77"/>
      <c r="C3756" s="60"/>
      <c r="D3756" s="81"/>
      <c r="E3756" s="62"/>
      <c r="F3756" s="60"/>
      <c r="G3756" s="62"/>
      <c r="H3756" s="60"/>
    </row>
    <row r="3757" spans="1:8">
      <c r="A3757" s="60"/>
      <c r="B3757" s="77"/>
      <c r="C3757" s="60"/>
      <c r="D3757" s="81"/>
      <c r="E3757" s="62"/>
      <c r="F3757" s="60"/>
      <c r="G3757" s="62"/>
      <c r="H3757" s="60"/>
    </row>
    <row r="3758" spans="1:8">
      <c r="A3758" s="60"/>
      <c r="B3758" s="77"/>
      <c r="C3758" s="60"/>
      <c r="D3758" s="81"/>
      <c r="E3758" s="62"/>
      <c r="F3758" s="60"/>
      <c r="G3758" s="62"/>
      <c r="H3758" s="60"/>
    </row>
    <row r="3759" spans="1:8">
      <c r="A3759" s="60"/>
      <c r="B3759" s="77"/>
      <c r="C3759" s="60"/>
      <c r="D3759" s="81"/>
      <c r="E3759" s="62"/>
      <c r="F3759" s="60"/>
      <c r="G3759" s="62"/>
      <c r="H3759" s="60"/>
    </row>
    <row r="3760" spans="1:8">
      <c r="A3760" s="60"/>
      <c r="B3760" s="77"/>
      <c r="C3760" s="60"/>
      <c r="D3760" s="81"/>
      <c r="E3760" s="62"/>
      <c r="F3760" s="60"/>
      <c r="G3760" s="62"/>
      <c r="H3760" s="60"/>
    </row>
    <row r="3761" spans="1:8">
      <c r="A3761" s="60"/>
      <c r="B3761" s="77"/>
      <c r="C3761" s="60"/>
      <c r="D3761" s="81"/>
      <c r="E3761" s="62"/>
      <c r="F3761" s="60"/>
      <c r="G3761" s="62"/>
      <c r="H3761" s="60"/>
    </row>
    <row r="3762" spans="1:8">
      <c r="A3762" s="60"/>
      <c r="B3762" s="77"/>
      <c r="C3762" s="60"/>
      <c r="D3762" s="81"/>
      <c r="E3762" s="62"/>
      <c r="F3762" s="60"/>
      <c r="G3762" s="62"/>
      <c r="H3762" s="60"/>
    </row>
    <row r="3763" spans="1:8">
      <c r="A3763" s="60"/>
      <c r="B3763" s="77"/>
      <c r="C3763" s="60"/>
      <c r="D3763" s="81"/>
      <c r="E3763" s="62"/>
      <c r="F3763" s="60"/>
      <c r="G3763" s="62"/>
      <c r="H3763" s="60"/>
    </row>
    <row r="3764" spans="1:8">
      <c r="A3764" s="60"/>
      <c r="B3764" s="77"/>
      <c r="C3764" s="60"/>
      <c r="D3764" s="81"/>
      <c r="E3764" s="62"/>
      <c r="F3764" s="60"/>
      <c r="G3764" s="62"/>
      <c r="H3764" s="60"/>
    </row>
    <row r="3765" spans="1:8">
      <c r="A3765" s="60"/>
      <c r="B3765" s="77"/>
      <c r="C3765" s="60"/>
      <c r="D3765" s="81"/>
      <c r="E3765" s="62"/>
      <c r="F3765" s="60"/>
      <c r="G3765" s="62"/>
      <c r="H3765" s="60"/>
    </row>
    <row r="3766" spans="1:8">
      <c r="A3766" s="60"/>
      <c r="B3766" s="77"/>
      <c r="C3766" s="60"/>
      <c r="D3766" s="81"/>
      <c r="E3766" s="62"/>
      <c r="F3766" s="60"/>
      <c r="G3766" s="62"/>
      <c r="H3766" s="60"/>
    </row>
    <row r="3767" spans="1:8">
      <c r="A3767" s="60"/>
      <c r="B3767" s="77"/>
      <c r="C3767" s="60"/>
      <c r="D3767" s="81"/>
      <c r="E3767" s="62"/>
      <c r="F3767" s="60"/>
      <c r="G3767" s="62"/>
      <c r="H3767" s="60"/>
    </row>
    <row r="3768" spans="1:8">
      <c r="A3768" s="60"/>
      <c r="B3768" s="77"/>
      <c r="C3768" s="60"/>
      <c r="D3768" s="81"/>
      <c r="E3768" s="62"/>
      <c r="F3768" s="60"/>
      <c r="G3768" s="62"/>
      <c r="H3768" s="60"/>
    </row>
    <row r="3769" spans="1:8">
      <c r="A3769" s="60"/>
      <c r="B3769" s="77"/>
      <c r="C3769" s="60"/>
      <c r="D3769" s="81"/>
      <c r="E3769" s="62"/>
      <c r="F3769" s="60"/>
      <c r="G3769" s="62"/>
      <c r="H3769" s="60"/>
    </row>
    <row r="3770" spans="1:8">
      <c r="A3770" s="60"/>
      <c r="B3770" s="77"/>
      <c r="C3770" s="60"/>
      <c r="D3770" s="81"/>
      <c r="E3770" s="62"/>
      <c r="F3770" s="60"/>
      <c r="G3770" s="62"/>
      <c r="H3770" s="60"/>
    </row>
    <row r="3771" spans="1:8">
      <c r="A3771" s="60"/>
      <c r="B3771" s="77"/>
      <c r="C3771" s="60"/>
      <c r="D3771" s="81"/>
      <c r="E3771" s="62"/>
      <c r="F3771" s="60"/>
      <c r="G3771" s="62"/>
      <c r="H3771" s="60"/>
    </row>
    <row r="3772" spans="1:8">
      <c r="A3772" s="60"/>
      <c r="B3772" s="77"/>
      <c r="C3772" s="60"/>
      <c r="D3772" s="81"/>
      <c r="E3772" s="62"/>
      <c r="F3772" s="60"/>
      <c r="G3772" s="62"/>
      <c r="H3772" s="60"/>
    </row>
    <row r="3773" spans="1:8">
      <c r="A3773" s="60"/>
      <c r="B3773" s="77"/>
      <c r="C3773" s="60"/>
      <c r="D3773" s="81"/>
      <c r="E3773" s="62"/>
      <c r="F3773" s="60"/>
      <c r="G3773" s="62"/>
      <c r="H3773" s="60"/>
    </row>
    <row r="3774" spans="1:8">
      <c r="A3774" s="60"/>
      <c r="B3774" s="77"/>
      <c r="C3774" s="60"/>
      <c r="D3774" s="81"/>
      <c r="E3774" s="62"/>
      <c r="F3774" s="60"/>
      <c r="G3774" s="62"/>
      <c r="H3774" s="60"/>
    </row>
    <row r="3775" spans="1:8">
      <c r="A3775" s="60"/>
      <c r="B3775" s="77"/>
      <c r="C3775" s="60"/>
      <c r="D3775" s="81"/>
      <c r="E3775" s="62"/>
      <c r="F3775" s="60"/>
      <c r="G3775" s="62"/>
      <c r="H3775" s="60"/>
    </row>
    <row r="3776" spans="1:8">
      <c r="A3776" s="60"/>
      <c r="B3776" s="77"/>
      <c r="C3776" s="60"/>
      <c r="D3776" s="81"/>
      <c r="E3776" s="62"/>
      <c r="F3776" s="60"/>
      <c r="G3776" s="62"/>
      <c r="H3776" s="60"/>
    </row>
    <row r="3777" spans="1:8">
      <c r="A3777" s="60"/>
      <c r="B3777" s="77"/>
      <c r="C3777" s="60"/>
      <c r="D3777" s="81"/>
      <c r="E3777" s="62"/>
      <c r="F3777" s="60"/>
      <c r="G3777" s="62"/>
      <c r="H3777" s="60"/>
    </row>
    <row r="3778" spans="1:8">
      <c r="A3778" s="60"/>
      <c r="B3778" s="77"/>
      <c r="C3778" s="60"/>
      <c r="D3778" s="81"/>
      <c r="E3778" s="62"/>
      <c r="F3778" s="60"/>
      <c r="G3778" s="62"/>
      <c r="H3778" s="60"/>
    </row>
    <row r="3779" spans="1:8">
      <c r="A3779" s="60"/>
      <c r="B3779" s="77"/>
      <c r="C3779" s="60"/>
      <c r="D3779" s="81"/>
      <c r="E3779" s="62"/>
      <c r="F3779" s="60"/>
      <c r="G3779" s="62"/>
      <c r="H3779" s="60"/>
    </row>
    <row r="3780" spans="1:8">
      <c r="A3780" s="60"/>
      <c r="B3780" s="77"/>
      <c r="C3780" s="60"/>
      <c r="D3780" s="81"/>
      <c r="E3780" s="62"/>
      <c r="F3780" s="60"/>
      <c r="G3780" s="62"/>
      <c r="H3780" s="60"/>
    </row>
    <row r="3781" spans="1:8">
      <c r="A3781" s="60"/>
      <c r="B3781" s="77"/>
      <c r="C3781" s="60"/>
      <c r="D3781" s="81"/>
      <c r="E3781" s="62"/>
      <c r="F3781" s="60"/>
      <c r="G3781" s="62"/>
      <c r="H3781" s="60"/>
    </row>
    <row r="3782" spans="1:8">
      <c r="A3782" s="60"/>
      <c r="B3782" s="77"/>
      <c r="C3782" s="60"/>
      <c r="D3782" s="81"/>
      <c r="E3782" s="62"/>
      <c r="F3782" s="60"/>
      <c r="G3782" s="62"/>
      <c r="H3782" s="60"/>
    </row>
    <row r="3783" spans="1:8">
      <c r="A3783" s="60"/>
      <c r="B3783" s="77"/>
      <c r="C3783" s="60"/>
      <c r="D3783" s="81"/>
      <c r="E3783" s="62"/>
      <c r="F3783" s="60"/>
      <c r="G3783" s="62"/>
      <c r="H3783" s="60"/>
    </row>
    <row r="3784" spans="1:8">
      <c r="A3784" s="60"/>
      <c r="B3784" s="77"/>
      <c r="C3784" s="60"/>
      <c r="D3784" s="81"/>
      <c r="E3784" s="62"/>
      <c r="F3784" s="60"/>
      <c r="G3784" s="62"/>
      <c r="H3784" s="60"/>
    </row>
    <row r="3785" spans="1:8">
      <c r="A3785" s="60"/>
      <c r="B3785" s="77"/>
      <c r="C3785" s="60"/>
      <c r="D3785" s="81"/>
      <c r="E3785" s="62"/>
      <c r="F3785" s="60"/>
      <c r="G3785" s="62"/>
      <c r="H3785" s="60"/>
    </row>
    <row r="3786" spans="1:8">
      <c r="A3786" s="60"/>
      <c r="B3786" s="77"/>
      <c r="C3786" s="60"/>
      <c r="D3786" s="81"/>
      <c r="E3786" s="62"/>
      <c r="F3786" s="60"/>
      <c r="G3786" s="62"/>
      <c r="H3786" s="60"/>
    </row>
    <row r="3787" spans="1:8">
      <c r="A3787" s="60"/>
      <c r="B3787" s="77"/>
      <c r="C3787" s="60"/>
      <c r="D3787" s="81"/>
      <c r="E3787" s="62"/>
      <c r="F3787" s="60"/>
      <c r="G3787" s="62"/>
      <c r="H3787" s="60"/>
    </row>
    <row r="3788" spans="1:8">
      <c r="A3788" s="60"/>
      <c r="B3788" s="77"/>
      <c r="C3788" s="60"/>
      <c r="D3788" s="81"/>
      <c r="E3788" s="62"/>
      <c r="F3788" s="60"/>
      <c r="G3788" s="62"/>
      <c r="H3788" s="60"/>
    </row>
    <row r="3789" spans="1:8">
      <c r="A3789" s="60"/>
      <c r="B3789" s="77"/>
      <c r="C3789" s="60"/>
      <c r="D3789" s="81"/>
      <c r="E3789" s="62"/>
      <c r="F3789" s="60"/>
      <c r="G3789" s="62"/>
      <c r="H3789" s="60"/>
    </row>
    <row r="3790" spans="1:8">
      <c r="A3790" s="60"/>
      <c r="B3790" s="77"/>
      <c r="C3790" s="60"/>
      <c r="D3790" s="81"/>
      <c r="E3790" s="62"/>
      <c r="F3790" s="60"/>
      <c r="G3790" s="62"/>
      <c r="H3790" s="60"/>
    </row>
    <row r="3791" spans="1:8">
      <c r="A3791" s="60"/>
      <c r="B3791" s="77"/>
      <c r="C3791" s="60"/>
      <c r="D3791" s="81"/>
      <c r="E3791" s="62"/>
      <c r="F3791" s="60"/>
      <c r="G3791" s="62"/>
      <c r="H3791" s="60"/>
    </row>
    <row r="3792" spans="1:8">
      <c r="A3792" s="60"/>
      <c r="B3792" s="77"/>
      <c r="C3792" s="60"/>
      <c r="D3792" s="81"/>
      <c r="E3792" s="62"/>
      <c r="F3792" s="60"/>
      <c r="G3792" s="62"/>
      <c r="H3792" s="60"/>
    </row>
    <row r="3793" spans="1:8">
      <c r="A3793" s="60"/>
      <c r="B3793" s="77"/>
      <c r="C3793" s="60"/>
      <c r="D3793" s="81"/>
      <c r="E3793" s="62"/>
      <c r="F3793" s="60"/>
      <c r="G3793" s="62"/>
      <c r="H3793" s="60"/>
    </row>
    <row r="3794" spans="1:8">
      <c r="A3794" s="60"/>
      <c r="B3794" s="77"/>
      <c r="C3794" s="60"/>
      <c r="D3794" s="81"/>
      <c r="E3794" s="62"/>
      <c r="F3794" s="60"/>
      <c r="G3794" s="62"/>
      <c r="H3794" s="60"/>
    </row>
    <row r="3795" spans="1:8">
      <c r="A3795" s="60"/>
      <c r="B3795" s="77"/>
      <c r="C3795" s="60"/>
      <c r="D3795" s="81"/>
      <c r="E3795" s="62"/>
      <c r="F3795" s="60"/>
      <c r="G3795" s="62"/>
      <c r="H3795" s="60"/>
    </row>
    <row r="3796" spans="1:8">
      <c r="A3796" s="60"/>
      <c r="B3796" s="77"/>
      <c r="C3796" s="60"/>
      <c r="D3796" s="81"/>
      <c r="E3796" s="62"/>
      <c r="F3796" s="60"/>
      <c r="G3796" s="62"/>
      <c r="H3796" s="60"/>
    </row>
    <row r="3797" spans="1:8">
      <c r="A3797" s="60"/>
      <c r="B3797" s="77"/>
      <c r="C3797" s="60"/>
      <c r="D3797" s="81"/>
      <c r="E3797" s="62"/>
      <c r="F3797" s="60"/>
      <c r="G3797" s="62"/>
      <c r="H3797" s="60"/>
    </row>
    <row r="3798" spans="1:8">
      <c r="A3798" s="60"/>
      <c r="B3798" s="77"/>
      <c r="C3798" s="60"/>
      <c r="D3798" s="81"/>
      <c r="E3798" s="62"/>
      <c r="F3798" s="60"/>
      <c r="G3798" s="62"/>
      <c r="H3798" s="60"/>
    </row>
    <row r="3799" spans="1:8">
      <c r="A3799" s="60"/>
      <c r="B3799" s="77"/>
      <c r="C3799" s="60"/>
      <c r="D3799" s="81"/>
      <c r="E3799" s="62"/>
      <c r="F3799" s="60"/>
      <c r="G3799" s="62"/>
      <c r="H3799" s="60"/>
    </row>
    <row r="3800" spans="1:8">
      <c r="A3800" s="60"/>
      <c r="B3800" s="77"/>
      <c r="C3800" s="60"/>
      <c r="D3800" s="81"/>
      <c r="E3800" s="62"/>
      <c r="F3800" s="60"/>
      <c r="G3800" s="62"/>
      <c r="H3800" s="60"/>
    </row>
    <row r="3801" spans="1:8">
      <c r="A3801" s="60"/>
      <c r="B3801" s="77"/>
      <c r="C3801" s="60"/>
      <c r="D3801" s="81"/>
      <c r="E3801" s="62"/>
      <c r="F3801" s="60"/>
      <c r="G3801" s="62"/>
      <c r="H3801" s="60"/>
    </row>
    <row r="3802" spans="1:8">
      <c r="A3802" s="60"/>
      <c r="B3802" s="77"/>
      <c r="C3802" s="60"/>
      <c r="D3802" s="81"/>
      <c r="E3802" s="62"/>
      <c r="F3802" s="60"/>
      <c r="G3802" s="62"/>
      <c r="H3802" s="60"/>
    </row>
    <row r="3803" spans="1:8">
      <c r="A3803" s="60"/>
      <c r="B3803" s="77"/>
      <c r="C3803" s="60"/>
      <c r="D3803" s="81"/>
      <c r="E3803" s="62"/>
      <c r="F3803" s="60"/>
      <c r="G3803" s="62"/>
      <c r="H3803" s="60"/>
    </row>
    <row r="3804" spans="1:8">
      <c r="A3804" s="60"/>
      <c r="B3804" s="77"/>
      <c r="C3804" s="60"/>
      <c r="D3804" s="81"/>
      <c r="E3804" s="62"/>
      <c r="F3804" s="60"/>
      <c r="G3804" s="62"/>
      <c r="H3804" s="60"/>
    </row>
    <row r="3805" spans="1:8">
      <c r="A3805" s="60"/>
      <c r="B3805" s="77"/>
      <c r="C3805" s="60"/>
      <c r="D3805" s="81"/>
      <c r="E3805" s="62"/>
      <c r="F3805" s="60"/>
      <c r="G3805" s="62"/>
      <c r="H3805" s="60"/>
    </row>
    <row r="3806" spans="1:8">
      <c r="A3806" s="60"/>
      <c r="B3806" s="77"/>
      <c r="C3806" s="60"/>
      <c r="D3806" s="81"/>
      <c r="E3806" s="62"/>
      <c r="F3806" s="60"/>
      <c r="G3806" s="62"/>
      <c r="H3806" s="60"/>
    </row>
    <row r="3807" spans="1:8">
      <c r="A3807" s="60"/>
      <c r="B3807" s="77"/>
      <c r="C3807" s="60"/>
      <c r="D3807" s="81"/>
      <c r="E3807" s="62"/>
      <c r="F3807" s="60"/>
      <c r="G3807" s="62"/>
      <c r="H3807" s="60"/>
    </row>
    <row r="3808" spans="1:8">
      <c r="A3808" s="60"/>
      <c r="B3808" s="77"/>
      <c r="C3808" s="60"/>
      <c r="D3808" s="81"/>
      <c r="E3808" s="62"/>
      <c r="F3808" s="60"/>
      <c r="G3808" s="62"/>
      <c r="H3808" s="60"/>
    </row>
    <row r="3809" spans="1:8">
      <c r="A3809" s="60"/>
      <c r="B3809" s="77"/>
      <c r="C3809" s="60"/>
      <c r="D3809" s="81"/>
      <c r="E3809" s="62"/>
      <c r="F3809" s="60"/>
      <c r="G3809" s="62"/>
      <c r="H3809" s="60"/>
    </row>
    <row r="3810" spans="1:8">
      <c r="A3810" s="60"/>
      <c r="B3810" s="77"/>
      <c r="C3810" s="60"/>
      <c r="D3810" s="81"/>
      <c r="E3810" s="62"/>
      <c r="F3810" s="60"/>
      <c r="G3810" s="62"/>
      <c r="H3810" s="60"/>
    </row>
    <row r="3811" spans="1:8">
      <c r="A3811" s="60"/>
      <c r="B3811" s="77"/>
      <c r="C3811" s="60"/>
      <c r="D3811" s="81"/>
      <c r="E3811" s="62"/>
      <c r="F3811" s="60"/>
      <c r="G3811" s="62"/>
      <c r="H3811" s="60"/>
    </row>
    <row r="3812" spans="1:8">
      <c r="A3812" s="60"/>
      <c r="B3812" s="77"/>
      <c r="C3812" s="60"/>
      <c r="D3812" s="81"/>
      <c r="E3812" s="62"/>
      <c r="F3812" s="60"/>
      <c r="G3812" s="62"/>
      <c r="H3812" s="60"/>
    </row>
    <row r="3813" spans="1:8">
      <c r="A3813" s="60"/>
      <c r="B3813" s="77"/>
      <c r="C3813" s="60"/>
      <c r="D3813" s="81"/>
      <c r="E3813" s="62"/>
      <c r="F3813" s="60"/>
      <c r="G3813" s="62"/>
      <c r="H3813" s="60"/>
    </row>
    <row r="3814" spans="1:8">
      <c r="A3814" s="60"/>
      <c r="B3814" s="77"/>
      <c r="C3814" s="60"/>
      <c r="D3814" s="81"/>
      <c r="E3814" s="62"/>
      <c r="F3814" s="60"/>
      <c r="G3814" s="62"/>
      <c r="H3814" s="60"/>
    </row>
    <row r="3815" spans="1:8">
      <c r="A3815" s="60"/>
      <c r="B3815" s="77"/>
      <c r="C3815" s="60"/>
      <c r="D3815" s="81"/>
      <c r="E3815" s="62"/>
      <c r="F3815" s="60"/>
      <c r="G3815" s="62"/>
      <c r="H3815" s="60"/>
    </row>
    <row r="3816" spans="1:8">
      <c r="A3816" s="60"/>
      <c r="B3816" s="77"/>
      <c r="C3816" s="60"/>
      <c r="D3816" s="81"/>
      <c r="E3816" s="62"/>
      <c r="F3816" s="60"/>
      <c r="G3816" s="62"/>
      <c r="H3816" s="60"/>
    </row>
    <row r="3817" spans="1:8">
      <c r="A3817" s="60"/>
      <c r="B3817" s="77"/>
      <c r="C3817" s="60"/>
      <c r="D3817" s="81"/>
      <c r="E3817" s="62"/>
      <c r="F3817" s="60"/>
      <c r="G3817" s="62"/>
      <c r="H3817" s="60"/>
    </row>
    <row r="3818" spans="1:8">
      <c r="A3818" s="60"/>
      <c r="B3818" s="77"/>
      <c r="C3818" s="60"/>
      <c r="D3818" s="81"/>
      <c r="E3818" s="62"/>
      <c r="F3818" s="60"/>
      <c r="G3818" s="62"/>
      <c r="H3818" s="60"/>
    </row>
    <row r="3819" spans="1:8">
      <c r="A3819" s="60"/>
      <c r="B3819" s="77"/>
      <c r="C3819" s="60"/>
      <c r="D3819" s="81"/>
      <c r="E3819" s="62"/>
      <c r="F3819" s="60"/>
      <c r="G3819" s="62"/>
      <c r="H3819" s="60"/>
    </row>
    <row r="3820" spans="1:8">
      <c r="A3820" s="60"/>
      <c r="B3820" s="77"/>
      <c r="C3820" s="60"/>
      <c r="D3820" s="81"/>
      <c r="E3820" s="62"/>
      <c r="F3820" s="60"/>
      <c r="G3820" s="62"/>
      <c r="H3820" s="60"/>
    </row>
    <row r="3821" spans="1:8">
      <c r="A3821" s="60"/>
      <c r="B3821" s="77"/>
      <c r="C3821" s="60"/>
      <c r="D3821" s="81"/>
      <c r="E3821" s="62"/>
      <c r="F3821" s="60"/>
      <c r="G3821" s="62"/>
      <c r="H3821" s="60"/>
    </row>
    <row r="3822" spans="1:8">
      <c r="A3822" s="60"/>
      <c r="B3822" s="77"/>
      <c r="C3822" s="60"/>
      <c r="D3822" s="81"/>
      <c r="E3822" s="62"/>
      <c r="F3822" s="60"/>
      <c r="G3822" s="62"/>
      <c r="H3822" s="60"/>
    </row>
    <row r="3823" spans="1:8">
      <c r="A3823" s="60"/>
      <c r="B3823" s="77"/>
      <c r="C3823" s="60"/>
      <c r="D3823" s="81"/>
      <c r="E3823" s="62"/>
      <c r="F3823" s="60"/>
      <c r="G3823" s="62"/>
      <c r="H3823" s="60"/>
    </row>
    <row r="3824" spans="1:8">
      <c r="A3824" s="60"/>
      <c r="B3824" s="77"/>
      <c r="C3824" s="60"/>
      <c r="D3824" s="81"/>
      <c r="E3824" s="62"/>
      <c r="F3824" s="60"/>
      <c r="G3824" s="62"/>
      <c r="H3824" s="60"/>
    </row>
    <row r="3825" spans="1:8">
      <c r="A3825" s="60"/>
      <c r="B3825" s="77"/>
      <c r="C3825" s="60"/>
      <c r="D3825" s="81"/>
      <c r="E3825" s="62"/>
      <c r="F3825" s="60"/>
      <c r="G3825" s="62"/>
      <c r="H3825" s="60"/>
    </row>
    <row r="3826" spans="1:8">
      <c r="A3826" s="60"/>
      <c r="B3826" s="77"/>
      <c r="C3826" s="60"/>
      <c r="D3826" s="81"/>
      <c r="E3826" s="62"/>
      <c r="F3826" s="60"/>
      <c r="G3826" s="62"/>
      <c r="H3826" s="60"/>
    </row>
    <row r="3827" spans="1:8">
      <c r="A3827" s="60"/>
      <c r="B3827" s="77"/>
      <c r="C3827" s="60"/>
      <c r="D3827" s="81"/>
      <c r="E3827" s="62"/>
      <c r="F3827" s="60"/>
      <c r="G3827" s="62"/>
      <c r="H3827" s="60"/>
    </row>
    <row r="3828" spans="1:8">
      <c r="A3828" s="60"/>
      <c r="B3828" s="77"/>
      <c r="C3828" s="60"/>
      <c r="D3828" s="81"/>
      <c r="E3828" s="62"/>
      <c r="F3828" s="60"/>
      <c r="G3828" s="62"/>
      <c r="H3828" s="60"/>
    </row>
    <row r="3829" spans="1:8">
      <c r="A3829" s="60"/>
      <c r="B3829" s="77"/>
      <c r="C3829" s="60"/>
      <c r="D3829" s="81"/>
      <c r="E3829" s="62"/>
      <c r="F3829" s="60"/>
      <c r="G3829" s="62"/>
      <c r="H3829" s="60"/>
    </row>
    <row r="3830" spans="1:8">
      <c r="A3830" s="60"/>
      <c r="B3830" s="77"/>
      <c r="C3830" s="60"/>
      <c r="D3830" s="81"/>
      <c r="E3830" s="62"/>
      <c r="F3830" s="60"/>
      <c r="G3830" s="62"/>
      <c r="H3830" s="60"/>
    </row>
    <row r="3831" spans="1:8">
      <c r="A3831" s="60"/>
      <c r="B3831" s="77"/>
      <c r="C3831" s="60"/>
      <c r="D3831" s="81"/>
      <c r="E3831" s="62"/>
      <c r="F3831" s="60"/>
      <c r="G3831" s="62"/>
      <c r="H3831" s="60"/>
    </row>
    <row r="3832" spans="1:8">
      <c r="A3832" s="60"/>
      <c r="B3832" s="77"/>
      <c r="C3832" s="60"/>
      <c r="D3832" s="81"/>
      <c r="E3832" s="62"/>
      <c r="F3832" s="60"/>
      <c r="G3832" s="62"/>
      <c r="H3832" s="60"/>
    </row>
    <row r="3833" spans="1:8">
      <c r="A3833" s="60"/>
      <c r="B3833" s="77"/>
      <c r="C3833" s="60"/>
      <c r="D3833" s="81"/>
      <c r="E3833" s="62"/>
      <c r="F3833" s="60"/>
      <c r="G3833" s="62"/>
      <c r="H3833" s="60"/>
    </row>
    <row r="3834" spans="1:8">
      <c r="A3834" s="60"/>
      <c r="B3834" s="77"/>
      <c r="C3834" s="60"/>
      <c r="D3834" s="81"/>
      <c r="E3834" s="62"/>
      <c r="F3834" s="60"/>
      <c r="G3834" s="62"/>
      <c r="H3834" s="60"/>
    </row>
    <row r="3835" spans="1:8">
      <c r="A3835" s="60"/>
      <c r="B3835" s="77"/>
      <c r="C3835" s="60"/>
      <c r="D3835" s="81"/>
      <c r="E3835" s="62"/>
      <c r="F3835" s="60"/>
      <c r="G3835" s="62"/>
      <c r="H3835" s="60"/>
    </row>
    <row r="3836" spans="1:8">
      <c r="A3836" s="60"/>
      <c r="B3836" s="77"/>
      <c r="C3836" s="60"/>
      <c r="D3836" s="81"/>
      <c r="E3836" s="62"/>
      <c r="F3836" s="60"/>
      <c r="G3836" s="62"/>
      <c r="H3836" s="60"/>
    </row>
    <row r="3837" spans="1:8">
      <c r="A3837" s="60"/>
      <c r="B3837" s="77"/>
      <c r="C3837" s="60"/>
      <c r="D3837" s="81"/>
      <c r="E3837" s="62"/>
      <c r="F3837" s="60"/>
      <c r="G3837" s="62"/>
      <c r="H3837" s="60"/>
    </row>
    <row r="3838" spans="1:8">
      <c r="A3838" s="60"/>
      <c r="B3838" s="77"/>
      <c r="C3838" s="60"/>
      <c r="D3838" s="81"/>
      <c r="E3838" s="62"/>
      <c r="F3838" s="60"/>
      <c r="G3838" s="62"/>
      <c r="H3838" s="60"/>
    </row>
    <row r="3839" spans="1:8">
      <c r="A3839" s="60"/>
      <c r="B3839" s="77"/>
      <c r="C3839" s="60"/>
      <c r="D3839" s="81"/>
      <c r="E3839" s="62"/>
      <c r="F3839" s="60"/>
      <c r="G3839" s="62"/>
      <c r="H3839" s="60"/>
    </row>
    <row r="3840" spans="1:8">
      <c r="A3840" s="60"/>
      <c r="B3840" s="77"/>
      <c r="C3840" s="60"/>
      <c r="D3840" s="81"/>
      <c r="E3840" s="62"/>
      <c r="F3840" s="60"/>
      <c r="G3840" s="62"/>
      <c r="H3840" s="60"/>
    </row>
    <row r="3841" spans="1:8">
      <c r="A3841" s="60"/>
      <c r="B3841" s="77"/>
      <c r="C3841" s="60"/>
      <c r="D3841" s="81"/>
      <c r="E3841" s="62"/>
      <c r="F3841" s="60"/>
      <c r="G3841" s="62"/>
      <c r="H3841" s="60"/>
    </row>
    <row r="3842" spans="1:8">
      <c r="A3842" s="60"/>
      <c r="B3842" s="77"/>
      <c r="C3842" s="60"/>
      <c r="D3842" s="81"/>
      <c r="E3842" s="62"/>
      <c r="F3842" s="60"/>
      <c r="G3842" s="62"/>
      <c r="H3842" s="60"/>
    </row>
    <row r="3843" spans="1:8">
      <c r="A3843" s="60"/>
      <c r="B3843" s="77"/>
      <c r="C3843" s="60"/>
      <c r="D3843" s="81"/>
      <c r="E3843" s="62"/>
      <c r="F3843" s="60"/>
      <c r="G3843" s="62"/>
      <c r="H3843" s="60"/>
    </row>
    <row r="3844" spans="1:8">
      <c r="A3844" s="60"/>
      <c r="B3844" s="77"/>
      <c r="C3844" s="60"/>
      <c r="D3844" s="81"/>
      <c r="E3844" s="62"/>
      <c r="F3844" s="60"/>
      <c r="G3844" s="62"/>
      <c r="H3844" s="60"/>
    </row>
    <row r="3845" spans="1:8">
      <c r="A3845" s="60"/>
      <c r="B3845" s="77"/>
      <c r="C3845" s="60"/>
      <c r="D3845" s="81"/>
      <c r="E3845" s="62"/>
      <c r="F3845" s="60"/>
      <c r="G3845" s="62"/>
      <c r="H3845" s="60"/>
    </row>
    <row r="3846" spans="1:8">
      <c r="A3846" s="60"/>
      <c r="B3846" s="77"/>
      <c r="C3846" s="60"/>
      <c r="D3846" s="81"/>
      <c r="E3846" s="62"/>
      <c r="F3846" s="60"/>
      <c r="G3846" s="62"/>
      <c r="H3846" s="60"/>
    </row>
    <row r="3847" spans="1:8">
      <c r="A3847" s="60"/>
      <c r="B3847" s="77"/>
      <c r="C3847" s="60"/>
      <c r="D3847" s="81"/>
      <c r="E3847" s="62"/>
      <c r="F3847" s="60"/>
      <c r="G3847" s="62"/>
      <c r="H3847" s="60"/>
    </row>
    <row r="3848" spans="1:8">
      <c r="A3848" s="60"/>
      <c r="B3848" s="77"/>
      <c r="C3848" s="60"/>
      <c r="D3848" s="81"/>
      <c r="E3848" s="62"/>
      <c r="F3848" s="60"/>
      <c r="G3848" s="62"/>
      <c r="H3848" s="60"/>
    </row>
    <row r="3849" spans="1:8">
      <c r="A3849" s="60"/>
      <c r="B3849" s="77"/>
      <c r="C3849" s="60"/>
      <c r="D3849" s="81"/>
      <c r="E3849" s="62"/>
      <c r="F3849" s="60"/>
      <c r="G3849" s="62"/>
      <c r="H3849" s="60"/>
    </row>
    <row r="3850" spans="1:8">
      <c r="A3850" s="60"/>
      <c r="B3850" s="77"/>
      <c r="C3850" s="60"/>
      <c r="D3850" s="81"/>
      <c r="E3850" s="62"/>
      <c r="F3850" s="60"/>
      <c r="G3850" s="62"/>
      <c r="H3850" s="60"/>
    </row>
    <row r="3851" spans="1:8">
      <c r="A3851" s="60"/>
      <c r="B3851" s="77"/>
      <c r="C3851" s="60"/>
      <c r="D3851" s="81"/>
      <c r="E3851" s="62"/>
      <c r="F3851" s="60"/>
      <c r="G3851" s="62"/>
      <c r="H3851" s="60"/>
    </row>
    <row r="3852" spans="1:8">
      <c r="A3852" s="60"/>
      <c r="B3852" s="77"/>
      <c r="C3852" s="60"/>
      <c r="D3852" s="81"/>
      <c r="E3852" s="62"/>
      <c r="F3852" s="60"/>
      <c r="G3852" s="62"/>
      <c r="H3852" s="60"/>
    </row>
    <row r="3853" spans="1:8">
      <c r="A3853" s="60"/>
      <c r="B3853" s="77"/>
      <c r="C3853" s="60"/>
      <c r="D3853" s="81"/>
      <c r="E3853" s="62"/>
      <c r="F3853" s="60"/>
      <c r="G3853" s="62"/>
      <c r="H3853" s="60"/>
    </row>
    <row r="3854" spans="1:8">
      <c r="A3854" s="60"/>
      <c r="B3854" s="77"/>
      <c r="C3854" s="60"/>
      <c r="D3854" s="81"/>
      <c r="E3854" s="62"/>
      <c r="F3854" s="60"/>
      <c r="G3854" s="62"/>
      <c r="H3854" s="60"/>
    </row>
    <row r="3855" spans="1:8">
      <c r="A3855" s="60"/>
      <c r="B3855" s="77"/>
      <c r="C3855" s="60"/>
      <c r="D3855" s="81"/>
      <c r="E3855" s="62"/>
      <c r="F3855" s="60"/>
      <c r="G3855" s="62"/>
      <c r="H3855" s="60"/>
    </row>
    <row r="3856" spans="1:8">
      <c r="A3856" s="60"/>
      <c r="B3856" s="77"/>
      <c r="C3856" s="60"/>
      <c r="D3856" s="81"/>
      <c r="E3856" s="62"/>
      <c r="F3856" s="60"/>
      <c r="G3856" s="62"/>
      <c r="H3856" s="60"/>
    </row>
    <row r="3857" spans="1:8">
      <c r="A3857" s="60"/>
      <c r="B3857" s="77"/>
      <c r="C3857" s="60"/>
      <c r="D3857" s="81"/>
      <c r="E3857" s="62"/>
      <c r="F3857" s="60"/>
      <c r="G3857" s="62"/>
      <c r="H3857" s="60"/>
    </row>
    <row r="3858" spans="1:8">
      <c r="A3858" s="60"/>
      <c r="B3858" s="77"/>
      <c r="C3858" s="60"/>
      <c r="D3858" s="81"/>
      <c r="E3858" s="62"/>
      <c r="F3858" s="60"/>
      <c r="G3858" s="62"/>
      <c r="H3858" s="60"/>
    </row>
    <row r="3859" spans="1:8">
      <c r="A3859" s="60"/>
      <c r="B3859" s="77"/>
      <c r="C3859" s="60"/>
      <c r="D3859" s="81"/>
      <c r="E3859" s="62"/>
      <c r="F3859" s="60"/>
      <c r="G3859" s="62"/>
      <c r="H3859" s="60"/>
    </row>
    <row r="3860" spans="1:8">
      <c r="A3860" s="60"/>
      <c r="B3860" s="77"/>
      <c r="C3860" s="60"/>
      <c r="D3860" s="81"/>
      <c r="E3860" s="62"/>
      <c r="F3860" s="60"/>
      <c r="G3860" s="62"/>
      <c r="H3860" s="60"/>
    </row>
    <row r="3861" spans="1:8">
      <c r="A3861" s="60"/>
      <c r="B3861" s="77"/>
      <c r="C3861" s="60"/>
      <c r="D3861" s="81"/>
      <c r="E3861" s="62"/>
      <c r="F3861" s="60"/>
      <c r="G3861" s="62"/>
      <c r="H3861" s="60"/>
    </row>
    <row r="3862" spans="1:8">
      <c r="A3862" s="60"/>
      <c r="B3862" s="77"/>
      <c r="C3862" s="60"/>
      <c r="D3862" s="81"/>
      <c r="E3862" s="62"/>
      <c r="F3862" s="60"/>
      <c r="G3862" s="62"/>
      <c r="H3862" s="60"/>
    </row>
    <row r="3863" spans="1:8">
      <c r="A3863" s="60"/>
      <c r="B3863" s="77"/>
      <c r="C3863" s="60"/>
      <c r="D3863" s="81"/>
      <c r="E3863" s="62"/>
      <c r="F3863" s="60"/>
      <c r="G3863" s="62"/>
      <c r="H3863" s="60"/>
    </row>
    <row r="3864" spans="1:8">
      <c r="A3864" s="60"/>
      <c r="B3864" s="77"/>
      <c r="C3864" s="60"/>
      <c r="D3864" s="81"/>
      <c r="E3864" s="62"/>
      <c r="F3864" s="60"/>
      <c r="G3864" s="62"/>
      <c r="H3864" s="60"/>
    </row>
    <row r="3865" spans="1:8">
      <c r="A3865" s="60"/>
      <c r="B3865" s="77"/>
      <c r="C3865" s="60"/>
      <c r="D3865" s="81"/>
      <c r="E3865" s="62"/>
      <c r="F3865" s="60"/>
      <c r="G3865" s="62"/>
      <c r="H3865" s="60"/>
    </row>
    <row r="3866" spans="1:8">
      <c r="A3866" s="60"/>
      <c r="B3866" s="77"/>
      <c r="C3866" s="60"/>
      <c r="D3866" s="81"/>
      <c r="E3866" s="62"/>
      <c r="F3866" s="60"/>
      <c r="G3866" s="62"/>
      <c r="H3866" s="60"/>
    </row>
    <row r="3867" spans="1:8">
      <c r="A3867" s="60"/>
      <c r="B3867" s="77"/>
      <c r="C3867" s="60"/>
      <c r="D3867" s="81"/>
      <c r="E3867" s="62"/>
      <c r="F3867" s="60"/>
      <c r="G3867" s="62"/>
      <c r="H3867" s="60"/>
    </row>
    <row r="3868" spans="1:8">
      <c r="A3868" s="60"/>
      <c r="B3868" s="77"/>
      <c r="C3868" s="60"/>
      <c r="D3868" s="81"/>
      <c r="E3868" s="62"/>
      <c r="F3868" s="60"/>
      <c r="G3868" s="62"/>
      <c r="H3868" s="60"/>
    </row>
    <row r="3869" spans="1:8">
      <c r="A3869" s="60"/>
      <c r="B3869" s="77"/>
      <c r="C3869" s="60"/>
      <c r="D3869" s="81"/>
      <c r="E3869" s="62"/>
      <c r="F3869" s="60"/>
      <c r="G3869" s="62"/>
      <c r="H3869" s="60"/>
    </row>
    <row r="3870" spans="1:8">
      <c r="A3870" s="60"/>
      <c r="B3870" s="77"/>
      <c r="C3870" s="60"/>
      <c r="D3870" s="81"/>
      <c r="E3870" s="62"/>
      <c r="F3870" s="60"/>
      <c r="G3870" s="62"/>
      <c r="H3870" s="60"/>
    </row>
    <row r="3871" spans="1:8">
      <c r="A3871" s="60"/>
      <c r="B3871" s="77"/>
      <c r="C3871" s="60"/>
      <c r="D3871" s="81"/>
      <c r="E3871" s="62"/>
      <c r="F3871" s="60"/>
      <c r="G3871" s="62"/>
      <c r="H3871" s="60"/>
    </row>
    <row r="3872" spans="1:8">
      <c r="A3872" s="60"/>
      <c r="B3872" s="77"/>
      <c r="C3872" s="60"/>
      <c r="D3872" s="81"/>
      <c r="E3872" s="62"/>
      <c r="F3872" s="60"/>
      <c r="G3872" s="62"/>
      <c r="H3872" s="60"/>
    </row>
    <row r="3873" spans="1:8">
      <c r="A3873" s="60"/>
      <c r="B3873" s="77"/>
      <c r="C3873" s="60"/>
      <c r="D3873" s="81"/>
      <c r="E3873" s="62"/>
      <c r="F3873" s="60"/>
      <c r="G3873" s="62"/>
      <c r="H3873" s="60"/>
    </row>
    <row r="3874" spans="1:8">
      <c r="A3874" s="60"/>
      <c r="B3874" s="77"/>
      <c r="C3874" s="60"/>
      <c r="D3874" s="81"/>
      <c r="E3874" s="62"/>
      <c r="F3874" s="60"/>
      <c r="G3874" s="62"/>
      <c r="H3874" s="60"/>
    </row>
    <row r="3875" spans="1:8">
      <c r="A3875" s="60"/>
      <c r="B3875" s="77"/>
      <c r="C3875" s="60"/>
      <c r="D3875" s="81"/>
      <c r="E3875" s="62"/>
      <c r="F3875" s="60"/>
      <c r="G3875" s="62"/>
      <c r="H3875" s="60"/>
    </row>
    <row r="3876" spans="1:8">
      <c r="A3876" s="60"/>
      <c r="B3876" s="77"/>
      <c r="C3876" s="60"/>
      <c r="D3876" s="81"/>
      <c r="E3876" s="62"/>
      <c r="F3876" s="60"/>
      <c r="G3876" s="62"/>
      <c r="H3876" s="60"/>
    </row>
    <row r="3877" spans="1:8">
      <c r="A3877" s="60"/>
      <c r="B3877" s="77"/>
      <c r="C3877" s="60"/>
      <c r="D3877" s="81"/>
      <c r="E3877" s="62"/>
      <c r="F3877" s="60"/>
      <c r="G3877" s="62"/>
      <c r="H3877" s="60"/>
    </row>
    <row r="3878" spans="1:8">
      <c r="A3878" s="60"/>
      <c r="B3878" s="77"/>
      <c r="C3878" s="60"/>
      <c r="D3878" s="81"/>
      <c r="E3878" s="62"/>
      <c r="F3878" s="60"/>
      <c r="G3878" s="62"/>
      <c r="H3878" s="60"/>
    </row>
    <row r="3879" spans="1:8">
      <c r="A3879" s="60"/>
      <c r="B3879" s="77"/>
      <c r="C3879" s="60"/>
      <c r="D3879" s="81"/>
      <c r="E3879" s="62"/>
      <c r="F3879" s="60"/>
      <c r="G3879" s="62"/>
      <c r="H3879" s="60"/>
    </row>
    <row r="3880" spans="1:8">
      <c r="A3880" s="60"/>
      <c r="B3880" s="77"/>
      <c r="C3880" s="60"/>
      <c r="D3880" s="81"/>
      <c r="E3880" s="62"/>
      <c r="F3880" s="60"/>
      <c r="G3880" s="62"/>
      <c r="H3880" s="60"/>
    </row>
    <row r="3881" spans="1:8">
      <c r="A3881" s="60"/>
      <c r="B3881" s="77"/>
      <c r="C3881" s="60"/>
      <c r="D3881" s="81"/>
      <c r="E3881" s="62"/>
      <c r="F3881" s="60"/>
      <c r="G3881" s="62"/>
      <c r="H3881" s="60"/>
    </row>
    <row r="3882" spans="1:8">
      <c r="A3882" s="60"/>
      <c r="B3882" s="77"/>
      <c r="C3882" s="60"/>
      <c r="D3882" s="81"/>
      <c r="E3882" s="62"/>
      <c r="F3882" s="60"/>
      <c r="G3882" s="62"/>
      <c r="H3882" s="60"/>
    </row>
    <row r="3883" spans="1:8">
      <c r="A3883" s="60"/>
      <c r="B3883" s="77"/>
      <c r="C3883" s="60"/>
      <c r="D3883" s="81"/>
      <c r="E3883" s="62"/>
      <c r="F3883" s="60"/>
      <c r="G3883" s="62"/>
      <c r="H3883" s="60"/>
    </row>
    <row r="3884" spans="1:8">
      <c r="A3884" s="60"/>
      <c r="B3884" s="77"/>
      <c r="C3884" s="60"/>
      <c r="D3884" s="81"/>
      <c r="E3884" s="62"/>
      <c r="F3884" s="60"/>
      <c r="G3884" s="62"/>
      <c r="H3884" s="60"/>
    </row>
    <row r="3885" spans="1:8">
      <c r="A3885" s="60"/>
      <c r="B3885" s="77"/>
      <c r="C3885" s="60"/>
      <c r="D3885" s="81"/>
      <c r="E3885" s="62"/>
      <c r="F3885" s="60"/>
      <c r="G3885" s="62"/>
      <c r="H3885" s="60"/>
    </row>
    <row r="3886" spans="1:8">
      <c r="A3886" s="60"/>
      <c r="B3886" s="77"/>
      <c r="C3886" s="60"/>
      <c r="D3886" s="81"/>
      <c r="E3886" s="62"/>
      <c r="F3886" s="60"/>
      <c r="G3886" s="62"/>
      <c r="H3886" s="60"/>
    </row>
    <row r="3887" spans="1:8">
      <c r="A3887" s="60"/>
      <c r="B3887" s="77"/>
      <c r="C3887" s="60"/>
      <c r="D3887" s="81"/>
      <c r="E3887" s="62"/>
      <c r="F3887" s="60"/>
      <c r="G3887" s="62"/>
      <c r="H3887" s="60"/>
    </row>
    <row r="3888" spans="1:8">
      <c r="A3888" s="60"/>
      <c r="B3888" s="77"/>
      <c r="C3888" s="60"/>
      <c r="D3888" s="81"/>
      <c r="E3888" s="62"/>
      <c r="F3888" s="60"/>
      <c r="G3888" s="62"/>
      <c r="H3888" s="60"/>
    </row>
    <row r="3889" spans="1:8">
      <c r="A3889" s="60"/>
      <c r="B3889" s="77"/>
      <c r="C3889" s="60"/>
      <c r="D3889" s="81"/>
      <c r="E3889" s="62"/>
      <c r="F3889" s="60"/>
      <c r="G3889" s="62"/>
      <c r="H3889" s="60"/>
    </row>
    <row r="3890" spans="1:8">
      <c r="A3890" s="60"/>
      <c r="B3890" s="77"/>
      <c r="C3890" s="60"/>
      <c r="D3890" s="81"/>
      <c r="E3890" s="62"/>
      <c r="F3890" s="60"/>
      <c r="G3890" s="62"/>
      <c r="H3890" s="60"/>
    </row>
    <row r="3891" spans="1:8">
      <c r="A3891" s="60"/>
      <c r="B3891" s="77"/>
      <c r="C3891" s="60"/>
      <c r="D3891" s="81"/>
      <c r="E3891" s="62"/>
      <c r="F3891" s="60"/>
      <c r="G3891" s="62"/>
      <c r="H3891" s="60"/>
    </row>
    <row r="3892" spans="1:8">
      <c r="A3892" s="60"/>
      <c r="B3892" s="77"/>
      <c r="C3892" s="60"/>
      <c r="D3892" s="81"/>
      <c r="E3892" s="62"/>
      <c r="F3892" s="60"/>
      <c r="G3892" s="62"/>
      <c r="H3892" s="60"/>
    </row>
    <row r="3893" spans="1:8">
      <c r="A3893" s="60"/>
      <c r="B3893" s="77"/>
      <c r="C3893" s="60"/>
      <c r="D3893" s="81"/>
      <c r="E3893" s="62"/>
      <c r="F3893" s="60"/>
      <c r="G3893" s="62"/>
      <c r="H3893" s="60"/>
    </row>
    <row r="3894" spans="1:8">
      <c r="A3894" s="60"/>
      <c r="B3894" s="77"/>
      <c r="C3894" s="60"/>
      <c r="D3894" s="81"/>
      <c r="E3894" s="62"/>
      <c r="F3894" s="60"/>
      <c r="G3894" s="62"/>
      <c r="H3894" s="60"/>
    </row>
    <row r="3895" spans="1:8">
      <c r="A3895" s="60"/>
      <c r="B3895" s="77"/>
      <c r="C3895" s="60"/>
      <c r="D3895" s="81"/>
      <c r="E3895" s="62"/>
      <c r="F3895" s="60"/>
      <c r="G3895" s="62"/>
      <c r="H3895" s="60"/>
    </row>
    <row r="3896" spans="1:8">
      <c r="A3896" s="60"/>
      <c r="B3896" s="77"/>
      <c r="C3896" s="60"/>
      <c r="D3896" s="81"/>
      <c r="E3896" s="62"/>
      <c r="F3896" s="60"/>
      <c r="G3896" s="62"/>
      <c r="H3896" s="60"/>
    </row>
    <row r="3897" spans="1:8">
      <c r="A3897" s="60"/>
      <c r="B3897" s="77"/>
      <c r="C3897" s="60"/>
      <c r="D3897" s="81"/>
      <c r="E3897" s="62"/>
      <c r="F3897" s="60"/>
      <c r="G3897" s="62"/>
      <c r="H3897" s="60"/>
    </row>
    <row r="3898" spans="1:8">
      <c r="A3898" s="60"/>
      <c r="B3898" s="77"/>
      <c r="C3898" s="60"/>
      <c r="D3898" s="81"/>
      <c r="E3898" s="62"/>
      <c r="F3898" s="60"/>
      <c r="G3898" s="62"/>
      <c r="H3898" s="60"/>
    </row>
    <row r="3899" spans="1:8">
      <c r="A3899" s="60"/>
      <c r="B3899" s="77"/>
      <c r="C3899" s="60"/>
      <c r="D3899" s="81"/>
      <c r="E3899" s="62"/>
      <c r="F3899" s="60"/>
      <c r="G3899" s="62"/>
      <c r="H3899" s="60"/>
    </row>
    <row r="3900" spans="1:8">
      <c r="A3900" s="60"/>
      <c r="B3900" s="77"/>
      <c r="C3900" s="60"/>
      <c r="D3900" s="81"/>
      <c r="E3900" s="62"/>
      <c r="F3900" s="60"/>
      <c r="G3900" s="62"/>
      <c r="H3900" s="60"/>
    </row>
    <row r="3901" spans="1:8">
      <c r="A3901" s="60"/>
      <c r="B3901" s="77"/>
      <c r="C3901" s="60"/>
      <c r="D3901" s="81"/>
      <c r="E3901" s="62"/>
      <c r="F3901" s="60"/>
      <c r="G3901" s="62"/>
      <c r="H3901" s="60"/>
    </row>
    <row r="3902" spans="1:8">
      <c r="A3902" s="60"/>
      <c r="B3902" s="77"/>
      <c r="C3902" s="60"/>
      <c r="D3902" s="81"/>
      <c r="E3902" s="62"/>
      <c r="F3902" s="60"/>
      <c r="G3902" s="62"/>
      <c r="H3902" s="60"/>
    </row>
    <row r="3903" spans="1:8">
      <c r="A3903" s="60"/>
      <c r="B3903" s="77"/>
      <c r="C3903" s="60"/>
      <c r="D3903" s="81"/>
      <c r="E3903" s="62"/>
      <c r="F3903" s="60"/>
      <c r="G3903" s="62"/>
      <c r="H3903" s="60"/>
    </row>
    <row r="3904" spans="1:8">
      <c r="A3904" s="60"/>
      <c r="B3904" s="77"/>
      <c r="C3904" s="60"/>
      <c r="D3904" s="81"/>
      <c r="E3904" s="62"/>
      <c r="F3904" s="60"/>
      <c r="G3904" s="62"/>
      <c r="H3904" s="60"/>
    </row>
    <row r="3905" spans="1:8">
      <c r="A3905" s="60"/>
      <c r="B3905" s="77"/>
      <c r="C3905" s="60"/>
      <c r="D3905" s="81"/>
      <c r="E3905" s="62"/>
      <c r="F3905" s="60"/>
      <c r="G3905" s="62"/>
      <c r="H3905" s="60"/>
    </row>
    <row r="3906" spans="1:8">
      <c r="A3906" s="60"/>
      <c r="B3906" s="77"/>
      <c r="C3906" s="60"/>
      <c r="D3906" s="81"/>
      <c r="E3906" s="62"/>
      <c r="F3906" s="60"/>
      <c r="G3906" s="62"/>
      <c r="H3906" s="60"/>
    </row>
    <row r="3907" spans="1:8">
      <c r="A3907" s="60"/>
      <c r="B3907" s="77"/>
      <c r="C3907" s="60"/>
      <c r="D3907" s="81"/>
      <c r="E3907" s="62"/>
      <c r="F3907" s="60"/>
      <c r="G3907" s="62"/>
      <c r="H3907" s="60"/>
    </row>
    <row r="3908" spans="1:8">
      <c r="A3908" s="60"/>
      <c r="B3908" s="77"/>
      <c r="C3908" s="60"/>
      <c r="D3908" s="81"/>
      <c r="E3908" s="62"/>
      <c r="F3908" s="60"/>
      <c r="G3908" s="62"/>
      <c r="H3908" s="60"/>
    </row>
    <row r="3909" spans="1:8">
      <c r="A3909" s="60"/>
      <c r="B3909" s="77"/>
      <c r="C3909" s="60"/>
      <c r="D3909" s="81"/>
      <c r="E3909" s="62"/>
      <c r="F3909" s="60"/>
      <c r="G3909" s="62"/>
      <c r="H3909" s="60"/>
    </row>
    <row r="3910" spans="1:8">
      <c r="A3910" s="60"/>
      <c r="B3910" s="77"/>
      <c r="C3910" s="60"/>
      <c r="D3910" s="81"/>
      <c r="E3910" s="62"/>
      <c r="F3910" s="60"/>
      <c r="G3910" s="62"/>
      <c r="H3910" s="60"/>
    </row>
    <row r="3911" spans="1:8">
      <c r="A3911" s="60"/>
      <c r="B3911" s="77"/>
      <c r="C3911" s="60"/>
      <c r="D3911" s="81"/>
      <c r="E3911" s="62"/>
      <c r="F3911" s="60"/>
      <c r="G3911" s="62"/>
      <c r="H3911" s="60"/>
    </row>
    <row r="3912" spans="1:8">
      <c r="A3912" s="60"/>
      <c r="B3912" s="77"/>
      <c r="C3912" s="60"/>
      <c r="D3912" s="81"/>
      <c r="E3912" s="62"/>
      <c r="F3912" s="60"/>
      <c r="G3912" s="62"/>
      <c r="H3912" s="60"/>
    </row>
    <row r="3913" spans="1:8">
      <c r="A3913" s="60"/>
      <c r="B3913" s="77"/>
      <c r="C3913" s="60"/>
      <c r="D3913" s="81"/>
      <c r="E3913" s="62"/>
      <c r="F3913" s="60"/>
      <c r="G3913" s="62"/>
      <c r="H3913" s="60"/>
    </row>
    <row r="3914" spans="1:8">
      <c r="A3914" s="60"/>
      <c r="B3914" s="77"/>
      <c r="C3914" s="60"/>
      <c r="D3914" s="81"/>
      <c r="E3914" s="62"/>
      <c r="F3914" s="60"/>
      <c r="G3914" s="62"/>
      <c r="H3914" s="60"/>
    </row>
    <row r="3915" spans="1:8">
      <c r="A3915" s="60"/>
      <c r="B3915" s="77"/>
      <c r="C3915" s="60"/>
      <c r="D3915" s="81"/>
      <c r="E3915" s="62"/>
      <c r="F3915" s="60"/>
      <c r="G3915" s="62"/>
      <c r="H3915" s="60"/>
    </row>
    <row r="3916" spans="1:8">
      <c r="A3916" s="60"/>
      <c r="B3916" s="77"/>
      <c r="C3916" s="60"/>
      <c r="D3916" s="81"/>
      <c r="E3916" s="62"/>
      <c r="F3916" s="60"/>
      <c r="G3916" s="62"/>
      <c r="H3916" s="60"/>
    </row>
    <row r="3917" spans="1:8">
      <c r="A3917" s="60"/>
      <c r="B3917" s="77"/>
      <c r="C3917" s="60"/>
      <c r="D3917" s="81"/>
      <c r="E3917" s="62"/>
      <c r="F3917" s="60"/>
      <c r="G3917" s="62"/>
      <c r="H3917" s="60"/>
    </row>
    <row r="3918" spans="1:8">
      <c r="A3918" s="60"/>
      <c r="B3918" s="77"/>
      <c r="C3918" s="60"/>
      <c r="D3918" s="81"/>
      <c r="E3918" s="62"/>
      <c r="F3918" s="60"/>
      <c r="G3918" s="62"/>
      <c r="H3918" s="60"/>
    </row>
    <row r="3919" spans="1:8">
      <c r="A3919" s="60"/>
      <c r="B3919" s="77"/>
      <c r="C3919" s="60"/>
      <c r="D3919" s="81"/>
      <c r="E3919" s="62"/>
      <c r="F3919" s="60"/>
      <c r="G3919" s="62"/>
      <c r="H3919" s="60"/>
    </row>
    <row r="3920" spans="1:8">
      <c r="A3920" s="60"/>
      <c r="B3920" s="77"/>
      <c r="C3920" s="60"/>
      <c r="D3920" s="81"/>
      <c r="E3920" s="62"/>
      <c r="F3920" s="60"/>
      <c r="G3920" s="62"/>
      <c r="H3920" s="60"/>
    </row>
    <row r="3921" spans="1:8">
      <c r="A3921" s="60"/>
      <c r="B3921" s="77"/>
      <c r="C3921" s="60"/>
      <c r="D3921" s="81"/>
      <c r="E3921" s="62"/>
      <c r="F3921" s="60"/>
      <c r="G3921" s="62"/>
      <c r="H3921" s="60"/>
    </row>
    <row r="3922" spans="1:8">
      <c r="A3922" s="60"/>
      <c r="B3922" s="77"/>
      <c r="C3922" s="60"/>
      <c r="D3922" s="81"/>
      <c r="E3922" s="62"/>
      <c r="F3922" s="60"/>
      <c r="G3922" s="62"/>
      <c r="H3922" s="60"/>
    </row>
    <row r="3923" spans="1:8">
      <c r="A3923" s="60"/>
      <c r="B3923" s="77"/>
      <c r="C3923" s="60"/>
      <c r="D3923" s="81"/>
      <c r="E3923" s="62"/>
      <c r="F3923" s="60"/>
      <c r="G3923" s="62"/>
      <c r="H3923" s="60"/>
    </row>
    <row r="3924" spans="1:8">
      <c r="A3924" s="60"/>
      <c r="B3924" s="77"/>
      <c r="C3924" s="60"/>
      <c r="D3924" s="81"/>
      <c r="E3924" s="62"/>
      <c r="F3924" s="60"/>
      <c r="G3924" s="62"/>
      <c r="H3924" s="60"/>
    </row>
    <row r="3925" spans="1:8">
      <c r="A3925" s="60"/>
      <c r="B3925" s="77"/>
      <c r="C3925" s="60"/>
      <c r="D3925" s="81"/>
      <c r="E3925" s="62"/>
      <c r="F3925" s="60"/>
      <c r="G3925" s="62"/>
      <c r="H3925" s="60"/>
    </row>
    <row r="3926" spans="1:8">
      <c r="A3926" s="60"/>
      <c r="B3926" s="77"/>
      <c r="C3926" s="60"/>
      <c r="D3926" s="81"/>
      <c r="E3926" s="62"/>
      <c r="F3926" s="60"/>
      <c r="G3926" s="62"/>
      <c r="H3926" s="60"/>
    </row>
    <row r="3927" spans="1:8">
      <c r="A3927" s="60"/>
      <c r="B3927" s="77"/>
      <c r="C3927" s="60"/>
      <c r="D3927" s="81"/>
      <c r="E3927" s="62"/>
      <c r="F3927" s="60"/>
      <c r="G3927" s="62"/>
      <c r="H3927" s="60"/>
    </row>
    <row r="3928" spans="1:8">
      <c r="A3928" s="60"/>
      <c r="B3928" s="77"/>
      <c r="C3928" s="60"/>
      <c r="D3928" s="81"/>
      <c r="E3928" s="62"/>
      <c r="F3928" s="60"/>
      <c r="G3928" s="62"/>
      <c r="H3928" s="60"/>
    </row>
    <row r="3929" spans="1:8">
      <c r="A3929" s="60"/>
      <c r="B3929" s="77"/>
      <c r="C3929" s="60"/>
      <c r="D3929" s="81"/>
      <c r="E3929" s="62"/>
      <c r="F3929" s="60"/>
      <c r="G3929" s="62"/>
      <c r="H3929" s="60"/>
    </row>
    <row r="3930" spans="1:8">
      <c r="A3930" s="60"/>
      <c r="B3930" s="77"/>
      <c r="C3930" s="60"/>
      <c r="D3930" s="81"/>
      <c r="E3930" s="62"/>
      <c r="F3930" s="60"/>
      <c r="G3930" s="62"/>
      <c r="H3930" s="60"/>
    </row>
    <row r="3931" spans="1:8">
      <c r="A3931" s="60"/>
      <c r="B3931" s="77"/>
      <c r="C3931" s="60"/>
      <c r="D3931" s="81"/>
      <c r="E3931" s="62"/>
      <c r="F3931" s="60"/>
      <c r="G3931" s="62"/>
      <c r="H3931" s="60"/>
    </row>
    <row r="3932" spans="1:8">
      <c r="A3932" s="60"/>
      <c r="B3932" s="77"/>
      <c r="C3932" s="60"/>
      <c r="D3932" s="81"/>
      <c r="E3932" s="62"/>
      <c r="F3932" s="60"/>
      <c r="G3932" s="62"/>
      <c r="H3932" s="60"/>
    </row>
    <row r="3933" spans="1:8">
      <c r="A3933" s="60"/>
      <c r="B3933" s="77"/>
      <c r="C3933" s="60"/>
      <c r="D3933" s="81"/>
      <c r="E3933" s="62"/>
      <c r="F3933" s="60"/>
      <c r="G3933" s="62"/>
      <c r="H3933" s="60"/>
    </row>
    <row r="3934" spans="1:8">
      <c r="A3934" s="60"/>
      <c r="B3934" s="77"/>
      <c r="C3934" s="60"/>
      <c r="D3934" s="81"/>
      <c r="E3934" s="62"/>
      <c r="F3934" s="60"/>
      <c r="G3934" s="62"/>
      <c r="H3934" s="60"/>
    </row>
    <row r="3935" spans="1:8">
      <c r="A3935" s="60"/>
      <c r="B3935" s="77"/>
      <c r="C3935" s="60"/>
      <c r="D3935" s="81"/>
      <c r="E3935" s="62"/>
      <c r="F3935" s="60"/>
      <c r="G3935" s="62"/>
      <c r="H3935" s="60"/>
    </row>
    <row r="3936" spans="1:8">
      <c r="A3936" s="60"/>
      <c r="B3936" s="77"/>
      <c r="C3936" s="60"/>
      <c r="D3936" s="81"/>
      <c r="E3936" s="62"/>
      <c r="F3936" s="60"/>
      <c r="G3936" s="62"/>
      <c r="H3936" s="60"/>
    </row>
    <row r="3937" spans="1:8">
      <c r="A3937" s="60"/>
      <c r="B3937" s="77"/>
      <c r="C3937" s="60"/>
      <c r="D3937" s="81"/>
      <c r="E3937" s="62"/>
      <c r="F3937" s="60"/>
      <c r="G3937" s="62"/>
      <c r="H3937" s="60"/>
    </row>
    <row r="3938" spans="1:8">
      <c r="A3938" s="60"/>
      <c r="B3938" s="77"/>
      <c r="C3938" s="60"/>
      <c r="D3938" s="81"/>
      <c r="E3938" s="62"/>
      <c r="F3938" s="60"/>
      <c r="G3938" s="62"/>
      <c r="H3938" s="60"/>
    </row>
    <row r="3939" spans="1:8">
      <c r="A3939" s="60"/>
      <c r="B3939" s="77"/>
      <c r="C3939" s="60"/>
      <c r="D3939" s="81"/>
      <c r="E3939" s="62"/>
      <c r="F3939" s="60"/>
      <c r="G3939" s="62"/>
      <c r="H3939" s="60"/>
    </row>
    <row r="3940" spans="1:8">
      <c r="A3940" s="60"/>
      <c r="B3940" s="77"/>
      <c r="C3940" s="60"/>
      <c r="D3940" s="81"/>
      <c r="E3940" s="62"/>
      <c r="F3940" s="60"/>
      <c r="G3940" s="62"/>
      <c r="H3940" s="60"/>
    </row>
    <row r="3941" spans="1:8">
      <c r="A3941" s="60"/>
      <c r="B3941" s="77"/>
      <c r="C3941" s="60"/>
      <c r="D3941" s="81"/>
      <c r="E3941" s="62"/>
      <c r="F3941" s="60"/>
      <c r="G3941" s="62"/>
      <c r="H3941" s="60"/>
    </row>
    <row r="3942" spans="1:8">
      <c r="A3942" s="60"/>
      <c r="B3942" s="77"/>
      <c r="C3942" s="60"/>
      <c r="D3942" s="81"/>
      <c r="E3942" s="62"/>
      <c r="F3942" s="60"/>
      <c r="G3942" s="62"/>
      <c r="H3942" s="60"/>
    </row>
    <row r="3943" spans="1:8">
      <c r="A3943" s="60"/>
      <c r="B3943" s="77"/>
      <c r="C3943" s="60"/>
      <c r="D3943" s="81"/>
      <c r="E3943" s="62"/>
      <c r="F3943" s="60"/>
      <c r="G3943" s="62"/>
      <c r="H3943" s="60"/>
    </row>
    <row r="3944" spans="1:8">
      <c r="A3944" s="60"/>
      <c r="B3944" s="77"/>
      <c r="C3944" s="60"/>
      <c r="D3944" s="81"/>
      <c r="E3944" s="62"/>
      <c r="F3944" s="60"/>
      <c r="G3944" s="62"/>
      <c r="H3944" s="60"/>
    </row>
    <row r="3945" spans="1:8">
      <c r="A3945" s="60"/>
      <c r="B3945" s="77"/>
      <c r="C3945" s="60"/>
      <c r="D3945" s="81"/>
      <c r="E3945" s="62"/>
      <c r="F3945" s="60"/>
      <c r="G3945" s="62"/>
      <c r="H3945" s="60"/>
    </row>
    <row r="3946" spans="1:8">
      <c r="A3946" s="60"/>
      <c r="B3946" s="77"/>
      <c r="C3946" s="60"/>
      <c r="D3946" s="81"/>
      <c r="E3946" s="62"/>
      <c r="F3946" s="60"/>
      <c r="G3946" s="62"/>
      <c r="H3946" s="60"/>
    </row>
    <row r="3947" spans="1:8">
      <c r="A3947" s="60"/>
      <c r="B3947" s="77"/>
      <c r="C3947" s="60"/>
      <c r="D3947" s="81"/>
      <c r="E3947" s="62"/>
      <c r="F3947" s="60"/>
      <c r="G3947" s="62"/>
      <c r="H3947" s="60"/>
    </row>
    <row r="3948" spans="1:8">
      <c r="A3948" s="60"/>
      <c r="B3948" s="77"/>
      <c r="C3948" s="60"/>
      <c r="D3948" s="81"/>
      <c r="E3948" s="62"/>
      <c r="F3948" s="60"/>
      <c r="G3948" s="62"/>
      <c r="H3948" s="60"/>
    </row>
    <row r="3949" spans="1:8">
      <c r="A3949" s="60"/>
      <c r="B3949" s="77"/>
      <c r="C3949" s="60"/>
      <c r="D3949" s="81"/>
      <c r="E3949" s="62"/>
      <c r="F3949" s="60"/>
      <c r="G3949" s="62"/>
      <c r="H3949" s="60"/>
    </row>
    <row r="3950" spans="1:8">
      <c r="A3950" s="60"/>
      <c r="B3950" s="77"/>
      <c r="C3950" s="60"/>
      <c r="D3950" s="81"/>
      <c r="E3950" s="62"/>
      <c r="F3950" s="60"/>
      <c r="G3950" s="62"/>
      <c r="H3950" s="60"/>
    </row>
    <row r="3951" spans="1:8">
      <c r="A3951" s="60"/>
      <c r="B3951" s="77"/>
      <c r="C3951" s="60"/>
      <c r="D3951" s="81"/>
      <c r="E3951" s="62"/>
      <c r="F3951" s="60"/>
      <c r="G3951" s="62"/>
      <c r="H3951" s="60"/>
    </row>
    <row r="3952" spans="1:8">
      <c r="A3952" s="60"/>
      <c r="B3952" s="77"/>
      <c r="C3952" s="60"/>
      <c r="D3952" s="81"/>
      <c r="E3952" s="62"/>
      <c r="F3952" s="60"/>
      <c r="G3952" s="62"/>
      <c r="H3952" s="60"/>
    </row>
    <row r="3953" spans="1:8">
      <c r="A3953" s="60"/>
      <c r="B3953" s="77"/>
      <c r="C3953" s="60"/>
      <c r="D3953" s="81"/>
      <c r="E3953" s="62"/>
      <c r="F3953" s="60"/>
      <c r="G3953" s="62"/>
      <c r="H3953" s="60"/>
    </row>
    <row r="3954" spans="1:8">
      <c r="A3954" s="60"/>
      <c r="B3954" s="77"/>
      <c r="C3954" s="60"/>
      <c r="D3954" s="81"/>
      <c r="E3954" s="62"/>
      <c r="F3954" s="60"/>
      <c r="G3954" s="62"/>
      <c r="H3954" s="60"/>
    </row>
    <row r="3955" spans="1:8">
      <c r="A3955" s="60"/>
      <c r="B3955" s="77"/>
      <c r="C3955" s="60"/>
      <c r="D3955" s="81"/>
      <c r="E3955" s="62"/>
      <c r="F3955" s="60"/>
      <c r="G3955" s="62"/>
      <c r="H3955" s="60"/>
    </row>
    <row r="3956" spans="1:8">
      <c r="A3956" s="60"/>
      <c r="B3956" s="77"/>
      <c r="C3956" s="60"/>
      <c r="D3956" s="81"/>
      <c r="E3956" s="62"/>
      <c r="F3956" s="60"/>
      <c r="G3956" s="62"/>
      <c r="H3956" s="60"/>
    </row>
    <row r="3957" spans="1:8">
      <c r="A3957" s="60"/>
      <c r="B3957" s="77"/>
      <c r="C3957" s="60"/>
      <c r="D3957" s="81"/>
      <c r="E3957" s="62"/>
      <c r="F3957" s="60"/>
      <c r="G3957" s="62"/>
      <c r="H3957" s="60"/>
    </row>
    <row r="3958" spans="1:8">
      <c r="A3958" s="60"/>
      <c r="B3958" s="77"/>
      <c r="C3958" s="60"/>
      <c r="D3958" s="81"/>
      <c r="E3958" s="62"/>
      <c r="F3958" s="60"/>
      <c r="G3958" s="62"/>
      <c r="H3958" s="60"/>
    </row>
    <row r="3959" spans="1:8">
      <c r="A3959" s="60"/>
      <c r="B3959" s="77"/>
      <c r="C3959" s="60"/>
      <c r="D3959" s="81"/>
      <c r="E3959" s="62"/>
      <c r="F3959" s="60"/>
      <c r="G3959" s="62"/>
      <c r="H3959" s="60"/>
    </row>
    <row r="3960" spans="1:8">
      <c r="A3960" s="60"/>
      <c r="B3960" s="77"/>
      <c r="C3960" s="60"/>
      <c r="D3960" s="81"/>
      <c r="E3960" s="62"/>
      <c r="F3960" s="60"/>
      <c r="G3960" s="62"/>
      <c r="H3960" s="60"/>
    </row>
    <row r="3961" spans="1:8">
      <c r="A3961" s="60"/>
      <c r="B3961" s="77"/>
      <c r="C3961" s="60"/>
      <c r="D3961" s="81"/>
      <c r="E3961" s="62"/>
      <c r="F3961" s="60"/>
      <c r="G3961" s="62"/>
      <c r="H3961" s="60"/>
    </row>
    <row r="3962" spans="1:8">
      <c r="A3962" s="60"/>
      <c r="B3962" s="77"/>
      <c r="C3962" s="60"/>
      <c r="D3962" s="81"/>
      <c r="E3962" s="62"/>
      <c r="F3962" s="60"/>
      <c r="G3962" s="62"/>
      <c r="H3962" s="60"/>
    </row>
    <row r="3963" spans="1:8">
      <c r="A3963" s="60"/>
      <c r="B3963" s="77"/>
      <c r="C3963" s="60"/>
      <c r="D3963" s="81"/>
      <c r="E3963" s="62"/>
      <c r="F3963" s="60"/>
      <c r="G3963" s="62"/>
      <c r="H3963" s="60"/>
    </row>
    <row r="3964" spans="1:8">
      <c r="A3964" s="60"/>
      <c r="B3964" s="77"/>
      <c r="C3964" s="60"/>
      <c r="D3964" s="81"/>
      <c r="E3964" s="62"/>
      <c r="F3964" s="60"/>
      <c r="G3964" s="62"/>
      <c r="H3964" s="60"/>
    </row>
    <row r="3965" spans="1:8">
      <c r="A3965" s="60"/>
      <c r="B3965" s="77"/>
      <c r="C3965" s="60"/>
      <c r="D3965" s="81"/>
      <c r="E3965" s="62"/>
      <c r="F3965" s="60"/>
      <c r="G3965" s="62"/>
      <c r="H3965" s="60"/>
    </row>
    <row r="3966" spans="1:8">
      <c r="A3966" s="60"/>
      <c r="B3966" s="77"/>
      <c r="C3966" s="60"/>
      <c r="D3966" s="81"/>
      <c r="E3966" s="62"/>
      <c r="F3966" s="60"/>
      <c r="G3966" s="62"/>
      <c r="H3966" s="60"/>
    </row>
    <row r="3967" spans="1:8">
      <c r="A3967" s="60"/>
      <c r="B3967" s="77"/>
      <c r="C3967" s="60"/>
      <c r="D3967" s="81"/>
      <c r="E3967" s="62"/>
      <c r="F3967" s="60"/>
      <c r="G3967" s="62"/>
      <c r="H3967" s="60"/>
    </row>
    <row r="3968" spans="1:8">
      <c r="A3968" s="60"/>
      <c r="B3968" s="77"/>
      <c r="C3968" s="60"/>
      <c r="D3968" s="81"/>
      <c r="E3968" s="62"/>
      <c r="F3968" s="60"/>
      <c r="G3968" s="62"/>
      <c r="H3968" s="60"/>
    </row>
    <row r="3969" spans="1:8">
      <c r="A3969" s="60"/>
      <c r="B3969" s="77"/>
      <c r="C3969" s="60"/>
      <c r="D3969" s="81"/>
      <c r="E3969" s="62"/>
      <c r="F3969" s="60"/>
      <c r="G3969" s="62"/>
      <c r="H3969" s="60"/>
    </row>
    <row r="3970" spans="1:8">
      <c r="A3970" s="60"/>
      <c r="B3970" s="77"/>
      <c r="C3970" s="60"/>
      <c r="D3970" s="81"/>
      <c r="E3970" s="62"/>
      <c r="F3970" s="60"/>
      <c r="G3970" s="62"/>
      <c r="H3970" s="60"/>
    </row>
    <row r="3971" spans="1:8">
      <c r="A3971" s="60"/>
      <c r="B3971" s="77"/>
      <c r="C3971" s="60"/>
      <c r="D3971" s="81"/>
      <c r="E3971" s="62"/>
      <c r="F3971" s="60"/>
      <c r="G3971" s="62"/>
      <c r="H3971" s="60"/>
    </row>
    <row r="3972" spans="1:8">
      <c r="A3972" s="60"/>
      <c r="B3972" s="77"/>
      <c r="C3972" s="60"/>
      <c r="D3972" s="81"/>
      <c r="E3972" s="62"/>
      <c r="F3972" s="60"/>
      <c r="G3972" s="62"/>
      <c r="H3972" s="60"/>
    </row>
    <row r="3973" spans="1:8">
      <c r="A3973" s="60"/>
      <c r="B3973" s="77"/>
      <c r="C3973" s="60"/>
      <c r="D3973" s="81"/>
      <c r="E3973" s="62"/>
      <c r="F3973" s="60"/>
      <c r="G3973" s="62"/>
      <c r="H3973" s="60"/>
    </row>
    <row r="3974" spans="1:8">
      <c r="A3974" s="60"/>
      <c r="B3974" s="77"/>
      <c r="C3974" s="60"/>
      <c r="D3974" s="81"/>
      <c r="E3974" s="62"/>
      <c r="F3974" s="60"/>
      <c r="G3974" s="62"/>
      <c r="H3974" s="60"/>
    </row>
    <row r="3975" spans="1:8">
      <c r="A3975" s="60"/>
      <c r="B3975" s="77"/>
      <c r="C3975" s="60"/>
      <c r="D3975" s="81"/>
      <c r="E3975" s="62"/>
      <c r="F3975" s="60"/>
      <c r="G3975" s="62"/>
      <c r="H3975" s="60"/>
    </row>
    <row r="3976" spans="1:8">
      <c r="A3976" s="60"/>
      <c r="B3976" s="77"/>
      <c r="C3976" s="60"/>
      <c r="D3976" s="81"/>
      <c r="E3976" s="62"/>
      <c r="F3976" s="60"/>
      <c r="G3976" s="62"/>
      <c r="H3976" s="60"/>
    </row>
    <row r="3977" spans="1:8">
      <c r="A3977" s="60"/>
      <c r="B3977" s="77"/>
      <c r="C3977" s="60"/>
      <c r="D3977" s="81"/>
      <c r="E3977" s="62"/>
      <c r="F3977" s="60"/>
      <c r="G3977" s="62"/>
      <c r="H3977" s="60"/>
    </row>
    <row r="3978" spans="1:8">
      <c r="A3978" s="60"/>
      <c r="B3978" s="77"/>
      <c r="C3978" s="60"/>
      <c r="D3978" s="81"/>
      <c r="E3978" s="62"/>
      <c r="F3978" s="60"/>
      <c r="G3978" s="62"/>
      <c r="H3978" s="60"/>
    </row>
    <row r="3979" spans="1:8">
      <c r="A3979" s="60"/>
      <c r="B3979" s="77"/>
      <c r="C3979" s="60"/>
      <c r="D3979" s="81"/>
      <c r="E3979" s="62"/>
      <c r="F3979" s="60"/>
      <c r="G3979" s="62"/>
      <c r="H3979" s="60"/>
    </row>
    <row r="3980" spans="1:8">
      <c r="A3980" s="60"/>
      <c r="B3980" s="77"/>
      <c r="C3980" s="60"/>
      <c r="D3980" s="81"/>
      <c r="E3980" s="62"/>
      <c r="F3980" s="60"/>
      <c r="G3980" s="62"/>
      <c r="H3980" s="60"/>
    </row>
    <row r="3981" spans="1:8">
      <c r="A3981" s="60"/>
      <c r="B3981" s="77"/>
      <c r="C3981" s="60"/>
      <c r="D3981" s="81"/>
      <c r="E3981" s="62"/>
      <c r="F3981" s="60"/>
      <c r="G3981" s="62"/>
      <c r="H3981" s="60"/>
    </row>
    <row r="3982" spans="1:8">
      <c r="A3982" s="60"/>
      <c r="B3982" s="77"/>
      <c r="C3982" s="60"/>
      <c r="D3982" s="81"/>
      <c r="E3982" s="62"/>
      <c r="F3982" s="60"/>
      <c r="G3982" s="62"/>
      <c r="H3982" s="60"/>
    </row>
    <row r="3983" spans="1:8">
      <c r="A3983" s="60"/>
      <c r="B3983" s="77"/>
      <c r="C3983" s="60"/>
      <c r="D3983" s="81"/>
      <c r="E3983" s="62"/>
      <c r="F3983" s="60"/>
      <c r="G3983" s="62"/>
      <c r="H3983" s="60"/>
    </row>
    <row r="3984" spans="1:8">
      <c r="A3984" s="60"/>
      <c r="B3984" s="77"/>
      <c r="C3984" s="60"/>
      <c r="D3984" s="81"/>
      <c r="E3984" s="62"/>
      <c r="F3984" s="60"/>
      <c r="G3984" s="62"/>
      <c r="H3984" s="60"/>
    </row>
    <row r="3985" spans="1:8">
      <c r="A3985" s="60"/>
      <c r="B3985" s="77"/>
      <c r="C3985" s="60"/>
      <c r="D3985" s="81"/>
      <c r="E3985" s="62"/>
      <c r="F3985" s="60"/>
      <c r="G3985" s="62"/>
      <c r="H3985" s="60"/>
    </row>
    <row r="3986" spans="1:8">
      <c r="A3986" s="60"/>
      <c r="B3986" s="77"/>
      <c r="C3986" s="60"/>
      <c r="D3986" s="81"/>
      <c r="E3986" s="62"/>
      <c r="F3986" s="60"/>
      <c r="G3986" s="62"/>
      <c r="H3986" s="60"/>
    </row>
    <row r="3987" spans="1:8">
      <c r="A3987" s="60"/>
      <c r="B3987" s="77"/>
      <c r="C3987" s="60"/>
      <c r="D3987" s="81"/>
      <c r="E3987" s="62"/>
      <c r="F3987" s="60"/>
      <c r="G3987" s="62"/>
      <c r="H3987" s="60"/>
    </row>
    <row r="3988" spans="1:8">
      <c r="A3988" s="60"/>
      <c r="B3988" s="77"/>
      <c r="C3988" s="60"/>
      <c r="D3988" s="81"/>
      <c r="E3988" s="62"/>
      <c r="F3988" s="60"/>
      <c r="G3988" s="62"/>
      <c r="H3988" s="60"/>
    </row>
    <row r="3989" spans="1:8">
      <c r="A3989" s="60"/>
      <c r="B3989" s="77"/>
      <c r="C3989" s="60"/>
      <c r="D3989" s="81"/>
      <c r="E3989" s="62"/>
      <c r="F3989" s="60"/>
      <c r="G3989" s="62"/>
      <c r="H3989" s="60"/>
    </row>
    <row r="3990" spans="1:8">
      <c r="A3990" s="60"/>
      <c r="B3990" s="77"/>
      <c r="C3990" s="60"/>
      <c r="D3990" s="81"/>
      <c r="E3990" s="62"/>
      <c r="F3990" s="60"/>
      <c r="G3990" s="62"/>
      <c r="H3990" s="60"/>
    </row>
    <row r="3991" spans="1:8">
      <c r="A3991" s="60"/>
      <c r="B3991" s="77"/>
      <c r="C3991" s="60"/>
      <c r="D3991" s="81"/>
      <c r="E3991" s="62"/>
      <c r="F3991" s="60"/>
      <c r="G3991" s="62"/>
      <c r="H3991" s="60"/>
    </row>
    <row r="3992" spans="1:8">
      <c r="A3992" s="60"/>
      <c r="B3992" s="77"/>
      <c r="C3992" s="60"/>
      <c r="D3992" s="81"/>
      <c r="E3992" s="62"/>
      <c r="F3992" s="60"/>
      <c r="G3992" s="62"/>
      <c r="H3992" s="60"/>
    </row>
    <row r="3993" spans="1:8">
      <c r="A3993" s="60"/>
      <c r="B3993" s="77"/>
      <c r="C3993" s="60"/>
      <c r="D3993" s="81"/>
      <c r="E3993" s="62"/>
      <c r="F3993" s="60"/>
      <c r="G3993" s="62"/>
      <c r="H3993" s="60"/>
    </row>
    <row r="3994" spans="1:8">
      <c r="A3994" s="60"/>
      <c r="B3994" s="77"/>
      <c r="C3994" s="60"/>
      <c r="D3994" s="81"/>
      <c r="E3994" s="62"/>
      <c r="F3994" s="60"/>
      <c r="G3994" s="62"/>
      <c r="H3994" s="60"/>
    </row>
    <row r="3995" spans="1:8">
      <c r="A3995" s="60"/>
      <c r="B3995" s="77"/>
      <c r="C3995" s="60"/>
      <c r="D3995" s="81"/>
      <c r="E3995" s="62"/>
      <c r="F3995" s="60"/>
      <c r="G3995" s="62"/>
      <c r="H3995" s="60"/>
    </row>
    <row r="3996" spans="1:8">
      <c r="A3996" s="60"/>
      <c r="B3996" s="77"/>
      <c r="C3996" s="60"/>
      <c r="D3996" s="81"/>
      <c r="E3996" s="62"/>
      <c r="F3996" s="60"/>
      <c r="G3996" s="62"/>
      <c r="H3996" s="60"/>
    </row>
    <row r="3997" spans="1:8">
      <c r="A3997" s="60"/>
      <c r="B3997" s="77"/>
      <c r="C3997" s="60"/>
      <c r="D3997" s="81"/>
      <c r="E3997" s="62"/>
      <c r="F3997" s="60"/>
      <c r="G3997" s="62"/>
      <c r="H3997" s="60"/>
    </row>
    <row r="3998" spans="1:8">
      <c r="A3998" s="60"/>
      <c r="B3998" s="77"/>
      <c r="C3998" s="60"/>
      <c r="D3998" s="81"/>
      <c r="E3998" s="62"/>
      <c r="F3998" s="60"/>
      <c r="G3998" s="62"/>
      <c r="H3998" s="60"/>
    </row>
    <row r="3999" spans="1:8">
      <c r="A3999" s="60"/>
      <c r="B3999" s="77"/>
      <c r="C3999" s="60"/>
      <c r="D3999" s="81"/>
      <c r="E3999" s="62"/>
      <c r="F3999" s="60"/>
      <c r="G3999" s="62"/>
      <c r="H3999" s="60"/>
    </row>
    <row r="4000" spans="1:8">
      <c r="A4000" s="60"/>
      <c r="B4000" s="77"/>
      <c r="C4000" s="60"/>
      <c r="D4000" s="81"/>
      <c r="E4000" s="62"/>
      <c r="F4000" s="60"/>
      <c r="G4000" s="62"/>
      <c r="H4000" s="60"/>
    </row>
    <row r="4001" spans="1:8">
      <c r="A4001" s="60"/>
      <c r="B4001" s="77"/>
      <c r="C4001" s="60"/>
      <c r="D4001" s="81"/>
      <c r="E4001" s="62"/>
      <c r="F4001" s="60"/>
      <c r="G4001" s="62"/>
      <c r="H4001" s="60"/>
    </row>
    <row r="4002" spans="1:8">
      <c r="A4002" s="60"/>
      <c r="B4002" s="77"/>
      <c r="C4002" s="60"/>
      <c r="D4002" s="81"/>
      <c r="E4002" s="62"/>
      <c r="F4002" s="60"/>
      <c r="G4002" s="62"/>
      <c r="H4002" s="60"/>
    </row>
    <row r="4003" spans="1:8">
      <c r="A4003" s="60"/>
      <c r="B4003" s="77"/>
      <c r="C4003" s="60"/>
      <c r="D4003" s="81"/>
      <c r="E4003" s="62"/>
      <c r="F4003" s="60"/>
      <c r="G4003" s="62"/>
      <c r="H4003" s="60"/>
    </row>
    <row r="4004" spans="1:8">
      <c r="A4004" s="60"/>
      <c r="B4004" s="77"/>
      <c r="C4004" s="60"/>
      <c r="D4004" s="81"/>
      <c r="E4004" s="62"/>
      <c r="F4004" s="60"/>
      <c r="G4004" s="62"/>
      <c r="H4004" s="60"/>
    </row>
    <row r="4005" spans="1:8">
      <c r="A4005" s="60"/>
      <c r="B4005" s="77"/>
      <c r="C4005" s="60"/>
      <c r="D4005" s="81"/>
      <c r="E4005" s="62"/>
      <c r="F4005" s="60"/>
      <c r="G4005" s="62"/>
      <c r="H4005" s="60"/>
    </row>
    <row r="4006" spans="1:8">
      <c r="A4006" s="60"/>
      <c r="B4006" s="77"/>
      <c r="C4006" s="60"/>
      <c r="D4006" s="81"/>
      <c r="E4006" s="62"/>
      <c r="F4006" s="60"/>
      <c r="G4006" s="62"/>
      <c r="H4006" s="60"/>
    </row>
    <row r="4007" spans="1:8">
      <c r="A4007" s="60"/>
      <c r="B4007" s="77"/>
      <c r="C4007" s="60"/>
      <c r="D4007" s="81"/>
      <c r="E4007" s="62"/>
      <c r="F4007" s="60"/>
      <c r="G4007" s="62"/>
      <c r="H4007" s="60"/>
    </row>
    <row r="4008" spans="1:8">
      <c r="A4008" s="60"/>
      <c r="B4008" s="77"/>
      <c r="C4008" s="60"/>
      <c r="D4008" s="81"/>
      <c r="E4008" s="62"/>
      <c r="F4008" s="60"/>
      <c r="G4008" s="62"/>
      <c r="H4008" s="60"/>
    </row>
    <row r="4009" spans="1:8">
      <c r="A4009" s="60"/>
      <c r="B4009" s="77"/>
      <c r="C4009" s="60"/>
      <c r="D4009" s="81"/>
      <c r="E4009" s="62"/>
      <c r="F4009" s="60"/>
      <c r="G4009" s="62"/>
      <c r="H4009" s="60"/>
    </row>
    <row r="4010" spans="1:8">
      <c r="A4010" s="60"/>
      <c r="B4010" s="77"/>
      <c r="C4010" s="60"/>
      <c r="D4010" s="81"/>
      <c r="E4010" s="62"/>
      <c r="F4010" s="60"/>
      <c r="G4010" s="62"/>
      <c r="H4010" s="60"/>
    </row>
    <row r="4011" spans="1:8">
      <c r="A4011" s="60"/>
      <c r="B4011" s="77"/>
      <c r="C4011" s="60"/>
      <c r="D4011" s="81"/>
      <c r="E4011" s="62"/>
      <c r="F4011" s="60"/>
      <c r="G4011" s="62"/>
      <c r="H4011" s="60"/>
    </row>
    <row r="4012" spans="1:8">
      <c r="A4012" s="60"/>
      <c r="B4012" s="77"/>
      <c r="C4012" s="60"/>
      <c r="D4012" s="81"/>
      <c r="E4012" s="62"/>
      <c r="F4012" s="60"/>
      <c r="G4012" s="62"/>
      <c r="H4012" s="60"/>
    </row>
    <row r="4013" spans="1:8">
      <c r="A4013" s="60"/>
      <c r="B4013" s="77"/>
      <c r="C4013" s="60"/>
      <c r="D4013" s="81"/>
      <c r="E4013" s="62"/>
      <c r="F4013" s="60"/>
      <c r="G4013" s="62"/>
      <c r="H4013" s="60"/>
    </row>
    <row r="4014" spans="1:8">
      <c r="A4014" s="60"/>
      <c r="B4014" s="77"/>
      <c r="C4014" s="60"/>
      <c r="D4014" s="81"/>
      <c r="E4014" s="62"/>
      <c r="F4014" s="60"/>
      <c r="G4014" s="62"/>
      <c r="H4014" s="60"/>
    </row>
    <row r="4015" spans="1:8">
      <c r="A4015" s="60"/>
      <c r="B4015" s="77"/>
      <c r="C4015" s="60"/>
      <c r="D4015" s="81"/>
      <c r="E4015" s="62"/>
      <c r="F4015" s="60"/>
      <c r="G4015" s="62"/>
      <c r="H4015" s="60"/>
    </row>
    <row r="4016" spans="1:8">
      <c r="A4016" s="60"/>
      <c r="B4016" s="77"/>
      <c r="C4016" s="60"/>
      <c r="D4016" s="81"/>
      <c r="E4016" s="62"/>
      <c r="F4016" s="60"/>
      <c r="G4016" s="62"/>
      <c r="H4016" s="60"/>
    </row>
    <row r="4017" spans="1:8">
      <c r="A4017" s="60"/>
      <c r="B4017" s="77"/>
      <c r="C4017" s="60"/>
      <c r="D4017" s="81"/>
      <c r="E4017" s="62"/>
      <c r="F4017" s="60"/>
      <c r="G4017" s="62"/>
      <c r="H4017" s="60"/>
    </row>
    <row r="4018" spans="1:8">
      <c r="A4018" s="60"/>
      <c r="B4018" s="77"/>
      <c r="C4018" s="60"/>
      <c r="D4018" s="81"/>
      <c r="E4018" s="62"/>
      <c r="F4018" s="60"/>
      <c r="G4018" s="62"/>
      <c r="H4018" s="60"/>
    </row>
    <row r="4019" spans="1:8">
      <c r="A4019" s="60"/>
      <c r="B4019" s="77"/>
      <c r="C4019" s="60"/>
      <c r="D4019" s="81"/>
      <c r="E4019" s="62"/>
      <c r="F4019" s="60"/>
      <c r="G4019" s="62"/>
      <c r="H4019" s="60"/>
    </row>
    <row r="4020" spans="1:8">
      <c r="A4020" s="60"/>
      <c r="B4020" s="77"/>
      <c r="C4020" s="60"/>
      <c r="D4020" s="81"/>
      <c r="E4020" s="62"/>
      <c r="F4020" s="60"/>
      <c r="G4020" s="62"/>
      <c r="H4020" s="60"/>
    </row>
    <row r="4021" spans="1:8">
      <c r="A4021" s="60"/>
      <c r="B4021" s="77"/>
      <c r="C4021" s="60"/>
      <c r="D4021" s="81"/>
      <c r="E4021" s="62"/>
      <c r="F4021" s="60"/>
      <c r="G4021" s="62"/>
      <c r="H4021" s="60"/>
    </row>
    <row r="4022" spans="1:8">
      <c r="A4022" s="60"/>
      <c r="B4022" s="77"/>
      <c r="C4022" s="60"/>
      <c r="D4022" s="81"/>
      <c r="E4022" s="62"/>
      <c r="F4022" s="60"/>
      <c r="G4022" s="62"/>
      <c r="H4022" s="60"/>
    </row>
    <row r="4023" spans="1:8">
      <c r="A4023" s="60"/>
      <c r="B4023" s="77"/>
      <c r="C4023" s="60"/>
      <c r="D4023" s="81"/>
      <c r="E4023" s="62"/>
      <c r="F4023" s="60"/>
      <c r="G4023" s="62"/>
      <c r="H4023" s="60"/>
    </row>
    <row r="4024" spans="1:8">
      <c r="A4024" s="60"/>
      <c r="B4024" s="77"/>
      <c r="C4024" s="60"/>
      <c r="D4024" s="81"/>
      <c r="E4024" s="62"/>
      <c r="F4024" s="60"/>
      <c r="G4024" s="62"/>
      <c r="H4024" s="60"/>
    </row>
    <row r="4025" spans="1:8">
      <c r="A4025" s="60"/>
      <c r="B4025" s="77"/>
      <c r="C4025" s="60"/>
      <c r="D4025" s="81"/>
      <c r="E4025" s="62"/>
      <c r="F4025" s="60"/>
      <c r="G4025" s="62"/>
      <c r="H4025" s="60"/>
    </row>
    <row r="4026" spans="1:8">
      <c r="A4026" s="60"/>
      <c r="B4026" s="77"/>
      <c r="C4026" s="60"/>
      <c r="D4026" s="81"/>
      <c r="E4026" s="62"/>
      <c r="F4026" s="60"/>
      <c r="G4026" s="62"/>
      <c r="H4026" s="60"/>
    </row>
    <row r="4027" spans="1:8">
      <c r="A4027" s="60"/>
      <c r="B4027" s="77"/>
      <c r="C4027" s="60"/>
      <c r="D4027" s="81"/>
      <c r="E4027" s="62"/>
      <c r="F4027" s="60"/>
      <c r="G4027" s="62"/>
      <c r="H4027" s="60"/>
    </row>
    <row r="4028" spans="1:8">
      <c r="A4028" s="60"/>
      <c r="B4028" s="77"/>
      <c r="C4028" s="60"/>
      <c r="D4028" s="81"/>
      <c r="E4028" s="62"/>
      <c r="F4028" s="60"/>
      <c r="G4028" s="62"/>
      <c r="H4028" s="60"/>
    </row>
    <row r="4029" spans="1:8">
      <c r="A4029" s="60"/>
      <c r="B4029" s="77"/>
      <c r="C4029" s="60"/>
      <c r="D4029" s="81"/>
      <c r="E4029" s="62"/>
      <c r="F4029" s="60"/>
      <c r="G4029" s="62"/>
      <c r="H4029" s="60"/>
    </row>
    <row r="4030" spans="1:8">
      <c r="A4030" s="60"/>
      <c r="B4030" s="77"/>
      <c r="C4030" s="60"/>
      <c r="D4030" s="81"/>
      <c r="E4030" s="62"/>
      <c r="F4030" s="60"/>
      <c r="G4030" s="62"/>
      <c r="H4030" s="60"/>
    </row>
    <row r="4031" spans="1:8">
      <c r="A4031" s="60"/>
      <c r="B4031" s="77"/>
      <c r="C4031" s="60"/>
      <c r="D4031" s="81"/>
      <c r="E4031" s="62"/>
      <c r="F4031" s="60"/>
      <c r="G4031" s="62"/>
      <c r="H4031" s="60"/>
    </row>
    <row r="4032" spans="1:8">
      <c r="A4032" s="60"/>
      <c r="B4032" s="77"/>
      <c r="C4032" s="60"/>
      <c r="D4032" s="81"/>
      <c r="E4032" s="62"/>
      <c r="F4032" s="60"/>
      <c r="G4032" s="62"/>
      <c r="H4032" s="60"/>
    </row>
    <row r="4033" spans="1:8">
      <c r="A4033" s="60"/>
      <c r="B4033" s="77"/>
      <c r="C4033" s="60"/>
      <c r="D4033" s="81"/>
      <c r="E4033" s="62"/>
      <c r="F4033" s="60"/>
      <c r="G4033" s="62"/>
      <c r="H4033" s="60"/>
    </row>
    <row r="4034" spans="1:8">
      <c r="A4034" s="60"/>
      <c r="B4034" s="77"/>
      <c r="C4034" s="60"/>
      <c r="D4034" s="81"/>
      <c r="E4034" s="62"/>
      <c r="F4034" s="60"/>
      <c r="G4034" s="62"/>
      <c r="H4034" s="60"/>
    </row>
    <row r="4035" spans="1:8">
      <c r="A4035" s="60"/>
      <c r="B4035" s="77"/>
      <c r="C4035" s="60"/>
      <c r="D4035" s="81"/>
      <c r="E4035" s="62"/>
      <c r="F4035" s="60"/>
      <c r="G4035" s="62"/>
      <c r="H4035" s="60"/>
    </row>
    <row r="4036" spans="1:8">
      <c r="A4036" s="60"/>
      <c r="B4036" s="77"/>
      <c r="C4036" s="60"/>
      <c r="D4036" s="81"/>
      <c r="E4036" s="62"/>
      <c r="F4036" s="60"/>
      <c r="G4036" s="62"/>
      <c r="H4036" s="60"/>
    </row>
    <row r="4037" spans="1:8">
      <c r="A4037" s="60"/>
      <c r="B4037" s="77"/>
      <c r="C4037" s="60"/>
      <c r="D4037" s="81"/>
      <c r="E4037" s="62"/>
      <c r="F4037" s="60"/>
      <c r="G4037" s="62"/>
      <c r="H4037" s="60"/>
    </row>
    <row r="4038" spans="1:8">
      <c r="A4038" s="60"/>
      <c r="B4038" s="77"/>
      <c r="C4038" s="60"/>
      <c r="D4038" s="81"/>
      <c r="E4038" s="62"/>
      <c r="F4038" s="60"/>
      <c r="G4038" s="62"/>
      <c r="H4038" s="60"/>
    </row>
    <row r="4039" spans="1:8">
      <c r="A4039" s="60"/>
      <c r="B4039" s="77"/>
      <c r="C4039" s="60"/>
      <c r="D4039" s="81"/>
      <c r="E4039" s="62"/>
      <c r="F4039" s="60"/>
      <c r="G4039" s="62"/>
      <c r="H4039" s="60"/>
    </row>
    <row r="4040" spans="1:8">
      <c r="A4040" s="60"/>
      <c r="B4040" s="77"/>
      <c r="C4040" s="60"/>
      <c r="D4040" s="81"/>
      <c r="E4040" s="62"/>
      <c r="F4040" s="60"/>
      <c r="G4040" s="62"/>
      <c r="H4040" s="60"/>
    </row>
    <row r="4041" spans="1:8">
      <c r="A4041" s="60"/>
      <c r="B4041" s="77"/>
      <c r="C4041" s="60"/>
      <c r="D4041" s="81"/>
      <c r="E4041" s="62"/>
      <c r="F4041" s="60"/>
      <c r="G4041" s="62"/>
      <c r="H4041" s="60"/>
    </row>
    <row r="4042" spans="1:8">
      <c r="A4042" s="60"/>
      <c r="B4042" s="77"/>
      <c r="C4042" s="60"/>
      <c r="D4042" s="81"/>
      <c r="E4042" s="62"/>
      <c r="F4042" s="60"/>
      <c r="G4042" s="62"/>
      <c r="H4042" s="60"/>
    </row>
    <row r="4043" spans="1:8">
      <c r="A4043" s="60"/>
      <c r="B4043" s="77"/>
      <c r="C4043" s="60"/>
      <c r="D4043" s="81"/>
      <c r="E4043" s="62"/>
      <c r="F4043" s="60"/>
      <c r="G4043" s="62"/>
      <c r="H4043" s="60"/>
    </row>
    <row r="4044" spans="1:8">
      <c r="A4044" s="60"/>
      <c r="B4044" s="77"/>
      <c r="C4044" s="60"/>
      <c r="D4044" s="81"/>
      <c r="E4044" s="62"/>
      <c r="F4044" s="60"/>
      <c r="G4044" s="62"/>
      <c r="H4044" s="60"/>
    </row>
    <row r="4045" spans="1:8">
      <c r="A4045" s="60"/>
      <c r="B4045" s="77"/>
      <c r="C4045" s="60"/>
      <c r="D4045" s="81"/>
      <c r="E4045" s="62"/>
      <c r="F4045" s="60"/>
      <c r="G4045" s="62"/>
      <c r="H4045" s="60"/>
    </row>
    <row r="4046" spans="1:8">
      <c r="A4046" s="60"/>
      <c r="B4046" s="77"/>
      <c r="C4046" s="60"/>
      <c r="D4046" s="81"/>
      <c r="E4046" s="62"/>
      <c r="F4046" s="60"/>
      <c r="G4046" s="62"/>
      <c r="H4046" s="60"/>
    </row>
    <row r="4047" spans="1:8">
      <c r="A4047" s="60"/>
      <c r="B4047" s="77"/>
      <c r="C4047" s="60"/>
      <c r="D4047" s="81"/>
      <c r="E4047" s="62"/>
      <c r="F4047" s="60"/>
      <c r="G4047" s="62"/>
      <c r="H4047" s="60"/>
    </row>
    <row r="4048" spans="1:8">
      <c r="A4048" s="60"/>
      <c r="B4048" s="77"/>
      <c r="C4048" s="60"/>
      <c r="D4048" s="81"/>
      <c r="E4048" s="62"/>
      <c r="F4048" s="60"/>
      <c r="G4048" s="62"/>
      <c r="H4048" s="60"/>
    </row>
    <row r="4049" spans="1:8">
      <c r="A4049" s="60"/>
      <c r="B4049" s="77"/>
      <c r="C4049" s="60"/>
      <c r="D4049" s="81"/>
      <c r="E4049" s="62"/>
      <c r="F4049" s="60"/>
      <c r="G4049" s="62"/>
      <c r="H4049" s="60"/>
    </row>
    <row r="4050" spans="1:8">
      <c r="A4050" s="60"/>
      <c r="B4050" s="77"/>
      <c r="C4050" s="60"/>
      <c r="D4050" s="81"/>
      <c r="E4050" s="62"/>
      <c r="F4050" s="60"/>
      <c r="G4050" s="62"/>
      <c r="H4050" s="60"/>
    </row>
    <row r="4051" spans="1:8">
      <c r="A4051" s="60"/>
      <c r="B4051" s="77"/>
      <c r="C4051" s="60"/>
      <c r="D4051" s="81"/>
      <c r="E4051" s="62"/>
      <c r="F4051" s="60"/>
      <c r="G4051" s="62"/>
      <c r="H4051" s="60"/>
    </row>
    <row r="4052" spans="1:8">
      <c r="A4052" s="60"/>
      <c r="B4052" s="77"/>
      <c r="C4052" s="60"/>
      <c r="D4052" s="81"/>
      <c r="E4052" s="62"/>
      <c r="F4052" s="60"/>
      <c r="G4052" s="62"/>
      <c r="H4052" s="60"/>
    </row>
    <row r="4053" spans="1:8">
      <c r="A4053" s="60"/>
      <c r="B4053" s="77"/>
      <c r="C4053" s="60"/>
      <c r="D4053" s="81"/>
      <c r="E4053" s="62"/>
      <c r="F4053" s="60"/>
      <c r="G4053" s="62"/>
      <c r="H4053" s="60"/>
    </row>
    <row r="4054" spans="1:8">
      <c r="A4054" s="60"/>
      <c r="B4054" s="77"/>
      <c r="C4054" s="60"/>
      <c r="D4054" s="81"/>
      <c r="E4054" s="62"/>
      <c r="F4054" s="60"/>
      <c r="G4054" s="62"/>
      <c r="H4054" s="60"/>
    </row>
    <row r="4055" spans="1:8">
      <c r="A4055" s="60"/>
      <c r="B4055" s="77"/>
      <c r="C4055" s="60"/>
      <c r="D4055" s="81"/>
      <c r="E4055" s="62"/>
      <c r="F4055" s="60"/>
      <c r="G4055" s="62"/>
      <c r="H4055" s="60"/>
    </row>
    <row r="4056" spans="1:8">
      <c r="A4056" s="60"/>
      <c r="B4056" s="77"/>
      <c r="C4056" s="60"/>
      <c r="D4056" s="81"/>
      <c r="E4056" s="62"/>
      <c r="F4056" s="60"/>
      <c r="G4056" s="62"/>
      <c r="H4056" s="60"/>
    </row>
    <row r="4057" spans="1:8">
      <c r="A4057" s="60"/>
      <c r="B4057" s="77"/>
      <c r="C4057" s="60"/>
      <c r="D4057" s="81"/>
      <c r="E4057" s="62"/>
      <c r="F4057" s="60"/>
      <c r="G4057" s="62"/>
      <c r="H4057" s="60"/>
    </row>
    <row r="4058" spans="1:8">
      <c r="A4058" s="60"/>
      <c r="B4058" s="77"/>
      <c r="C4058" s="60"/>
      <c r="D4058" s="81"/>
      <c r="E4058" s="62"/>
      <c r="F4058" s="60"/>
      <c r="G4058" s="62"/>
      <c r="H4058" s="60"/>
    </row>
    <row r="4059" spans="1:8">
      <c r="A4059" s="60"/>
      <c r="B4059" s="77"/>
      <c r="C4059" s="60"/>
      <c r="D4059" s="81"/>
      <c r="E4059" s="62"/>
      <c r="F4059" s="60"/>
      <c r="G4059" s="62"/>
      <c r="H4059" s="60"/>
    </row>
    <row r="4060" spans="1:8">
      <c r="A4060" s="60"/>
      <c r="B4060" s="77"/>
      <c r="C4060" s="60"/>
      <c r="D4060" s="81"/>
      <c r="E4060" s="62"/>
      <c r="F4060" s="60"/>
      <c r="G4060" s="62"/>
      <c r="H4060" s="60"/>
    </row>
    <row r="4061" spans="1:8">
      <c r="A4061" s="60"/>
      <c r="B4061" s="77"/>
      <c r="C4061" s="60"/>
      <c r="D4061" s="81"/>
      <c r="E4061" s="62"/>
      <c r="F4061" s="60"/>
      <c r="G4061" s="62"/>
      <c r="H4061" s="60"/>
    </row>
    <row r="4062" spans="1:8">
      <c r="A4062" s="60"/>
      <c r="B4062" s="77"/>
      <c r="C4062" s="60"/>
      <c r="D4062" s="81"/>
      <c r="E4062" s="62"/>
      <c r="F4062" s="60"/>
      <c r="G4062" s="62"/>
      <c r="H4062" s="60"/>
    </row>
    <row r="4063" spans="1:8">
      <c r="A4063" s="60"/>
      <c r="B4063" s="77"/>
      <c r="C4063" s="60"/>
      <c r="D4063" s="81"/>
      <c r="E4063" s="62"/>
      <c r="F4063" s="60"/>
      <c r="G4063" s="62"/>
      <c r="H4063" s="60"/>
    </row>
    <row r="4064" spans="1:8">
      <c r="A4064" s="60"/>
      <c r="B4064" s="77"/>
      <c r="C4064" s="60"/>
      <c r="D4064" s="81"/>
      <c r="E4064" s="62"/>
      <c r="F4064" s="60"/>
      <c r="G4064" s="62"/>
      <c r="H4064" s="60"/>
    </row>
    <row r="4065" spans="1:8">
      <c r="A4065" s="60"/>
      <c r="B4065" s="77"/>
      <c r="C4065" s="60"/>
      <c r="D4065" s="81"/>
      <c r="E4065" s="62"/>
      <c r="F4065" s="60"/>
      <c r="G4065" s="62"/>
      <c r="H4065" s="60"/>
    </row>
    <row r="4066" spans="1:8">
      <c r="A4066" s="60"/>
      <c r="B4066" s="77"/>
      <c r="C4066" s="60"/>
      <c r="D4066" s="81"/>
      <c r="E4066" s="62"/>
      <c r="F4066" s="60"/>
      <c r="G4066" s="62"/>
      <c r="H4066" s="60"/>
    </row>
    <row r="4067" spans="1:8">
      <c r="A4067" s="60"/>
      <c r="B4067" s="77"/>
      <c r="C4067" s="60"/>
      <c r="D4067" s="81"/>
      <c r="E4067" s="62"/>
      <c r="F4067" s="60"/>
      <c r="G4067" s="62"/>
      <c r="H4067" s="60"/>
    </row>
    <row r="4068" spans="1:8">
      <c r="A4068" s="60"/>
      <c r="B4068" s="77"/>
      <c r="C4068" s="60"/>
      <c r="D4068" s="81"/>
      <c r="E4068" s="62"/>
      <c r="F4068" s="60"/>
      <c r="G4068" s="62"/>
      <c r="H4068" s="60"/>
    </row>
    <row r="4069" spans="1:8">
      <c r="A4069" s="60"/>
      <c r="B4069" s="77"/>
      <c r="C4069" s="60"/>
      <c r="D4069" s="81"/>
      <c r="E4069" s="62"/>
      <c r="F4069" s="60"/>
      <c r="G4069" s="62"/>
      <c r="H4069" s="60"/>
    </row>
    <row r="4070" spans="1:8">
      <c r="A4070" s="60"/>
      <c r="B4070" s="77"/>
      <c r="C4070" s="60"/>
      <c r="D4070" s="81"/>
      <c r="E4070" s="62"/>
      <c r="F4070" s="60"/>
      <c r="G4070" s="62"/>
      <c r="H4070" s="60"/>
    </row>
    <row r="4071" spans="1:8">
      <c r="A4071" s="60"/>
      <c r="B4071" s="77"/>
      <c r="C4071" s="60"/>
      <c r="D4071" s="81"/>
      <c r="E4071" s="62"/>
      <c r="F4071" s="60"/>
      <c r="G4071" s="62"/>
      <c r="H4071" s="60"/>
    </row>
    <row r="4072" spans="1:8">
      <c r="A4072" s="60"/>
      <c r="B4072" s="77"/>
      <c r="C4072" s="60"/>
      <c r="D4072" s="81"/>
      <c r="E4072" s="62"/>
      <c r="F4072" s="60"/>
      <c r="G4072" s="62"/>
      <c r="H4072" s="60"/>
    </row>
    <row r="4073" spans="1:8">
      <c r="A4073" s="60"/>
      <c r="B4073" s="77"/>
      <c r="C4073" s="60"/>
      <c r="D4073" s="81"/>
      <c r="E4073" s="62"/>
      <c r="F4073" s="60"/>
      <c r="G4073" s="62"/>
      <c r="H4073" s="60"/>
    </row>
    <row r="4074" spans="1:8">
      <c r="A4074" s="60"/>
      <c r="B4074" s="77"/>
      <c r="C4074" s="60"/>
      <c r="D4074" s="81"/>
      <c r="E4074" s="62"/>
      <c r="F4074" s="60"/>
      <c r="G4074" s="62"/>
      <c r="H4074" s="60"/>
    </row>
    <row r="4075" spans="1:8">
      <c r="A4075" s="60"/>
      <c r="B4075" s="77"/>
      <c r="C4075" s="60"/>
      <c r="D4075" s="81"/>
      <c r="E4075" s="62"/>
      <c r="F4075" s="60"/>
      <c r="G4075" s="62"/>
      <c r="H4075" s="60"/>
    </row>
    <row r="4076" spans="1:8">
      <c r="A4076" s="60"/>
      <c r="B4076" s="77"/>
      <c r="C4076" s="60"/>
      <c r="D4076" s="81"/>
      <c r="E4076" s="62"/>
      <c r="F4076" s="60"/>
      <c r="G4076" s="62"/>
      <c r="H4076" s="60"/>
    </row>
    <row r="4077" spans="1:8">
      <c r="A4077" s="60"/>
      <c r="B4077" s="77"/>
      <c r="C4077" s="60"/>
      <c r="D4077" s="81"/>
      <c r="E4077" s="62"/>
      <c r="F4077" s="60"/>
      <c r="G4077" s="62"/>
      <c r="H4077" s="60"/>
    </row>
    <row r="4078" spans="1:8">
      <c r="A4078" s="60"/>
      <c r="B4078" s="77"/>
      <c r="C4078" s="60"/>
      <c r="D4078" s="81"/>
      <c r="E4078" s="62"/>
      <c r="F4078" s="60"/>
      <c r="G4078" s="62"/>
      <c r="H4078" s="60"/>
    </row>
    <row r="4079" spans="1:8">
      <c r="A4079" s="60"/>
      <c r="B4079" s="77"/>
      <c r="C4079" s="60"/>
      <c r="D4079" s="81"/>
      <c r="E4079" s="62"/>
      <c r="F4079" s="60"/>
      <c r="G4079" s="62"/>
      <c r="H4079" s="60"/>
    </row>
    <row r="4080" spans="1:8">
      <c r="A4080" s="60"/>
      <c r="B4080" s="77"/>
      <c r="C4080" s="60"/>
      <c r="D4080" s="81"/>
      <c r="E4080" s="62"/>
      <c r="F4080" s="60"/>
      <c r="G4080" s="62"/>
      <c r="H4080" s="60"/>
    </row>
    <row r="4081" spans="1:8">
      <c r="A4081" s="60"/>
      <c r="B4081" s="77"/>
      <c r="C4081" s="60"/>
      <c r="D4081" s="81"/>
      <c r="E4081" s="62"/>
      <c r="F4081" s="60"/>
      <c r="G4081" s="62"/>
      <c r="H4081" s="60"/>
    </row>
    <row r="4082" spans="1:8">
      <c r="A4082" s="60"/>
      <c r="B4082" s="77"/>
      <c r="C4082" s="60"/>
      <c r="D4082" s="81"/>
      <c r="E4082" s="62"/>
      <c r="F4082" s="60"/>
      <c r="G4082" s="62"/>
      <c r="H4082" s="60"/>
    </row>
    <row r="4083" spans="1:8">
      <c r="A4083" s="60"/>
      <c r="B4083" s="77"/>
      <c r="C4083" s="60"/>
      <c r="D4083" s="81"/>
      <c r="E4083" s="62"/>
      <c r="F4083" s="60"/>
      <c r="G4083" s="62"/>
      <c r="H4083" s="60"/>
    </row>
    <row r="4084" spans="1:8">
      <c r="A4084" s="60"/>
      <c r="B4084" s="77"/>
      <c r="C4084" s="60"/>
      <c r="D4084" s="81"/>
      <c r="E4084" s="62"/>
      <c r="F4084" s="60"/>
      <c r="G4084" s="62"/>
      <c r="H4084" s="60"/>
    </row>
    <row r="4085" spans="1:8">
      <c r="A4085" s="60"/>
      <c r="B4085" s="77"/>
      <c r="C4085" s="60"/>
      <c r="D4085" s="81"/>
      <c r="E4085" s="62"/>
      <c r="F4085" s="60"/>
      <c r="G4085" s="62"/>
      <c r="H4085" s="60"/>
    </row>
    <row r="4086" spans="1:8">
      <c r="A4086" s="60"/>
      <c r="B4086" s="77"/>
      <c r="C4086" s="60"/>
      <c r="D4086" s="81"/>
      <c r="E4086" s="62"/>
      <c r="F4086" s="60"/>
      <c r="G4086" s="62"/>
      <c r="H4086" s="60"/>
    </row>
    <row r="4087" spans="1:8">
      <c r="A4087" s="60"/>
      <c r="B4087" s="77"/>
      <c r="C4087" s="60"/>
      <c r="D4087" s="81"/>
      <c r="E4087" s="62"/>
      <c r="F4087" s="60"/>
      <c r="G4087" s="62"/>
      <c r="H4087" s="60"/>
    </row>
    <row r="4088" spans="1:8">
      <c r="A4088" s="60"/>
      <c r="B4088" s="77"/>
      <c r="C4088" s="60"/>
      <c r="D4088" s="81"/>
      <c r="E4088" s="62"/>
      <c r="F4088" s="60"/>
      <c r="G4088" s="62"/>
      <c r="H4088" s="60"/>
    </row>
    <row r="4089" spans="1:8">
      <c r="A4089" s="60"/>
      <c r="B4089" s="77"/>
      <c r="C4089" s="60"/>
      <c r="D4089" s="81"/>
      <c r="E4089" s="62"/>
      <c r="F4089" s="60"/>
      <c r="G4089" s="62"/>
      <c r="H4089" s="60"/>
    </row>
    <row r="4090" spans="1:8">
      <c r="A4090" s="60"/>
      <c r="B4090" s="77"/>
      <c r="C4090" s="60"/>
      <c r="D4090" s="81"/>
      <c r="E4090" s="62"/>
      <c r="F4090" s="60"/>
      <c r="G4090" s="62"/>
      <c r="H4090" s="60"/>
    </row>
    <row r="4091" spans="1:8">
      <c r="A4091" s="60"/>
      <c r="B4091" s="77"/>
      <c r="C4091" s="60"/>
      <c r="D4091" s="81"/>
      <c r="E4091" s="62"/>
      <c r="F4091" s="60"/>
      <c r="G4091" s="62"/>
      <c r="H4091" s="60"/>
    </row>
    <row r="4092" spans="1:8">
      <c r="A4092" s="60"/>
      <c r="B4092" s="77"/>
      <c r="C4092" s="60"/>
      <c r="D4092" s="81"/>
      <c r="E4092" s="62"/>
      <c r="F4092" s="60"/>
      <c r="G4092" s="62"/>
      <c r="H4092" s="60"/>
    </row>
    <row r="4093" spans="1:8">
      <c r="A4093" s="60"/>
      <c r="B4093" s="77"/>
      <c r="C4093" s="60"/>
      <c r="D4093" s="81"/>
      <c r="E4093" s="62"/>
      <c r="F4093" s="60"/>
      <c r="G4093" s="62"/>
      <c r="H4093" s="60"/>
    </row>
    <row r="4094" spans="1:8">
      <c r="A4094" s="60"/>
      <c r="B4094" s="77"/>
      <c r="C4094" s="60"/>
      <c r="D4094" s="81"/>
      <c r="E4094" s="62"/>
      <c r="F4094" s="60"/>
      <c r="G4094" s="62"/>
      <c r="H4094" s="60"/>
    </row>
    <row r="4095" spans="1:8">
      <c r="A4095" s="60"/>
      <c r="B4095" s="77"/>
      <c r="C4095" s="60"/>
      <c r="D4095" s="81"/>
      <c r="E4095" s="62"/>
      <c r="F4095" s="60"/>
      <c r="G4095" s="62"/>
      <c r="H4095" s="60"/>
    </row>
    <row r="4096" spans="1:8">
      <c r="A4096" s="60"/>
      <c r="B4096" s="77"/>
      <c r="C4096" s="60"/>
      <c r="D4096" s="81"/>
      <c r="E4096" s="62"/>
      <c r="F4096" s="60"/>
      <c r="G4096" s="62"/>
      <c r="H4096" s="60"/>
    </row>
    <row r="4097" spans="1:8">
      <c r="A4097" s="60"/>
      <c r="B4097" s="77"/>
      <c r="C4097" s="60"/>
      <c r="D4097" s="81"/>
      <c r="E4097" s="62"/>
      <c r="F4097" s="60"/>
      <c r="G4097" s="62"/>
      <c r="H4097" s="60"/>
    </row>
    <row r="4098" spans="1:8">
      <c r="A4098" s="60"/>
      <c r="B4098" s="77"/>
      <c r="C4098" s="60"/>
      <c r="D4098" s="81"/>
      <c r="E4098" s="62"/>
      <c r="F4098" s="60"/>
      <c r="G4098" s="62"/>
      <c r="H4098" s="60"/>
    </row>
    <row r="4099" spans="1:8">
      <c r="A4099" s="60"/>
      <c r="B4099" s="77"/>
      <c r="C4099" s="60"/>
      <c r="D4099" s="81"/>
      <c r="E4099" s="62"/>
      <c r="F4099" s="60"/>
      <c r="G4099" s="62"/>
      <c r="H4099" s="60"/>
    </row>
    <row r="4100" spans="1:8">
      <c r="A4100" s="60"/>
      <c r="B4100" s="77"/>
      <c r="C4100" s="60"/>
      <c r="D4100" s="81"/>
      <c r="E4100" s="62"/>
      <c r="F4100" s="60"/>
      <c r="G4100" s="62"/>
      <c r="H4100" s="60"/>
    </row>
    <row r="4101" spans="1:8">
      <c r="A4101" s="60"/>
      <c r="B4101" s="77"/>
      <c r="C4101" s="60"/>
      <c r="D4101" s="81"/>
      <c r="E4101" s="62"/>
      <c r="F4101" s="60"/>
      <c r="G4101" s="62"/>
      <c r="H4101" s="60"/>
    </row>
    <row r="4102" spans="1:8">
      <c r="A4102" s="60"/>
      <c r="B4102" s="77"/>
      <c r="C4102" s="60"/>
      <c r="D4102" s="81"/>
      <c r="E4102" s="62"/>
      <c r="F4102" s="60"/>
      <c r="G4102" s="62"/>
      <c r="H4102" s="60"/>
    </row>
    <row r="4103" spans="1:8">
      <c r="A4103" s="60"/>
      <c r="B4103" s="77"/>
      <c r="C4103" s="60"/>
      <c r="D4103" s="81"/>
      <c r="E4103" s="62"/>
      <c r="F4103" s="60"/>
      <c r="G4103" s="62"/>
      <c r="H4103" s="60"/>
    </row>
    <row r="4104" spans="1:8">
      <c r="A4104" s="60"/>
      <c r="B4104" s="77"/>
      <c r="C4104" s="60"/>
      <c r="D4104" s="81"/>
      <c r="E4104" s="62"/>
      <c r="F4104" s="60"/>
      <c r="G4104" s="62"/>
      <c r="H4104" s="60"/>
    </row>
    <row r="4105" spans="1:8">
      <c r="A4105" s="60"/>
      <c r="B4105" s="77"/>
      <c r="C4105" s="60"/>
      <c r="D4105" s="81"/>
      <c r="E4105" s="62"/>
      <c r="F4105" s="60"/>
      <c r="G4105" s="62"/>
      <c r="H4105" s="60"/>
    </row>
    <row r="4106" spans="1:8">
      <c r="A4106" s="60"/>
      <c r="B4106" s="77"/>
      <c r="C4106" s="60"/>
      <c r="D4106" s="81"/>
      <c r="E4106" s="62"/>
      <c r="F4106" s="60"/>
      <c r="G4106" s="62"/>
      <c r="H4106" s="60"/>
    </row>
    <row r="4107" spans="1:8">
      <c r="A4107" s="60"/>
      <c r="B4107" s="77"/>
      <c r="C4107" s="60"/>
      <c r="D4107" s="81"/>
      <c r="E4107" s="62"/>
      <c r="F4107" s="60"/>
      <c r="G4107" s="62"/>
      <c r="H4107" s="60"/>
    </row>
    <row r="4108" spans="1:8">
      <c r="A4108" s="60"/>
      <c r="B4108" s="77"/>
      <c r="C4108" s="60"/>
      <c r="D4108" s="81"/>
      <c r="E4108" s="62"/>
      <c r="F4108" s="60"/>
      <c r="G4108" s="62"/>
      <c r="H4108" s="60"/>
    </row>
    <row r="4109" spans="1:8">
      <c r="A4109" s="60"/>
      <c r="B4109" s="77"/>
      <c r="C4109" s="60"/>
      <c r="D4109" s="81"/>
      <c r="E4109" s="62"/>
      <c r="F4109" s="60"/>
      <c r="G4109" s="62"/>
      <c r="H4109" s="60"/>
    </row>
    <row r="4110" spans="1:8">
      <c r="A4110" s="60"/>
      <c r="B4110" s="77"/>
      <c r="C4110" s="60"/>
      <c r="D4110" s="81"/>
      <c r="E4110" s="62"/>
      <c r="F4110" s="60"/>
      <c r="G4110" s="62"/>
      <c r="H4110" s="60"/>
    </row>
    <row r="4111" spans="1:8">
      <c r="A4111" s="60"/>
      <c r="B4111" s="77"/>
      <c r="C4111" s="60"/>
      <c r="D4111" s="81"/>
      <c r="E4111" s="62"/>
      <c r="F4111" s="60"/>
      <c r="G4111" s="62"/>
      <c r="H4111" s="60"/>
    </row>
    <row r="4112" spans="1:8">
      <c r="A4112" s="60"/>
      <c r="B4112" s="77"/>
      <c r="C4112" s="60"/>
      <c r="D4112" s="81"/>
      <c r="E4112" s="62"/>
      <c r="F4112" s="60"/>
      <c r="G4112" s="62"/>
      <c r="H4112" s="60"/>
    </row>
    <row r="4113" spans="1:8">
      <c r="A4113" s="60"/>
      <c r="B4113" s="77"/>
      <c r="C4113" s="60"/>
      <c r="D4113" s="81"/>
      <c r="E4113" s="62"/>
      <c r="F4113" s="60"/>
      <c r="G4113" s="62"/>
      <c r="H4113" s="60"/>
    </row>
    <row r="4114" spans="1:8">
      <c r="A4114" s="60"/>
      <c r="B4114" s="77"/>
      <c r="C4114" s="60"/>
      <c r="D4114" s="81"/>
      <c r="E4114" s="62"/>
      <c r="F4114" s="60"/>
      <c r="G4114" s="62"/>
      <c r="H4114" s="60"/>
    </row>
    <row r="4115" spans="1:8">
      <c r="A4115" s="60"/>
      <c r="B4115" s="77"/>
      <c r="C4115" s="60"/>
      <c r="D4115" s="81"/>
      <c r="E4115" s="62"/>
      <c r="F4115" s="60"/>
      <c r="G4115" s="62"/>
      <c r="H4115" s="60"/>
    </row>
    <row r="4116" spans="1:8">
      <c r="A4116" s="60"/>
      <c r="B4116" s="77"/>
      <c r="C4116" s="60"/>
      <c r="D4116" s="81"/>
      <c r="E4116" s="62"/>
      <c r="F4116" s="60"/>
      <c r="G4116" s="62"/>
      <c r="H4116" s="60"/>
    </row>
    <row r="4117" spans="1:8">
      <c r="A4117" s="60"/>
      <c r="B4117" s="77"/>
      <c r="C4117" s="60"/>
      <c r="D4117" s="81"/>
      <c r="E4117" s="62"/>
      <c r="F4117" s="60"/>
      <c r="G4117" s="62"/>
      <c r="H4117" s="60"/>
    </row>
    <row r="4118" spans="1:8">
      <c r="A4118" s="60"/>
      <c r="B4118" s="77"/>
      <c r="C4118" s="60"/>
      <c r="D4118" s="81"/>
      <c r="E4118" s="62"/>
      <c r="F4118" s="60"/>
      <c r="G4118" s="62"/>
      <c r="H4118" s="60"/>
    </row>
    <row r="4119" spans="1:8">
      <c r="A4119" s="60"/>
      <c r="B4119" s="77"/>
      <c r="C4119" s="60"/>
      <c r="D4119" s="81"/>
      <c r="E4119" s="62"/>
      <c r="F4119" s="60"/>
      <c r="G4119" s="62"/>
      <c r="H4119" s="60"/>
    </row>
    <row r="4120" spans="1:8">
      <c r="A4120" s="60"/>
      <c r="B4120" s="77"/>
      <c r="C4120" s="60"/>
      <c r="D4120" s="81"/>
      <c r="E4120" s="62"/>
      <c r="F4120" s="60"/>
      <c r="G4120" s="62"/>
      <c r="H4120" s="60"/>
    </row>
    <row r="4121" spans="1:8">
      <c r="A4121" s="60"/>
      <c r="B4121" s="77"/>
      <c r="C4121" s="60"/>
      <c r="D4121" s="81"/>
      <c r="E4121" s="62"/>
      <c r="F4121" s="60"/>
      <c r="G4121" s="62"/>
      <c r="H4121" s="60"/>
    </row>
    <row r="4122" spans="1:8">
      <c r="A4122" s="60"/>
      <c r="B4122" s="77"/>
      <c r="C4122" s="60"/>
      <c r="D4122" s="81"/>
      <c r="E4122" s="62"/>
      <c r="F4122" s="60"/>
      <c r="G4122" s="62"/>
      <c r="H4122" s="60"/>
    </row>
    <row r="4123" spans="1:8">
      <c r="A4123" s="60"/>
      <c r="B4123" s="77"/>
      <c r="C4123" s="60"/>
      <c r="D4123" s="81"/>
      <c r="E4123" s="62"/>
      <c r="F4123" s="60"/>
      <c r="G4123" s="62"/>
      <c r="H4123" s="60"/>
    </row>
    <row r="4124" spans="1:8">
      <c r="A4124" s="60"/>
      <c r="B4124" s="77"/>
      <c r="C4124" s="60"/>
      <c r="D4124" s="81"/>
      <c r="E4124" s="62"/>
      <c r="F4124" s="60"/>
      <c r="G4124" s="62"/>
      <c r="H4124" s="60"/>
    </row>
    <row r="4125" spans="1:8">
      <c r="A4125" s="60"/>
      <c r="B4125" s="77"/>
      <c r="C4125" s="60"/>
      <c r="D4125" s="81"/>
      <c r="E4125" s="62"/>
      <c r="F4125" s="60"/>
      <c r="G4125" s="62"/>
      <c r="H4125" s="60"/>
    </row>
    <row r="4126" spans="1:8">
      <c r="A4126" s="60"/>
      <c r="B4126" s="77"/>
      <c r="C4126" s="60"/>
      <c r="D4126" s="81"/>
      <c r="E4126" s="62"/>
      <c r="F4126" s="60"/>
      <c r="G4126" s="62"/>
      <c r="H4126" s="60"/>
    </row>
    <row r="4127" spans="1:8">
      <c r="A4127" s="60"/>
      <c r="B4127" s="77"/>
      <c r="C4127" s="60"/>
      <c r="D4127" s="81"/>
      <c r="E4127" s="62"/>
      <c r="F4127" s="60"/>
      <c r="G4127" s="62"/>
      <c r="H4127" s="60"/>
    </row>
    <row r="4128" spans="1:8">
      <c r="A4128" s="60"/>
      <c r="B4128" s="77"/>
      <c r="C4128" s="60"/>
      <c r="D4128" s="81"/>
      <c r="E4128" s="62"/>
      <c r="F4128" s="60"/>
      <c r="G4128" s="62"/>
      <c r="H4128" s="60"/>
    </row>
    <row r="4129" spans="1:8">
      <c r="A4129" s="60"/>
      <c r="B4129" s="77"/>
      <c r="C4129" s="60"/>
      <c r="D4129" s="81"/>
      <c r="E4129" s="62"/>
      <c r="F4129" s="60"/>
      <c r="G4129" s="62"/>
      <c r="H4129" s="60"/>
    </row>
    <row r="4130" spans="1:8">
      <c r="A4130" s="60"/>
      <c r="B4130" s="77"/>
      <c r="C4130" s="60"/>
      <c r="D4130" s="81"/>
      <c r="E4130" s="62"/>
      <c r="F4130" s="60"/>
      <c r="G4130" s="62"/>
      <c r="H4130" s="60"/>
    </row>
    <row r="4131" spans="1:8">
      <c r="A4131" s="60"/>
      <c r="B4131" s="77"/>
      <c r="C4131" s="60"/>
      <c r="D4131" s="81"/>
      <c r="E4131" s="62"/>
      <c r="F4131" s="60"/>
      <c r="G4131" s="62"/>
      <c r="H4131" s="60"/>
    </row>
    <row r="4132" spans="1:8">
      <c r="A4132" s="60"/>
      <c r="B4132" s="77"/>
      <c r="C4132" s="60"/>
      <c r="D4132" s="81"/>
      <c r="E4132" s="62"/>
      <c r="F4132" s="60"/>
      <c r="G4132" s="62"/>
      <c r="H4132" s="60"/>
    </row>
    <row r="4133" spans="1:8">
      <c r="A4133" s="60"/>
      <c r="B4133" s="77"/>
      <c r="C4133" s="60"/>
      <c r="D4133" s="81"/>
      <c r="E4133" s="62"/>
      <c r="F4133" s="60"/>
      <c r="G4133" s="62"/>
      <c r="H4133" s="60"/>
    </row>
    <row r="4134" spans="1:8">
      <c r="A4134" s="60"/>
      <c r="B4134" s="77"/>
      <c r="C4134" s="60"/>
      <c r="D4134" s="81"/>
      <c r="E4134" s="62"/>
      <c r="F4134" s="60"/>
      <c r="G4134" s="62"/>
      <c r="H4134" s="60"/>
    </row>
    <row r="4135" spans="1:8">
      <c r="A4135" s="60"/>
      <c r="B4135" s="77"/>
      <c r="C4135" s="60"/>
      <c r="D4135" s="81"/>
      <c r="E4135" s="62"/>
      <c r="F4135" s="60"/>
      <c r="G4135" s="62"/>
      <c r="H4135" s="60"/>
    </row>
    <row r="4136" spans="1:8">
      <c r="A4136" s="60"/>
      <c r="B4136" s="77"/>
      <c r="C4136" s="60"/>
      <c r="D4136" s="81"/>
      <c r="E4136" s="62"/>
      <c r="F4136" s="60"/>
      <c r="G4136" s="62"/>
      <c r="H4136" s="60"/>
    </row>
    <row r="4137" spans="1:8">
      <c r="A4137" s="60"/>
      <c r="B4137" s="77"/>
      <c r="C4137" s="60"/>
      <c r="D4137" s="81"/>
      <c r="E4137" s="62"/>
      <c r="F4137" s="60"/>
      <c r="G4137" s="62"/>
      <c r="H4137" s="60"/>
    </row>
    <row r="4138" spans="1:8">
      <c r="A4138" s="60"/>
      <c r="B4138" s="77"/>
      <c r="C4138" s="60"/>
      <c r="D4138" s="81"/>
      <c r="E4138" s="62"/>
      <c r="F4138" s="60"/>
      <c r="G4138" s="62"/>
      <c r="H4138" s="60"/>
    </row>
    <row r="4139" spans="1:8">
      <c r="A4139" s="60"/>
      <c r="B4139" s="77"/>
      <c r="C4139" s="60"/>
      <c r="D4139" s="81"/>
      <c r="E4139" s="62"/>
      <c r="F4139" s="60"/>
      <c r="G4139" s="62"/>
      <c r="H4139" s="60"/>
    </row>
    <row r="4140" spans="1:8">
      <c r="A4140" s="60"/>
      <c r="B4140" s="77"/>
      <c r="C4140" s="60"/>
      <c r="D4140" s="81"/>
      <c r="E4140" s="62"/>
      <c r="F4140" s="60"/>
      <c r="G4140" s="62"/>
      <c r="H4140" s="60"/>
    </row>
    <row r="4141" spans="1:8">
      <c r="A4141" s="60"/>
      <c r="B4141" s="77"/>
      <c r="C4141" s="60"/>
      <c r="D4141" s="81"/>
      <c r="E4141" s="62"/>
      <c r="F4141" s="60"/>
      <c r="G4141" s="62"/>
      <c r="H4141" s="60"/>
    </row>
    <row r="4142" spans="1:8">
      <c r="A4142" s="60"/>
      <c r="B4142" s="77"/>
      <c r="C4142" s="60"/>
      <c r="D4142" s="81"/>
      <c r="E4142" s="62"/>
      <c r="F4142" s="60"/>
      <c r="G4142" s="62"/>
      <c r="H4142" s="60"/>
    </row>
    <row r="4143" spans="1:8">
      <c r="A4143" s="60"/>
      <c r="B4143" s="77"/>
      <c r="C4143" s="60"/>
      <c r="D4143" s="81"/>
      <c r="E4143" s="62"/>
      <c r="F4143" s="60"/>
      <c r="G4143" s="62"/>
      <c r="H4143" s="60"/>
    </row>
    <row r="4144" spans="1:8">
      <c r="A4144" s="60"/>
      <c r="B4144" s="77"/>
      <c r="C4144" s="60"/>
      <c r="D4144" s="81"/>
      <c r="E4144" s="62"/>
      <c r="F4144" s="60"/>
      <c r="G4144" s="62"/>
      <c r="H4144" s="60"/>
    </row>
    <row r="4145" spans="1:8">
      <c r="A4145" s="60"/>
      <c r="B4145" s="77"/>
      <c r="C4145" s="60"/>
      <c r="D4145" s="81"/>
      <c r="E4145" s="62"/>
      <c r="F4145" s="60"/>
      <c r="G4145" s="62"/>
      <c r="H4145" s="60"/>
    </row>
    <row r="4146" spans="1:8">
      <c r="A4146" s="60"/>
      <c r="B4146" s="77"/>
      <c r="C4146" s="60"/>
      <c r="D4146" s="81"/>
      <c r="E4146" s="62"/>
      <c r="F4146" s="60"/>
      <c r="G4146" s="62"/>
      <c r="H4146" s="60"/>
    </row>
    <row r="4147" spans="1:8">
      <c r="A4147" s="60"/>
      <c r="B4147" s="77"/>
      <c r="C4147" s="60"/>
      <c r="D4147" s="81"/>
      <c r="E4147" s="62"/>
      <c r="F4147" s="60"/>
      <c r="G4147" s="62"/>
      <c r="H4147" s="60"/>
    </row>
    <row r="4148" spans="1:8">
      <c r="A4148" s="60"/>
      <c r="B4148" s="77"/>
      <c r="C4148" s="60"/>
      <c r="D4148" s="81"/>
      <c r="E4148" s="62"/>
      <c r="F4148" s="60"/>
      <c r="G4148" s="62"/>
      <c r="H4148" s="60"/>
    </row>
    <row r="4149" spans="1:8">
      <c r="A4149" s="60"/>
      <c r="B4149" s="77"/>
      <c r="C4149" s="60"/>
      <c r="D4149" s="81"/>
      <c r="E4149" s="62"/>
      <c r="F4149" s="60"/>
      <c r="G4149" s="62"/>
      <c r="H4149" s="60"/>
    </row>
    <row r="4150" spans="1:8">
      <c r="A4150" s="60"/>
      <c r="B4150" s="77"/>
      <c r="C4150" s="60"/>
      <c r="D4150" s="81"/>
      <c r="E4150" s="62"/>
      <c r="F4150" s="60"/>
      <c r="G4150" s="62"/>
      <c r="H4150" s="60"/>
    </row>
    <row r="4151" spans="1:8">
      <c r="A4151" s="60"/>
      <c r="B4151" s="77"/>
      <c r="C4151" s="60"/>
      <c r="D4151" s="81"/>
      <c r="E4151" s="62"/>
      <c r="F4151" s="60"/>
      <c r="G4151" s="62"/>
      <c r="H4151" s="60"/>
    </row>
    <row r="4152" spans="1:8">
      <c r="A4152" s="60"/>
      <c r="B4152" s="77"/>
      <c r="C4152" s="60"/>
      <c r="D4152" s="81"/>
      <c r="E4152" s="62"/>
      <c r="F4152" s="60"/>
      <c r="G4152" s="62"/>
      <c r="H4152" s="60"/>
    </row>
    <row r="4153" spans="1:8">
      <c r="A4153" s="60"/>
      <c r="B4153" s="77"/>
      <c r="C4153" s="60"/>
      <c r="D4153" s="81"/>
      <c r="E4153" s="62"/>
      <c r="F4153" s="60"/>
      <c r="G4153" s="62"/>
      <c r="H4153" s="60"/>
    </row>
    <row r="4154" spans="1:8">
      <c r="A4154" s="60"/>
      <c r="B4154" s="77"/>
      <c r="C4154" s="60"/>
      <c r="D4154" s="81"/>
      <c r="E4154" s="62"/>
      <c r="F4154" s="60"/>
      <c r="G4154" s="62"/>
      <c r="H4154" s="60"/>
    </row>
    <row r="4155" spans="1:8">
      <c r="A4155" s="60"/>
      <c r="B4155" s="77"/>
      <c r="C4155" s="60"/>
      <c r="D4155" s="81"/>
      <c r="E4155" s="62"/>
      <c r="F4155" s="60"/>
      <c r="G4155" s="62"/>
      <c r="H4155" s="60"/>
    </row>
    <row r="4156" spans="1:8">
      <c r="A4156" s="60"/>
      <c r="B4156" s="77"/>
      <c r="C4156" s="60"/>
      <c r="D4156" s="81"/>
      <c r="E4156" s="62"/>
      <c r="F4156" s="60"/>
      <c r="G4156" s="62"/>
      <c r="H4156" s="60"/>
    </row>
    <row r="4157" spans="1:8">
      <c r="A4157" s="60"/>
      <c r="B4157" s="77"/>
      <c r="C4157" s="60"/>
      <c r="D4157" s="81"/>
      <c r="E4157" s="62"/>
      <c r="F4157" s="60"/>
      <c r="G4157" s="62"/>
      <c r="H4157" s="60"/>
    </row>
    <row r="4158" spans="1:8">
      <c r="A4158" s="60"/>
      <c r="B4158" s="77"/>
      <c r="C4158" s="60"/>
      <c r="D4158" s="81"/>
      <c r="E4158" s="62"/>
      <c r="F4158" s="60"/>
      <c r="G4158" s="62"/>
      <c r="H4158" s="60"/>
    </row>
    <row r="4159" spans="1:8">
      <c r="A4159" s="60"/>
      <c r="B4159" s="77"/>
      <c r="C4159" s="60"/>
      <c r="D4159" s="81"/>
      <c r="E4159" s="62"/>
      <c r="F4159" s="60"/>
      <c r="G4159" s="62"/>
      <c r="H4159" s="60"/>
    </row>
    <row r="4160" spans="1:8">
      <c r="A4160" s="60"/>
      <c r="B4160" s="77"/>
      <c r="C4160" s="60"/>
      <c r="D4160" s="81"/>
      <c r="E4160" s="62"/>
      <c r="F4160" s="60"/>
      <c r="G4160" s="62"/>
      <c r="H4160" s="60"/>
    </row>
    <row r="4161" spans="1:8">
      <c r="A4161" s="60"/>
      <c r="B4161" s="77"/>
      <c r="C4161" s="60"/>
      <c r="D4161" s="81"/>
      <c r="E4161" s="62"/>
      <c r="F4161" s="60"/>
      <c r="G4161" s="62"/>
      <c r="H4161" s="60"/>
    </row>
    <row r="4162" spans="1:8">
      <c r="A4162" s="60"/>
      <c r="B4162" s="77"/>
      <c r="C4162" s="60"/>
      <c r="D4162" s="81"/>
      <c r="E4162" s="62"/>
      <c r="F4162" s="60"/>
      <c r="G4162" s="62"/>
      <c r="H4162" s="60"/>
    </row>
    <row r="4163" spans="1:8">
      <c r="A4163" s="60"/>
      <c r="B4163" s="77"/>
      <c r="C4163" s="60"/>
      <c r="D4163" s="81"/>
      <c r="E4163" s="62"/>
      <c r="F4163" s="60"/>
      <c r="G4163" s="62"/>
      <c r="H4163" s="60"/>
    </row>
    <row r="4164" spans="1:8">
      <c r="A4164" s="60"/>
      <c r="B4164" s="77"/>
      <c r="C4164" s="60"/>
      <c r="D4164" s="81"/>
      <c r="E4164" s="62"/>
      <c r="F4164" s="60"/>
      <c r="G4164" s="62"/>
      <c r="H4164" s="60"/>
    </row>
    <row r="4165" spans="1:8">
      <c r="A4165" s="60"/>
      <c r="B4165" s="77"/>
      <c r="C4165" s="60"/>
      <c r="D4165" s="81"/>
      <c r="E4165" s="62"/>
      <c r="F4165" s="60"/>
      <c r="G4165" s="62"/>
      <c r="H4165" s="60"/>
    </row>
    <row r="4166" spans="1:8">
      <c r="A4166" s="60"/>
      <c r="B4166" s="77"/>
      <c r="C4166" s="60"/>
      <c r="D4166" s="81"/>
      <c r="E4166" s="62"/>
      <c r="F4166" s="60"/>
      <c r="G4166" s="62"/>
      <c r="H4166" s="60"/>
    </row>
    <row r="4167" spans="1:8">
      <c r="A4167" s="60"/>
      <c r="B4167" s="77"/>
      <c r="C4167" s="60"/>
      <c r="D4167" s="81"/>
      <c r="E4167" s="62"/>
      <c r="F4167" s="60"/>
      <c r="G4167" s="62"/>
      <c r="H4167" s="60"/>
    </row>
    <row r="4168" spans="1:8">
      <c r="A4168" s="60"/>
      <c r="B4168" s="77"/>
      <c r="C4168" s="60"/>
      <c r="D4168" s="81"/>
      <c r="E4168" s="62"/>
      <c r="F4168" s="60"/>
      <c r="G4168" s="62"/>
      <c r="H4168" s="60"/>
    </row>
    <row r="4169" spans="1:8">
      <c r="A4169" s="60"/>
      <c r="B4169" s="77"/>
      <c r="C4169" s="60"/>
      <c r="D4169" s="81"/>
      <c r="E4169" s="62"/>
      <c r="F4169" s="60"/>
      <c r="G4169" s="62"/>
      <c r="H4169" s="60"/>
    </row>
    <row r="4170" spans="1:8">
      <c r="A4170" s="60"/>
      <c r="B4170" s="77"/>
      <c r="C4170" s="60"/>
      <c r="D4170" s="81"/>
      <c r="E4170" s="62"/>
      <c r="F4170" s="60"/>
      <c r="G4170" s="62"/>
      <c r="H4170" s="60"/>
    </row>
    <row r="4171" spans="1:8">
      <c r="A4171" s="60"/>
      <c r="B4171" s="77"/>
      <c r="C4171" s="60"/>
      <c r="D4171" s="81"/>
      <c r="E4171" s="62"/>
      <c r="F4171" s="60"/>
      <c r="G4171" s="62"/>
      <c r="H4171" s="60"/>
    </row>
    <row r="4172" spans="1:8">
      <c r="A4172" s="60"/>
      <c r="B4172" s="77"/>
      <c r="C4172" s="60"/>
      <c r="D4172" s="81"/>
      <c r="E4172" s="62"/>
      <c r="F4172" s="60"/>
      <c r="G4172" s="62"/>
      <c r="H4172" s="60"/>
    </row>
    <row r="4173" spans="1:8">
      <c r="A4173" s="60"/>
      <c r="B4173" s="77"/>
      <c r="C4173" s="60"/>
      <c r="D4173" s="81"/>
      <c r="E4173" s="62"/>
      <c r="F4173" s="60"/>
      <c r="G4173" s="62"/>
      <c r="H4173" s="60"/>
    </row>
    <row r="4174" spans="1:8">
      <c r="A4174" s="60"/>
      <c r="B4174" s="77"/>
      <c r="C4174" s="60"/>
      <c r="D4174" s="81"/>
      <c r="E4174" s="62"/>
      <c r="F4174" s="60"/>
      <c r="G4174" s="62"/>
      <c r="H4174" s="60"/>
    </row>
    <row r="4175" spans="1:8">
      <c r="A4175" s="60"/>
      <c r="B4175" s="77"/>
      <c r="C4175" s="60"/>
      <c r="D4175" s="81"/>
      <c r="E4175" s="62"/>
      <c r="F4175" s="60"/>
      <c r="G4175" s="62"/>
      <c r="H4175" s="60"/>
    </row>
    <row r="4176" spans="1:8">
      <c r="A4176" s="60"/>
      <c r="B4176" s="77"/>
      <c r="C4176" s="60"/>
      <c r="D4176" s="81"/>
      <c r="E4176" s="62"/>
      <c r="F4176" s="60"/>
      <c r="G4176" s="62"/>
      <c r="H4176" s="60"/>
    </row>
    <row r="4177" spans="1:8">
      <c r="A4177" s="60"/>
      <c r="B4177" s="77"/>
      <c r="C4177" s="60"/>
      <c r="D4177" s="81"/>
      <c r="E4177" s="62"/>
      <c r="F4177" s="60"/>
      <c r="G4177" s="62"/>
      <c r="H4177" s="60"/>
    </row>
    <row r="4178" spans="1:8">
      <c r="A4178" s="60"/>
      <c r="B4178" s="77"/>
      <c r="C4178" s="60"/>
      <c r="D4178" s="81"/>
      <c r="E4178" s="62"/>
      <c r="F4178" s="60"/>
      <c r="G4178" s="62"/>
      <c r="H4178" s="60"/>
    </row>
    <row r="4179" spans="1:8">
      <c r="A4179" s="60"/>
      <c r="B4179" s="77"/>
      <c r="C4179" s="60"/>
      <c r="D4179" s="81"/>
      <c r="E4179" s="62"/>
      <c r="F4179" s="60"/>
      <c r="G4179" s="62"/>
      <c r="H4179" s="60"/>
    </row>
    <row r="4180" spans="1:8">
      <c r="A4180" s="60"/>
      <c r="B4180" s="77"/>
      <c r="C4180" s="60"/>
      <c r="D4180" s="81"/>
      <c r="E4180" s="62"/>
      <c r="F4180" s="60"/>
      <c r="G4180" s="62"/>
      <c r="H4180" s="60"/>
    </row>
    <row r="4181" spans="1:8">
      <c r="A4181" s="60"/>
      <c r="B4181" s="77"/>
      <c r="C4181" s="60"/>
      <c r="D4181" s="81"/>
      <c r="E4181" s="62"/>
      <c r="F4181" s="60"/>
      <c r="G4181" s="62"/>
      <c r="H4181" s="60"/>
    </row>
    <row r="4182" spans="1:8">
      <c r="A4182" s="60"/>
      <c r="B4182" s="77"/>
      <c r="C4182" s="60"/>
      <c r="D4182" s="81"/>
      <c r="E4182" s="62"/>
      <c r="F4182" s="60"/>
      <c r="G4182" s="62"/>
      <c r="H4182" s="60"/>
    </row>
    <row r="4183" spans="1:8">
      <c r="A4183" s="60"/>
      <c r="B4183" s="77"/>
      <c r="C4183" s="60"/>
      <c r="D4183" s="81"/>
      <c r="E4183" s="62"/>
      <c r="F4183" s="60"/>
      <c r="G4183" s="62"/>
      <c r="H4183" s="60"/>
    </row>
    <row r="4184" spans="1:8">
      <c r="A4184" s="60"/>
      <c r="B4184" s="77"/>
      <c r="C4184" s="60"/>
      <c r="D4184" s="81"/>
      <c r="E4184" s="62"/>
      <c r="F4184" s="60"/>
      <c r="G4184" s="62"/>
      <c r="H4184" s="60"/>
    </row>
    <row r="4185" spans="1:8">
      <c r="A4185" s="60"/>
      <c r="B4185" s="77"/>
      <c r="C4185" s="60"/>
      <c r="D4185" s="81"/>
      <c r="E4185" s="62"/>
      <c r="F4185" s="60"/>
      <c r="G4185" s="62"/>
      <c r="H4185" s="60"/>
    </row>
    <row r="4186" spans="1:8">
      <c r="A4186" s="60"/>
      <c r="B4186" s="77"/>
      <c r="C4186" s="60"/>
      <c r="D4186" s="81"/>
      <c r="E4186" s="62"/>
      <c r="F4186" s="60"/>
      <c r="G4186" s="62"/>
      <c r="H4186" s="60"/>
    </row>
    <row r="4187" spans="1:8">
      <c r="A4187" s="60"/>
      <c r="B4187" s="77"/>
      <c r="C4187" s="60"/>
      <c r="D4187" s="81"/>
      <c r="E4187" s="62"/>
      <c r="F4187" s="60"/>
      <c r="G4187" s="62"/>
      <c r="H4187" s="60"/>
    </row>
    <row r="4188" spans="1:8">
      <c r="A4188" s="60"/>
      <c r="B4188" s="77"/>
      <c r="C4188" s="60"/>
      <c r="D4188" s="81"/>
      <c r="E4188" s="62"/>
      <c r="F4188" s="60"/>
      <c r="G4188" s="62"/>
      <c r="H4188" s="60"/>
    </row>
    <row r="4189" spans="1:8">
      <c r="A4189" s="60"/>
      <c r="B4189" s="77"/>
      <c r="C4189" s="60"/>
      <c r="D4189" s="81"/>
      <c r="E4189" s="62"/>
      <c r="F4189" s="60"/>
      <c r="G4189" s="62"/>
      <c r="H4189" s="60"/>
    </row>
    <row r="4190" spans="1:8">
      <c r="A4190" s="60"/>
      <c r="B4190" s="77"/>
      <c r="C4190" s="60"/>
      <c r="D4190" s="81"/>
      <c r="E4190" s="62"/>
      <c r="F4190" s="60"/>
      <c r="G4190" s="62"/>
      <c r="H4190" s="60"/>
    </row>
    <row r="4191" spans="1:8">
      <c r="A4191" s="60"/>
      <c r="B4191" s="77"/>
      <c r="C4191" s="60"/>
      <c r="D4191" s="81"/>
      <c r="E4191" s="62"/>
      <c r="F4191" s="60"/>
      <c r="G4191" s="62"/>
      <c r="H4191" s="60"/>
    </row>
    <row r="4192" spans="1:8">
      <c r="A4192" s="60"/>
      <c r="B4192" s="77"/>
      <c r="C4192" s="60"/>
      <c r="D4192" s="81"/>
      <c r="E4192" s="62"/>
      <c r="F4192" s="60"/>
      <c r="G4192" s="62"/>
      <c r="H4192" s="60"/>
    </row>
    <row r="4193" spans="1:8">
      <c r="A4193" s="60"/>
      <c r="B4193" s="77"/>
      <c r="C4193" s="60"/>
      <c r="D4193" s="81"/>
      <c r="E4193" s="62"/>
      <c r="F4193" s="60"/>
      <c r="G4193" s="62"/>
      <c r="H4193" s="60"/>
    </row>
    <row r="4194" spans="1:8">
      <c r="A4194" s="60"/>
      <c r="B4194" s="77"/>
      <c r="C4194" s="60"/>
      <c r="D4194" s="81"/>
      <c r="E4194" s="62"/>
      <c r="F4194" s="60"/>
      <c r="G4194" s="62"/>
      <c r="H4194" s="60"/>
    </row>
    <row r="4195" spans="1:8">
      <c r="A4195" s="60"/>
      <c r="B4195" s="77"/>
      <c r="C4195" s="60"/>
      <c r="D4195" s="81"/>
      <c r="E4195" s="62"/>
      <c r="F4195" s="60"/>
      <c r="G4195" s="62"/>
      <c r="H4195" s="60"/>
    </row>
    <row r="4196" spans="1:8">
      <c r="A4196" s="60"/>
      <c r="B4196" s="77"/>
      <c r="C4196" s="60"/>
      <c r="D4196" s="81"/>
      <c r="E4196" s="62"/>
      <c r="F4196" s="60"/>
      <c r="G4196" s="62"/>
      <c r="H4196" s="60"/>
    </row>
    <row r="4197" spans="1:8">
      <c r="A4197" s="60"/>
      <c r="B4197" s="77"/>
      <c r="C4197" s="60"/>
      <c r="D4197" s="81"/>
      <c r="E4197" s="62"/>
      <c r="F4197" s="60"/>
      <c r="G4197" s="62"/>
      <c r="H4197" s="60"/>
    </row>
    <row r="4198" spans="1:8">
      <c r="A4198" s="60"/>
      <c r="B4198" s="77"/>
      <c r="C4198" s="60"/>
      <c r="D4198" s="81"/>
      <c r="E4198" s="62"/>
      <c r="F4198" s="60"/>
      <c r="G4198" s="62"/>
      <c r="H4198" s="60"/>
    </row>
    <row r="4199" spans="1:8">
      <c r="A4199" s="60"/>
      <c r="B4199" s="77"/>
      <c r="C4199" s="60"/>
      <c r="D4199" s="81"/>
      <c r="E4199" s="62"/>
      <c r="F4199" s="60"/>
      <c r="G4199" s="62"/>
      <c r="H4199" s="60"/>
    </row>
    <row r="4200" spans="1:8">
      <c r="A4200" s="60"/>
      <c r="B4200" s="77"/>
      <c r="C4200" s="60"/>
      <c r="D4200" s="81"/>
      <c r="E4200" s="62"/>
      <c r="F4200" s="60"/>
      <c r="G4200" s="62"/>
      <c r="H4200" s="60"/>
    </row>
    <row r="4201" spans="1:8">
      <c r="A4201" s="60"/>
      <c r="B4201" s="77"/>
      <c r="C4201" s="60"/>
      <c r="D4201" s="81"/>
      <c r="E4201" s="62"/>
      <c r="F4201" s="60"/>
      <c r="G4201" s="62"/>
      <c r="H4201" s="60"/>
    </row>
    <row r="4202" spans="1:8">
      <c r="A4202" s="60"/>
      <c r="B4202" s="77"/>
      <c r="C4202" s="60"/>
      <c r="D4202" s="81"/>
      <c r="E4202" s="62"/>
      <c r="F4202" s="60"/>
      <c r="G4202" s="62"/>
      <c r="H4202" s="60"/>
    </row>
    <row r="4203" spans="1:8">
      <c r="A4203" s="60"/>
      <c r="B4203" s="77"/>
      <c r="C4203" s="60"/>
      <c r="D4203" s="81"/>
      <c r="E4203" s="62"/>
      <c r="F4203" s="60"/>
      <c r="G4203" s="62"/>
      <c r="H4203" s="60"/>
    </row>
    <row r="4204" spans="1:8">
      <c r="A4204" s="60"/>
      <c r="B4204" s="77"/>
      <c r="C4204" s="60"/>
      <c r="D4204" s="81"/>
      <c r="E4204" s="62"/>
      <c r="F4204" s="60"/>
      <c r="G4204" s="62"/>
      <c r="H4204" s="60"/>
    </row>
    <row r="4205" spans="1:8">
      <c r="A4205" s="60"/>
      <c r="B4205" s="77"/>
      <c r="C4205" s="60"/>
      <c r="D4205" s="81"/>
      <c r="E4205" s="62"/>
      <c r="F4205" s="60"/>
      <c r="G4205" s="62"/>
      <c r="H4205" s="60"/>
    </row>
    <row r="4206" spans="1:8">
      <c r="A4206" s="60"/>
      <c r="B4206" s="77"/>
      <c r="C4206" s="60"/>
      <c r="D4206" s="81"/>
      <c r="E4206" s="62"/>
      <c r="F4206" s="60"/>
      <c r="G4206" s="62"/>
      <c r="H4206" s="60"/>
    </row>
    <row r="4207" spans="1:8">
      <c r="A4207" s="60"/>
      <c r="B4207" s="77"/>
      <c r="C4207" s="60"/>
      <c r="D4207" s="81"/>
      <c r="E4207" s="62"/>
      <c r="F4207" s="60"/>
      <c r="G4207" s="62"/>
      <c r="H4207" s="60"/>
    </row>
    <row r="4208" spans="1:8">
      <c r="A4208" s="60"/>
      <c r="B4208" s="77"/>
      <c r="C4208" s="60"/>
      <c r="D4208" s="81"/>
      <c r="E4208" s="62"/>
      <c r="F4208" s="60"/>
      <c r="G4208" s="62"/>
      <c r="H4208" s="60"/>
    </row>
    <row r="4209" spans="1:8">
      <c r="A4209" s="60"/>
      <c r="B4209" s="77"/>
      <c r="C4209" s="60"/>
      <c r="D4209" s="81"/>
      <c r="E4209" s="62"/>
      <c r="F4209" s="60"/>
      <c r="G4209" s="62"/>
      <c r="H4209" s="60"/>
    </row>
    <row r="4210" spans="1:8">
      <c r="A4210" s="60"/>
      <c r="B4210" s="77"/>
      <c r="C4210" s="60"/>
      <c r="D4210" s="81"/>
      <c r="E4210" s="62"/>
      <c r="F4210" s="60"/>
      <c r="G4210" s="62"/>
      <c r="H4210" s="60"/>
    </row>
    <row r="4211" spans="1:8">
      <c r="A4211" s="60"/>
      <c r="B4211" s="77"/>
      <c r="C4211" s="60"/>
      <c r="D4211" s="81"/>
      <c r="E4211" s="62"/>
      <c r="F4211" s="60"/>
      <c r="G4211" s="62"/>
      <c r="H4211" s="60"/>
    </row>
    <row r="4212" spans="1:8">
      <c r="A4212" s="60"/>
      <c r="B4212" s="77"/>
      <c r="C4212" s="60"/>
      <c r="D4212" s="81"/>
      <c r="E4212" s="62"/>
      <c r="F4212" s="60"/>
      <c r="G4212" s="62"/>
      <c r="H4212" s="60"/>
    </row>
    <row r="4213" spans="1:8">
      <c r="A4213" s="60"/>
      <c r="B4213" s="77"/>
      <c r="C4213" s="60"/>
      <c r="D4213" s="81"/>
      <c r="E4213" s="62"/>
      <c r="F4213" s="60"/>
      <c r="G4213" s="62"/>
      <c r="H4213" s="60"/>
    </row>
    <row r="4214" spans="1:8">
      <c r="A4214" s="60"/>
      <c r="B4214" s="77"/>
      <c r="C4214" s="60"/>
      <c r="D4214" s="81"/>
      <c r="E4214" s="62"/>
      <c r="F4214" s="60"/>
      <c r="G4214" s="62"/>
      <c r="H4214" s="60"/>
    </row>
    <row r="4215" spans="1:8">
      <c r="A4215" s="60"/>
      <c r="B4215" s="77"/>
      <c r="C4215" s="60"/>
      <c r="D4215" s="81"/>
      <c r="E4215" s="62"/>
      <c r="F4215" s="60"/>
      <c r="G4215" s="62"/>
      <c r="H4215" s="60"/>
    </row>
    <row r="4216" spans="1:8">
      <c r="A4216" s="60"/>
      <c r="B4216" s="77"/>
      <c r="C4216" s="60"/>
      <c r="D4216" s="81"/>
      <c r="E4216" s="62"/>
      <c r="F4216" s="60"/>
      <c r="G4216" s="62"/>
      <c r="H4216" s="60"/>
    </row>
    <row r="4217" spans="1:8">
      <c r="A4217" s="60"/>
      <c r="B4217" s="77"/>
      <c r="C4217" s="60"/>
      <c r="D4217" s="81"/>
      <c r="E4217" s="62"/>
      <c r="F4217" s="60"/>
      <c r="G4217" s="62"/>
      <c r="H4217" s="60"/>
    </row>
    <row r="4218" spans="1:8">
      <c r="A4218" s="60"/>
      <c r="B4218" s="77"/>
      <c r="C4218" s="60"/>
      <c r="D4218" s="81"/>
      <c r="E4218" s="62"/>
      <c r="F4218" s="60"/>
      <c r="G4218" s="62"/>
      <c r="H4218" s="60"/>
    </row>
    <row r="4219" spans="1:8">
      <c r="A4219" s="60"/>
      <c r="B4219" s="77"/>
      <c r="C4219" s="60"/>
      <c r="D4219" s="81"/>
      <c r="E4219" s="62"/>
      <c r="F4219" s="60"/>
      <c r="G4219" s="62"/>
      <c r="H4219" s="60"/>
    </row>
    <row r="4220" spans="1:8">
      <c r="A4220" s="60"/>
      <c r="B4220" s="77"/>
      <c r="C4220" s="60"/>
      <c r="D4220" s="81"/>
      <c r="E4220" s="62"/>
      <c r="F4220" s="60"/>
      <c r="G4220" s="62"/>
      <c r="H4220" s="60"/>
    </row>
    <row r="4221" spans="1:8">
      <c r="A4221" s="60"/>
      <c r="B4221" s="77"/>
      <c r="C4221" s="60"/>
      <c r="D4221" s="81"/>
      <c r="E4221" s="62"/>
      <c r="F4221" s="60"/>
      <c r="G4221" s="62"/>
      <c r="H4221" s="60"/>
    </row>
    <row r="4222" spans="1:8">
      <c r="A4222" s="60"/>
      <c r="B4222" s="77"/>
      <c r="C4222" s="60"/>
      <c r="D4222" s="81"/>
      <c r="E4222" s="62"/>
      <c r="F4222" s="60"/>
      <c r="G4222" s="62"/>
      <c r="H4222" s="60"/>
    </row>
    <row r="4223" spans="1:8">
      <c r="A4223" s="60"/>
      <c r="B4223" s="77"/>
      <c r="C4223" s="60"/>
      <c r="D4223" s="81"/>
      <c r="E4223" s="62"/>
      <c r="F4223" s="60"/>
      <c r="G4223" s="62"/>
      <c r="H4223" s="60"/>
    </row>
    <row r="4224" spans="1:8">
      <c r="A4224" s="60"/>
      <c r="B4224" s="77"/>
      <c r="C4224" s="60"/>
      <c r="D4224" s="81"/>
      <c r="E4224" s="62"/>
      <c r="F4224" s="60"/>
      <c r="G4224" s="62"/>
      <c r="H4224" s="60"/>
    </row>
    <row r="4225" spans="1:8">
      <c r="A4225" s="60"/>
      <c r="B4225" s="77"/>
      <c r="C4225" s="60"/>
      <c r="D4225" s="81"/>
      <c r="E4225" s="62"/>
      <c r="F4225" s="60"/>
      <c r="G4225" s="62"/>
      <c r="H4225" s="60"/>
    </row>
    <row r="4226" spans="1:8">
      <c r="A4226" s="60"/>
      <c r="B4226" s="77"/>
      <c r="C4226" s="60"/>
      <c r="D4226" s="81"/>
      <c r="E4226" s="62"/>
      <c r="F4226" s="60"/>
      <c r="G4226" s="62"/>
      <c r="H4226" s="60"/>
    </row>
    <row r="4227" spans="1:8">
      <c r="A4227" s="60"/>
      <c r="B4227" s="77"/>
      <c r="C4227" s="60"/>
      <c r="D4227" s="81"/>
      <c r="E4227" s="62"/>
      <c r="F4227" s="60"/>
      <c r="G4227" s="62"/>
      <c r="H4227" s="60"/>
    </row>
    <row r="4228" spans="1:8">
      <c r="A4228" s="60"/>
      <c r="B4228" s="77"/>
      <c r="C4228" s="60"/>
      <c r="D4228" s="81"/>
      <c r="E4228" s="62"/>
      <c r="F4228" s="60"/>
      <c r="G4228" s="62"/>
      <c r="H4228" s="60"/>
    </row>
    <row r="4229" spans="1:8">
      <c r="A4229" s="60"/>
      <c r="B4229" s="77"/>
      <c r="C4229" s="60"/>
      <c r="D4229" s="81"/>
      <c r="E4229" s="62"/>
      <c r="F4229" s="60"/>
      <c r="G4229" s="62"/>
      <c r="H4229" s="60"/>
    </row>
    <row r="4230" spans="1:8">
      <c r="A4230" s="60"/>
      <c r="B4230" s="77"/>
      <c r="C4230" s="60"/>
      <c r="D4230" s="81"/>
      <c r="E4230" s="62"/>
      <c r="F4230" s="60"/>
      <c r="G4230" s="62"/>
      <c r="H4230" s="60"/>
    </row>
    <row r="4231" spans="1:8">
      <c r="A4231" s="60"/>
      <c r="B4231" s="77"/>
      <c r="C4231" s="60"/>
      <c r="D4231" s="81"/>
      <c r="E4231" s="62"/>
      <c r="F4231" s="60"/>
      <c r="G4231" s="62"/>
      <c r="H4231" s="60"/>
    </row>
    <row r="4232" spans="1:8">
      <c r="A4232" s="60"/>
      <c r="B4232" s="77"/>
      <c r="C4232" s="60"/>
      <c r="D4232" s="81"/>
      <c r="E4232" s="62"/>
      <c r="F4232" s="60"/>
      <c r="G4232" s="62"/>
      <c r="H4232" s="60"/>
    </row>
    <row r="4233" spans="1:8">
      <c r="A4233" s="60"/>
      <c r="B4233" s="77"/>
      <c r="C4233" s="60"/>
      <c r="D4233" s="81"/>
      <c r="E4233" s="62"/>
      <c r="F4233" s="60"/>
      <c r="G4233" s="62"/>
      <c r="H4233" s="60"/>
    </row>
    <row r="4234" spans="1:8">
      <c r="A4234" s="60"/>
      <c r="B4234" s="77"/>
      <c r="C4234" s="60"/>
      <c r="D4234" s="81"/>
      <c r="E4234" s="62"/>
      <c r="F4234" s="60"/>
      <c r="G4234" s="62"/>
      <c r="H4234" s="60"/>
    </row>
    <row r="4235" spans="1:8">
      <c r="A4235" s="60"/>
      <c r="B4235" s="77"/>
      <c r="C4235" s="60"/>
      <c r="D4235" s="81"/>
      <c r="E4235" s="62"/>
      <c r="F4235" s="60"/>
      <c r="G4235" s="62"/>
      <c r="H4235" s="60"/>
    </row>
    <row r="4236" spans="1:8">
      <c r="A4236" s="60"/>
      <c r="B4236" s="77"/>
      <c r="C4236" s="60"/>
      <c r="D4236" s="81"/>
      <c r="E4236" s="62"/>
      <c r="F4236" s="60"/>
      <c r="G4236" s="62"/>
      <c r="H4236" s="60"/>
    </row>
    <row r="4237" spans="1:8">
      <c r="A4237" s="60"/>
      <c r="B4237" s="77"/>
      <c r="C4237" s="60"/>
      <c r="D4237" s="81"/>
      <c r="E4237" s="62"/>
      <c r="F4237" s="60"/>
      <c r="G4237" s="62"/>
      <c r="H4237" s="60"/>
    </row>
    <row r="4238" spans="1:8">
      <c r="A4238" s="60"/>
      <c r="B4238" s="77"/>
      <c r="C4238" s="60"/>
      <c r="D4238" s="81"/>
      <c r="E4238" s="62"/>
      <c r="F4238" s="60"/>
      <c r="G4238" s="62"/>
      <c r="H4238" s="60"/>
    </row>
    <row r="4239" spans="1:8">
      <c r="A4239" s="60"/>
      <c r="B4239" s="77"/>
      <c r="C4239" s="60"/>
      <c r="D4239" s="81"/>
      <c r="E4239" s="62"/>
      <c r="F4239" s="60"/>
      <c r="G4239" s="62"/>
      <c r="H4239" s="60"/>
    </row>
    <row r="4240" spans="1:8">
      <c r="A4240" s="60"/>
      <c r="B4240" s="77"/>
      <c r="C4240" s="60"/>
      <c r="D4240" s="81"/>
      <c r="E4240" s="62"/>
      <c r="F4240" s="60"/>
      <c r="G4240" s="62"/>
      <c r="H4240" s="60"/>
    </row>
    <row r="4241" spans="1:8">
      <c r="A4241" s="60"/>
      <c r="B4241" s="77"/>
      <c r="C4241" s="60"/>
      <c r="D4241" s="81"/>
      <c r="E4241" s="62"/>
      <c r="F4241" s="60"/>
      <c r="G4241" s="62"/>
      <c r="H4241" s="60"/>
    </row>
    <row r="4242" spans="1:8">
      <c r="A4242" s="60"/>
      <c r="B4242" s="77"/>
      <c r="C4242" s="60"/>
      <c r="D4242" s="81"/>
      <c r="E4242" s="62"/>
      <c r="F4242" s="60"/>
      <c r="G4242" s="62"/>
      <c r="H4242" s="60"/>
    </row>
    <row r="4243" spans="1:8">
      <c r="A4243" s="60"/>
      <c r="B4243" s="77"/>
      <c r="C4243" s="60"/>
      <c r="D4243" s="81"/>
      <c r="E4243" s="62"/>
      <c r="F4243" s="60"/>
      <c r="G4243" s="62"/>
      <c r="H4243" s="60"/>
    </row>
    <row r="4244" spans="1:8">
      <c r="A4244" s="60"/>
      <c r="B4244" s="77"/>
      <c r="C4244" s="60"/>
      <c r="D4244" s="81"/>
      <c r="E4244" s="62"/>
      <c r="F4244" s="60"/>
      <c r="G4244" s="62"/>
      <c r="H4244" s="60"/>
    </row>
    <row r="4245" spans="1:8">
      <c r="A4245" s="60"/>
      <c r="B4245" s="77"/>
      <c r="C4245" s="60"/>
      <c r="D4245" s="81"/>
      <c r="E4245" s="62"/>
      <c r="F4245" s="60"/>
      <c r="G4245" s="62"/>
      <c r="H4245" s="60"/>
    </row>
    <row r="4246" spans="1:8">
      <c r="A4246" s="60"/>
      <c r="B4246" s="77"/>
      <c r="C4246" s="60"/>
      <c r="D4246" s="81"/>
      <c r="E4246" s="62"/>
      <c r="F4246" s="60"/>
      <c r="G4246" s="62"/>
      <c r="H4246" s="60"/>
    </row>
    <row r="4247" spans="1:8">
      <c r="A4247" s="60"/>
      <c r="B4247" s="77"/>
      <c r="C4247" s="60"/>
      <c r="D4247" s="81"/>
      <c r="E4247" s="62"/>
      <c r="F4247" s="60"/>
      <c r="G4247" s="62"/>
      <c r="H4247" s="60"/>
    </row>
    <row r="4248" spans="1:8">
      <c r="A4248" s="60"/>
      <c r="B4248" s="77"/>
      <c r="C4248" s="60"/>
      <c r="D4248" s="81"/>
      <c r="E4248" s="62"/>
      <c r="F4248" s="60"/>
      <c r="G4248" s="62"/>
      <c r="H4248" s="60"/>
    </row>
    <row r="4249" spans="1:8">
      <c r="A4249" s="60"/>
      <c r="B4249" s="77"/>
      <c r="C4249" s="60"/>
      <c r="D4249" s="81"/>
      <c r="E4249" s="62"/>
      <c r="F4249" s="60"/>
      <c r="G4249" s="62"/>
      <c r="H4249" s="60"/>
    </row>
    <row r="4250" spans="1:8">
      <c r="A4250" s="60"/>
      <c r="B4250" s="77"/>
      <c r="C4250" s="60"/>
      <c r="D4250" s="81"/>
      <c r="E4250" s="62"/>
      <c r="F4250" s="60"/>
      <c r="G4250" s="62"/>
      <c r="H4250" s="60"/>
    </row>
    <row r="4251" spans="1:8">
      <c r="A4251" s="60"/>
      <c r="B4251" s="77"/>
      <c r="C4251" s="60"/>
      <c r="D4251" s="81"/>
      <c r="E4251" s="62"/>
      <c r="F4251" s="60"/>
      <c r="G4251" s="62"/>
      <c r="H4251" s="60"/>
    </row>
    <row r="4252" spans="1:8">
      <c r="A4252" s="60"/>
      <c r="B4252" s="77"/>
      <c r="C4252" s="60"/>
      <c r="D4252" s="81"/>
      <c r="E4252" s="62"/>
      <c r="F4252" s="60"/>
      <c r="G4252" s="62"/>
      <c r="H4252" s="60"/>
    </row>
    <row r="4253" spans="1:8">
      <c r="A4253" s="60"/>
      <c r="B4253" s="77"/>
      <c r="C4253" s="60"/>
      <c r="D4253" s="81"/>
      <c r="E4253" s="62"/>
      <c r="F4253" s="60"/>
      <c r="G4253" s="62"/>
      <c r="H4253" s="60"/>
    </row>
    <row r="4254" spans="1:8">
      <c r="A4254" s="60"/>
      <c r="B4254" s="77"/>
      <c r="C4254" s="60"/>
      <c r="D4254" s="81"/>
      <c r="E4254" s="62"/>
      <c r="F4254" s="60"/>
      <c r="G4254" s="62"/>
      <c r="H4254" s="60"/>
    </row>
    <row r="4255" spans="1:8">
      <c r="A4255" s="60"/>
      <c r="B4255" s="77"/>
      <c r="C4255" s="60"/>
      <c r="D4255" s="81"/>
      <c r="E4255" s="62"/>
      <c r="F4255" s="60"/>
      <c r="G4255" s="62"/>
      <c r="H4255" s="60"/>
    </row>
    <row r="4256" spans="1:8">
      <c r="A4256" s="60"/>
      <c r="B4256" s="77"/>
      <c r="C4256" s="60"/>
      <c r="D4256" s="81"/>
      <c r="E4256" s="62"/>
      <c r="F4256" s="60"/>
      <c r="G4256" s="62"/>
      <c r="H4256" s="60"/>
    </row>
    <row r="4257" spans="1:8">
      <c r="A4257" s="60"/>
      <c r="B4257" s="77"/>
      <c r="C4257" s="60"/>
      <c r="D4257" s="81"/>
      <c r="E4257" s="62"/>
      <c r="F4257" s="60"/>
      <c r="G4257" s="62"/>
      <c r="H4257" s="60"/>
    </row>
    <row r="4258" spans="1:8">
      <c r="A4258" s="60"/>
      <c r="B4258" s="77"/>
      <c r="C4258" s="60"/>
      <c r="D4258" s="81"/>
      <c r="E4258" s="62"/>
      <c r="F4258" s="60"/>
      <c r="G4258" s="62"/>
      <c r="H4258" s="60"/>
    </row>
    <row r="4259" spans="1:8">
      <c r="A4259" s="60"/>
      <c r="B4259" s="77"/>
      <c r="C4259" s="60"/>
      <c r="D4259" s="81"/>
      <c r="E4259" s="62"/>
      <c r="F4259" s="60"/>
      <c r="G4259" s="62"/>
      <c r="H4259" s="60"/>
    </row>
    <row r="4260" spans="1:8">
      <c r="A4260" s="60"/>
      <c r="B4260" s="77"/>
      <c r="C4260" s="60"/>
      <c r="D4260" s="81"/>
      <c r="E4260" s="62"/>
      <c r="F4260" s="60"/>
      <c r="G4260" s="62"/>
      <c r="H4260" s="60"/>
    </row>
    <row r="4261" spans="1:8">
      <c r="A4261" s="60"/>
      <c r="B4261" s="77"/>
      <c r="C4261" s="60"/>
      <c r="D4261" s="81"/>
      <c r="E4261" s="62"/>
      <c r="F4261" s="60"/>
      <c r="G4261" s="62"/>
      <c r="H4261" s="60"/>
    </row>
    <row r="4262" spans="1:8">
      <c r="A4262" s="60"/>
      <c r="B4262" s="77"/>
      <c r="C4262" s="60"/>
      <c r="D4262" s="81"/>
      <c r="E4262" s="62"/>
      <c r="F4262" s="60"/>
      <c r="G4262" s="62"/>
      <c r="H4262" s="60"/>
    </row>
    <row r="4263" spans="1:8">
      <c r="A4263" s="60"/>
      <c r="B4263" s="77"/>
      <c r="C4263" s="60"/>
      <c r="D4263" s="81"/>
      <c r="E4263" s="62"/>
      <c r="F4263" s="60"/>
      <c r="G4263" s="62"/>
      <c r="H4263" s="60"/>
    </row>
    <row r="4264" spans="1:8">
      <c r="A4264" s="60"/>
      <c r="B4264" s="77"/>
      <c r="C4264" s="60"/>
      <c r="D4264" s="81"/>
      <c r="E4264" s="62"/>
      <c r="F4264" s="60"/>
      <c r="G4264" s="62"/>
      <c r="H4264" s="60"/>
    </row>
    <row r="4265" spans="1:8">
      <c r="A4265" s="60"/>
      <c r="B4265" s="77"/>
      <c r="C4265" s="60"/>
      <c r="D4265" s="81"/>
      <c r="E4265" s="62"/>
      <c r="F4265" s="60"/>
      <c r="G4265" s="62"/>
      <c r="H4265" s="60"/>
    </row>
    <row r="4266" spans="1:8">
      <c r="A4266" s="60"/>
      <c r="B4266" s="77"/>
      <c r="C4266" s="60"/>
      <c r="D4266" s="81"/>
      <c r="E4266" s="62"/>
      <c r="F4266" s="60"/>
      <c r="G4266" s="62"/>
      <c r="H4266" s="60"/>
    </row>
    <row r="4267" spans="1:8">
      <c r="A4267" s="60"/>
      <c r="B4267" s="77"/>
      <c r="C4267" s="60"/>
      <c r="D4267" s="81"/>
      <c r="E4267" s="62"/>
      <c r="F4267" s="60"/>
      <c r="G4267" s="62"/>
      <c r="H4267" s="60"/>
    </row>
    <row r="4268" spans="1:8">
      <c r="A4268" s="60"/>
      <c r="B4268" s="77"/>
      <c r="C4268" s="60"/>
      <c r="D4268" s="81"/>
      <c r="E4268" s="62"/>
      <c r="F4268" s="60"/>
      <c r="G4268" s="62"/>
      <c r="H4268" s="60"/>
    </row>
    <row r="4269" spans="1:8">
      <c r="A4269" s="60"/>
      <c r="B4269" s="77"/>
      <c r="C4269" s="60"/>
      <c r="D4269" s="81"/>
      <c r="E4269" s="62"/>
      <c r="F4269" s="60"/>
      <c r="G4269" s="62"/>
      <c r="H4269" s="60"/>
    </row>
    <row r="4270" spans="1:8">
      <c r="A4270" s="60"/>
      <c r="B4270" s="77"/>
      <c r="C4270" s="60"/>
      <c r="D4270" s="81"/>
      <c r="E4270" s="62"/>
      <c r="F4270" s="60"/>
      <c r="G4270" s="62"/>
      <c r="H4270" s="60"/>
    </row>
    <row r="4271" spans="1:8">
      <c r="A4271" s="60"/>
      <c r="B4271" s="77"/>
      <c r="C4271" s="60"/>
      <c r="D4271" s="81"/>
      <c r="E4271" s="62"/>
      <c r="F4271" s="60"/>
      <c r="G4271" s="62"/>
      <c r="H4271" s="60"/>
    </row>
    <row r="4272" spans="1:8">
      <c r="A4272" s="60"/>
      <c r="B4272" s="77"/>
      <c r="C4272" s="60"/>
      <c r="D4272" s="81"/>
      <c r="E4272" s="62"/>
      <c r="F4272" s="60"/>
      <c r="G4272" s="62"/>
      <c r="H4272" s="60"/>
    </row>
    <row r="4273" spans="1:8">
      <c r="A4273" s="60"/>
      <c r="B4273" s="77"/>
      <c r="C4273" s="60"/>
      <c r="D4273" s="81"/>
      <c r="E4273" s="62"/>
      <c r="F4273" s="60"/>
      <c r="G4273" s="62"/>
      <c r="H4273" s="60"/>
    </row>
    <row r="4274" spans="1:8">
      <c r="A4274" s="60"/>
      <c r="B4274" s="77"/>
      <c r="C4274" s="60"/>
      <c r="D4274" s="81"/>
      <c r="E4274" s="62"/>
      <c r="F4274" s="60"/>
      <c r="G4274" s="62"/>
      <c r="H4274" s="60"/>
    </row>
    <row r="4275" spans="1:8">
      <c r="A4275" s="60"/>
      <c r="B4275" s="77"/>
      <c r="C4275" s="60"/>
      <c r="D4275" s="81"/>
      <c r="E4275" s="62"/>
      <c r="F4275" s="60"/>
      <c r="G4275" s="62"/>
      <c r="H4275" s="60"/>
    </row>
    <row r="4276" spans="1:8">
      <c r="A4276" s="60"/>
      <c r="B4276" s="77"/>
      <c r="C4276" s="60"/>
      <c r="D4276" s="81"/>
      <c r="E4276" s="62"/>
      <c r="F4276" s="60"/>
      <c r="G4276" s="62"/>
      <c r="H4276" s="60"/>
    </row>
    <row r="4277" spans="1:8">
      <c r="A4277" s="60"/>
      <c r="B4277" s="77"/>
      <c r="C4277" s="60"/>
      <c r="D4277" s="81"/>
      <c r="E4277" s="62"/>
      <c r="F4277" s="60"/>
      <c r="G4277" s="62"/>
      <c r="H4277" s="60"/>
    </row>
    <row r="4278" spans="1:8">
      <c r="A4278" s="60"/>
      <c r="B4278" s="77"/>
      <c r="C4278" s="60"/>
      <c r="D4278" s="81"/>
      <c r="E4278" s="62"/>
      <c r="F4278" s="60"/>
      <c r="G4278" s="62"/>
      <c r="H4278" s="60"/>
    </row>
    <row r="4279" spans="1:8">
      <c r="A4279" s="60"/>
      <c r="B4279" s="77"/>
      <c r="C4279" s="60"/>
      <c r="D4279" s="81"/>
      <c r="E4279" s="62"/>
      <c r="F4279" s="60"/>
      <c r="G4279" s="62"/>
      <c r="H4279" s="60"/>
    </row>
    <row r="4280" spans="1:8">
      <c r="A4280" s="60"/>
      <c r="B4280" s="77"/>
      <c r="C4280" s="60"/>
      <c r="D4280" s="81"/>
      <c r="E4280" s="62"/>
      <c r="F4280" s="60"/>
      <c r="G4280" s="62"/>
      <c r="H4280" s="60"/>
    </row>
    <row r="4281" spans="1:8">
      <c r="A4281" s="60"/>
      <c r="B4281" s="77"/>
      <c r="C4281" s="60"/>
      <c r="D4281" s="81"/>
      <c r="E4281" s="62"/>
      <c r="F4281" s="60"/>
      <c r="G4281" s="62"/>
      <c r="H4281" s="60"/>
    </row>
    <row r="4282" spans="1:8">
      <c r="A4282" s="60"/>
      <c r="B4282" s="77"/>
      <c r="C4282" s="60"/>
      <c r="D4282" s="81"/>
      <c r="E4282" s="62"/>
      <c r="F4282" s="60"/>
      <c r="G4282" s="62"/>
      <c r="H4282" s="60"/>
    </row>
    <row r="4283" spans="1:8">
      <c r="A4283" s="60"/>
      <c r="B4283" s="77"/>
      <c r="C4283" s="60"/>
      <c r="D4283" s="81"/>
      <c r="E4283" s="62"/>
      <c r="F4283" s="60"/>
      <c r="G4283" s="62"/>
      <c r="H4283" s="60"/>
    </row>
    <row r="4284" spans="1:8">
      <c r="A4284" s="60"/>
      <c r="B4284" s="77"/>
      <c r="C4284" s="60"/>
      <c r="D4284" s="81"/>
      <c r="E4284" s="62"/>
      <c r="F4284" s="60"/>
      <c r="G4284" s="62"/>
      <c r="H4284" s="60"/>
    </row>
    <row r="4285" spans="1:8">
      <c r="A4285" s="60"/>
      <c r="B4285" s="77"/>
      <c r="C4285" s="60"/>
      <c r="D4285" s="81"/>
      <c r="E4285" s="62"/>
      <c r="F4285" s="60"/>
      <c r="G4285" s="62"/>
      <c r="H4285" s="60"/>
    </row>
    <row r="4286" spans="1:8">
      <c r="A4286" s="60"/>
      <c r="B4286" s="77"/>
      <c r="C4286" s="60"/>
      <c r="D4286" s="81"/>
      <c r="E4286" s="62"/>
      <c r="F4286" s="60"/>
      <c r="G4286" s="62"/>
      <c r="H4286" s="60"/>
    </row>
    <row r="4287" spans="1:8">
      <c r="A4287" s="60"/>
      <c r="B4287" s="77"/>
      <c r="C4287" s="60"/>
      <c r="D4287" s="81"/>
      <c r="E4287" s="62"/>
      <c r="F4287" s="60"/>
      <c r="G4287" s="62"/>
      <c r="H4287" s="60"/>
    </row>
    <row r="4288" spans="1:8">
      <c r="A4288" s="60"/>
      <c r="B4288" s="77"/>
      <c r="C4288" s="60"/>
      <c r="D4288" s="81"/>
      <c r="E4288" s="62"/>
      <c r="F4288" s="60"/>
      <c r="G4288" s="62"/>
      <c r="H4288" s="60"/>
    </row>
    <row r="4289" spans="1:8">
      <c r="A4289" s="60"/>
      <c r="B4289" s="77"/>
      <c r="C4289" s="60"/>
      <c r="D4289" s="81"/>
      <c r="E4289" s="62"/>
      <c r="F4289" s="60"/>
      <c r="G4289" s="62"/>
      <c r="H4289" s="60"/>
    </row>
    <row r="4290" spans="1:8">
      <c r="A4290" s="60"/>
      <c r="B4290" s="77"/>
      <c r="C4290" s="60"/>
      <c r="D4290" s="81"/>
      <c r="E4290" s="62"/>
      <c r="F4290" s="60"/>
      <c r="G4290" s="62"/>
      <c r="H4290" s="60"/>
    </row>
    <row r="4291" spans="1:8">
      <c r="A4291" s="60"/>
      <c r="B4291" s="77"/>
      <c r="C4291" s="60"/>
      <c r="D4291" s="81"/>
      <c r="E4291" s="62"/>
      <c r="F4291" s="60"/>
      <c r="G4291" s="62"/>
      <c r="H4291" s="60"/>
    </row>
    <row r="4292" spans="1:8">
      <c r="A4292" s="60"/>
      <c r="B4292" s="77"/>
      <c r="C4292" s="60"/>
      <c r="D4292" s="81"/>
      <c r="E4292" s="62"/>
      <c r="F4292" s="60"/>
      <c r="G4292" s="62"/>
      <c r="H4292" s="60"/>
    </row>
    <row r="4293" spans="1:8">
      <c r="A4293" s="60"/>
      <c r="B4293" s="77"/>
      <c r="C4293" s="60"/>
      <c r="D4293" s="81"/>
      <c r="E4293" s="62"/>
      <c r="F4293" s="60"/>
      <c r="G4293" s="62"/>
      <c r="H4293" s="60"/>
    </row>
    <row r="4294" spans="1:8">
      <c r="A4294" s="60"/>
      <c r="B4294" s="77"/>
      <c r="C4294" s="60"/>
      <c r="D4294" s="81"/>
      <c r="E4294" s="62"/>
      <c r="F4294" s="60"/>
      <c r="G4294" s="62"/>
      <c r="H4294" s="60"/>
    </row>
    <row r="4295" spans="1:8">
      <c r="A4295" s="60"/>
      <c r="B4295" s="77"/>
      <c r="C4295" s="60"/>
      <c r="D4295" s="81"/>
      <c r="E4295" s="62"/>
      <c r="F4295" s="60"/>
      <c r="G4295" s="62"/>
      <c r="H4295" s="60"/>
    </row>
    <row r="4296" spans="1:8">
      <c r="A4296" s="60"/>
      <c r="B4296" s="77"/>
      <c r="C4296" s="60"/>
      <c r="D4296" s="81"/>
      <c r="E4296" s="62"/>
      <c r="F4296" s="60"/>
      <c r="G4296" s="62"/>
      <c r="H4296" s="60"/>
    </row>
    <row r="4297" spans="1:8">
      <c r="A4297" s="60"/>
      <c r="B4297" s="77"/>
      <c r="C4297" s="60"/>
      <c r="D4297" s="81"/>
      <c r="E4297" s="62"/>
      <c r="F4297" s="60"/>
      <c r="G4297" s="62"/>
      <c r="H4297" s="60"/>
    </row>
    <row r="4298" spans="1:8">
      <c r="A4298" s="60"/>
      <c r="B4298" s="77"/>
      <c r="C4298" s="60"/>
      <c r="D4298" s="81"/>
      <c r="E4298" s="62"/>
      <c r="F4298" s="60"/>
      <c r="G4298" s="62"/>
      <c r="H4298" s="60"/>
    </row>
    <row r="4299" spans="1:8">
      <c r="A4299" s="60"/>
      <c r="B4299" s="77"/>
      <c r="C4299" s="60"/>
      <c r="D4299" s="81"/>
      <c r="E4299" s="62"/>
      <c r="F4299" s="60"/>
      <c r="G4299" s="62"/>
      <c r="H4299" s="60"/>
    </row>
    <row r="4300" spans="1:8">
      <c r="A4300" s="60"/>
      <c r="B4300" s="77"/>
      <c r="C4300" s="60"/>
      <c r="D4300" s="81"/>
      <c r="E4300" s="62"/>
      <c r="F4300" s="60"/>
      <c r="G4300" s="62"/>
      <c r="H4300" s="60"/>
    </row>
    <row r="4301" spans="1:8">
      <c r="A4301" s="60"/>
      <c r="B4301" s="77"/>
      <c r="C4301" s="60"/>
      <c r="D4301" s="81"/>
      <c r="E4301" s="62"/>
      <c r="F4301" s="60"/>
      <c r="G4301" s="62"/>
      <c r="H4301" s="60"/>
    </row>
    <row r="4302" spans="1:8">
      <c r="A4302" s="60"/>
      <c r="B4302" s="77"/>
      <c r="C4302" s="60"/>
      <c r="D4302" s="81"/>
      <c r="E4302" s="62"/>
      <c r="F4302" s="60"/>
      <c r="G4302" s="62"/>
      <c r="H4302" s="60"/>
    </row>
    <row r="4303" spans="1:8">
      <c r="A4303" s="60"/>
      <c r="B4303" s="77"/>
      <c r="C4303" s="60"/>
      <c r="D4303" s="81"/>
      <c r="E4303" s="62"/>
      <c r="F4303" s="60"/>
      <c r="G4303" s="62"/>
      <c r="H4303" s="60"/>
    </row>
    <row r="4304" spans="1:8">
      <c r="A4304" s="60"/>
      <c r="B4304" s="77"/>
      <c r="C4304" s="60"/>
      <c r="D4304" s="81"/>
      <c r="E4304" s="62"/>
      <c r="F4304" s="60"/>
      <c r="G4304" s="62"/>
      <c r="H4304" s="60"/>
    </row>
    <row r="4305" spans="1:8">
      <c r="A4305" s="60"/>
      <c r="B4305" s="77"/>
      <c r="C4305" s="60"/>
      <c r="D4305" s="81"/>
      <c r="E4305" s="62"/>
      <c r="F4305" s="60"/>
      <c r="G4305" s="62"/>
      <c r="H4305" s="60"/>
    </row>
    <row r="4306" spans="1:8">
      <c r="A4306" s="60"/>
      <c r="B4306" s="77"/>
      <c r="C4306" s="60"/>
      <c r="D4306" s="81"/>
      <c r="E4306" s="62"/>
      <c r="F4306" s="60"/>
      <c r="G4306" s="62"/>
      <c r="H4306" s="60"/>
    </row>
    <row r="4307" spans="1:8">
      <c r="A4307" s="60"/>
      <c r="B4307" s="77"/>
      <c r="C4307" s="60"/>
      <c r="D4307" s="81"/>
      <c r="E4307" s="62"/>
      <c r="F4307" s="60"/>
      <c r="G4307" s="62"/>
      <c r="H4307" s="60"/>
    </row>
    <row r="4308" spans="1:8">
      <c r="A4308" s="60"/>
      <c r="B4308" s="77"/>
      <c r="C4308" s="60"/>
      <c r="D4308" s="81"/>
      <c r="E4308" s="62"/>
      <c r="F4308" s="60"/>
      <c r="G4308" s="62"/>
      <c r="H4308" s="60"/>
    </row>
    <row r="4309" spans="1:8">
      <c r="A4309" s="60"/>
      <c r="B4309" s="77"/>
      <c r="C4309" s="60"/>
      <c r="D4309" s="81"/>
      <c r="E4309" s="62"/>
      <c r="F4309" s="60"/>
      <c r="G4309" s="62"/>
      <c r="H4309" s="60"/>
    </row>
    <row r="4310" spans="1:8">
      <c r="A4310" s="60"/>
      <c r="B4310" s="77"/>
      <c r="C4310" s="60"/>
      <c r="D4310" s="81"/>
      <c r="E4310" s="62"/>
      <c r="F4310" s="60"/>
      <c r="G4310" s="62"/>
      <c r="H4310" s="60"/>
    </row>
    <row r="4311" spans="1:8">
      <c r="A4311" s="60"/>
      <c r="B4311" s="77"/>
      <c r="C4311" s="60"/>
      <c r="D4311" s="81"/>
      <c r="E4311" s="62"/>
      <c r="F4311" s="60"/>
      <c r="G4311" s="62"/>
      <c r="H4311" s="60"/>
    </row>
    <row r="4312" spans="1:8">
      <c r="A4312" s="60"/>
      <c r="B4312" s="77"/>
      <c r="C4312" s="60"/>
      <c r="D4312" s="81"/>
      <c r="E4312" s="62"/>
      <c r="F4312" s="60"/>
      <c r="G4312" s="62"/>
      <c r="H4312" s="60"/>
    </row>
    <row r="4313" spans="1:8">
      <c r="A4313" s="60"/>
      <c r="B4313" s="77"/>
      <c r="C4313" s="60"/>
      <c r="D4313" s="81"/>
      <c r="E4313" s="62"/>
      <c r="F4313" s="60"/>
      <c r="G4313" s="62"/>
      <c r="H4313" s="60"/>
    </row>
    <row r="4314" spans="1:8">
      <c r="A4314" s="60"/>
      <c r="B4314" s="77"/>
      <c r="C4314" s="60"/>
      <c r="D4314" s="81"/>
      <c r="E4314" s="62"/>
      <c r="F4314" s="60"/>
      <c r="G4314" s="62"/>
      <c r="H4314" s="60"/>
    </row>
    <row r="4315" spans="1:8">
      <c r="A4315" s="60"/>
      <c r="B4315" s="77"/>
      <c r="C4315" s="60"/>
      <c r="D4315" s="81"/>
      <c r="E4315" s="62"/>
      <c r="F4315" s="60"/>
      <c r="G4315" s="62"/>
      <c r="H4315" s="60"/>
    </row>
    <row r="4316" spans="1:8">
      <c r="A4316" s="60"/>
      <c r="B4316" s="77"/>
      <c r="C4316" s="60"/>
      <c r="D4316" s="81"/>
      <c r="E4316" s="62"/>
      <c r="F4316" s="60"/>
      <c r="G4316" s="62"/>
      <c r="H4316" s="60"/>
    </row>
    <row r="4317" spans="1:8">
      <c r="A4317" s="60"/>
      <c r="B4317" s="77"/>
      <c r="C4317" s="60"/>
      <c r="D4317" s="81"/>
      <c r="E4317" s="62"/>
      <c r="F4317" s="60"/>
      <c r="G4317" s="62"/>
      <c r="H4317" s="60"/>
    </row>
    <row r="4318" spans="1:8">
      <c r="A4318" s="60"/>
      <c r="B4318" s="77"/>
      <c r="C4318" s="60"/>
      <c r="D4318" s="81"/>
      <c r="E4318" s="62"/>
      <c r="F4318" s="60"/>
      <c r="G4318" s="62"/>
      <c r="H4318" s="60"/>
    </row>
    <row r="4319" spans="1:8">
      <c r="A4319" s="60"/>
      <c r="B4319" s="77"/>
      <c r="C4319" s="60"/>
      <c r="D4319" s="81"/>
      <c r="E4319" s="62"/>
      <c r="F4319" s="60"/>
      <c r="G4319" s="62"/>
      <c r="H4319" s="60"/>
    </row>
    <row r="4320" spans="1:8">
      <c r="A4320" s="60"/>
      <c r="B4320" s="77"/>
      <c r="C4320" s="60"/>
      <c r="D4320" s="81"/>
      <c r="E4320" s="62"/>
      <c r="F4320" s="60"/>
      <c r="G4320" s="62"/>
      <c r="H4320" s="60"/>
    </row>
    <row r="4321" spans="1:8">
      <c r="A4321" s="60"/>
      <c r="B4321" s="77"/>
      <c r="C4321" s="60"/>
      <c r="D4321" s="81"/>
      <c r="E4321" s="62"/>
      <c r="F4321" s="60"/>
      <c r="G4321" s="62"/>
      <c r="H4321" s="60"/>
    </row>
    <row r="4322" spans="1:8">
      <c r="A4322" s="60"/>
      <c r="B4322" s="77"/>
      <c r="C4322" s="60"/>
      <c r="D4322" s="81"/>
      <c r="E4322" s="62"/>
      <c r="F4322" s="60"/>
      <c r="G4322" s="62"/>
      <c r="H4322" s="60"/>
    </row>
    <row r="4323" spans="1:8">
      <c r="A4323" s="60"/>
      <c r="B4323" s="77"/>
      <c r="C4323" s="60"/>
      <c r="D4323" s="81"/>
      <c r="E4323" s="62"/>
      <c r="F4323" s="60"/>
      <c r="G4323" s="62"/>
      <c r="H4323" s="60"/>
    </row>
    <row r="4324" spans="1:8">
      <c r="A4324" s="60"/>
      <c r="B4324" s="77"/>
      <c r="C4324" s="60"/>
      <c r="D4324" s="81"/>
      <c r="E4324" s="62"/>
      <c r="F4324" s="60"/>
      <c r="G4324" s="62"/>
      <c r="H4324" s="60"/>
    </row>
    <row r="4325" spans="1:8">
      <c r="A4325" s="60"/>
      <c r="B4325" s="77"/>
      <c r="C4325" s="60"/>
      <c r="D4325" s="81"/>
      <c r="E4325" s="62"/>
      <c r="F4325" s="60"/>
      <c r="G4325" s="62"/>
      <c r="H4325" s="60"/>
    </row>
    <row r="4326" spans="1:8">
      <c r="A4326" s="60"/>
      <c r="B4326" s="77"/>
      <c r="C4326" s="60"/>
      <c r="D4326" s="81"/>
      <c r="E4326" s="62"/>
      <c r="F4326" s="60"/>
      <c r="G4326" s="62"/>
      <c r="H4326" s="60"/>
    </row>
    <row r="4327" spans="1:8">
      <c r="A4327" s="60"/>
      <c r="B4327" s="77"/>
      <c r="C4327" s="60"/>
      <c r="D4327" s="81"/>
      <c r="E4327" s="62"/>
      <c r="F4327" s="60"/>
      <c r="G4327" s="62"/>
      <c r="H4327" s="60"/>
    </row>
    <row r="4328" spans="1:8">
      <c r="A4328" s="60"/>
      <c r="B4328" s="77"/>
      <c r="C4328" s="60"/>
      <c r="D4328" s="81"/>
      <c r="E4328" s="62"/>
      <c r="F4328" s="60"/>
      <c r="G4328" s="62"/>
      <c r="H4328" s="60"/>
    </row>
    <row r="4329" spans="1:8">
      <c r="A4329" s="60"/>
      <c r="B4329" s="77"/>
      <c r="C4329" s="60"/>
      <c r="D4329" s="81"/>
      <c r="E4329" s="62"/>
      <c r="F4329" s="60"/>
      <c r="G4329" s="62"/>
      <c r="H4329" s="60"/>
    </row>
    <row r="4330" spans="1:8">
      <c r="A4330" s="60"/>
      <c r="B4330" s="77"/>
      <c r="C4330" s="60"/>
      <c r="D4330" s="81"/>
      <c r="E4330" s="62"/>
      <c r="F4330" s="60"/>
      <c r="G4330" s="62"/>
      <c r="H4330" s="60"/>
    </row>
    <row r="4331" spans="1:8">
      <c r="A4331" s="60"/>
      <c r="B4331" s="77"/>
      <c r="C4331" s="60"/>
      <c r="D4331" s="81"/>
      <c r="E4331" s="62"/>
      <c r="F4331" s="60"/>
      <c r="G4331" s="62"/>
      <c r="H4331" s="60"/>
    </row>
    <row r="4332" spans="1:8">
      <c r="A4332" s="60"/>
      <c r="B4332" s="77"/>
      <c r="C4332" s="60"/>
      <c r="D4332" s="81"/>
      <c r="E4332" s="62"/>
      <c r="F4332" s="60"/>
      <c r="G4332" s="62"/>
      <c r="H4332" s="60"/>
    </row>
    <row r="4333" spans="1:8">
      <c r="A4333" s="60"/>
      <c r="B4333" s="77"/>
      <c r="C4333" s="60"/>
      <c r="D4333" s="81"/>
      <c r="E4333" s="62"/>
      <c r="F4333" s="60"/>
      <c r="G4333" s="62"/>
      <c r="H4333" s="60"/>
    </row>
    <row r="4334" spans="1:8">
      <c r="A4334" s="60"/>
      <c r="B4334" s="77"/>
      <c r="C4334" s="60"/>
      <c r="D4334" s="81"/>
      <c r="E4334" s="62"/>
      <c r="F4334" s="60"/>
      <c r="G4334" s="62"/>
      <c r="H4334" s="60"/>
    </row>
    <row r="4335" spans="1:8">
      <c r="A4335" s="60"/>
      <c r="B4335" s="77"/>
      <c r="C4335" s="60"/>
      <c r="D4335" s="81"/>
      <c r="E4335" s="62"/>
      <c r="F4335" s="60"/>
      <c r="G4335" s="62"/>
      <c r="H4335" s="60"/>
    </row>
    <row r="4336" spans="1:8">
      <c r="A4336" s="60"/>
      <c r="B4336" s="77"/>
      <c r="C4336" s="60"/>
      <c r="D4336" s="81"/>
      <c r="E4336" s="62"/>
      <c r="F4336" s="60"/>
      <c r="G4336" s="62"/>
      <c r="H4336" s="60"/>
    </row>
    <row r="4337" spans="1:8">
      <c r="A4337" s="60"/>
      <c r="B4337" s="77"/>
      <c r="C4337" s="60"/>
      <c r="D4337" s="81"/>
      <c r="E4337" s="62"/>
      <c r="F4337" s="60"/>
      <c r="G4337" s="62"/>
      <c r="H4337" s="60"/>
    </row>
    <row r="4338" spans="1:8">
      <c r="A4338" s="60"/>
      <c r="B4338" s="77"/>
      <c r="C4338" s="60"/>
      <c r="D4338" s="81"/>
      <c r="E4338" s="62"/>
      <c r="F4338" s="60"/>
      <c r="G4338" s="62"/>
      <c r="H4338" s="60"/>
    </row>
    <row r="4339" spans="1:8">
      <c r="A4339" s="60"/>
      <c r="B4339" s="77"/>
      <c r="C4339" s="60"/>
      <c r="D4339" s="81"/>
      <c r="E4339" s="62"/>
      <c r="F4339" s="60"/>
      <c r="G4339" s="62"/>
      <c r="H4339" s="60"/>
    </row>
    <row r="4340" spans="1:8">
      <c r="A4340" s="60"/>
      <c r="B4340" s="77"/>
      <c r="C4340" s="60"/>
      <c r="D4340" s="81"/>
      <c r="E4340" s="62"/>
      <c r="F4340" s="60"/>
      <c r="G4340" s="62"/>
      <c r="H4340" s="60"/>
    </row>
    <row r="4341" spans="1:8">
      <c r="A4341" s="60"/>
      <c r="B4341" s="77"/>
      <c r="C4341" s="60"/>
      <c r="D4341" s="81"/>
      <c r="E4341" s="62"/>
      <c r="F4341" s="60"/>
      <c r="G4341" s="62"/>
      <c r="H4341" s="60"/>
    </row>
    <row r="4342" spans="1:8">
      <c r="A4342" s="60"/>
      <c r="B4342" s="77"/>
      <c r="C4342" s="60"/>
      <c r="D4342" s="81"/>
      <c r="E4342" s="62"/>
      <c r="F4342" s="60"/>
      <c r="G4342" s="62"/>
      <c r="H4342" s="60"/>
    </row>
    <row r="4343" spans="1:8">
      <c r="A4343" s="60"/>
      <c r="B4343" s="77"/>
      <c r="C4343" s="60"/>
      <c r="D4343" s="81"/>
      <c r="E4343" s="62"/>
      <c r="F4343" s="60"/>
      <c r="G4343" s="62"/>
      <c r="H4343" s="60"/>
    </row>
    <row r="4344" spans="1:8">
      <c r="A4344" s="60"/>
      <c r="B4344" s="77"/>
      <c r="C4344" s="60"/>
      <c r="D4344" s="81"/>
      <c r="E4344" s="62"/>
      <c r="F4344" s="60"/>
      <c r="G4344" s="62"/>
      <c r="H4344" s="60"/>
    </row>
    <row r="4345" spans="1:8">
      <c r="A4345" s="60"/>
      <c r="B4345" s="77"/>
      <c r="C4345" s="60"/>
      <c r="D4345" s="81"/>
      <c r="E4345" s="62"/>
      <c r="F4345" s="60"/>
      <c r="G4345" s="62"/>
      <c r="H4345" s="60"/>
    </row>
    <row r="4346" spans="1:8">
      <c r="A4346" s="60"/>
      <c r="B4346" s="77"/>
      <c r="C4346" s="60"/>
      <c r="D4346" s="81"/>
      <c r="E4346" s="62"/>
      <c r="F4346" s="60"/>
      <c r="G4346" s="62"/>
      <c r="H4346" s="60"/>
    </row>
    <row r="4347" spans="1:8">
      <c r="A4347" s="60"/>
      <c r="B4347" s="77"/>
      <c r="C4347" s="60"/>
      <c r="D4347" s="81"/>
      <c r="E4347" s="62"/>
      <c r="F4347" s="60"/>
      <c r="G4347" s="62"/>
      <c r="H4347" s="60"/>
    </row>
    <row r="4348" spans="1:8">
      <c r="A4348" s="60"/>
      <c r="B4348" s="77"/>
      <c r="C4348" s="60"/>
      <c r="D4348" s="81"/>
      <c r="E4348" s="62"/>
      <c r="F4348" s="60"/>
      <c r="G4348" s="62"/>
      <c r="H4348" s="60"/>
    </row>
    <row r="4349" spans="1:8">
      <c r="A4349" s="60"/>
      <c r="B4349" s="77"/>
      <c r="C4349" s="60"/>
      <c r="D4349" s="81"/>
      <c r="E4349" s="62"/>
      <c r="F4349" s="60"/>
      <c r="G4349" s="62"/>
      <c r="H4349" s="60"/>
    </row>
    <row r="4350" spans="1:8">
      <c r="A4350" s="60"/>
      <c r="B4350" s="77"/>
      <c r="C4350" s="60"/>
      <c r="D4350" s="81"/>
      <c r="E4350" s="62"/>
      <c r="F4350" s="60"/>
      <c r="G4350" s="62"/>
      <c r="H4350" s="60"/>
    </row>
    <row r="4351" spans="1:8">
      <c r="A4351" s="60"/>
      <c r="B4351" s="77"/>
      <c r="C4351" s="60"/>
      <c r="D4351" s="81"/>
      <c r="E4351" s="62"/>
      <c r="F4351" s="60"/>
      <c r="G4351" s="62"/>
      <c r="H4351" s="60"/>
    </row>
    <row r="4352" spans="1:8">
      <c r="A4352" s="60"/>
      <c r="B4352" s="77"/>
      <c r="C4352" s="60"/>
      <c r="D4352" s="81"/>
      <c r="E4352" s="62"/>
      <c r="F4352" s="60"/>
      <c r="G4352" s="62"/>
      <c r="H4352" s="60"/>
    </row>
    <row r="4353" spans="1:8">
      <c r="A4353" s="60"/>
      <c r="B4353" s="77"/>
      <c r="C4353" s="60"/>
      <c r="D4353" s="81"/>
      <c r="E4353" s="62"/>
      <c r="F4353" s="60"/>
      <c r="G4353" s="62"/>
      <c r="H4353" s="60"/>
    </row>
    <row r="4354" spans="1:8">
      <c r="A4354" s="60"/>
      <c r="B4354" s="77"/>
      <c r="C4354" s="60"/>
      <c r="D4354" s="81"/>
      <c r="E4354" s="62"/>
      <c r="F4354" s="60"/>
      <c r="G4354" s="62"/>
      <c r="H4354" s="60"/>
    </row>
    <row r="4355" spans="1:8">
      <c r="A4355" s="60"/>
      <c r="B4355" s="77"/>
      <c r="C4355" s="60"/>
      <c r="D4355" s="81"/>
      <c r="E4355" s="62"/>
      <c r="F4355" s="60"/>
      <c r="G4355" s="62"/>
      <c r="H4355" s="60"/>
    </row>
    <row r="4356" spans="1:8">
      <c r="A4356" s="60"/>
      <c r="B4356" s="77"/>
      <c r="C4356" s="60"/>
      <c r="D4356" s="81"/>
      <c r="E4356" s="62"/>
      <c r="F4356" s="60"/>
      <c r="G4356" s="62"/>
      <c r="H4356" s="60"/>
    </row>
    <row r="4357" spans="1:8">
      <c r="A4357" s="60"/>
      <c r="B4357" s="77"/>
      <c r="C4357" s="60"/>
      <c r="D4357" s="81"/>
      <c r="E4357" s="62"/>
      <c r="F4357" s="60"/>
      <c r="G4357" s="62"/>
      <c r="H4357" s="60"/>
    </row>
    <row r="4358" spans="1:8">
      <c r="A4358" s="60"/>
      <c r="B4358" s="77"/>
      <c r="C4358" s="60"/>
      <c r="D4358" s="81"/>
      <c r="E4358" s="62"/>
      <c r="F4358" s="60"/>
      <c r="G4358" s="62"/>
      <c r="H4358" s="60"/>
    </row>
    <row r="4359" spans="1:8">
      <c r="A4359" s="60"/>
      <c r="B4359" s="77"/>
      <c r="C4359" s="60"/>
      <c r="D4359" s="81"/>
      <c r="E4359" s="62"/>
      <c r="F4359" s="60"/>
      <c r="G4359" s="62"/>
      <c r="H4359" s="60"/>
    </row>
    <row r="4360" spans="1:8">
      <c r="A4360" s="60"/>
      <c r="B4360" s="77"/>
      <c r="C4360" s="60"/>
      <c r="D4360" s="81"/>
      <c r="E4360" s="62"/>
      <c r="F4360" s="60"/>
      <c r="G4360" s="62"/>
      <c r="H4360" s="60"/>
    </row>
    <row r="4361" spans="1:8">
      <c r="A4361" s="60"/>
      <c r="B4361" s="77"/>
      <c r="C4361" s="60"/>
      <c r="D4361" s="81"/>
      <c r="E4361" s="62"/>
      <c r="F4361" s="60"/>
      <c r="G4361" s="62"/>
      <c r="H4361" s="60"/>
    </row>
    <row r="4362" spans="1:8">
      <c r="A4362" s="60"/>
      <c r="B4362" s="77"/>
      <c r="C4362" s="60"/>
      <c r="D4362" s="81"/>
      <c r="E4362" s="62"/>
      <c r="F4362" s="60"/>
      <c r="G4362" s="62"/>
      <c r="H4362" s="60"/>
    </row>
    <row r="4363" spans="1:8">
      <c r="A4363" s="60"/>
      <c r="B4363" s="77"/>
      <c r="C4363" s="60"/>
      <c r="D4363" s="81"/>
      <c r="E4363" s="62"/>
      <c r="F4363" s="60"/>
      <c r="G4363" s="62"/>
      <c r="H4363" s="60"/>
    </row>
    <row r="4364" spans="1:8">
      <c r="A4364" s="60"/>
      <c r="B4364" s="77"/>
      <c r="C4364" s="60"/>
      <c r="D4364" s="81"/>
      <c r="E4364" s="62"/>
      <c r="F4364" s="60"/>
      <c r="G4364" s="62"/>
      <c r="H4364" s="60"/>
    </row>
    <row r="4365" spans="1:8">
      <c r="A4365" s="60"/>
      <c r="B4365" s="77"/>
      <c r="C4365" s="60"/>
      <c r="D4365" s="81"/>
      <c r="E4365" s="62"/>
      <c r="F4365" s="60"/>
      <c r="G4365" s="62"/>
      <c r="H4365" s="60"/>
    </row>
    <row r="4366" spans="1:8">
      <c r="A4366" s="60"/>
      <c r="B4366" s="77"/>
      <c r="C4366" s="60"/>
      <c r="D4366" s="81"/>
      <c r="E4366" s="62"/>
      <c r="F4366" s="60"/>
      <c r="G4366" s="62"/>
      <c r="H4366" s="60"/>
    </row>
    <row r="4367" spans="1:8">
      <c r="A4367" s="60"/>
      <c r="B4367" s="77"/>
      <c r="C4367" s="60"/>
      <c r="D4367" s="81"/>
      <c r="E4367" s="62"/>
      <c r="F4367" s="60"/>
      <c r="G4367" s="62"/>
      <c r="H4367" s="60"/>
    </row>
    <row r="4368" spans="1:8">
      <c r="A4368" s="60"/>
      <c r="B4368" s="77"/>
      <c r="C4368" s="60"/>
      <c r="D4368" s="81"/>
      <c r="E4368" s="62"/>
      <c r="F4368" s="60"/>
      <c r="G4368" s="62"/>
      <c r="H4368" s="60"/>
    </row>
    <row r="4369" spans="1:8">
      <c r="A4369" s="60"/>
      <c r="B4369" s="77"/>
      <c r="C4369" s="60"/>
      <c r="D4369" s="81"/>
      <c r="E4369" s="62"/>
      <c r="F4369" s="60"/>
      <c r="G4369" s="62"/>
      <c r="H4369" s="60"/>
    </row>
    <row r="4370" spans="1:8">
      <c r="A4370" s="60"/>
      <c r="B4370" s="77"/>
      <c r="C4370" s="60"/>
      <c r="D4370" s="81"/>
      <c r="E4370" s="62"/>
      <c r="F4370" s="60"/>
      <c r="G4370" s="62"/>
      <c r="H4370" s="60"/>
    </row>
    <row r="4371" spans="1:8">
      <c r="A4371" s="60"/>
      <c r="B4371" s="77"/>
      <c r="C4371" s="60"/>
      <c r="D4371" s="81"/>
      <c r="E4371" s="62"/>
      <c r="F4371" s="60"/>
      <c r="G4371" s="62"/>
      <c r="H4371" s="60"/>
    </row>
    <row r="4372" spans="1:8">
      <c r="A4372" s="60"/>
      <c r="B4372" s="77"/>
      <c r="C4372" s="60"/>
      <c r="D4372" s="81"/>
      <c r="E4372" s="62"/>
      <c r="F4372" s="60"/>
      <c r="G4372" s="62"/>
      <c r="H4372" s="60"/>
    </row>
    <row r="4373" spans="1:8">
      <c r="A4373" s="60"/>
      <c r="B4373" s="77"/>
      <c r="C4373" s="60"/>
      <c r="D4373" s="81"/>
      <c r="E4373" s="62"/>
      <c r="F4373" s="60"/>
      <c r="G4373" s="62"/>
      <c r="H4373" s="60"/>
    </row>
    <row r="4374" spans="1:8">
      <c r="A4374" s="60"/>
      <c r="B4374" s="77"/>
      <c r="C4374" s="60"/>
      <c r="D4374" s="81"/>
      <c r="E4374" s="62"/>
      <c r="F4374" s="60"/>
      <c r="G4374" s="62"/>
      <c r="H4374" s="60"/>
    </row>
    <row r="4375" spans="1:8">
      <c r="A4375" s="60"/>
      <c r="B4375" s="77"/>
      <c r="C4375" s="60"/>
      <c r="D4375" s="81"/>
      <c r="E4375" s="62"/>
      <c r="F4375" s="60"/>
      <c r="G4375" s="62"/>
      <c r="H4375" s="60"/>
    </row>
    <row r="4376" spans="1:8">
      <c r="A4376" s="60"/>
      <c r="B4376" s="77"/>
      <c r="C4376" s="60"/>
      <c r="D4376" s="81"/>
      <c r="E4376" s="62"/>
      <c r="F4376" s="60"/>
      <c r="G4376" s="62"/>
      <c r="H4376" s="60"/>
    </row>
    <row r="4377" spans="1:8">
      <c r="A4377" s="60"/>
      <c r="B4377" s="77"/>
      <c r="C4377" s="60"/>
      <c r="D4377" s="81"/>
      <c r="E4377" s="62"/>
      <c r="F4377" s="60"/>
      <c r="G4377" s="62"/>
      <c r="H4377" s="60"/>
    </row>
    <row r="4378" spans="1:8">
      <c r="A4378" s="60"/>
      <c r="B4378" s="77"/>
      <c r="C4378" s="60"/>
      <c r="D4378" s="81"/>
      <c r="E4378" s="62"/>
      <c r="F4378" s="60"/>
      <c r="G4378" s="62"/>
      <c r="H4378" s="60"/>
    </row>
    <row r="4379" spans="1:8">
      <c r="A4379" s="60"/>
      <c r="B4379" s="77"/>
      <c r="C4379" s="60"/>
      <c r="D4379" s="81"/>
      <c r="E4379" s="62"/>
      <c r="F4379" s="60"/>
      <c r="G4379" s="62"/>
      <c r="H4379" s="60"/>
    </row>
    <row r="4380" spans="1:8">
      <c r="A4380" s="60"/>
      <c r="B4380" s="77"/>
      <c r="C4380" s="60"/>
      <c r="D4380" s="81"/>
      <c r="E4380" s="62"/>
      <c r="F4380" s="60"/>
      <c r="G4380" s="62"/>
      <c r="H4380" s="60"/>
    </row>
    <row r="4381" spans="1:8">
      <c r="A4381" s="60"/>
      <c r="B4381" s="77"/>
      <c r="C4381" s="60"/>
      <c r="D4381" s="81"/>
      <c r="E4381" s="62"/>
      <c r="F4381" s="60"/>
      <c r="G4381" s="62"/>
      <c r="H4381" s="60"/>
    </row>
    <row r="4382" spans="1:8">
      <c r="A4382" s="60"/>
      <c r="B4382" s="77"/>
      <c r="C4382" s="60"/>
      <c r="D4382" s="81"/>
      <c r="E4382" s="62"/>
      <c r="F4382" s="60"/>
      <c r="G4382" s="62"/>
      <c r="H4382" s="60"/>
    </row>
    <row r="4383" spans="1:8">
      <c r="A4383" s="60"/>
      <c r="B4383" s="77"/>
      <c r="C4383" s="60"/>
      <c r="D4383" s="81"/>
      <c r="E4383" s="62"/>
      <c r="F4383" s="60"/>
      <c r="G4383" s="62"/>
      <c r="H4383" s="60"/>
    </row>
    <row r="4384" spans="1:8">
      <c r="A4384" s="60"/>
      <c r="B4384" s="77"/>
      <c r="C4384" s="60"/>
      <c r="D4384" s="81"/>
      <c r="E4384" s="62"/>
      <c r="F4384" s="60"/>
      <c r="G4384" s="62"/>
      <c r="H4384" s="60"/>
    </row>
    <row r="4385" spans="1:8">
      <c r="A4385" s="60"/>
      <c r="B4385" s="77"/>
      <c r="C4385" s="60"/>
      <c r="D4385" s="81"/>
      <c r="E4385" s="62"/>
      <c r="F4385" s="60"/>
      <c r="G4385" s="62"/>
      <c r="H4385" s="60"/>
    </row>
    <row r="4386" spans="1:8">
      <c r="A4386" s="60"/>
      <c r="B4386" s="77"/>
      <c r="C4386" s="60"/>
      <c r="D4386" s="81"/>
      <c r="E4386" s="62"/>
      <c r="F4386" s="60"/>
      <c r="G4386" s="62"/>
      <c r="H4386" s="60"/>
    </row>
    <row r="4387" spans="1:8">
      <c r="A4387" s="60"/>
      <c r="B4387" s="77"/>
      <c r="C4387" s="60"/>
      <c r="D4387" s="81"/>
      <c r="E4387" s="62"/>
      <c r="F4387" s="60"/>
      <c r="G4387" s="62"/>
      <c r="H4387" s="60"/>
    </row>
    <row r="4388" spans="1:8">
      <c r="A4388" s="60"/>
      <c r="B4388" s="77"/>
      <c r="C4388" s="60"/>
      <c r="D4388" s="81"/>
      <c r="E4388" s="62"/>
      <c r="F4388" s="60"/>
      <c r="G4388" s="62"/>
      <c r="H4388" s="60"/>
    </row>
    <row r="4389" spans="1:8">
      <c r="A4389" s="60"/>
      <c r="B4389" s="77"/>
      <c r="C4389" s="60"/>
      <c r="D4389" s="81"/>
      <c r="E4389" s="62"/>
      <c r="F4389" s="60"/>
      <c r="G4389" s="62"/>
      <c r="H4389" s="60"/>
    </row>
    <row r="4390" spans="1:8">
      <c r="A4390" s="60"/>
      <c r="B4390" s="77"/>
      <c r="C4390" s="60"/>
      <c r="D4390" s="81"/>
      <c r="E4390" s="62"/>
      <c r="F4390" s="60"/>
      <c r="G4390" s="62"/>
      <c r="H4390" s="60"/>
    </row>
    <row r="4391" spans="1:8">
      <c r="A4391" s="60"/>
      <c r="B4391" s="77"/>
      <c r="C4391" s="60"/>
      <c r="D4391" s="81"/>
      <c r="E4391" s="62"/>
      <c r="F4391" s="60"/>
      <c r="G4391" s="62"/>
      <c r="H4391" s="60"/>
    </row>
    <row r="4392" spans="1:8">
      <c r="A4392" s="60"/>
      <c r="B4392" s="77"/>
      <c r="C4392" s="60"/>
      <c r="D4392" s="81"/>
      <c r="E4392" s="62"/>
      <c r="F4392" s="60"/>
      <c r="G4392" s="62"/>
      <c r="H4392" s="60"/>
    </row>
    <row r="4393" spans="1:8">
      <c r="A4393" s="60"/>
      <c r="B4393" s="77"/>
      <c r="C4393" s="60"/>
      <c r="D4393" s="81"/>
      <c r="E4393" s="62"/>
      <c r="F4393" s="60"/>
      <c r="G4393" s="62"/>
      <c r="H4393" s="60"/>
    </row>
    <row r="4394" spans="1:8">
      <c r="A4394" s="60"/>
      <c r="B4394" s="77"/>
      <c r="C4394" s="60"/>
      <c r="D4394" s="81"/>
      <c r="E4394" s="62"/>
      <c r="F4394" s="60"/>
      <c r="G4394" s="62"/>
      <c r="H4394" s="60"/>
    </row>
    <row r="4395" spans="1:8">
      <c r="A4395" s="60"/>
      <c r="B4395" s="77"/>
      <c r="C4395" s="60"/>
      <c r="D4395" s="81"/>
      <c r="E4395" s="62"/>
      <c r="F4395" s="60"/>
      <c r="G4395" s="62"/>
      <c r="H4395" s="60"/>
    </row>
    <row r="4396" spans="1:8">
      <c r="A4396" s="60"/>
      <c r="B4396" s="77"/>
      <c r="C4396" s="60"/>
      <c r="D4396" s="81"/>
      <c r="E4396" s="62"/>
      <c r="F4396" s="60"/>
      <c r="G4396" s="62"/>
      <c r="H4396" s="60"/>
    </row>
    <row r="4397" spans="1:8">
      <c r="A4397" s="60"/>
      <c r="B4397" s="77"/>
      <c r="C4397" s="60"/>
      <c r="D4397" s="81"/>
      <c r="E4397" s="62"/>
      <c r="F4397" s="60"/>
      <c r="G4397" s="62"/>
      <c r="H4397" s="60"/>
    </row>
    <row r="4398" spans="1:8">
      <c r="A4398" s="60"/>
      <c r="B4398" s="77"/>
      <c r="C4398" s="60"/>
      <c r="D4398" s="81"/>
      <c r="E4398" s="62"/>
      <c r="F4398" s="60"/>
      <c r="G4398" s="62"/>
      <c r="H4398" s="60"/>
    </row>
    <row r="4399" spans="1:8">
      <c r="A4399" s="60"/>
      <c r="B4399" s="77"/>
      <c r="C4399" s="60"/>
      <c r="D4399" s="81"/>
      <c r="E4399" s="62"/>
      <c r="F4399" s="60"/>
      <c r="G4399" s="62"/>
      <c r="H4399" s="60"/>
    </row>
    <row r="4400" spans="1:8">
      <c r="A4400" s="60"/>
      <c r="B4400" s="77"/>
      <c r="C4400" s="60"/>
      <c r="D4400" s="81"/>
      <c r="E4400" s="62"/>
      <c r="F4400" s="60"/>
      <c r="G4400" s="62"/>
      <c r="H4400" s="60"/>
    </row>
    <row r="4401" spans="1:8">
      <c r="A4401" s="60"/>
      <c r="B4401" s="77"/>
      <c r="C4401" s="60"/>
      <c r="D4401" s="81"/>
      <c r="E4401" s="62"/>
      <c r="F4401" s="60"/>
      <c r="G4401" s="62"/>
      <c r="H4401" s="60"/>
    </row>
    <row r="4402" spans="1:8">
      <c r="A4402" s="60"/>
      <c r="B4402" s="77"/>
      <c r="C4402" s="60"/>
      <c r="D4402" s="81"/>
      <c r="E4402" s="62"/>
      <c r="F4402" s="60"/>
      <c r="G4402" s="62"/>
      <c r="H4402" s="60"/>
    </row>
    <row r="4403" spans="1:8">
      <c r="A4403" s="60"/>
      <c r="B4403" s="77"/>
      <c r="C4403" s="60"/>
      <c r="D4403" s="81"/>
      <c r="E4403" s="62"/>
      <c r="F4403" s="60"/>
      <c r="G4403" s="62"/>
      <c r="H4403" s="60"/>
    </row>
    <row r="4404" spans="1:8">
      <c r="A4404" s="60"/>
      <c r="B4404" s="77"/>
      <c r="C4404" s="60"/>
      <c r="D4404" s="81"/>
      <c r="E4404" s="62"/>
      <c r="F4404" s="60"/>
      <c r="G4404" s="62"/>
      <c r="H4404" s="60"/>
    </row>
    <row r="4405" spans="1:8">
      <c r="A4405" s="60"/>
      <c r="B4405" s="77"/>
      <c r="C4405" s="60"/>
      <c r="D4405" s="81"/>
      <c r="E4405" s="62"/>
      <c r="F4405" s="60"/>
      <c r="G4405" s="62"/>
      <c r="H4405" s="60"/>
    </row>
    <row r="4406" spans="1:8">
      <c r="A4406" s="60"/>
      <c r="B4406" s="77"/>
      <c r="C4406" s="60"/>
      <c r="D4406" s="81"/>
      <c r="E4406" s="62"/>
      <c r="F4406" s="60"/>
      <c r="G4406" s="62"/>
      <c r="H4406" s="60"/>
    </row>
    <row r="4407" spans="1:8">
      <c r="A4407" s="60"/>
      <c r="B4407" s="77"/>
      <c r="C4407" s="60"/>
      <c r="D4407" s="81"/>
      <c r="E4407" s="62"/>
      <c r="F4407" s="60"/>
      <c r="G4407" s="62"/>
      <c r="H4407" s="60"/>
    </row>
    <row r="4408" spans="1:8">
      <c r="A4408" s="60"/>
      <c r="B4408" s="77"/>
      <c r="C4408" s="60"/>
      <c r="D4408" s="81"/>
      <c r="E4408" s="62"/>
      <c r="F4408" s="60"/>
      <c r="G4408" s="62"/>
      <c r="H4408" s="60"/>
    </row>
    <row r="4409" spans="1:8">
      <c r="A4409" s="60"/>
      <c r="B4409" s="77"/>
      <c r="C4409" s="60"/>
      <c r="D4409" s="81"/>
      <c r="E4409" s="62"/>
      <c r="F4409" s="60"/>
      <c r="G4409" s="62"/>
      <c r="H4409" s="60"/>
    </row>
    <row r="4410" spans="1:8">
      <c r="A4410" s="60"/>
      <c r="B4410" s="77"/>
      <c r="C4410" s="60"/>
      <c r="D4410" s="81"/>
      <c r="E4410" s="62"/>
      <c r="F4410" s="60"/>
      <c r="G4410" s="62"/>
      <c r="H4410" s="60"/>
    </row>
    <row r="4411" spans="1:8">
      <c r="A4411" s="60"/>
      <c r="B4411" s="77"/>
      <c r="C4411" s="60"/>
      <c r="D4411" s="81"/>
      <c r="E4411" s="62"/>
      <c r="F4411" s="60"/>
      <c r="G4411" s="62"/>
      <c r="H4411" s="60"/>
    </row>
    <row r="4412" spans="1:8">
      <c r="A4412" s="60"/>
      <c r="B4412" s="77"/>
      <c r="C4412" s="60"/>
      <c r="D4412" s="81"/>
      <c r="E4412" s="62"/>
      <c r="F4412" s="60"/>
      <c r="G4412" s="62"/>
      <c r="H4412" s="60"/>
    </row>
    <row r="4413" spans="1:8">
      <c r="A4413" s="60"/>
      <c r="B4413" s="77"/>
      <c r="C4413" s="60"/>
      <c r="D4413" s="81"/>
      <c r="E4413" s="62"/>
      <c r="F4413" s="60"/>
      <c r="G4413" s="62"/>
      <c r="H4413" s="60"/>
    </row>
    <row r="4414" spans="1:8">
      <c r="A4414" s="60"/>
      <c r="B4414" s="77"/>
      <c r="C4414" s="60"/>
      <c r="D4414" s="81"/>
      <c r="E4414" s="62"/>
      <c r="F4414" s="60"/>
      <c r="G4414" s="62"/>
      <c r="H4414" s="60"/>
    </row>
    <row r="4415" spans="1:8">
      <c r="A4415" s="60"/>
      <c r="B4415" s="77"/>
      <c r="C4415" s="60"/>
      <c r="D4415" s="81"/>
      <c r="E4415" s="62"/>
      <c r="F4415" s="60"/>
      <c r="G4415" s="62"/>
      <c r="H4415" s="60"/>
    </row>
    <row r="4416" spans="1:8">
      <c r="A4416" s="60"/>
      <c r="B4416" s="77"/>
      <c r="C4416" s="60"/>
      <c r="D4416" s="81"/>
      <c r="E4416" s="62"/>
      <c r="F4416" s="60"/>
      <c r="G4416" s="62"/>
      <c r="H4416" s="60"/>
    </row>
    <row r="4417" spans="1:8">
      <c r="A4417" s="60"/>
      <c r="B4417" s="77"/>
      <c r="C4417" s="60"/>
      <c r="D4417" s="81"/>
      <c r="E4417" s="62"/>
      <c r="F4417" s="60"/>
      <c r="G4417" s="62"/>
      <c r="H4417" s="60"/>
    </row>
    <row r="4418" spans="1:8">
      <c r="A4418" s="60"/>
      <c r="B4418" s="77"/>
      <c r="C4418" s="60"/>
      <c r="D4418" s="81"/>
      <c r="E4418" s="62"/>
      <c r="F4418" s="60"/>
      <c r="G4418" s="62"/>
      <c r="H4418" s="60"/>
    </row>
    <row r="4419" spans="1:8">
      <c r="A4419" s="60"/>
      <c r="B4419" s="77"/>
      <c r="C4419" s="60"/>
      <c r="D4419" s="81"/>
      <c r="E4419" s="62"/>
      <c r="F4419" s="60"/>
      <c r="G4419" s="62"/>
      <c r="H4419" s="60"/>
    </row>
    <row r="4420" spans="1:8">
      <c r="A4420" s="60"/>
      <c r="B4420" s="77"/>
      <c r="C4420" s="60"/>
      <c r="D4420" s="81"/>
      <c r="E4420" s="62"/>
      <c r="F4420" s="60"/>
      <c r="G4420" s="62"/>
      <c r="H4420" s="60"/>
    </row>
    <row r="4421" spans="1:8">
      <c r="A4421" s="60"/>
      <c r="B4421" s="77"/>
      <c r="C4421" s="60"/>
      <c r="D4421" s="81"/>
      <c r="E4421" s="62"/>
      <c r="F4421" s="60"/>
      <c r="G4421" s="62"/>
      <c r="H4421" s="60"/>
    </row>
    <row r="4422" spans="1:8">
      <c r="A4422" s="60"/>
      <c r="B4422" s="77"/>
      <c r="C4422" s="60"/>
      <c r="D4422" s="81"/>
      <c r="E4422" s="62"/>
      <c r="F4422" s="60"/>
      <c r="G4422" s="62"/>
      <c r="H4422" s="60"/>
    </row>
    <row r="4423" spans="1:8">
      <c r="A4423" s="60"/>
      <c r="B4423" s="77"/>
      <c r="C4423" s="60"/>
      <c r="D4423" s="81"/>
      <c r="E4423" s="62"/>
      <c r="F4423" s="60"/>
      <c r="G4423" s="62"/>
      <c r="H4423" s="60"/>
    </row>
    <row r="4424" spans="1:8">
      <c r="A4424" s="60"/>
      <c r="B4424" s="77"/>
      <c r="C4424" s="60"/>
      <c r="D4424" s="81"/>
      <c r="E4424" s="62"/>
      <c r="F4424" s="60"/>
      <c r="G4424" s="62"/>
      <c r="H4424" s="60"/>
    </row>
    <row r="4425" spans="1:8">
      <c r="A4425" s="60"/>
      <c r="B4425" s="77"/>
      <c r="C4425" s="60"/>
      <c r="D4425" s="81"/>
      <c r="E4425" s="62"/>
      <c r="F4425" s="60"/>
      <c r="G4425" s="62"/>
      <c r="H4425" s="60"/>
    </row>
    <row r="4426" spans="1:8">
      <c r="A4426" s="60"/>
      <c r="B4426" s="77"/>
      <c r="C4426" s="60"/>
      <c r="D4426" s="81"/>
      <c r="E4426" s="62"/>
      <c r="F4426" s="60"/>
      <c r="G4426" s="62"/>
      <c r="H4426" s="60"/>
    </row>
    <row r="4427" spans="1:8">
      <c r="A4427" s="60"/>
      <c r="B4427" s="77"/>
      <c r="C4427" s="60"/>
      <c r="D4427" s="81"/>
      <c r="E4427" s="62"/>
      <c r="F4427" s="60"/>
      <c r="G4427" s="62"/>
      <c r="H4427" s="60"/>
    </row>
    <row r="4428" spans="1:8">
      <c r="A4428" s="60"/>
      <c r="B4428" s="77"/>
      <c r="C4428" s="60"/>
      <c r="D4428" s="81"/>
      <c r="E4428" s="62"/>
      <c r="F4428" s="60"/>
      <c r="G4428" s="62"/>
      <c r="H4428" s="60"/>
    </row>
    <row r="4429" spans="1:8">
      <c r="A4429" s="60"/>
      <c r="B4429" s="77"/>
      <c r="C4429" s="60"/>
      <c r="D4429" s="81"/>
      <c r="E4429" s="62"/>
      <c r="F4429" s="60"/>
      <c r="G4429" s="62"/>
      <c r="H4429" s="60"/>
    </row>
    <row r="4430" spans="1:8">
      <c r="A4430" s="60"/>
      <c r="B4430" s="77"/>
      <c r="C4430" s="60"/>
      <c r="D4430" s="81"/>
      <c r="E4430" s="62"/>
      <c r="F4430" s="60"/>
      <c r="G4430" s="62"/>
      <c r="H4430" s="60"/>
    </row>
    <row r="4431" spans="1:8">
      <c r="A4431" s="60"/>
      <c r="B4431" s="77"/>
      <c r="C4431" s="60"/>
      <c r="D4431" s="81"/>
      <c r="E4431" s="62"/>
      <c r="F4431" s="60"/>
      <c r="G4431" s="62"/>
      <c r="H4431" s="60"/>
    </row>
    <row r="4432" spans="1:8">
      <c r="A4432" s="60"/>
      <c r="B4432" s="77"/>
      <c r="C4432" s="60"/>
      <c r="D4432" s="81"/>
      <c r="E4432" s="62"/>
      <c r="F4432" s="60"/>
      <c r="G4432" s="62"/>
      <c r="H4432" s="60"/>
    </row>
    <row r="4433" spans="1:8">
      <c r="A4433" s="60"/>
      <c r="B4433" s="77"/>
      <c r="C4433" s="60"/>
      <c r="D4433" s="81"/>
      <c r="E4433" s="62"/>
      <c r="F4433" s="60"/>
      <c r="G4433" s="62"/>
      <c r="H4433" s="60"/>
    </row>
    <row r="4434" spans="1:8">
      <c r="A4434" s="60"/>
      <c r="B4434" s="77"/>
      <c r="C4434" s="60"/>
      <c r="D4434" s="81"/>
      <c r="E4434" s="62"/>
      <c r="F4434" s="60"/>
      <c r="G4434" s="62"/>
      <c r="H4434" s="60"/>
    </row>
    <row r="4435" spans="1:8">
      <c r="A4435" s="60"/>
      <c r="B4435" s="77"/>
      <c r="C4435" s="60"/>
      <c r="D4435" s="81"/>
      <c r="E4435" s="62"/>
      <c r="F4435" s="60"/>
      <c r="G4435" s="62"/>
      <c r="H4435" s="60"/>
    </row>
    <row r="4436" spans="1:8">
      <c r="A4436" s="60"/>
      <c r="B4436" s="77"/>
      <c r="C4436" s="60"/>
      <c r="D4436" s="81"/>
      <c r="E4436" s="62"/>
      <c r="F4436" s="60"/>
      <c r="G4436" s="62"/>
      <c r="H4436" s="60"/>
    </row>
    <row r="4437" spans="1:8">
      <c r="A4437" s="60"/>
      <c r="B4437" s="77"/>
      <c r="C4437" s="60"/>
      <c r="D4437" s="81"/>
      <c r="E4437" s="62"/>
      <c r="F4437" s="60"/>
      <c r="G4437" s="62"/>
      <c r="H4437" s="60"/>
    </row>
    <row r="4438" spans="1:8">
      <c r="A4438" s="60"/>
      <c r="B4438" s="77"/>
      <c r="C4438" s="60"/>
      <c r="D4438" s="81"/>
      <c r="E4438" s="62"/>
      <c r="F4438" s="60"/>
      <c r="G4438" s="62"/>
      <c r="H4438" s="60"/>
    </row>
    <row r="4439" spans="1:8">
      <c r="A4439" s="60"/>
      <c r="B4439" s="77"/>
      <c r="C4439" s="60"/>
      <c r="D4439" s="81"/>
      <c r="E4439" s="62"/>
      <c r="F4439" s="60"/>
      <c r="G4439" s="62"/>
      <c r="H4439" s="60"/>
    </row>
    <row r="4440" spans="1:8">
      <c r="A4440" s="60"/>
      <c r="B4440" s="77"/>
      <c r="C4440" s="60"/>
      <c r="D4440" s="81"/>
      <c r="E4440" s="62"/>
      <c r="F4440" s="60"/>
      <c r="G4440" s="62"/>
      <c r="H4440" s="60"/>
    </row>
    <row r="4441" spans="1:8">
      <c r="A4441" s="60"/>
      <c r="B4441" s="77"/>
      <c r="C4441" s="60"/>
      <c r="D4441" s="81"/>
      <c r="E4441" s="62"/>
      <c r="F4441" s="60"/>
      <c r="G4441" s="62"/>
      <c r="H4441" s="60"/>
    </row>
    <row r="4442" spans="1:8">
      <c r="A4442" s="60"/>
      <c r="B4442" s="77"/>
      <c r="C4442" s="60"/>
      <c r="D4442" s="81"/>
      <c r="E4442" s="62"/>
      <c r="F4442" s="60"/>
      <c r="G4442" s="62"/>
      <c r="H4442" s="60"/>
    </row>
    <row r="4443" spans="1:8">
      <c r="A4443" s="60"/>
      <c r="B4443" s="77"/>
      <c r="C4443" s="60"/>
      <c r="D4443" s="81"/>
      <c r="E4443" s="62"/>
      <c r="F4443" s="60"/>
      <c r="G4443" s="62"/>
      <c r="H4443" s="60"/>
    </row>
    <row r="4444" spans="1:8">
      <c r="A4444" s="60"/>
      <c r="B4444" s="77"/>
      <c r="C4444" s="60"/>
      <c r="D4444" s="81"/>
      <c r="E4444" s="62"/>
      <c r="F4444" s="60"/>
      <c r="G4444" s="62"/>
      <c r="H4444" s="60"/>
    </row>
    <row r="4445" spans="1:8">
      <c r="A4445" s="60"/>
      <c r="B4445" s="77"/>
      <c r="C4445" s="60"/>
      <c r="D4445" s="81"/>
      <c r="E4445" s="62"/>
      <c r="F4445" s="60"/>
      <c r="G4445" s="62"/>
      <c r="H4445" s="60"/>
    </row>
    <row r="4446" spans="1:8">
      <c r="A4446" s="60"/>
      <c r="B4446" s="77"/>
      <c r="C4446" s="60"/>
      <c r="D4446" s="81"/>
      <c r="E4446" s="62"/>
      <c r="F4446" s="60"/>
      <c r="G4446" s="62"/>
      <c r="H4446" s="60"/>
    </row>
    <row r="4447" spans="1:8">
      <c r="A4447" s="60"/>
      <c r="B4447" s="77"/>
      <c r="C4447" s="60"/>
      <c r="D4447" s="81"/>
      <c r="E4447" s="62"/>
      <c r="F4447" s="60"/>
      <c r="G4447" s="62"/>
      <c r="H4447" s="60"/>
    </row>
    <row r="4448" spans="1:8">
      <c r="A4448" s="60"/>
      <c r="B4448" s="77"/>
      <c r="C4448" s="60"/>
      <c r="D4448" s="81"/>
      <c r="E4448" s="62"/>
      <c r="F4448" s="60"/>
      <c r="G4448" s="62"/>
      <c r="H4448" s="60"/>
    </row>
    <row r="4449" spans="1:8">
      <c r="A4449" s="60"/>
      <c r="B4449" s="77"/>
      <c r="C4449" s="60"/>
      <c r="D4449" s="81"/>
      <c r="E4449" s="62"/>
      <c r="F4449" s="60"/>
      <c r="G4449" s="62"/>
      <c r="H4449" s="60"/>
    </row>
    <row r="4450" spans="1:8">
      <c r="A4450" s="60"/>
      <c r="B4450" s="77"/>
      <c r="C4450" s="60"/>
      <c r="D4450" s="81"/>
      <c r="E4450" s="62"/>
      <c r="F4450" s="60"/>
      <c r="G4450" s="62"/>
      <c r="H4450" s="60"/>
    </row>
    <row r="4451" spans="1:8">
      <c r="A4451" s="60"/>
      <c r="B4451" s="77"/>
      <c r="C4451" s="60"/>
      <c r="D4451" s="81"/>
      <c r="E4451" s="62"/>
      <c r="F4451" s="60"/>
      <c r="G4451" s="62"/>
      <c r="H4451" s="60"/>
    </row>
    <row r="4452" spans="1:8">
      <c r="A4452" s="60"/>
      <c r="B4452" s="77"/>
      <c r="C4452" s="60"/>
      <c r="D4452" s="81"/>
      <c r="E4452" s="62"/>
      <c r="F4452" s="60"/>
      <c r="G4452" s="62"/>
      <c r="H4452" s="60"/>
    </row>
    <row r="4453" spans="1:8">
      <c r="A4453" s="60"/>
      <c r="B4453" s="77"/>
      <c r="C4453" s="60"/>
      <c r="D4453" s="81"/>
      <c r="E4453" s="62"/>
      <c r="F4453" s="60"/>
      <c r="G4453" s="62"/>
      <c r="H4453" s="60"/>
    </row>
    <row r="4454" spans="1:8">
      <c r="A4454" s="60"/>
      <c r="B4454" s="77"/>
      <c r="C4454" s="60"/>
      <c r="D4454" s="81"/>
      <c r="E4454" s="62"/>
      <c r="F4454" s="60"/>
      <c r="G4454" s="62"/>
      <c r="H4454" s="60"/>
    </row>
    <row r="4455" spans="1:8">
      <c r="A4455" s="60"/>
      <c r="B4455" s="77"/>
      <c r="C4455" s="60"/>
      <c r="D4455" s="81"/>
      <c r="E4455" s="62"/>
      <c r="F4455" s="60"/>
      <c r="G4455" s="62"/>
      <c r="H4455" s="60"/>
    </row>
    <row r="4456" spans="1:8">
      <c r="A4456" s="60"/>
      <c r="B4456" s="77"/>
      <c r="C4456" s="60"/>
      <c r="D4456" s="81"/>
      <c r="E4456" s="62"/>
      <c r="F4456" s="60"/>
      <c r="G4456" s="62"/>
      <c r="H4456" s="60"/>
    </row>
    <row r="4457" spans="1:8">
      <c r="A4457" s="60"/>
      <c r="B4457" s="77"/>
      <c r="C4457" s="60"/>
      <c r="D4457" s="81"/>
      <c r="E4457" s="62"/>
      <c r="F4457" s="60"/>
      <c r="G4457" s="62"/>
      <c r="H4457" s="60"/>
    </row>
    <row r="4458" spans="1:8">
      <c r="A4458" s="60"/>
      <c r="B4458" s="77"/>
      <c r="C4458" s="60"/>
      <c r="D4458" s="81"/>
      <c r="E4458" s="62"/>
      <c r="F4458" s="60"/>
      <c r="G4458" s="62"/>
      <c r="H4458" s="60"/>
    </row>
    <row r="4459" spans="1:8">
      <c r="A4459" s="60"/>
      <c r="B4459" s="77"/>
      <c r="C4459" s="60"/>
      <c r="D4459" s="81"/>
      <c r="E4459" s="62"/>
      <c r="F4459" s="60"/>
      <c r="G4459" s="62"/>
      <c r="H4459" s="60"/>
    </row>
    <row r="4460" spans="1:8">
      <c r="A4460" s="60"/>
      <c r="B4460" s="77"/>
      <c r="C4460" s="60"/>
      <c r="D4460" s="81"/>
      <c r="E4460" s="62"/>
      <c r="F4460" s="60"/>
      <c r="G4460" s="62"/>
      <c r="H4460" s="60"/>
    </row>
    <row r="4461" spans="1:8">
      <c r="A4461" s="60"/>
      <c r="B4461" s="77"/>
      <c r="C4461" s="60"/>
      <c r="D4461" s="81"/>
      <c r="E4461" s="62"/>
      <c r="F4461" s="60"/>
      <c r="G4461" s="62"/>
      <c r="H4461" s="60"/>
    </row>
    <row r="4462" spans="1:8">
      <c r="A4462" s="60"/>
      <c r="B4462" s="77"/>
      <c r="C4462" s="60"/>
      <c r="D4462" s="81"/>
      <c r="E4462" s="62"/>
      <c r="F4462" s="60"/>
      <c r="G4462" s="62"/>
      <c r="H4462" s="60"/>
    </row>
    <row r="4463" spans="1:8">
      <c r="A4463" s="60"/>
      <c r="B4463" s="77"/>
      <c r="C4463" s="60"/>
      <c r="D4463" s="81"/>
      <c r="E4463" s="62"/>
      <c r="F4463" s="60"/>
      <c r="G4463" s="62"/>
      <c r="H4463" s="60"/>
    </row>
    <row r="4464" spans="1:8">
      <c r="A4464" s="60"/>
      <c r="B4464" s="77"/>
      <c r="C4464" s="60"/>
      <c r="D4464" s="81"/>
      <c r="E4464" s="62"/>
      <c r="F4464" s="60"/>
      <c r="G4464" s="62"/>
      <c r="H4464" s="60"/>
    </row>
    <row r="4465" spans="1:8">
      <c r="A4465" s="60"/>
      <c r="B4465" s="77"/>
      <c r="C4465" s="60"/>
      <c r="D4465" s="81"/>
      <c r="E4465" s="62"/>
      <c r="F4465" s="60"/>
      <c r="G4465" s="62"/>
      <c r="H4465" s="60"/>
    </row>
    <row r="4466" spans="1:8">
      <c r="A4466" s="60"/>
      <c r="B4466" s="77"/>
      <c r="C4466" s="60"/>
      <c r="D4466" s="81"/>
      <c r="E4466" s="62"/>
      <c r="F4466" s="60"/>
      <c r="G4466" s="62"/>
      <c r="H4466" s="60"/>
    </row>
    <row r="4467" spans="1:8">
      <c r="A4467" s="60"/>
      <c r="B4467" s="77"/>
      <c r="C4467" s="60"/>
      <c r="D4467" s="81"/>
      <c r="E4467" s="62"/>
      <c r="F4467" s="60"/>
      <c r="G4467" s="62"/>
      <c r="H4467" s="60"/>
    </row>
    <row r="4468" spans="1:8">
      <c r="A4468" s="60"/>
      <c r="B4468" s="77"/>
      <c r="C4468" s="60"/>
      <c r="D4468" s="81"/>
      <c r="E4468" s="62"/>
      <c r="F4468" s="60"/>
      <c r="G4468" s="62"/>
      <c r="H4468" s="60"/>
    </row>
    <row r="4469" spans="1:8">
      <c r="A4469" s="60"/>
      <c r="B4469" s="77"/>
      <c r="C4469" s="60"/>
      <c r="D4469" s="81"/>
      <c r="E4469" s="62"/>
      <c r="F4469" s="60"/>
      <c r="G4469" s="62"/>
      <c r="H4469" s="60"/>
    </row>
    <row r="4470" spans="1:8">
      <c r="A4470" s="60"/>
      <c r="B4470" s="77"/>
      <c r="C4470" s="60"/>
      <c r="D4470" s="81"/>
      <c r="E4470" s="62"/>
      <c r="F4470" s="60"/>
      <c r="G4470" s="62"/>
      <c r="H4470" s="60"/>
    </row>
    <row r="4471" spans="1:8">
      <c r="A4471" s="60"/>
      <c r="B4471" s="77"/>
      <c r="C4471" s="60"/>
      <c r="D4471" s="81"/>
      <c r="E4471" s="62"/>
      <c r="F4471" s="60"/>
      <c r="G4471" s="62"/>
      <c r="H4471" s="60"/>
    </row>
    <row r="4472" spans="1:8">
      <c r="A4472" s="60"/>
      <c r="B4472" s="77"/>
      <c r="C4472" s="60"/>
      <c r="D4472" s="81"/>
      <c r="E4472" s="62"/>
      <c r="F4472" s="60"/>
      <c r="G4472" s="62"/>
      <c r="H4472" s="60"/>
    </row>
    <row r="4473" spans="1:8">
      <c r="A4473" s="60"/>
      <c r="B4473" s="77"/>
      <c r="C4473" s="60"/>
      <c r="D4473" s="81"/>
      <c r="E4473" s="62"/>
      <c r="F4473" s="60"/>
      <c r="G4473" s="62"/>
      <c r="H4473" s="60"/>
    </row>
    <row r="4474" spans="1:8">
      <c r="A4474" s="60"/>
      <c r="B4474" s="77"/>
      <c r="C4474" s="60"/>
      <c r="D4474" s="81"/>
      <c r="E4474" s="62"/>
      <c r="F4474" s="60"/>
      <c r="G4474" s="62"/>
      <c r="H4474" s="60"/>
    </row>
    <row r="4475" spans="1:8">
      <c r="A4475" s="60"/>
      <c r="B4475" s="77"/>
      <c r="C4475" s="60"/>
      <c r="D4475" s="81"/>
      <c r="E4475" s="62"/>
      <c r="F4475" s="60"/>
      <c r="G4475" s="62"/>
      <c r="H4475" s="60"/>
    </row>
    <row r="4476" spans="1:8">
      <c r="A4476" s="60"/>
      <c r="B4476" s="77"/>
      <c r="C4476" s="60"/>
      <c r="D4476" s="81"/>
      <c r="E4476" s="62"/>
      <c r="F4476" s="60"/>
      <c r="G4476" s="62"/>
      <c r="H4476" s="60"/>
    </row>
    <row r="4477" spans="1:8">
      <c r="A4477" s="60"/>
      <c r="B4477" s="77"/>
      <c r="C4477" s="60"/>
      <c r="D4477" s="81"/>
      <c r="E4477" s="62"/>
      <c r="F4477" s="60"/>
      <c r="G4477" s="62"/>
      <c r="H4477" s="60"/>
    </row>
    <row r="4478" spans="1:8">
      <c r="A4478" s="60"/>
      <c r="B4478" s="77"/>
      <c r="C4478" s="60"/>
      <c r="D4478" s="81"/>
      <c r="E4478" s="62"/>
      <c r="F4478" s="60"/>
      <c r="G4478" s="62"/>
      <c r="H4478" s="60"/>
    </row>
    <row r="4479" spans="1:8">
      <c r="A4479" s="60"/>
      <c r="B4479" s="77"/>
      <c r="C4479" s="60"/>
      <c r="D4479" s="81"/>
      <c r="E4479" s="62"/>
      <c r="F4479" s="60"/>
      <c r="G4479" s="62"/>
      <c r="H4479" s="60"/>
    </row>
    <row r="4480" spans="1:8">
      <c r="A4480" s="60"/>
      <c r="B4480" s="77"/>
      <c r="C4480" s="60"/>
      <c r="D4480" s="81"/>
      <c r="E4480" s="62"/>
      <c r="F4480" s="60"/>
      <c r="G4480" s="62"/>
      <c r="H4480" s="60"/>
    </row>
    <row r="4481" spans="1:8">
      <c r="A4481" s="60"/>
      <c r="B4481" s="77"/>
      <c r="C4481" s="60"/>
      <c r="D4481" s="81"/>
      <c r="E4481" s="62"/>
      <c r="F4481" s="60"/>
      <c r="G4481" s="62"/>
      <c r="H4481" s="60"/>
    </row>
    <row r="4482" spans="1:8">
      <c r="A4482" s="60"/>
      <c r="B4482" s="77"/>
      <c r="C4482" s="60"/>
      <c r="D4482" s="81"/>
      <c r="E4482" s="62"/>
      <c r="F4482" s="60"/>
      <c r="G4482" s="62"/>
      <c r="H4482" s="60"/>
    </row>
    <row r="4483" spans="1:8">
      <c r="A4483" s="60"/>
      <c r="B4483" s="77"/>
      <c r="C4483" s="60"/>
      <c r="D4483" s="81"/>
      <c r="E4483" s="62"/>
      <c r="F4483" s="60"/>
      <c r="G4483" s="62"/>
      <c r="H4483" s="60"/>
    </row>
    <row r="4484" spans="1:8">
      <c r="A4484" s="60"/>
      <c r="B4484" s="77"/>
      <c r="C4484" s="60"/>
      <c r="D4484" s="81"/>
      <c r="E4484" s="62"/>
      <c r="F4484" s="60"/>
      <c r="G4484" s="62"/>
      <c r="H4484" s="60"/>
    </row>
    <row r="4485" spans="1:8">
      <c r="A4485" s="60"/>
      <c r="B4485" s="77"/>
      <c r="C4485" s="60"/>
      <c r="D4485" s="81"/>
      <c r="E4485" s="62"/>
      <c r="F4485" s="60"/>
      <c r="G4485" s="62"/>
      <c r="H4485" s="60"/>
    </row>
    <row r="4486" spans="1:8">
      <c r="A4486" s="60"/>
      <c r="B4486" s="77"/>
      <c r="C4486" s="60"/>
      <c r="D4486" s="81"/>
      <c r="E4486" s="62"/>
      <c r="F4486" s="60"/>
      <c r="G4486" s="62"/>
      <c r="H4486" s="60"/>
    </row>
    <row r="4487" spans="1:8">
      <c r="A4487" s="60"/>
      <c r="B4487" s="77"/>
      <c r="C4487" s="60"/>
      <c r="D4487" s="81"/>
      <c r="E4487" s="62"/>
      <c r="F4487" s="60"/>
      <c r="G4487" s="62"/>
      <c r="H4487" s="60"/>
    </row>
    <row r="4488" spans="1:8">
      <c r="A4488" s="60"/>
      <c r="B4488" s="77"/>
      <c r="C4488" s="60"/>
      <c r="D4488" s="81"/>
      <c r="E4488" s="62"/>
      <c r="F4488" s="60"/>
      <c r="G4488" s="62"/>
      <c r="H4488" s="60"/>
    </row>
    <row r="4489" spans="1:8">
      <c r="A4489" s="60"/>
      <c r="B4489" s="77"/>
      <c r="C4489" s="60"/>
      <c r="D4489" s="81"/>
      <c r="E4489" s="62"/>
      <c r="F4489" s="60"/>
      <c r="G4489" s="62"/>
      <c r="H4489" s="60"/>
    </row>
    <row r="4490" spans="1:8">
      <c r="A4490" s="60"/>
      <c r="B4490" s="77"/>
      <c r="C4490" s="60"/>
      <c r="D4490" s="81"/>
      <c r="E4490" s="62"/>
      <c r="F4490" s="60"/>
      <c r="G4490" s="62"/>
      <c r="H4490" s="60"/>
    </row>
    <row r="4491" spans="1:8">
      <c r="A4491" s="60"/>
      <c r="B4491" s="77"/>
      <c r="C4491" s="60"/>
      <c r="D4491" s="81"/>
      <c r="E4491" s="62"/>
      <c r="F4491" s="60"/>
      <c r="G4491" s="62"/>
      <c r="H4491" s="60"/>
    </row>
    <row r="4492" spans="1:8">
      <c r="A4492" s="60"/>
      <c r="B4492" s="77"/>
      <c r="C4492" s="60"/>
      <c r="D4492" s="81"/>
      <c r="E4492" s="62"/>
      <c r="F4492" s="60"/>
      <c r="G4492" s="62"/>
      <c r="H4492" s="60"/>
    </row>
    <row r="4493" spans="1:8">
      <c r="A4493" s="60"/>
      <c r="B4493" s="77"/>
      <c r="C4493" s="60"/>
      <c r="D4493" s="81"/>
      <c r="E4493" s="62"/>
      <c r="F4493" s="60"/>
      <c r="G4493" s="62"/>
      <c r="H4493" s="60"/>
    </row>
    <row r="4494" spans="1:8">
      <c r="A4494" s="60"/>
      <c r="B4494" s="77"/>
      <c r="C4494" s="60"/>
      <c r="D4494" s="81"/>
      <c r="E4494" s="62"/>
      <c r="F4494" s="60"/>
      <c r="G4494" s="62"/>
      <c r="H4494" s="60"/>
    </row>
    <row r="4495" spans="1:8">
      <c r="A4495" s="60"/>
      <c r="B4495" s="77"/>
      <c r="C4495" s="60"/>
      <c r="D4495" s="81"/>
      <c r="E4495" s="62"/>
      <c r="F4495" s="60"/>
      <c r="G4495" s="62"/>
      <c r="H4495" s="60"/>
    </row>
    <row r="4496" spans="1:8">
      <c r="A4496" s="60"/>
      <c r="B4496" s="77"/>
      <c r="C4496" s="60"/>
      <c r="D4496" s="81"/>
      <c r="E4496" s="62"/>
      <c r="F4496" s="60"/>
      <c r="G4496" s="62"/>
      <c r="H4496" s="60"/>
    </row>
    <row r="4497" spans="1:8">
      <c r="A4497" s="60"/>
      <c r="B4497" s="77"/>
      <c r="C4497" s="60"/>
      <c r="D4497" s="81"/>
      <c r="E4497" s="62"/>
      <c r="F4497" s="60"/>
      <c r="G4497" s="62"/>
      <c r="H4497" s="60"/>
    </row>
    <row r="4498" spans="1:8">
      <c r="A4498" s="60"/>
      <c r="B4498" s="77"/>
      <c r="C4498" s="60"/>
      <c r="D4498" s="81"/>
      <c r="E4498" s="62"/>
      <c r="F4498" s="60"/>
      <c r="G4498" s="62"/>
      <c r="H4498" s="60"/>
    </row>
    <row r="4499" spans="1:8">
      <c r="A4499" s="60"/>
      <c r="B4499" s="77"/>
      <c r="C4499" s="60"/>
      <c r="D4499" s="81"/>
      <c r="E4499" s="62"/>
      <c r="F4499" s="60"/>
      <c r="G4499" s="62"/>
      <c r="H4499" s="60"/>
    </row>
    <row r="4500" spans="1:8">
      <c r="A4500" s="60"/>
      <c r="B4500" s="77"/>
      <c r="C4500" s="60"/>
      <c r="D4500" s="81"/>
      <c r="E4500" s="62"/>
      <c r="F4500" s="60"/>
      <c r="G4500" s="62"/>
      <c r="H4500" s="60"/>
    </row>
    <row r="4501" spans="1:8">
      <c r="A4501" s="60"/>
      <c r="B4501" s="77"/>
      <c r="C4501" s="60"/>
      <c r="D4501" s="81"/>
      <c r="E4501" s="62"/>
      <c r="F4501" s="60"/>
      <c r="G4501" s="62"/>
      <c r="H4501" s="60"/>
    </row>
    <row r="4502" spans="1:8">
      <c r="A4502" s="60"/>
      <c r="B4502" s="77"/>
      <c r="C4502" s="60"/>
      <c r="D4502" s="81"/>
      <c r="E4502" s="62"/>
      <c r="F4502" s="60"/>
      <c r="G4502" s="62"/>
      <c r="H4502" s="60"/>
    </row>
    <row r="4503" spans="1:8">
      <c r="A4503" s="60"/>
      <c r="B4503" s="77"/>
      <c r="C4503" s="60"/>
      <c r="D4503" s="81"/>
      <c r="E4503" s="62"/>
      <c r="F4503" s="60"/>
      <c r="G4503" s="62"/>
      <c r="H4503" s="60"/>
    </row>
    <row r="4504" spans="1:8">
      <c r="A4504" s="60"/>
      <c r="B4504" s="77"/>
      <c r="C4504" s="60"/>
      <c r="D4504" s="81"/>
      <c r="E4504" s="62"/>
      <c r="F4504" s="60"/>
      <c r="G4504" s="62"/>
      <c r="H4504" s="60"/>
    </row>
    <row r="4505" spans="1:8">
      <c r="A4505" s="60"/>
      <c r="B4505" s="77"/>
      <c r="C4505" s="60"/>
      <c r="D4505" s="81"/>
      <c r="E4505" s="62"/>
      <c r="F4505" s="60"/>
      <c r="G4505" s="62"/>
      <c r="H4505" s="60"/>
    </row>
    <row r="4506" spans="1:8">
      <c r="A4506" s="60"/>
      <c r="B4506" s="77"/>
      <c r="C4506" s="60"/>
      <c r="D4506" s="81"/>
      <c r="E4506" s="62"/>
      <c r="F4506" s="60"/>
      <c r="G4506" s="62"/>
      <c r="H4506" s="60"/>
    </row>
    <row r="4507" spans="1:8">
      <c r="A4507" s="60"/>
      <c r="B4507" s="77"/>
      <c r="C4507" s="60"/>
      <c r="D4507" s="81"/>
      <c r="E4507" s="62"/>
      <c r="F4507" s="60"/>
      <c r="G4507" s="62"/>
      <c r="H4507" s="60"/>
    </row>
    <row r="4508" spans="1:8">
      <c r="A4508" s="60"/>
      <c r="B4508" s="77"/>
      <c r="C4508" s="60"/>
      <c r="D4508" s="81"/>
      <c r="E4508" s="62"/>
      <c r="F4508" s="60"/>
      <c r="G4508" s="62"/>
      <c r="H4508" s="60"/>
    </row>
    <row r="4509" spans="1:8">
      <c r="A4509" s="60"/>
      <c r="B4509" s="77"/>
      <c r="C4509" s="60"/>
      <c r="D4509" s="81"/>
      <c r="E4509" s="62"/>
      <c r="F4509" s="60"/>
      <c r="G4509" s="62"/>
      <c r="H4509" s="60"/>
    </row>
    <row r="4510" spans="1:8">
      <c r="A4510" s="60"/>
      <c r="B4510" s="77"/>
      <c r="C4510" s="60"/>
      <c r="D4510" s="81"/>
      <c r="E4510" s="62"/>
      <c r="F4510" s="60"/>
      <c r="G4510" s="62"/>
      <c r="H4510" s="60"/>
    </row>
    <row r="4511" spans="1:8">
      <c r="A4511" s="60"/>
      <c r="B4511" s="77"/>
      <c r="C4511" s="60"/>
      <c r="D4511" s="81"/>
      <c r="E4511" s="62"/>
      <c r="F4511" s="60"/>
      <c r="G4511" s="62"/>
      <c r="H4511" s="60"/>
    </row>
    <row r="4512" spans="1:8">
      <c r="A4512" s="60"/>
      <c r="B4512" s="77"/>
      <c r="C4512" s="60"/>
      <c r="D4512" s="81"/>
      <c r="E4512" s="62"/>
      <c r="F4512" s="60"/>
      <c r="G4512" s="62"/>
      <c r="H4512" s="60"/>
    </row>
    <row r="4513" spans="1:8">
      <c r="A4513" s="60"/>
      <c r="B4513" s="77"/>
      <c r="C4513" s="60"/>
      <c r="D4513" s="81"/>
      <c r="E4513" s="62"/>
      <c r="F4513" s="60"/>
      <c r="G4513" s="62"/>
      <c r="H4513" s="60"/>
    </row>
    <row r="4514" spans="1:8">
      <c r="A4514" s="60"/>
      <c r="B4514" s="77"/>
      <c r="C4514" s="60"/>
      <c r="D4514" s="81"/>
      <c r="E4514" s="62"/>
      <c r="F4514" s="60"/>
      <c r="G4514" s="62"/>
      <c r="H4514" s="60"/>
    </row>
    <row r="4515" spans="1:8">
      <c r="A4515" s="60"/>
      <c r="B4515" s="77"/>
      <c r="C4515" s="60"/>
      <c r="D4515" s="81"/>
      <c r="E4515" s="62"/>
      <c r="F4515" s="60"/>
      <c r="G4515" s="62"/>
      <c r="H4515" s="60"/>
    </row>
    <row r="4516" spans="1:8">
      <c r="A4516" s="60"/>
      <c r="B4516" s="77"/>
      <c r="C4516" s="60"/>
      <c r="D4516" s="81"/>
      <c r="E4516" s="62"/>
      <c r="F4516" s="60"/>
      <c r="G4516" s="62"/>
      <c r="H4516" s="60"/>
    </row>
    <row r="4517" spans="1:8">
      <c r="A4517" s="60"/>
      <c r="B4517" s="77"/>
      <c r="C4517" s="60"/>
      <c r="D4517" s="81"/>
      <c r="E4517" s="62"/>
      <c r="F4517" s="60"/>
      <c r="G4517" s="62"/>
      <c r="H4517" s="60"/>
    </row>
    <row r="4518" spans="1:8">
      <c r="A4518" s="60"/>
      <c r="B4518" s="77"/>
      <c r="C4518" s="60"/>
      <c r="D4518" s="81"/>
      <c r="E4518" s="62"/>
      <c r="F4518" s="60"/>
      <c r="G4518" s="62"/>
      <c r="H4518" s="60"/>
    </row>
    <row r="4519" spans="1:8">
      <c r="A4519" s="60"/>
      <c r="B4519" s="77"/>
      <c r="C4519" s="60"/>
      <c r="D4519" s="81"/>
      <c r="E4519" s="62"/>
      <c r="F4519" s="60"/>
      <c r="G4519" s="62"/>
      <c r="H4519" s="60"/>
    </row>
    <row r="4520" spans="1:8">
      <c r="A4520" s="60"/>
      <c r="B4520" s="77"/>
      <c r="C4520" s="60"/>
      <c r="D4520" s="81"/>
      <c r="E4520" s="62"/>
      <c r="F4520" s="60"/>
      <c r="G4520" s="62"/>
      <c r="H4520" s="60"/>
    </row>
    <row r="4521" spans="1:8">
      <c r="A4521" s="60"/>
      <c r="B4521" s="77"/>
      <c r="C4521" s="60"/>
      <c r="D4521" s="81"/>
      <c r="E4521" s="62"/>
      <c r="F4521" s="60"/>
      <c r="G4521" s="62"/>
      <c r="H4521" s="60"/>
    </row>
    <row r="4522" spans="1:8">
      <c r="A4522" s="60"/>
      <c r="B4522" s="77"/>
      <c r="C4522" s="60"/>
      <c r="D4522" s="81"/>
      <c r="E4522" s="62"/>
      <c r="F4522" s="60"/>
      <c r="G4522" s="62"/>
      <c r="H4522" s="60"/>
    </row>
    <row r="4523" spans="1:8">
      <c r="A4523" s="60"/>
      <c r="B4523" s="77"/>
      <c r="C4523" s="60"/>
      <c r="D4523" s="81"/>
      <c r="E4523" s="62"/>
      <c r="F4523" s="60"/>
      <c r="G4523" s="62"/>
      <c r="H4523" s="60"/>
    </row>
    <row r="4524" spans="1:8">
      <c r="A4524" s="60"/>
      <c r="B4524" s="77"/>
      <c r="C4524" s="60"/>
      <c r="D4524" s="81"/>
      <c r="E4524" s="62"/>
      <c r="F4524" s="60"/>
      <c r="G4524" s="62"/>
      <c r="H4524" s="60"/>
    </row>
    <row r="4525" spans="1:8">
      <c r="A4525" s="60"/>
      <c r="B4525" s="77"/>
      <c r="C4525" s="60"/>
      <c r="D4525" s="81"/>
      <c r="E4525" s="62"/>
      <c r="F4525" s="60"/>
      <c r="G4525" s="62"/>
      <c r="H4525" s="60"/>
    </row>
    <row r="4526" spans="1:8">
      <c r="A4526" s="60"/>
      <c r="B4526" s="77"/>
      <c r="C4526" s="60"/>
      <c r="D4526" s="81"/>
      <c r="E4526" s="62"/>
      <c r="F4526" s="60"/>
      <c r="G4526" s="62"/>
      <c r="H4526" s="60"/>
    </row>
    <row r="4527" spans="1:8">
      <c r="A4527" s="60"/>
      <c r="B4527" s="77"/>
      <c r="C4527" s="60"/>
      <c r="D4527" s="81"/>
      <c r="E4527" s="62"/>
      <c r="F4527" s="60"/>
      <c r="G4527" s="62"/>
      <c r="H4527" s="60"/>
    </row>
    <row r="4528" spans="1:8">
      <c r="A4528" s="60"/>
      <c r="B4528" s="77"/>
      <c r="C4528" s="60"/>
      <c r="D4528" s="81"/>
      <c r="E4528" s="62"/>
      <c r="F4528" s="60"/>
      <c r="G4528" s="62"/>
      <c r="H4528" s="60"/>
    </row>
    <row r="4529" spans="1:8">
      <c r="A4529" s="60"/>
      <c r="B4529" s="77"/>
      <c r="C4529" s="60"/>
      <c r="D4529" s="81"/>
      <c r="E4529" s="62"/>
      <c r="F4529" s="60"/>
      <c r="G4529" s="62"/>
      <c r="H4529" s="60"/>
    </row>
    <row r="4530" spans="1:8">
      <c r="A4530" s="60"/>
      <c r="B4530" s="77"/>
      <c r="C4530" s="60"/>
      <c r="D4530" s="81"/>
      <c r="E4530" s="62"/>
      <c r="F4530" s="60"/>
      <c r="G4530" s="62"/>
      <c r="H4530" s="60"/>
    </row>
    <row r="4531" spans="1:8">
      <c r="A4531" s="60"/>
      <c r="B4531" s="77"/>
      <c r="C4531" s="60"/>
      <c r="D4531" s="81"/>
      <c r="E4531" s="62"/>
      <c r="F4531" s="60"/>
      <c r="G4531" s="62"/>
      <c r="H4531" s="60"/>
    </row>
    <row r="4532" spans="1:8">
      <c r="A4532" s="60"/>
      <c r="B4532" s="77"/>
      <c r="C4532" s="60"/>
      <c r="D4532" s="81"/>
      <c r="E4532" s="62"/>
      <c r="F4532" s="60"/>
      <c r="G4532" s="62"/>
      <c r="H4532" s="60"/>
    </row>
    <row r="4533" spans="1:8">
      <c r="A4533" s="60"/>
      <c r="B4533" s="77"/>
      <c r="C4533" s="60"/>
      <c r="D4533" s="81"/>
      <c r="E4533" s="62"/>
      <c r="F4533" s="60"/>
      <c r="G4533" s="62"/>
      <c r="H4533" s="60"/>
    </row>
    <row r="4534" spans="1:8">
      <c r="A4534" s="60"/>
      <c r="B4534" s="77"/>
      <c r="C4534" s="60"/>
      <c r="D4534" s="81"/>
      <c r="E4534" s="62"/>
      <c r="F4534" s="60"/>
      <c r="G4534" s="62"/>
      <c r="H4534" s="60"/>
    </row>
    <row r="4535" spans="1:8">
      <c r="A4535" s="60"/>
      <c r="B4535" s="77"/>
      <c r="C4535" s="60"/>
      <c r="D4535" s="81"/>
      <c r="E4535" s="62"/>
      <c r="F4535" s="60"/>
      <c r="G4535" s="62"/>
      <c r="H4535" s="60"/>
    </row>
    <row r="4536" spans="1:8">
      <c r="A4536" s="60"/>
      <c r="B4536" s="77"/>
      <c r="C4536" s="60"/>
      <c r="D4536" s="81"/>
      <c r="E4536" s="62"/>
      <c r="F4536" s="60"/>
      <c r="G4536" s="62"/>
      <c r="H4536" s="60"/>
    </row>
    <row r="4537" spans="1:8">
      <c r="A4537" s="60"/>
      <c r="B4537" s="77"/>
      <c r="C4537" s="60"/>
      <c r="D4537" s="81"/>
      <c r="E4537" s="62"/>
      <c r="F4537" s="60"/>
      <c r="G4537" s="62"/>
      <c r="H4537" s="60"/>
    </row>
    <row r="4538" spans="1:8">
      <c r="A4538" s="60"/>
      <c r="B4538" s="77"/>
      <c r="C4538" s="60"/>
      <c r="D4538" s="81"/>
      <c r="E4538" s="62"/>
      <c r="F4538" s="60"/>
      <c r="G4538" s="62"/>
      <c r="H4538" s="60"/>
    </row>
    <row r="4539" spans="1:8">
      <c r="A4539" s="60"/>
      <c r="B4539" s="77"/>
      <c r="C4539" s="60"/>
      <c r="D4539" s="81"/>
      <c r="E4539" s="62"/>
      <c r="F4539" s="60"/>
      <c r="G4539" s="62"/>
      <c r="H4539" s="60"/>
    </row>
    <row r="4540" spans="1:8">
      <c r="A4540" s="60"/>
      <c r="B4540" s="77"/>
      <c r="C4540" s="60"/>
      <c r="D4540" s="81"/>
      <c r="E4540" s="62"/>
      <c r="F4540" s="60"/>
      <c r="G4540" s="62"/>
      <c r="H4540" s="60"/>
    </row>
    <row r="4541" spans="1:8">
      <c r="A4541" s="60"/>
      <c r="B4541" s="77"/>
      <c r="C4541" s="60"/>
      <c r="D4541" s="81"/>
      <c r="E4541" s="62"/>
      <c r="F4541" s="60"/>
      <c r="G4541" s="62"/>
      <c r="H4541" s="60"/>
    </row>
    <row r="4542" spans="1:8">
      <c r="A4542" s="60"/>
      <c r="B4542" s="77"/>
      <c r="C4542" s="60"/>
      <c r="D4542" s="81"/>
      <c r="E4542" s="62"/>
      <c r="F4542" s="60"/>
      <c r="G4542" s="62"/>
      <c r="H4542" s="60"/>
    </row>
    <row r="4543" spans="1:8">
      <c r="A4543" s="60"/>
      <c r="B4543" s="77"/>
      <c r="C4543" s="60"/>
      <c r="D4543" s="81"/>
      <c r="E4543" s="62"/>
      <c r="F4543" s="60"/>
      <c r="G4543" s="62"/>
      <c r="H4543" s="60"/>
    </row>
    <row r="4544" spans="1:8">
      <c r="A4544" s="60"/>
      <c r="B4544" s="77"/>
      <c r="C4544" s="60"/>
      <c r="D4544" s="81"/>
      <c r="E4544" s="62"/>
      <c r="F4544" s="60"/>
      <c r="G4544" s="62"/>
      <c r="H4544" s="60"/>
    </row>
    <row r="4545" spans="1:8">
      <c r="A4545" s="60"/>
      <c r="B4545" s="77"/>
      <c r="C4545" s="60"/>
      <c r="D4545" s="81"/>
      <c r="E4545" s="62"/>
      <c r="F4545" s="60"/>
      <c r="G4545" s="62"/>
      <c r="H4545" s="60"/>
    </row>
    <row r="4546" spans="1:8">
      <c r="A4546" s="60"/>
      <c r="B4546" s="77"/>
      <c r="C4546" s="60"/>
      <c r="D4546" s="81"/>
      <c r="E4546" s="62"/>
      <c r="F4546" s="60"/>
      <c r="G4546" s="62"/>
      <c r="H4546" s="60"/>
    </row>
    <row r="4547" spans="1:8">
      <c r="A4547" s="60"/>
      <c r="B4547" s="77"/>
      <c r="C4547" s="60"/>
      <c r="D4547" s="81"/>
      <c r="E4547" s="62"/>
      <c r="F4547" s="60"/>
      <c r="G4547" s="62"/>
      <c r="H4547" s="60"/>
    </row>
    <row r="4548" spans="1:8">
      <c r="A4548" s="60"/>
      <c r="B4548" s="77"/>
      <c r="C4548" s="60"/>
      <c r="D4548" s="81"/>
      <c r="E4548" s="62"/>
      <c r="F4548" s="60"/>
      <c r="G4548" s="62"/>
      <c r="H4548" s="60"/>
    </row>
    <row r="4549" spans="1:8">
      <c r="A4549" s="60"/>
      <c r="B4549" s="77"/>
      <c r="C4549" s="60"/>
      <c r="D4549" s="81"/>
      <c r="E4549" s="62"/>
      <c r="F4549" s="60"/>
      <c r="G4549" s="62"/>
      <c r="H4549" s="60"/>
    </row>
    <row r="4550" spans="1:8">
      <c r="A4550" s="60"/>
      <c r="B4550" s="77"/>
      <c r="C4550" s="60"/>
      <c r="D4550" s="81"/>
      <c r="E4550" s="62"/>
      <c r="F4550" s="60"/>
      <c r="G4550" s="62"/>
      <c r="H4550" s="60"/>
    </row>
    <row r="4551" spans="1:8">
      <c r="A4551" s="60"/>
      <c r="B4551" s="77"/>
      <c r="C4551" s="60"/>
      <c r="D4551" s="81"/>
      <c r="E4551" s="62"/>
      <c r="F4551" s="60"/>
      <c r="G4551" s="62"/>
      <c r="H4551" s="60"/>
    </row>
    <row r="4552" spans="1:8">
      <c r="A4552" s="60"/>
      <c r="B4552" s="77"/>
      <c r="C4552" s="60"/>
      <c r="D4552" s="81"/>
      <c r="E4552" s="62"/>
      <c r="F4552" s="60"/>
      <c r="G4552" s="62"/>
      <c r="H4552" s="60"/>
    </row>
    <row r="4553" spans="1:8">
      <c r="A4553" s="60"/>
      <c r="B4553" s="77"/>
      <c r="C4553" s="60"/>
      <c r="D4553" s="81"/>
      <c r="E4553" s="62"/>
      <c r="F4553" s="60"/>
      <c r="G4553" s="62"/>
      <c r="H4553" s="60"/>
    </row>
    <row r="4554" spans="1:8">
      <c r="A4554" s="60"/>
      <c r="B4554" s="77"/>
      <c r="C4554" s="60"/>
      <c r="D4554" s="81"/>
      <c r="E4554" s="62"/>
      <c r="F4554" s="60"/>
      <c r="G4554" s="62"/>
      <c r="H4554" s="60"/>
    </row>
    <row r="4555" spans="1:8">
      <c r="A4555" s="60"/>
      <c r="B4555" s="77"/>
      <c r="C4555" s="60"/>
      <c r="D4555" s="81"/>
      <c r="E4555" s="62"/>
      <c r="F4555" s="60"/>
      <c r="G4555" s="62"/>
      <c r="H4555" s="60"/>
    </row>
    <row r="4556" spans="1:8">
      <c r="A4556" s="60"/>
      <c r="B4556" s="77"/>
      <c r="C4556" s="60"/>
      <c r="D4556" s="81"/>
      <c r="E4556" s="62"/>
      <c r="F4556" s="60"/>
      <c r="G4556" s="62"/>
      <c r="H4556" s="60"/>
    </row>
    <row r="4557" spans="1:8">
      <c r="A4557" s="60"/>
      <c r="B4557" s="77"/>
      <c r="C4557" s="60"/>
      <c r="D4557" s="81"/>
      <c r="E4557" s="62"/>
      <c r="F4557" s="60"/>
      <c r="G4557" s="62"/>
      <c r="H4557" s="60"/>
    </row>
    <row r="4558" spans="1:8">
      <c r="A4558" s="60"/>
      <c r="B4558" s="77"/>
      <c r="C4558" s="60"/>
      <c r="D4558" s="81"/>
      <c r="E4558" s="62"/>
      <c r="F4558" s="60"/>
      <c r="G4558" s="62"/>
      <c r="H4558" s="60"/>
    </row>
    <row r="4559" spans="1:8">
      <c r="A4559" s="60"/>
      <c r="B4559" s="77"/>
      <c r="C4559" s="60"/>
      <c r="D4559" s="81"/>
      <c r="E4559" s="62"/>
      <c r="F4559" s="60"/>
      <c r="G4559" s="62"/>
      <c r="H4559" s="60"/>
    </row>
    <row r="4560" spans="1:8">
      <c r="A4560" s="60"/>
      <c r="B4560" s="77"/>
      <c r="C4560" s="60"/>
      <c r="D4560" s="81"/>
      <c r="E4560" s="62"/>
      <c r="F4560" s="60"/>
      <c r="G4560" s="62"/>
      <c r="H4560" s="60"/>
    </row>
    <row r="4561" spans="1:8">
      <c r="A4561" s="60"/>
      <c r="B4561" s="77"/>
      <c r="C4561" s="60"/>
      <c r="D4561" s="81"/>
      <c r="E4561" s="62"/>
      <c r="F4561" s="60"/>
      <c r="G4561" s="62"/>
      <c r="H4561" s="60"/>
    </row>
    <row r="4562" spans="1:8">
      <c r="A4562" s="60"/>
      <c r="B4562" s="77"/>
      <c r="C4562" s="60"/>
      <c r="D4562" s="81"/>
      <c r="E4562" s="62"/>
      <c r="F4562" s="60"/>
      <c r="G4562" s="62"/>
      <c r="H4562" s="60"/>
    </row>
    <row r="4563" spans="1:8">
      <c r="A4563" s="60"/>
      <c r="B4563" s="77"/>
      <c r="C4563" s="60"/>
      <c r="D4563" s="81"/>
      <c r="E4563" s="62"/>
      <c r="F4563" s="60"/>
      <c r="G4563" s="62"/>
      <c r="H4563" s="60"/>
    </row>
    <row r="4564" spans="1:8">
      <c r="A4564" s="60"/>
      <c r="B4564" s="77"/>
      <c r="C4564" s="60"/>
      <c r="D4564" s="81"/>
      <c r="E4564" s="62"/>
      <c r="F4564" s="60"/>
      <c r="G4564" s="62"/>
      <c r="H4564" s="60"/>
    </row>
    <row r="4565" spans="1:8">
      <c r="A4565" s="60"/>
      <c r="B4565" s="77"/>
      <c r="C4565" s="60"/>
      <c r="D4565" s="81"/>
      <c r="E4565" s="62"/>
      <c r="F4565" s="60"/>
      <c r="G4565" s="62"/>
      <c r="H4565" s="60"/>
    </row>
    <row r="4566" spans="1:8">
      <c r="A4566" s="60"/>
      <c r="B4566" s="77"/>
      <c r="C4566" s="60"/>
      <c r="D4566" s="81"/>
      <c r="E4566" s="62"/>
      <c r="F4566" s="60"/>
      <c r="G4566" s="62"/>
      <c r="H4566" s="60"/>
    </row>
    <row r="4567" spans="1:8">
      <c r="A4567" s="60"/>
      <c r="B4567" s="77"/>
      <c r="C4567" s="60"/>
      <c r="D4567" s="81"/>
      <c r="E4567" s="62"/>
      <c r="F4567" s="60"/>
      <c r="G4567" s="62"/>
      <c r="H4567" s="60"/>
    </row>
    <row r="4568" spans="1:8">
      <c r="A4568" s="60"/>
      <c r="B4568" s="77"/>
      <c r="C4568" s="60"/>
      <c r="D4568" s="81"/>
      <c r="E4568" s="62"/>
      <c r="F4568" s="60"/>
      <c r="G4568" s="62"/>
      <c r="H4568" s="60"/>
    </row>
    <row r="4569" spans="1:8">
      <c r="A4569" s="60"/>
      <c r="B4569" s="77"/>
      <c r="C4569" s="60"/>
      <c r="D4569" s="81"/>
      <c r="E4569" s="62"/>
      <c r="F4569" s="60"/>
      <c r="G4569" s="62"/>
      <c r="H4569" s="60"/>
    </row>
    <row r="4570" spans="1:8">
      <c r="A4570" s="60"/>
      <c r="B4570" s="77"/>
      <c r="C4570" s="60"/>
      <c r="D4570" s="81"/>
      <c r="E4570" s="62"/>
      <c r="F4570" s="60"/>
      <c r="G4570" s="62"/>
      <c r="H4570" s="60"/>
    </row>
    <row r="4571" spans="1:8">
      <c r="A4571" s="60"/>
      <c r="B4571" s="77"/>
      <c r="C4571" s="60"/>
      <c r="D4571" s="81"/>
      <c r="E4571" s="62"/>
      <c r="F4571" s="60"/>
      <c r="G4571" s="62"/>
      <c r="H4571" s="60"/>
    </row>
    <row r="4572" spans="1:8">
      <c r="A4572" s="60"/>
      <c r="B4572" s="77"/>
      <c r="C4572" s="60"/>
      <c r="D4572" s="81"/>
      <c r="E4572" s="62"/>
      <c r="F4572" s="60"/>
      <c r="G4572" s="62"/>
      <c r="H4572" s="60"/>
    </row>
    <row r="4573" spans="1:8">
      <c r="A4573" s="60"/>
      <c r="B4573" s="77"/>
      <c r="C4573" s="60"/>
      <c r="D4573" s="81"/>
      <c r="E4573" s="62"/>
      <c r="F4573" s="60"/>
      <c r="G4573" s="62"/>
      <c r="H4573" s="60"/>
    </row>
    <row r="4574" spans="1:8">
      <c r="A4574" s="60"/>
      <c r="B4574" s="77"/>
      <c r="C4574" s="60"/>
      <c r="D4574" s="81"/>
      <c r="E4574" s="62"/>
      <c r="F4574" s="60"/>
      <c r="G4574" s="62"/>
      <c r="H4574" s="60"/>
    </row>
    <row r="4575" spans="1:8">
      <c r="A4575" s="60"/>
      <c r="B4575" s="77"/>
      <c r="C4575" s="60"/>
      <c r="D4575" s="81"/>
      <c r="E4575" s="62"/>
      <c r="F4575" s="60"/>
      <c r="G4575" s="62"/>
      <c r="H4575" s="60"/>
    </row>
    <row r="4576" spans="1:8">
      <c r="A4576" s="60"/>
      <c r="B4576" s="77"/>
      <c r="C4576" s="60"/>
      <c r="D4576" s="81"/>
      <c r="E4576" s="62"/>
      <c r="F4576" s="60"/>
      <c r="G4576" s="62"/>
      <c r="H4576" s="60"/>
    </row>
    <row r="4577" spans="1:8">
      <c r="A4577" s="60"/>
      <c r="B4577" s="77"/>
      <c r="C4577" s="60"/>
      <c r="D4577" s="81"/>
      <c r="E4577" s="62"/>
      <c r="F4577" s="60"/>
      <c r="G4577" s="62"/>
      <c r="H4577" s="60"/>
    </row>
    <row r="4578" spans="1:8">
      <c r="A4578" s="60"/>
      <c r="B4578" s="77"/>
      <c r="C4578" s="60"/>
      <c r="D4578" s="81"/>
      <c r="E4578" s="62"/>
      <c r="F4578" s="60"/>
      <c r="G4578" s="62"/>
      <c r="H4578" s="60"/>
    </row>
    <row r="4579" spans="1:8">
      <c r="A4579" s="60"/>
      <c r="B4579" s="77"/>
      <c r="C4579" s="60"/>
      <c r="D4579" s="81"/>
      <c r="E4579" s="62"/>
      <c r="F4579" s="60"/>
      <c r="G4579" s="62"/>
      <c r="H4579" s="60"/>
    </row>
    <row r="4580" spans="1:8">
      <c r="A4580" s="60"/>
      <c r="B4580" s="77"/>
      <c r="C4580" s="60"/>
      <c r="D4580" s="81"/>
      <c r="E4580" s="62"/>
      <c r="F4580" s="60"/>
      <c r="G4580" s="62"/>
      <c r="H4580" s="60"/>
    </row>
    <row r="4581" spans="1:8">
      <c r="A4581" s="60"/>
      <c r="B4581" s="77"/>
      <c r="C4581" s="60"/>
      <c r="D4581" s="81"/>
      <c r="E4581" s="62"/>
      <c r="F4581" s="60"/>
      <c r="G4581" s="62"/>
      <c r="H4581" s="60"/>
    </row>
    <row r="4582" spans="1:8">
      <c r="A4582" s="60"/>
      <c r="B4582" s="77"/>
      <c r="C4582" s="60"/>
      <c r="D4582" s="81"/>
      <c r="E4582" s="62"/>
      <c r="F4582" s="60"/>
      <c r="G4582" s="62"/>
      <c r="H4582" s="60"/>
    </row>
    <row r="4583" spans="1:8">
      <c r="A4583" s="60"/>
      <c r="B4583" s="77"/>
      <c r="C4583" s="60"/>
      <c r="D4583" s="81"/>
      <c r="E4583" s="62"/>
      <c r="F4583" s="60"/>
      <c r="G4583" s="62"/>
      <c r="H4583" s="60"/>
    </row>
    <row r="4584" spans="1:8">
      <c r="A4584" s="60"/>
      <c r="B4584" s="77"/>
      <c r="C4584" s="60"/>
      <c r="D4584" s="81"/>
      <c r="E4584" s="62"/>
      <c r="F4584" s="60"/>
      <c r="G4584" s="62"/>
      <c r="H4584" s="60"/>
    </row>
    <row r="4585" spans="1:8">
      <c r="A4585" s="60"/>
      <c r="B4585" s="77"/>
      <c r="C4585" s="60"/>
      <c r="D4585" s="81"/>
      <c r="E4585" s="62"/>
      <c r="F4585" s="60"/>
      <c r="G4585" s="62"/>
      <c r="H4585" s="60"/>
    </row>
    <row r="4586" spans="1:8">
      <c r="A4586" s="60"/>
      <c r="B4586" s="77"/>
      <c r="C4586" s="60"/>
      <c r="D4586" s="81"/>
      <c r="E4586" s="62"/>
      <c r="F4586" s="60"/>
      <c r="G4586" s="62"/>
      <c r="H4586" s="60"/>
    </row>
    <row r="4587" spans="1:8">
      <c r="A4587" s="60"/>
      <c r="B4587" s="77"/>
      <c r="C4587" s="60"/>
      <c r="D4587" s="81"/>
      <c r="E4587" s="62"/>
      <c r="F4587" s="60"/>
      <c r="G4587" s="62"/>
      <c r="H4587" s="60"/>
    </row>
    <row r="4588" spans="1:8">
      <c r="A4588" s="60"/>
      <c r="B4588" s="77"/>
      <c r="C4588" s="60"/>
      <c r="D4588" s="81"/>
      <c r="E4588" s="62"/>
      <c r="F4588" s="60"/>
      <c r="G4588" s="62"/>
      <c r="H4588" s="60"/>
    </row>
    <row r="4589" spans="1:8">
      <c r="A4589" s="60"/>
      <c r="B4589" s="77"/>
      <c r="C4589" s="60"/>
      <c r="D4589" s="81"/>
      <c r="E4589" s="62"/>
      <c r="F4589" s="60"/>
      <c r="G4589" s="62"/>
      <c r="H4589" s="60"/>
    </row>
    <row r="4590" spans="1:8">
      <c r="A4590" s="60"/>
      <c r="B4590" s="77"/>
      <c r="C4590" s="60"/>
      <c r="D4590" s="81"/>
      <c r="E4590" s="62"/>
      <c r="F4590" s="60"/>
      <c r="G4590" s="62"/>
      <c r="H4590" s="60"/>
    </row>
    <row r="4591" spans="1:8">
      <c r="A4591" s="60"/>
      <c r="B4591" s="77"/>
      <c r="C4591" s="60"/>
      <c r="D4591" s="81"/>
      <c r="E4591" s="62"/>
      <c r="F4591" s="60"/>
      <c r="G4591" s="62"/>
      <c r="H4591" s="60"/>
    </row>
    <row r="4592" spans="1:8">
      <c r="A4592" s="60"/>
      <c r="B4592" s="77"/>
      <c r="C4592" s="60"/>
      <c r="D4592" s="81"/>
      <c r="E4592" s="62"/>
      <c r="F4592" s="60"/>
      <c r="G4592" s="62"/>
      <c r="H4592" s="60"/>
    </row>
    <row r="4593" spans="1:8">
      <c r="A4593" s="60"/>
      <c r="B4593" s="77"/>
      <c r="C4593" s="60"/>
      <c r="D4593" s="81"/>
      <c r="E4593" s="62"/>
      <c r="F4593" s="60"/>
      <c r="G4593" s="62"/>
      <c r="H4593" s="60"/>
    </row>
    <row r="4594" spans="1:8">
      <c r="A4594" s="60"/>
      <c r="B4594" s="77"/>
      <c r="C4594" s="60"/>
      <c r="D4594" s="81"/>
      <c r="E4594" s="62"/>
      <c r="F4594" s="60"/>
      <c r="G4594" s="62"/>
      <c r="H4594" s="60"/>
    </row>
    <row r="4595" spans="1:8">
      <c r="A4595" s="60"/>
      <c r="B4595" s="77"/>
      <c r="C4595" s="60"/>
      <c r="D4595" s="81"/>
      <c r="E4595" s="62"/>
      <c r="F4595" s="60"/>
      <c r="G4595" s="62"/>
      <c r="H4595" s="60"/>
    </row>
    <row r="4596" spans="1:8">
      <c r="A4596" s="60"/>
      <c r="B4596" s="77"/>
      <c r="C4596" s="60"/>
      <c r="D4596" s="81"/>
      <c r="E4596" s="62"/>
      <c r="F4596" s="60"/>
      <c r="G4596" s="62"/>
      <c r="H4596" s="60"/>
    </row>
    <row r="4597" spans="1:8">
      <c r="A4597" s="60"/>
      <c r="B4597" s="77"/>
      <c r="C4597" s="60"/>
      <c r="D4597" s="81"/>
      <c r="E4597" s="62"/>
      <c r="F4597" s="60"/>
      <c r="G4597" s="62"/>
      <c r="H4597" s="60"/>
    </row>
    <row r="4598" spans="1:8">
      <c r="A4598" s="60"/>
      <c r="B4598" s="77"/>
      <c r="C4598" s="60"/>
      <c r="D4598" s="81"/>
      <c r="E4598" s="62"/>
      <c r="F4598" s="60"/>
      <c r="G4598" s="62"/>
      <c r="H4598" s="60"/>
    </row>
    <row r="4599" spans="1:8">
      <c r="A4599" s="60"/>
      <c r="B4599" s="77"/>
      <c r="C4599" s="60"/>
      <c r="D4599" s="81"/>
      <c r="E4599" s="62"/>
      <c r="F4599" s="60"/>
      <c r="G4599" s="62"/>
      <c r="H4599" s="60"/>
    </row>
    <row r="4600" spans="1:8">
      <c r="A4600" s="60"/>
      <c r="B4600" s="77"/>
      <c r="C4600" s="60"/>
      <c r="D4600" s="81"/>
      <c r="E4600" s="62"/>
      <c r="F4600" s="60"/>
      <c r="G4600" s="62"/>
      <c r="H4600" s="60"/>
    </row>
    <row r="4601" spans="1:8">
      <c r="A4601" s="60"/>
      <c r="B4601" s="77"/>
      <c r="C4601" s="60"/>
      <c r="D4601" s="81"/>
      <c r="E4601" s="62"/>
      <c r="F4601" s="60"/>
      <c r="G4601" s="62"/>
      <c r="H4601" s="60"/>
    </row>
    <row r="4602" spans="1:8">
      <c r="A4602" s="60"/>
      <c r="B4602" s="77"/>
      <c r="C4602" s="60"/>
      <c r="D4602" s="81"/>
      <c r="E4602" s="62"/>
      <c r="F4602" s="60"/>
      <c r="G4602" s="62"/>
      <c r="H4602" s="60"/>
    </row>
    <row r="4603" spans="1:8">
      <c r="A4603" s="60"/>
      <c r="B4603" s="77"/>
      <c r="C4603" s="60"/>
      <c r="D4603" s="81"/>
      <c r="E4603" s="62"/>
      <c r="F4603" s="60"/>
      <c r="G4603" s="62"/>
      <c r="H4603" s="60"/>
    </row>
    <row r="4604" spans="1:8">
      <c r="A4604" s="60"/>
      <c r="B4604" s="77"/>
      <c r="C4604" s="60"/>
      <c r="D4604" s="81"/>
      <c r="E4604" s="62"/>
      <c r="F4604" s="60"/>
      <c r="G4604" s="62"/>
      <c r="H4604" s="60"/>
    </row>
    <row r="4605" spans="1:8">
      <c r="A4605" s="60"/>
      <c r="B4605" s="77"/>
      <c r="C4605" s="60"/>
      <c r="D4605" s="81"/>
      <c r="E4605" s="62"/>
      <c r="F4605" s="60"/>
      <c r="G4605" s="62"/>
      <c r="H4605" s="60"/>
    </row>
    <row r="4606" spans="1:8">
      <c r="A4606" s="60"/>
      <c r="B4606" s="77"/>
      <c r="C4606" s="60"/>
      <c r="D4606" s="81"/>
      <c r="E4606" s="62"/>
      <c r="F4606" s="60"/>
      <c r="G4606" s="62"/>
      <c r="H4606" s="60"/>
    </row>
    <row r="4607" spans="1:8">
      <c r="A4607" s="60"/>
      <c r="B4607" s="77"/>
      <c r="C4607" s="60"/>
      <c r="D4607" s="81"/>
      <c r="E4607" s="62"/>
      <c r="F4607" s="60"/>
      <c r="G4607" s="62"/>
      <c r="H4607" s="60"/>
    </row>
    <row r="4608" spans="1:8">
      <c r="A4608" s="60"/>
      <c r="B4608" s="77"/>
      <c r="C4608" s="60"/>
      <c r="D4608" s="81"/>
      <c r="E4608" s="62"/>
      <c r="F4608" s="60"/>
      <c r="G4608" s="62"/>
      <c r="H4608" s="60"/>
    </row>
    <row r="4609" spans="1:8">
      <c r="A4609" s="60"/>
      <c r="B4609" s="77"/>
      <c r="C4609" s="60"/>
      <c r="D4609" s="81"/>
      <c r="E4609" s="62"/>
      <c r="F4609" s="60"/>
      <c r="G4609" s="62"/>
      <c r="H4609" s="60"/>
    </row>
    <row r="4610" spans="1:8">
      <c r="A4610" s="60"/>
      <c r="B4610" s="77"/>
      <c r="C4610" s="60"/>
      <c r="D4610" s="81"/>
      <c r="E4610" s="62"/>
      <c r="F4610" s="60"/>
      <c r="G4610" s="62"/>
      <c r="H4610" s="60"/>
    </row>
    <row r="4611" spans="1:8">
      <c r="A4611" s="60"/>
      <c r="B4611" s="77"/>
      <c r="C4611" s="60"/>
      <c r="D4611" s="81"/>
      <c r="E4611" s="62"/>
      <c r="F4611" s="60"/>
      <c r="G4611" s="62"/>
      <c r="H4611" s="60"/>
    </row>
    <row r="4612" spans="1:8">
      <c r="A4612" s="60"/>
      <c r="B4612" s="77"/>
      <c r="C4612" s="60"/>
      <c r="D4612" s="81"/>
      <c r="E4612" s="62"/>
      <c r="F4612" s="60"/>
      <c r="G4612" s="62"/>
      <c r="H4612" s="60"/>
    </row>
    <row r="4613" spans="1:8">
      <c r="A4613" s="60"/>
      <c r="B4613" s="77"/>
      <c r="C4613" s="60"/>
      <c r="D4613" s="81"/>
      <c r="E4613" s="62"/>
      <c r="F4613" s="60"/>
      <c r="G4613" s="62"/>
      <c r="H4613" s="60"/>
    </row>
    <row r="4614" spans="1:8">
      <c r="A4614" s="60"/>
      <c r="B4614" s="77"/>
      <c r="C4614" s="60"/>
      <c r="D4614" s="81"/>
      <c r="E4614" s="62"/>
      <c r="F4614" s="60"/>
      <c r="G4614" s="62"/>
      <c r="H4614" s="60"/>
    </row>
    <row r="4615" spans="1:8">
      <c r="A4615" s="60"/>
      <c r="B4615" s="77"/>
      <c r="C4615" s="60"/>
      <c r="D4615" s="81"/>
      <c r="E4615" s="62"/>
      <c r="F4615" s="60"/>
      <c r="G4615" s="62"/>
      <c r="H4615" s="60"/>
    </row>
    <row r="4616" spans="1:8">
      <c r="A4616" s="60"/>
      <c r="B4616" s="77"/>
      <c r="C4616" s="60"/>
      <c r="D4616" s="81"/>
      <c r="E4616" s="62"/>
      <c r="F4616" s="60"/>
      <c r="G4616" s="62"/>
      <c r="H4616" s="60"/>
    </row>
    <row r="4617" spans="1:8">
      <c r="A4617" s="60"/>
      <c r="B4617" s="77"/>
      <c r="C4617" s="60"/>
      <c r="D4617" s="81"/>
      <c r="E4617" s="62"/>
      <c r="F4617" s="60"/>
      <c r="G4617" s="62"/>
      <c r="H4617" s="60"/>
    </row>
    <row r="4618" spans="1:8">
      <c r="A4618" s="60"/>
      <c r="B4618" s="77"/>
      <c r="C4618" s="60"/>
      <c r="D4618" s="81"/>
      <c r="E4618" s="62"/>
      <c r="F4618" s="60"/>
      <c r="G4618" s="62"/>
      <c r="H4618" s="60"/>
    </row>
    <row r="4619" spans="1:8">
      <c r="A4619" s="60"/>
      <c r="B4619" s="77"/>
      <c r="C4619" s="60"/>
      <c r="D4619" s="81"/>
      <c r="E4619" s="62"/>
      <c r="F4619" s="60"/>
      <c r="G4619" s="62"/>
      <c r="H4619" s="60"/>
    </row>
    <row r="4620" spans="1:8">
      <c r="A4620" s="60"/>
      <c r="B4620" s="77"/>
      <c r="C4620" s="60"/>
      <c r="D4620" s="81"/>
      <c r="E4620" s="62"/>
      <c r="F4620" s="60"/>
      <c r="G4620" s="62"/>
      <c r="H4620" s="60"/>
    </row>
    <row r="4621" spans="1:8">
      <c r="A4621" s="60"/>
      <c r="B4621" s="77"/>
      <c r="C4621" s="60"/>
      <c r="D4621" s="81"/>
      <c r="E4621" s="62"/>
      <c r="F4621" s="60"/>
      <c r="G4621" s="62"/>
      <c r="H4621" s="60"/>
    </row>
    <row r="4622" spans="1:8">
      <c r="A4622" s="60"/>
      <c r="B4622" s="77"/>
      <c r="C4622" s="60"/>
      <c r="D4622" s="81"/>
      <c r="E4622" s="62"/>
      <c r="F4622" s="60"/>
      <c r="G4622" s="62"/>
      <c r="H4622" s="60"/>
    </row>
    <row r="4623" spans="1:8">
      <c r="A4623" s="60"/>
      <c r="B4623" s="77"/>
      <c r="C4623" s="60"/>
      <c r="D4623" s="81"/>
      <c r="E4623" s="62"/>
      <c r="F4623" s="60"/>
      <c r="G4623" s="62"/>
      <c r="H4623" s="60"/>
    </row>
    <row r="4624" spans="1:8">
      <c r="A4624" s="60"/>
      <c r="B4624" s="77"/>
      <c r="C4624" s="60"/>
      <c r="D4624" s="81"/>
      <c r="E4624" s="62"/>
      <c r="F4624" s="60"/>
      <c r="G4624" s="62"/>
      <c r="H4624" s="60"/>
    </row>
    <row r="4625" spans="1:8">
      <c r="A4625" s="60"/>
      <c r="B4625" s="77"/>
      <c r="C4625" s="60"/>
      <c r="D4625" s="81"/>
      <c r="E4625" s="62"/>
      <c r="F4625" s="60"/>
      <c r="G4625" s="62"/>
      <c r="H4625" s="60"/>
    </row>
    <row r="4626" spans="1:8">
      <c r="A4626" s="60"/>
      <c r="B4626" s="77"/>
      <c r="C4626" s="60"/>
      <c r="D4626" s="81"/>
      <c r="E4626" s="62"/>
      <c r="F4626" s="60"/>
      <c r="G4626" s="62"/>
      <c r="H4626" s="60"/>
    </row>
    <row r="4627" spans="1:8">
      <c r="A4627" s="60"/>
      <c r="B4627" s="77"/>
      <c r="C4627" s="60"/>
      <c r="D4627" s="81"/>
      <c r="E4627" s="62"/>
      <c r="F4627" s="60"/>
      <c r="G4627" s="62"/>
      <c r="H4627" s="60"/>
    </row>
    <row r="4628" spans="1:8">
      <c r="A4628" s="60"/>
      <c r="B4628" s="77"/>
      <c r="C4628" s="60"/>
      <c r="D4628" s="81"/>
      <c r="E4628" s="62"/>
      <c r="F4628" s="60"/>
      <c r="G4628" s="62"/>
      <c r="H4628" s="60"/>
    </row>
    <row r="4629" spans="1:8">
      <c r="A4629" s="60"/>
      <c r="B4629" s="77"/>
      <c r="C4629" s="60"/>
      <c r="D4629" s="81"/>
      <c r="E4629" s="62"/>
      <c r="F4629" s="60"/>
      <c r="G4629" s="62"/>
      <c r="H4629" s="60"/>
    </row>
    <row r="4630" spans="1:8">
      <c r="A4630" s="60"/>
      <c r="B4630" s="77"/>
      <c r="C4630" s="60"/>
      <c r="D4630" s="81"/>
      <c r="E4630" s="62"/>
      <c r="F4630" s="60"/>
      <c r="G4630" s="62"/>
      <c r="H4630" s="60"/>
    </row>
    <row r="4631" spans="1:8">
      <c r="A4631" s="60"/>
      <c r="B4631" s="77"/>
      <c r="C4631" s="60"/>
      <c r="D4631" s="81"/>
      <c r="E4631" s="62"/>
      <c r="F4631" s="60"/>
      <c r="G4631" s="62"/>
      <c r="H4631" s="60"/>
    </row>
    <row r="4632" spans="1:8">
      <c r="A4632" s="60"/>
      <c r="B4632" s="77"/>
      <c r="C4632" s="60"/>
      <c r="D4632" s="81"/>
      <c r="E4632" s="62"/>
      <c r="F4632" s="60"/>
      <c r="G4632" s="62"/>
      <c r="H4632" s="60"/>
    </row>
    <row r="4633" spans="1:8">
      <c r="A4633" s="60"/>
      <c r="B4633" s="77"/>
      <c r="C4633" s="60"/>
      <c r="D4633" s="81"/>
      <c r="E4633" s="62"/>
      <c r="F4633" s="60"/>
      <c r="G4633" s="62"/>
      <c r="H4633" s="60"/>
    </row>
    <row r="4634" spans="1:8">
      <c r="A4634" s="60"/>
      <c r="B4634" s="77"/>
      <c r="C4634" s="60"/>
      <c r="D4634" s="81"/>
      <c r="E4634" s="62"/>
      <c r="F4634" s="60"/>
      <c r="G4634" s="62"/>
      <c r="H4634" s="60"/>
    </row>
    <row r="4635" spans="1:8">
      <c r="A4635" s="60"/>
      <c r="B4635" s="77"/>
      <c r="C4635" s="60"/>
      <c r="D4635" s="81"/>
      <c r="E4635" s="62"/>
      <c r="F4635" s="60"/>
      <c r="G4635" s="62"/>
      <c r="H4635" s="60"/>
    </row>
    <row r="4636" spans="1:8">
      <c r="A4636" s="60"/>
      <c r="B4636" s="77"/>
      <c r="C4636" s="60"/>
      <c r="D4636" s="81"/>
      <c r="E4636" s="62"/>
      <c r="F4636" s="60"/>
      <c r="G4636" s="62"/>
      <c r="H4636" s="60"/>
    </row>
    <row r="4637" spans="1:8">
      <c r="A4637" s="60"/>
      <c r="B4637" s="77"/>
      <c r="C4637" s="60"/>
      <c r="D4637" s="81"/>
      <c r="E4637" s="62"/>
      <c r="F4637" s="60"/>
      <c r="G4637" s="62"/>
      <c r="H4637" s="60"/>
    </row>
    <row r="4638" spans="1:8">
      <c r="A4638" s="60"/>
      <c r="B4638" s="77"/>
      <c r="C4638" s="60"/>
      <c r="D4638" s="81"/>
      <c r="E4638" s="62"/>
      <c r="F4638" s="60"/>
      <c r="G4638" s="62"/>
      <c r="H4638" s="60"/>
    </row>
    <row r="4639" spans="1:8">
      <c r="A4639" s="60"/>
      <c r="B4639" s="77"/>
      <c r="C4639" s="60"/>
      <c r="D4639" s="81"/>
      <c r="E4639" s="62"/>
      <c r="F4639" s="60"/>
      <c r="G4639" s="62"/>
      <c r="H4639" s="60"/>
    </row>
    <row r="4640" spans="1:8">
      <c r="A4640" s="60"/>
      <c r="B4640" s="77"/>
      <c r="C4640" s="60"/>
      <c r="D4640" s="81"/>
      <c r="E4640" s="62"/>
      <c r="F4640" s="60"/>
      <c r="G4640" s="62"/>
      <c r="H4640" s="60"/>
    </row>
    <row r="4641" spans="1:8">
      <c r="A4641" s="60"/>
      <c r="B4641" s="77"/>
      <c r="C4641" s="60"/>
      <c r="D4641" s="81"/>
      <c r="E4641" s="62"/>
      <c r="F4641" s="60"/>
      <c r="G4641" s="62"/>
      <c r="H4641" s="60"/>
    </row>
    <row r="4642" spans="1:8">
      <c r="A4642" s="60"/>
      <c r="B4642" s="77"/>
      <c r="C4642" s="60"/>
      <c r="D4642" s="81"/>
      <c r="E4642" s="62"/>
      <c r="F4642" s="60"/>
      <c r="G4642" s="62"/>
      <c r="H4642" s="60"/>
    </row>
    <row r="4643" spans="1:8">
      <c r="A4643" s="60"/>
      <c r="B4643" s="77"/>
      <c r="C4643" s="60"/>
      <c r="D4643" s="81"/>
      <c r="E4643" s="62"/>
      <c r="F4643" s="60"/>
      <c r="G4643" s="62"/>
      <c r="H4643" s="60"/>
    </row>
    <row r="4644" spans="1:8">
      <c r="A4644" s="60"/>
      <c r="B4644" s="77"/>
      <c r="C4644" s="60"/>
      <c r="D4644" s="81"/>
      <c r="E4644" s="62"/>
      <c r="F4644" s="60"/>
      <c r="G4644" s="62"/>
      <c r="H4644" s="60"/>
    </row>
    <row r="4645" spans="1:8">
      <c r="A4645" s="60"/>
      <c r="B4645" s="77"/>
      <c r="C4645" s="60"/>
      <c r="D4645" s="81"/>
      <c r="E4645" s="62"/>
      <c r="F4645" s="60"/>
      <c r="G4645" s="62"/>
      <c r="H4645" s="60"/>
    </row>
    <row r="4646" spans="1:8">
      <c r="A4646" s="60"/>
      <c r="B4646" s="77"/>
      <c r="C4646" s="60"/>
      <c r="D4646" s="81"/>
      <c r="E4646" s="62"/>
      <c r="F4646" s="60"/>
      <c r="G4646" s="62"/>
      <c r="H4646" s="60"/>
    </row>
    <row r="4647" spans="1:8">
      <c r="A4647" s="60"/>
      <c r="B4647" s="77"/>
      <c r="C4647" s="60"/>
      <c r="D4647" s="81"/>
      <c r="E4647" s="62"/>
      <c r="F4647" s="60"/>
      <c r="G4647" s="62"/>
      <c r="H4647" s="60"/>
    </row>
    <row r="4648" spans="1:8">
      <c r="A4648" s="60"/>
      <c r="B4648" s="77"/>
      <c r="C4648" s="60"/>
      <c r="D4648" s="81"/>
      <c r="E4648" s="62"/>
      <c r="F4648" s="60"/>
      <c r="G4648" s="62"/>
      <c r="H4648" s="60"/>
    </row>
    <row r="4649" spans="1:8">
      <c r="A4649" s="60"/>
      <c r="B4649" s="77"/>
      <c r="C4649" s="60"/>
      <c r="D4649" s="81"/>
      <c r="E4649" s="62"/>
      <c r="F4649" s="60"/>
      <c r="G4649" s="62"/>
      <c r="H4649" s="60"/>
    </row>
    <row r="4650" spans="1:8">
      <c r="A4650" s="60"/>
      <c r="B4650" s="77"/>
      <c r="C4650" s="60"/>
      <c r="D4650" s="81"/>
      <c r="E4650" s="62"/>
      <c r="F4650" s="60"/>
      <c r="G4650" s="62"/>
      <c r="H4650" s="60"/>
    </row>
    <row r="4651" spans="1:8">
      <c r="A4651" s="60"/>
      <c r="B4651" s="77"/>
      <c r="C4651" s="60"/>
      <c r="D4651" s="81"/>
      <c r="E4651" s="62"/>
      <c r="F4651" s="60"/>
      <c r="G4651" s="62"/>
      <c r="H4651" s="60"/>
    </row>
    <row r="4652" spans="1:8">
      <c r="A4652" s="60"/>
      <c r="B4652" s="77"/>
      <c r="C4652" s="60"/>
      <c r="D4652" s="81"/>
      <c r="E4652" s="62"/>
      <c r="F4652" s="60"/>
      <c r="G4652" s="62"/>
      <c r="H4652" s="60"/>
    </row>
    <row r="4653" spans="1:8">
      <c r="A4653" s="60"/>
      <c r="B4653" s="77"/>
      <c r="C4653" s="60"/>
      <c r="D4653" s="81"/>
      <c r="E4653" s="62"/>
      <c r="F4653" s="60"/>
      <c r="G4653" s="62"/>
      <c r="H4653" s="60"/>
    </row>
    <row r="4654" spans="1:8">
      <c r="A4654" s="60"/>
      <c r="B4654" s="77"/>
      <c r="C4654" s="60"/>
      <c r="D4654" s="81"/>
      <c r="E4654" s="62"/>
      <c r="F4654" s="60"/>
      <c r="G4654" s="62"/>
      <c r="H4654" s="60"/>
    </row>
    <row r="4655" spans="1:8">
      <c r="A4655" s="60"/>
      <c r="B4655" s="77"/>
      <c r="C4655" s="60"/>
      <c r="D4655" s="81"/>
      <c r="E4655" s="62"/>
      <c r="F4655" s="60"/>
      <c r="G4655" s="62"/>
      <c r="H4655" s="60"/>
    </row>
    <row r="4656" spans="1:8">
      <c r="A4656" s="60"/>
      <c r="B4656" s="77"/>
      <c r="C4656" s="60"/>
      <c r="D4656" s="81"/>
      <c r="E4656" s="62"/>
      <c r="F4656" s="60"/>
      <c r="G4656" s="62"/>
      <c r="H4656" s="60"/>
    </row>
    <row r="4657" spans="1:8">
      <c r="A4657" s="60"/>
      <c r="B4657" s="77"/>
      <c r="C4657" s="60"/>
      <c r="D4657" s="81"/>
      <c r="E4657" s="62"/>
      <c r="F4657" s="60"/>
      <c r="G4657" s="62"/>
      <c r="H4657" s="60"/>
    </row>
    <row r="4658" spans="1:8">
      <c r="A4658" s="60"/>
      <c r="B4658" s="77"/>
      <c r="C4658" s="60"/>
      <c r="D4658" s="81"/>
      <c r="E4658" s="62"/>
      <c r="F4658" s="60"/>
      <c r="G4658" s="62"/>
      <c r="H4658" s="60"/>
    </row>
    <row r="4659" spans="1:8">
      <c r="A4659" s="60"/>
      <c r="B4659" s="77"/>
      <c r="C4659" s="60"/>
      <c r="D4659" s="81"/>
      <c r="E4659" s="62"/>
      <c r="F4659" s="60"/>
      <c r="G4659" s="62"/>
      <c r="H4659" s="60"/>
    </row>
    <row r="4660" spans="1:8">
      <c r="A4660" s="60"/>
      <c r="B4660" s="77"/>
      <c r="C4660" s="60"/>
      <c r="D4660" s="81"/>
      <c r="E4660" s="62"/>
      <c r="F4660" s="60"/>
      <c r="G4660" s="62"/>
      <c r="H4660" s="60"/>
    </row>
    <row r="4661" spans="1:8">
      <c r="A4661" s="60"/>
      <c r="B4661" s="77"/>
      <c r="C4661" s="60"/>
      <c r="D4661" s="81"/>
      <c r="E4661" s="62"/>
      <c r="F4661" s="60"/>
      <c r="G4661" s="62"/>
      <c r="H4661" s="60"/>
    </row>
    <row r="4662" spans="1:8">
      <c r="A4662" s="60"/>
      <c r="B4662" s="77"/>
      <c r="C4662" s="60"/>
      <c r="D4662" s="81"/>
      <c r="E4662" s="62"/>
      <c r="F4662" s="60"/>
      <c r="G4662" s="62"/>
      <c r="H4662" s="60"/>
    </row>
    <row r="4663" spans="1:8">
      <c r="A4663" s="60"/>
      <c r="B4663" s="77"/>
      <c r="C4663" s="60"/>
      <c r="D4663" s="81"/>
      <c r="E4663" s="62"/>
      <c r="F4663" s="60"/>
      <c r="G4663" s="62"/>
      <c r="H4663" s="60"/>
    </row>
    <row r="4664" spans="1:8">
      <c r="A4664" s="60"/>
      <c r="B4664" s="77"/>
      <c r="C4664" s="60"/>
      <c r="D4664" s="81"/>
      <c r="E4664" s="62"/>
      <c r="F4664" s="60"/>
      <c r="G4664" s="62"/>
      <c r="H4664" s="60"/>
    </row>
    <row r="4665" spans="1:8">
      <c r="A4665" s="60"/>
      <c r="B4665" s="77"/>
      <c r="C4665" s="60"/>
      <c r="D4665" s="81"/>
      <c r="E4665" s="62"/>
      <c r="F4665" s="60"/>
      <c r="G4665" s="62"/>
      <c r="H4665" s="60"/>
    </row>
    <row r="4666" spans="1:8">
      <c r="A4666" s="60"/>
      <c r="B4666" s="77"/>
      <c r="C4666" s="60"/>
      <c r="D4666" s="81"/>
      <c r="E4666" s="62"/>
      <c r="F4666" s="60"/>
      <c r="G4666" s="62"/>
      <c r="H4666" s="60"/>
    </row>
    <row r="4667" spans="1:8">
      <c r="A4667" s="60"/>
      <c r="B4667" s="77"/>
      <c r="C4667" s="60"/>
      <c r="D4667" s="81"/>
      <c r="E4667" s="62"/>
      <c r="F4667" s="60"/>
      <c r="G4667" s="62"/>
      <c r="H4667" s="60"/>
    </row>
    <row r="4668" spans="1:8">
      <c r="A4668" s="60"/>
      <c r="B4668" s="77"/>
      <c r="C4668" s="60"/>
      <c r="D4668" s="81"/>
      <c r="E4668" s="62"/>
      <c r="F4668" s="60"/>
      <c r="G4668" s="62"/>
      <c r="H4668" s="60"/>
    </row>
    <row r="4669" spans="1:8">
      <c r="A4669" s="60"/>
      <c r="B4669" s="77"/>
      <c r="C4669" s="60"/>
      <c r="D4669" s="81"/>
      <c r="E4669" s="62"/>
      <c r="F4669" s="60"/>
      <c r="G4669" s="62"/>
      <c r="H4669" s="60"/>
    </row>
    <row r="4670" spans="1:8">
      <c r="A4670" s="60"/>
      <c r="B4670" s="77"/>
      <c r="C4670" s="60"/>
      <c r="D4670" s="81"/>
      <c r="E4670" s="62"/>
      <c r="F4670" s="60"/>
      <c r="G4670" s="62"/>
      <c r="H4670" s="60"/>
    </row>
    <row r="4671" spans="1:8">
      <c r="A4671" s="60"/>
      <c r="B4671" s="77"/>
      <c r="C4671" s="60"/>
      <c r="D4671" s="81"/>
      <c r="E4671" s="62"/>
      <c r="F4671" s="60"/>
      <c r="G4671" s="62"/>
      <c r="H4671" s="60"/>
    </row>
    <row r="4672" spans="1:8">
      <c r="A4672" s="60"/>
      <c r="B4672" s="77"/>
      <c r="C4672" s="60"/>
      <c r="D4672" s="81"/>
      <c r="E4672" s="62"/>
      <c r="F4672" s="60"/>
      <c r="G4672" s="62"/>
      <c r="H4672" s="60"/>
    </row>
    <row r="4673" spans="1:8">
      <c r="A4673" s="60"/>
      <c r="B4673" s="77"/>
      <c r="C4673" s="60"/>
      <c r="D4673" s="81"/>
      <c r="E4673" s="62"/>
      <c r="F4673" s="60"/>
      <c r="G4673" s="62"/>
      <c r="H4673" s="60"/>
    </row>
    <row r="4674" spans="1:8">
      <c r="A4674" s="60"/>
      <c r="B4674" s="77"/>
      <c r="C4674" s="60"/>
      <c r="D4674" s="81"/>
      <c r="E4674" s="62"/>
      <c r="F4674" s="60"/>
      <c r="G4674" s="62"/>
      <c r="H4674" s="60"/>
    </row>
    <row r="4675" spans="1:8">
      <c r="A4675" s="60"/>
      <c r="B4675" s="77"/>
      <c r="C4675" s="60"/>
      <c r="D4675" s="81"/>
      <c r="E4675" s="62"/>
      <c r="F4675" s="60"/>
      <c r="G4675" s="62"/>
      <c r="H4675" s="60"/>
    </row>
    <row r="4676" spans="1:8">
      <c r="A4676" s="60"/>
      <c r="B4676" s="77"/>
      <c r="C4676" s="60"/>
      <c r="D4676" s="81"/>
      <c r="E4676" s="62"/>
      <c r="F4676" s="60"/>
      <c r="G4676" s="62"/>
      <c r="H4676" s="60"/>
    </row>
    <row r="4677" spans="1:8">
      <c r="A4677" s="60"/>
      <c r="B4677" s="77"/>
      <c r="C4677" s="60"/>
      <c r="D4677" s="81"/>
      <c r="E4677" s="62"/>
      <c r="F4677" s="60"/>
      <c r="G4677" s="62"/>
      <c r="H4677" s="60"/>
    </row>
    <row r="4678" spans="1:8">
      <c r="A4678" s="60"/>
      <c r="B4678" s="77"/>
      <c r="C4678" s="60"/>
      <c r="D4678" s="81"/>
      <c r="E4678" s="62"/>
      <c r="F4678" s="60"/>
      <c r="G4678" s="62"/>
      <c r="H4678" s="60"/>
    </row>
    <row r="4679" spans="1:8">
      <c r="A4679" s="60"/>
      <c r="B4679" s="77"/>
      <c r="C4679" s="60"/>
      <c r="D4679" s="81"/>
      <c r="E4679" s="62"/>
      <c r="F4679" s="60"/>
      <c r="G4679" s="62"/>
      <c r="H4679" s="60"/>
    </row>
    <row r="4680" spans="1:8">
      <c r="A4680" s="60"/>
      <c r="B4680" s="77"/>
      <c r="C4680" s="60"/>
      <c r="D4680" s="81"/>
      <c r="E4680" s="62"/>
      <c r="F4680" s="60"/>
      <c r="G4680" s="62"/>
      <c r="H4680" s="60"/>
    </row>
    <row r="4681" spans="1:8">
      <c r="A4681" s="60"/>
      <c r="B4681" s="77"/>
      <c r="C4681" s="60"/>
      <c r="D4681" s="81"/>
      <c r="E4681" s="62"/>
      <c r="F4681" s="60"/>
      <c r="G4681" s="62"/>
      <c r="H4681" s="60"/>
    </row>
    <row r="4682" spans="1:8">
      <c r="A4682" s="60"/>
      <c r="B4682" s="77"/>
      <c r="C4682" s="60"/>
      <c r="D4682" s="81"/>
      <c r="E4682" s="62"/>
      <c r="F4682" s="60"/>
      <c r="G4682" s="62"/>
      <c r="H4682" s="60"/>
    </row>
    <row r="4683" spans="1:8">
      <c r="A4683" s="60"/>
      <c r="B4683" s="77"/>
      <c r="C4683" s="60"/>
      <c r="D4683" s="81"/>
      <c r="E4683" s="62"/>
      <c r="F4683" s="60"/>
      <c r="G4683" s="62"/>
      <c r="H4683" s="60"/>
    </row>
    <row r="4684" spans="1:8">
      <c r="A4684" s="60"/>
      <c r="B4684" s="77"/>
      <c r="C4684" s="60"/>
      <c r="D4684" s="81"/>
      <c r="E4684" s="62"/>
      <c r="F4684" s="60"/>
      <c r="G4684" s="62"/>
      <c r="H4684" s="60"/>
    </row>
    <row r="4685" spans="1:8">
      <c r="A4685" s="60"/>
      <c r="B4685" s="77"/>
      <c r="C4685" s="60"/>
      <c r="D4685" s="81"/>
      <c r="E4685" s="62"/>
      <c r="F4685" s="60"/>
      <c r="G4685" s="62"/>
      <c r="H4685" s="60"/>
    </row>
    <row r="4686" spans="1:8">
      <c r="A4686" s="60"/>
      <c r="B4686" s="77"/>
      <c r="C4686" s="60"/>
      <c r="D4686" s="81"/>
      <c r="E4686" s="62"/>
      <c r="F4686" s="60"/>
      <c r="G4686" s="62"/>
      <c r="H4686" s="60"/>
    </row>
    <row r="4687" spans="1:8">
      <c r="A4687" s="60"/>
      <c r="B4687" s="77"/>
      <c r="C4687" s="60"/>
      <c r="D4687" s="81"/>
      <c r="E4687" s="62"/>
      <c r="F4687" s="60"/>
      <c r="G4687" s="62"/>
      <c r="H4687" s="60"/>
    </row>
    <row r="4688" spans="1:8">
      <c r="A4688" s="60"/>
      <c r="B4688" s="77"/>
      <c r="C4688" s="60"/>
      <c r="D4688" s="81"/>
      <c r="E4688" s="62"/>
      <c r="F4688" s="60"/>
      <c r="G4688" s="62"/>
      <c r="H4688" s="60"/>
    </row>
    <row r="4689" spans="1:8">
      <c r="A4689" s="60"/>
      <c r="B4689" s="77"/>
      <c r="C4689" s="60"/>
      <c r="D4689" s="81"/>
      <c r="E4689" s="62"/>
      <c r="F4689" s="60"/>
      <c r="G4689" s="62"/>
      <c r="H4689" s="60"/>
    </row>
    <row r="4690" spans="1:8">
      <c r="A4690" s="60"/>
      <c r="B4690" s="77"/>
      <c r="C4690" s="60"/>
      <c r="D4690" s="81"/>
      <c r="E4690" s="62"/>
      <c r="F4690" s="60"/>
      <c r="G4690" s="62"/>
      <c r="H4690" s="60"/>
    </row>
    <row r="4691" spans="1:8">
      <c r="A4691" s="60"/>
      <c r="B4691" s="77"/>
      <c r="C4691" s="60"/>
      <c r="D4691" s="81"/>
      <c r="E4691" s="62"/>
      <c r="F4691" s="60"/>
      <c r="G4691" s="62"/>
      <c r="H4691" s="60"/>
    </row>
    <row r="4692" spans="1:8">
      <c r="A4692" s="60"/>
      <c r="B4692" s="77"/>
      <c r="C4692" s="60"/>
      <c r="D4692" s="81"/>
      <c r="E4692" s="62"/>
      <c r="F4692" s="60"/>
      <c r="G4692" s="62"/>
      <c r="H4692" s="60"/>
    </row>
    <row r="4693" spans="1:8">
      <c r="A4693" s="60"/>
      <c r="B4693" s="77"/>
      <c r="C4693" s="60"/>
      <c r="D4693" s="81"/>
      <c r="E4693" s="62"/>
      <c r="F4693" s="60"/>
      <c r="G4693" s="62"/>
      <c r="H4693" s="60"/>
    </row>
    <row r="4694" spans="1:8">
      <c r="A4694" s="60"/>
      <c r="B4694" s="77"/>
      <c r="C4694" s="60"/>
      <c r="D4694" s="81"/>
      <c r="E4694" s="62"/>
      <c r="F4694" s="60"/>
      <c r="G4694" s="62"/>
      <c r="H4694" s="60"/>
    </row>
    <row r="4695" spans="1:8">
      <c r="A4695" s="60"/>
      <c r="B4695" s="77"/>
      <c r="C4695" s="60"/>
      <c r="D4695" s="81"/>
      <c r="E4695" s="62"/>
      <c r="F4695" s="60"/>
      <c r="G4695" s="62"/>
      <c r="H4695" s="60"/>
    </row>
    <row r="4696" spans="1:8">
      <c r="A4696" s="60"/>
      <c r="B4696" s="77"/>
      <c r="C4696" s="60"/>
      <c r="D4696" s="81"/>
      <c r="E4696" s="62"/>
      <c r="F4696" s="60"/>
      <c r="G4696" s="62"/>
      <c r="H4696" s="60"/>
    </row>
    <row r="4697" spans="1:8">
      <c r="A4697" s="60"/>
      <c r="B4697" s="77"/>
      <c r="C4697" s="60"/>
      <c r="D4697" s="81"/>
      <c r="E4697" s="62"/>
      <c r="F4697" s="60"/>
      <c r="G4697" s="62"/>
      <c r="H4697" s="60"/>
    </row>
    <row r="4698" spans="1:8">
      <c r="A4698" s="60"/>
      <c r="B4698" s="77"/>
      <c r="C4698" s="60"/>
      <c r="D4698" s="81"/>
      <c r="E4698" s="62"/>
      <c r="F4698" s="60"/>
      <c r="G4698" s="62"/>
      <c r="H4698" s="60"/>
    </row>
    <row r="4699" spans="1:8">
      <c r="A4699" s="60"/>
      <c r="B4699" s="77"/>
      <c r="C4699" s="60"/>
      <c r="D4699" s="81"/>
      <c r="E4699" s="62"/>
      <c r="F4699" s="60"/>
      <c r="G4699" s="62"/>
      <c r="H4699" s="60"/>
    </row>
    <row r="4700" spans="1:8">
      <c r="A4700" s="60"/>
      <c r="B4700" s="77"/>
      <c r="C4700" s="60"/>
      <c r="D4700" s="81"/>
      <c r="E4700" s="62"/>
      <c r="F4700" s="60"/>
      <c r="G4700" s="62"/>
      <c r="H4700" s="60"/>
    </row>
    <row r="4701" spans="1:8">
      <c r="A4701" s="60"/>
      <c r="B4701" s="77"/>
      <c r="C4701" s="60"/>
      <c r="D4701" s="81"/>
      <c r="E4701" s="62"/>
      <c r="F4701" s="60"/>
      <c r="G4701" s="62"/>
      <c r="H4701" s="60"/>
    </row>
    <row r="4702" spans="1:8">
      <c r="A4702" s="60"/>
      <c r="B4702" s="77"/>
      <c r="C4702" s="60"/>
      <c r="D4702" s="81"/>
      <c r="E4702" s="62"/>
      <c r="F4702" s="60"/>
      <c r="G4702" s="62"/>
      <c r="H4702" s="60"/>
    </row>
    <row r="4703" spans="1:8">
      <c r="A4703" s="60"/>
      <c r="B4703" s="77"/>
      <c r="C4703" s="60"/>
      <c r="D4703" s="81"/>
      <c r="E4703" s="62"/>
      <c r="F4703" s="60"/>
      <c r="G4703" s="62"/>
      <c r="H4703" s="60"/>
    </row>
    <row r="4704" spans="1:8">
      <c r="A4704" s="60"/>
      <c r="B4704" s="77"/>
      <c r="C4704" s="60"/>
      <c r="D4704" s="81"/>
      <c r="E4704" s="62"/>
      <c r="F4704" s="60"/>
      <c r="G4704" s="62"/>
      <c r="H4704" s="60"/>
    </row>
    <row r="4705" spans="1:8">
      <c r="A4705" s="60"/>
      <c r="B4705" s="77"/>
      <c r="C4705" s="60"/>
      <c r="D4705" s="81"/>
      <c r="E4705" s="62"/>
      <c r="F4705" s="60"/>
      <c r="G4705" s="62"/>
      <c r="H4705" s="60"/>
    </row>
    <row r="4706" spans="1:8">
      <c r="A4706" s="60"/>
      <c r="B4706" s="77"/>
      <c r="C4706" s="60"/>
      <c r="D4706" s="81"/>
      <c r="E4706" s="62"/>
      <c r="F4706" s="60"/>
      <c r="G4706" s="62"/>
      <c r="H4706" s="60"/>
    </row>
    <row r="4707" spans="1:8">
      <c r="A4707" s="60"/>
      <c r="B4707" s="77"/>
      <c r="C4707" s="60"/>
      <c r="D4707" s="81"/>
      <c r="E4707" s="62"/>
      <c r="F4707" s="60"/>
      <c r="G4707" s="62"/>
      <c r="H4707" s="60"/>
    </row>
    <row r="4708" spans="1:8">
      <c r="A4708" s="60"/>
      <c r="B4708" s="77"/>
      <c r="C4708" s="60"/>
      <c r="D4708" s="81"/>
      <c r="E4708" s="62"/>
      <c r="F4708" s="60"/>
      <c r="G4708" s="62"/>
      <c r="H4708" s="60"/>
    </row>
    <row r="4709" spans="1:8">
      <c r="A4709" s="60"/>
      <c r="B4709" s="77"/>
      <c r="C4709" s="60"/>
      <c r="D4709" s="81"/>
      <c r="E4709" s="62"/>
      <c r="F4709" s="60"/>
      <c r="G4709" s="62"/>
      <c r="H4709" s="60"/>
    </row>
    <row r="4710" spans="1:8">
      <c r="A4710" s="60"/>
      <c r="B4710" s="77"/>
      <c r="C4710" s="60"/>
      <c r="D4710" s="81"/>
      <c r="E4710" s="62"/>
      <c r="F4710" s="60"/>
      <c r="G4710" s="62"/>
      <c r="H4710" s="60"/>
    </row>
    <row r="4711" spans="1:8">
      <c r="A4711" s="60"/>
      <c r="B4711" s="77"/>
      <c r="C4711" s="60"/>
      <c r="D4711" s="81"/>
      <c r="E4711" s="62"/>
      <c r="F4711" s="60"/>
      <c r="G4711" s="62"/>
      <c r="H4711" s="60"/>
    </row>
    <row r="4712" spans="1:8">
      <c r="A4712" s="60"/>
      <c r="B4712" s="77"/>
      <c r="C4712" s="60"/>
      <c r="D4712" s="81"/>
      <c r="E4712" s="62"/>
      <c r="F4712" s="60"/>
      <c r="G4712" s="62"/>
      <c r="H4712" s="60"/>
    </row>
    <row r="4713" spans="1:8">
      <c r="A4713" s="60"/>
      <c r="B4713" s="77"/>
      <c r="C4713" s="60"/>
      <c r="D4713" s="81"/>
      <c r="E4713" s="62"/>
      <c r="F4713" s="60"/>
      <c r="G4713" s="62"/>
      <c r="H4713" s="60"/>
    </row>
    <row r="4714" spans="1:8">
      <c r="A4714" s="60"/>
      <c r="B4714" s="77"/>
      <c r="C4714" s="60"/>
      <c r="D4714" s="81"/>
      <c r="E4714" s="62"/>
      <c r="F4714" s="60"/>
      <c r="G4714" s="62"/>
      <c r="H4714" s="60"/>
    </row>
    <row r="4715" spans="1:8">
      <c r="A4715" s="60"/>
      <c r="B4715" s="77"/>
      <c r="C4715" s="60"/>
      <c r="D4715" s="81"/>
      <c r="E4715" s="62"/>
      <c r="F4715" s="60"/>
      <c r="G4715" s="62"/>
      <c r="H4715" s="60"/>
    </row>
    <row r="4716" spans="1:8">
      <c r="A4716" s="60"/>
      <c r="B4716" s="77"/>
      <c r="C4716" s="60"/>
      <c r="D4716" s="81"/>
      <c r="E4716" s="62"/>
      <c r="F4716" s="60"/>
      <c r="G4716" s="62"/>
      <c r="H4716" s="60"/>
    </row>
    <row r="4717" spans="1:8">
      <c r="A4717" s="60"/>
      <c r="B4717" s="77"/>
      <c r="C4717" s="60"/>
      <c r="D4717" s="81"/>
      <c r="E4717" s="62"/>
      <c r="F4717" s="60"/>
      <c r="G4717" s="62"/>
      <c r="H4717" s="60"/>
    </row>
    <row r="4718" spans="1:8">
      <c r="A4718" s="60"/>
      <c r="B4718" s="77"/>
      <c r="C4718" s="60"/>
      <c r="D4718" s="81"/>
      <c r="E4718" s="62"/>
      <c r="F4718" s="60"/>
      <c r="G4718" s="62"/>
      <c r="H4718" s="60"/>
    </row>
    <row r="4719" spans="1:8">
      <c r="A4719" s="60"/>
      <c r="B4719" s="77"/>
      <c r="C4719" s="60"/>
      <c r="D4719" s="81"/>
      <c r="E4719" s="62"/>
      <c r="F4719" s="60"/>
      <c r="G4719" s="62"/>
      <c r="H4719" s="60"/>
    </row>
    <row r="4720" spans="1:8">
      <c r="A4720" s="60"/>
      <c r="B4720" s="77"/>
      <c r="C4720" s="60"/>
      <c r="D4720" s="81"/>
      <c r="E4720" s="62"/>
      <c r="F4720" s="60"/>
      <c r="G4720" s="62"/>
      <c r="H4720" s="60"/>
    </row>
    <row r="4721" spans="1:8">
      <c r="A4721" s="60"/>
      <c r="B4721" s="77"/>
      <c r="C4721" s="60"/>
      <c r="D4721" s="81"/>
      <c r="E4721" s="62"/>
      <c r="F4721" s="60"/>
      <c r="G4721" s="62"/>
      <c r="H4721" s="60"/>
    </row>
    <row r="4722" spans="1:8">
      <c r="A4722" s="60"/>
      <c r="B4722" s="77"/>
      <c r="C4722" s="60"/>
      <c r="D4722" s="81"/>
      <c r="E4722" s="62"/>
      <c r="F4722" s="60"/>
      <c r="G4722" s="62"/>
      <c r="H4722" s="60"/>
    </row>
    <row r="4723" spans="1:8">
      <c r="A4723" s="60"/>
      <c r="B4723" s="77"/>
      <c r="C4723" s="60"/>
      <c r="D4723" s="81"/>
      <c r="E4723" s="62"/>
      <c r="F4723" s="60"/>
      <c r="G4723" s="62"/>
      <c r="H4723" s="60"/>
    </row>
    <row r="4724" spans="1:8">
      <c r="A4724" s="60"/>
      <c r="B4724" s="77"/>
      <c r="C4724" s="60"/>
      <c r="D4724" s="81"/>
      <c r="E4724" s="62"/>
      <c r="F4724" s="60"/>
      <c r="G4724" s="62"/>
      <c r="H4724" s="60"/>
    </row>
    <row r="4725" spans="1:8">
      <c r="A4725" s="60"/>
      <c r="B4725" s="77"/>
      <c r="C4725" s="60"/>
      <c r="D4725" s="81"/>
      <c r="E4725" s="62"/>
      <c r="F4725" s="60"/>
      <c r="G4725" s="62"/>
      <c r="H4725" s="60"/>
    </row>
    <row r="4726" spans="1:8">
      <c r="A4726" s="60"/>
      <c r="B4726" s="77"/>
      <c r="C4726" s="60"/>
      <c r="D4726" s="81"/>
      <c r="E4726" s="62"/>
      <c r="F4726" s="60"/>
      <c r="G4726" s="62"/>
      <c r="H4726" s="60"/>
    </row>
    <row r="4727" spans="1:8">
      <c r="A4727" s="60"/>
      <c r="B4727" s="77"/>
      <c r="C4727" s="60"/>
      <c r="D4727" s="81"/>
      <c r="E4727" s="62"/>
      <c r="F4727" s="60"/>
      <c r="G4727" s="62"/>
      <c r="H4727" s="60"/>
    </row>
    <row r="4728" spans="1:8">
      <c r="A4728" s="60"/>
      <c r="B4728" s="77"/>
      <c r="C4728" s="60"/>
      <c r="D4728" s="81"/>
      <c r="E4728" s="62"/>
      <c r="F4728" s="60"/>
      <c r="G4728" s="62"/>
      <c r="H4728" s="60"/>
    </row>
    <row r="4729" spans="1:8">
      <c r="A4729" s="60"/>
      <c r="B4729" s="77"/>
      <c r="C4729" s="60"/>
      <c r="D4729" s="81"/>
      <c r="E4729" s="62"/>
      <c r="F4729" s="60"/>
      <c r="G4729" s="62"/>
      <c r="H4729" s="60"/>
    </row>
    <row r="4730" spans="1:8">
      <c r="A4730" s="60"/>
      <c r="B4730" s="77"/>
      <c r="C4730" s="60"/>
      <c r="D4730" s="81"/>
      <c r="E4730" s="62"/>
      <c r="F4730" s="60"/>
      <c r="G4730" s="62"/>
      <c r="H4730" s="60"/>
    </row>
    <row r="4731" spans="1:8">
      <c r="A4731" s="60"/>
      <c r="B4731" s="77"/>
      <c r="C4731" s="60"/>
      <c r="D4731" s="81"/>
      <c r="E4731" s="62"/>
      <c r="F4731" s="60"/>
      <c r="G4731" s="62"/>
      <c r="H4731" s="60"/>
    </row>
    <row r="4732" spans="1:8">
      <c r="A4732" s="60"/>
      <c r="B4732" s="77"/>
      <c r="C4732" s="60"/>
      <c r="D4732" s="81"/>
      <c r="E4732" s="62"/>
      <c r="F4732" s="60"/>
      <c r="G4732" s="62"/>
      <c r="H4732" s="60"/>
    </row>
    <row r="4733" spans="1:8">
      <c r="A4733" s="60"/>
      <c r="B4733" s="77"/>
      <c r="C4733" s="60"/>
      <c r="D4733" s="81"/>
      <c r="E4733" s="62"/>
      <c r="F4733" s="60"/>
      <c r="G4733" s="62"/>
      <c r="H4733" s="60"/>
    </row>
    <row r="4734" spans="1:8">
      <c r="A4734" s="60"/>
      <c r="B4734" s="77"/>
      <c r="C4734" s="60"/>
      <c r="D4734" s="81"/>
      <c r="E4734" s="62"/>
      <c r="F4734" s="60"/>
      <c r="G4734" s="62"/>
      <c r="H4734" s="60"/>
    </row>
    <row r="4735" spans="1:8">
      <c r="A4735" s="60"/>
      <c r="B4735" s="77"/>
      <c r="C4735" s="60"/>
      <c r="D4735" s="81"/>
      <c r="E4735" s="62"/>
      <c r="F4735" s="60"/>
      <c r="G4735" s="62"/>
      <c r="H4735" s="60"/>
    </row>
    <row r="4736" spans="1:8">
      <c r="A4736" s="60"/>
      <c r="B4736" s="77"/>
      <c r="C4736" s="60"/>
      <c r="D4736" s="81"/>
      <c r="E4736" s="62"/>
      <c r="F4736" s="60"/>
      <c r="G4736" s="62"/>
      <c r="H4736" s="60"/>
    </row>
    <row r="4737" spans="1:8">
      <c r="A4737" s="60"/>
      <c r="B4737" s="77"/>
      <c r="C4737" s="60"/>
      <c r="D4737" s="81"/>
      <c r="E4737" s="62"/>
      <c r="F4737" s="60"/>
      <c r="G4737" s="62"/>
      <c r="H4737" s="60"/>
    </row>
    <row r="4738" spans="1:8">
      <c r="A4738" s="60"/>
      <c r="B4738" s="77"/>
      <c r="C4738" s="60"/>
      <c r="D4738" s="81"/>
      <c r="E4738" s="62"/>
      <c r="F4738" s="60"/>
      <c r="G4738" s="62"/>
      <c r="H4738" s="60"/>
    </row>
    <row r="4739" spans="1:8">
      <c r="A4739" s="60"/>
      <c r="B4739" s="77"/>
      <c r="C4739" s="60"/>
      <c r="D4739" s="81"/>
      <c r="E4739" s="62"/>
      <c r="F4739" s="60"/>
      <c r="G4739" s="62"/>
      <c r="H4739" s="60"/>
    </row>
    <row r="4740" spans="1:8">
      <c r="A4740" s="60"/>
      <c r="B4740" s="77"/>
      <c r="C4740" s="60"/>
      <c r="D4740" s="81"/>
      <c r="E4740" s="62"/>
      <c r="F4740" s="60"/>
      <c r="G4740" s="62"/>
      <c r="H4740" s="60"/>
    </row>
    <row r="4741" spans="1:8">
      <c r="A4741" s="60"/>
      <c r="B4741" s="77"/>
      <c r="C4741" s="60"/>
      <c r="D4741" s="81"/>
      <c r="E4741" s="62"/>
      <c r="F4741" s="60"/>
      <c r="G4741" s="62"/>
      <c r="H4741" s="60"/>
    </row>
    <row r="4742" spans="1:8">
      <c r="A4742" s="60"/>
      <c r="B4742" s="77"/>
      <c r="C4742" s="60"/>
      <c r="D4742" s="81"/>
      <c r="E4742" s="62"/>
      <c r="F4742" s="60"/>
      <c r="G4742" s="62"/>
      <c r="H4742" s="60"/>
    </row>
    <row r="4743" spans="1:8">
      <c r="A4743" s="60"/>
      <c r="B4743" s="77"/>
      <c r="C4743" s="60"/>
      <c r="D4743" s="81"/>
      <c r="E4743" s="62"/>
      <c r="F4743" s="60"/>
      <c r="G4743" s="62"/>
      <c r="H4743" s="60"/>
    </row>
    <row r="4744" spans="1:8">
      <c r="A4744" s="60"/>
      <c r="B4744" s="77"/>
      <c r="C4744" s="60"/>
      <c r="D4744" s="81"/>
      <c r="E4744" s="62"/>
      <c r="F4744" s="60"/>
      <c r="G4744" s="62"/>
      <c r="H4744" s="60"/>
    </row>
    <row r="4745" spans="1:8">
      <c r="A4745" s="60"/>
      <c r="B4745" s="77"/>
      <c r="C4745" s="60"/>
      <c r="D4745" s="81"/>
      <c r="E4745" s="62"/>
      <c r="F4745" s="60"/>
      <c r="G4745" s="62"/>
      <c r="H4745" s="60"/>
    </row>
    <row r="4746" spans="1:8">
      <c r="A4746" s="60"/>
      <c r="B4746" s="77"/>
      <c r="C4746" s="60"/>
      <c r="D4746" s="81"/>
      <c r="E4746" s="62"/>
      <c r="F4746" s="60"/>
      <c r="G4746" s="62"/>
      <c r="H4746" s="60"/>
    </row>
    <row r="4747" spans="1:8">
      <c r="A4747" s="60"/>
      <c r="B4747" s="77"/>
      <c r="C4747" s="60"/>
      <c r="D4747" s="81"/>
      <c r="E4747" s="62"/>
      <c r="F4747" s="60"/>
      <c r="G4747" s="62"/>
      <c r="H4747" s="60"/>
    </row>
    <row r="4748" spans="1:8">
      <c r="A4748" s="60"/>
      <c r="B4748" s="77"/>
      <c r="C4748" s="60"/>
      <c r="D4748" s="81"/>
      <c r="E4748" s="62"/>
      <c r="F4748" s="60"/>
      <c r="G4748" s="62"/>
      <c r="H4748" s="60"/>
    </row>
    <row r="4749" spans="1:8">
      <c r="A4749" s="60"/>
      <c r="B4749" s="77"/>
      <c r="C4749" s="60"/>
      <c r="D4749" s="81"/>
      <c r="E4749" s="62"/>
      <c r="F4749" s="60"/>
      <c r="G4749" s="62"/>
      <c r="H4749" s="60"/>
    </row>
    <row r="4750" spans="1:8">
      <c r="A4750" s="60"/>
      <c r="B4750" s="77"/>
      <c r="C4750" s="60"/>
      <c r="D4750" s="81"/>
      <c r="E4750" s="62"/>
      <c r="F4750" s="60"/>
      <c r="G4750" s="62"/>
      <c r="H4750" s="60"/>
    </row>
    <row r="4751" spans="1:8">
      <c r="A4751" s="60"/>
      <c r="B4751" s="77"/>
      <c r="C4751" s="60"/>
      <c r="D4751" s="81"/>
      <c r="E4751" s="62"/>
      <c r="F4751" s="60"/>
      <c r="G4751" s="62"/>
      <c r="H4751" s="60"/>
    </row>
    <row r="4752" spans="1:8">
      <c r="A4752" s="60"/>
      <c r="B4752" s="77"/>
      <c r="C4752" s="60"/>
      <c r="D4752" s="81"/>
      <c r="E4752" s="62"/>
      <c r="F4752" s="60"/>
      <c r="G4752" s="62"/>
      <c r="H4752" s="60"/>
    </row>
    <row r="4753" spans="1:8">
      <c r="A4753" s="60"/>
      <c r="B4753" s="77"/>
      <c r="C4753" s="60"/>
      <c r="D4753" s="81"/>
      <c r="E4753" s="62"/>
      <c r="F4753" s="60"/>
      <c r="G4753" s="62"/>
      <c r="H4753" s="60"/>
    </row>
    <row r="4754" spans="1:8">
      <c r="A4754" s="60"/>
      <c r="B4754" s="77"/>
      <c r="C4754" s="60"/>
      <c r="D4754" s="81"/>
      <c r="E4754" s="62"/>
      <c r="F4754" s="60"/>
      <c r="G4754" s="62"/>
      <c r="H4754" s="60"/>
    </row>
    <row r="4755" spans="1:8">
      <c r="A4755" s="60"/>
      <c r="B4755" s="77"/>
      <c r="C4755" s="60"/>
      <c r="D4755" s="81"/>
      <c r="E4755" s="62"/>
      <c r="F4755" s="60"/>
      <c r="G4755" s="62"/>
      <c r="H4755" s="60"/>
    </row>
    <row r="4756" spans="1:8">
      <c r="A4756" s="60"/>
      <c r="B4756" s="77"/>
      <c r="C4756" s="60"/>
      <c r="D4756" s="81"/>
      <c r="E4756" s="62"/>
      <c r="F4756" s="60"/>
      <c r="G4756" s="62"/>
      <c r="H4756" s="60"/>
    </row>
    <row r="4757" spans="1:8">
      <c r="A4757" s="60"/>
      <c r="B4757" s="77"/>
      <c r="C4757" s="60"/>
      <c r="D4757" s="81"/>
      <c r="E4757" s="62"/>
      <c r="F4757" s="60"/>
      <c r="G4757" s="62"/>
      <c r="H4757" s="60"/>
    </row>
    <row r="4758" spans="1:8">
      <c r="A4758" s="60"/>
      <c r="B4758" s="77"/>
      <c r="C4758" s="60"/>
      <c r="D4758" s="81"/>
      <c r="E4758" s="62"/>
      <c r="F4758" s="60"/>
      <c r="G4758" s="62"/>
      <c r="H4758" s="60"/>
    </row>
    <row r="4759" spans="1:8">
      <c r="A4759" s="60"/>
      <c r="B4759" s="77"/>
      <c r="C4759" s="60"/>
      <c r="D4759" s="81"/>
      <c r="E4759" s="62"/>
      <c r="F4759" s="60"/>
      <c r="G4759" s="62"/>
      <c r="H4759" s="60"/>
    </row>
    <row r="4760" spans="1:8">
      <c r="A4760" s="60"/>
      <c r="B4760" s="77"/>
      <c r="C4760" s="60"/>
      <c r="D4760" s="81"/>
      <c r="E4760" s="62"/>
      <c r="F4760" s="60"/>
      <c r="G4760" s="62"/>
      <c r="H4760" s="60"/>
    </row>
    <row r="4761" spans="1:8">
      <c r="A4761" s="60"/>
      <c r="B4761" s="77"/>
      <c r="C4761" s="60"/>
      <c r="D4761" s="81"/>
      <c r="E4761" s="62"/>
      <c r="F4761" s="60"/>
      <c r="G4761" s="62"/>
      <c r="H4761" s="60"/>
    </row>
    <row r="4762" spans="1:8">
      <c r="A4762" s="60"/>
      <c r="B4762" s="77"/>
      <c r="C4762" s="60"/>
      <c r="D4762" s="81"/>
      <c r="E4762" s="62"/>
      <c r="F4762" s="60"/>
      <c r="G4762" s="62"/>
      <c r="H4762" s="60"/>
    </row>
    <row r="4763" spans="1:8">
      <c r="A4763" s="60"/>
      <c r="B4763" s="77"/>
      <c r="C4763" s="60"/>
      <c r="D4763" s="81"/>
      <c r="E4763" s="62"/>
      <c r="F4763" s="60"/>
      <c r="G4763" s="62"/>
      <c r="H4763" s="60"/>
    </row>
    <row r="4764" spans="1:8">
      <c r="A4764" s="60"/>
      <c r="B4764" s="77"/>
      <c r="C4764" s="60"/>
      <c r="D4764" s="81"/>
      <c r="E4764" s="62"/>
      <c r="F4764" s="60"/>
      <c r="G4764" s="62"/>
      <c r="H4764" s="60"/>
    </row>
    <row r="4765" spans="1:8">
      <c r="A4765" s="60"/>
      <c r="B4765" s="77"/>
      <c r="C4765" s="60"/>
      <c r="D4765" s="81"/>
      <c r="E4765" s="62"/>
      <c r="F4765" s="60"/>
      <c r="G4765" s="62"/>
      <c r="H4765" s="60"/>
    </row>
    <row r="4766" spans="1:8">
      <c r="A4766" s="60"/>
      <c r="B4766" s="77"/>
      <c r="C4766" s="60"/>
      <c r="D4766" s="81"/>
      <c r="E4766" s="62"/>
      <c r="F4766" s="60"/>
      <c r="G4766" s="62"/>
      <c r="H4766" s="60"/>
    </row>
    <row r="4767" spans="1:8">
      <c r="A4767" s="60"/>
      <c r="B4767" s="77"/>
      <c r="C4767" s="60"/>
      <c r="D4767" s="81"/>
      <c r="E4767" s="62"/>
      <c r="F4767" s="60"/>
      <c r="G4767" s="62"/>
      <c r="H4767" s="60"/>
    </row>
    <row r="4768" spans="1:8">
      <c r="A4768" s="60"/>
      <c r="B4768" s="77"/>
      <c r="C4768" s="60"/>
      <c r="D4768" s="81"/>
      <c r="E4768" s="62"/>
      <c r="F4768" s="60"/>
      <c r="G4768" s="62"/>
      <c r="H4768" s="60"/>
    </row>
    <row r="4769" spans="1:8">
      <c r="A4769" s="60"/>
      <c r="B4769" s="77"/>
      <c r="C4769" s="60"/>
      <c r="D4769" s="81"/>
      <c r="E4769" s="62"/>
      <c r="F4769" s="60"/>
      <c r="G4769" s="62"/>
      <c r="H4769" s="60"/>
    </row>
    <row r="4770" spans="1:8">
      <c r="A4770" s="60"/>
      <c r="B4770" s="77"/>
      <c r="C4770" s="60"/>
      <c r="D4770" s="81"/>
      <c r="E4770" s="62"/>
      <c r="F4770" s="60"/>
      <c r="G4770" s="62"/>
      <c r="H4770" s="60"/>
    </row>
    <row r="4771" spans="1:8">
      <c r="A4771" s="60"/>
      <c r="B4771" s="77"/>
      <c r="C4771" s="60"/>
      <c r="D4771" s="81"/>
      <c r="E4771" s="62"/>
      <c r="F4771" s="60"/>
      <c r="G4771" s="62"/>
      <c r="H4771" s="60"/>
    </row>
    <row r="4772" spans="1:8">
      <c r="A4772" s="60"/>
      <c r="B4772" s="77"/>
      <c r="C4772" s="60"/>
      <c r="D4772" s="81"/>
      <c r="E4772" s="62"/>
      <c r="F4772" s="60"/>
      <c r="G4772" s="62"/>
      <c r="H4772" s="60"/>
    </row>
    <row r="4773" spans="1:8">
      <c r="A4773" s="60"/>
      <c r="B4773" s="77"/>
      <c r="C4773" s="60"/>
      <c r="D4773" s="81"/>
      <c r="E4773" s="62"/>
      <c r="F4773" s="60"/>
      <c r="G4773" s="62"/>
      <c r="H4773" s="60"/>
    </row>
    <row r="4774" spans="1:8">
      <c r="A4774" s="60"/>
      <c r="B4774" s="77"/>
      <c r="C4774" s="60"/>
      <c r="D4774" s="81"/>
      <c r="E4774" s="62"/>
      <c r="F4774" s="60"/>
      <c r="G4774" s="62"/>
      <c r="H4774" s="60"/>
    </row>
    <row r="4775" spans="1:8">
      <c r="A4775" s="60"/>
      <c r="B4775" s="77"/>
      <c r="C4775" s="60"/>
      <c r="D4775" s="81"/>
      <c r="E4775" s="62"/>
      <c r="F4775" s="60"/>
      <c r="G4775" s="62"/>
      <c r="H4775" s="60"/>
    </row>
    <row r="4776" spans="1:8">
      <c r="A4776" s="60"/>
      <c r="B4776" s="77"/>
      <c r="C4776" s="60"/>
      <c r="D4776" s="81"/>
      <c r="E4776" s="62"/>
      <c r="F4776" s="60"/>
      <c r="G4776" s="62"/>
      <c r="H4776" s="60"/>
    </row>
    <row r="4777" spans="1:8">
      <c r="A4777" s="60"/>
      <c r="B4777" s="77"/>
      <c r="C4777" s="60"/>
      <c r="D4777" s="81"/>
      <c r="E4777" s="62"/>
      <c r="F4777" s="60"/>
      <c r="G4777" s="62"/>
      <c r="H4777" s="60"/>
    </row>
    <row r="4778" spans="1:8">
      <c r="A4778" s="60"/>
      <c r="B4778" s="77"/>
      <c r="C4778" s="60"/>
      <c r="D4778" s="81"/>
      <c r="E4778" s="62"/>
      <c r="F4778" s="60"/>
      <c r="G4778" s="62"/>
      <c r="H4778" s="60"/>
    </row>
    <row r="4779" spans="1:8">
      <c r="A4779" s="60"/>
      <c r="B4779" s="77"/>
      <c r="C4779" s="60"/>
      <c r="D4779" s="81"/>
      <c r="E4779" s="62"/>
      <c r="F4779" s="60"/>
      <c r="G4779" s="62"/>
      <c r="H4779" s="60"/>
    </row>
    <row r="4780" spans="1:8">
      <c r="A4780" s="60"/>
      <c r="B4780" s="77"/>
      <c r="C4780" s="60"/>
      <c r="D4780" s="81"/>
      <c r="E4780" s="62"/>
      <c r="F4780" s="60"/>
      <c r="G4780" s="62"/>
      <c r="H4780" s="60"/>
    </row>
    <row r="4781" spans="1:8">
      <c r="A4781" s="60"/>
      <c r="B4781" s="77"/>
      <c r="C4781" s="60"/>
      <c r="D4781" s="81"/>
      <c r="E4781" s="62"/>
      <c r="F4781" s="60"/>
      <c r="G4781" s="62"/>
      <c r="H4781" s="60"/>
    </row>
    <row r="4782" spans="1:8">
      <c r="A4782" s="60"/>
      <c r="B4782" s="77"/>
      <c r="C4782" s="60"/>
      <c r="D4782" s="81"/>
      <c r="E4782" s="62"/>
      <c r="F4782" s="60"/>
      <c r="G4782" s="62"/>
      <c r="H4782" s="60"/>
    </row>
    <row r="4783" spans="1:8">
      <c r="A4783" s="60"/>
      <c r="B4783" s="77"/>
      <c r="C4783" s="60"/>
      <c r="D4783" s="81"/>
      <c r="E4783" s="62"/>
      <c r="F4783" s="60"/>
      <c r="G4783" s="62"/>
      <c r="H4783" s="60"/>
    </row>
    <row r="4784" spans="1:8">
      <c r="A4784" s="60"/>
      <c r="B4784" s="77"/>
      <c r="C4784" s="60"/>
      <c r="D4784" s="81"/>
      <c r="E4784" s="62"/>
      <c r="F4784" s="60"/>
      <c r="G4784" s="62"/>
      <c r="H4784" s="60"/>
    </row>
    <row r="4785" spans="1:8">
      <c r="A4785" s="60"/>
      <c r="B4785" s="77"/>
      <c r="C4785" s="60"/>
      <c r="D4785" s="81"/>
      <c r="E4785" s="62"/>
      <c r="F4785" s="60"/>
      <c r="G4785" s="62"/>
      <c r="H4785" s="60"/>
    </row>
    <row r="4786" spans="1:8">
      <c r="A4786" s="60"/>
      <c r="B4786" s="77"/>
      <c r="C4786" s="60"/>
      <c r="D4786" s="81"/>
      <c r="E4786" s="62"/>
      <c r="F4786" s="60"/>
      <c r="G4786" s="62"/>
      <c r="H4786" s="60"/>
    </row>
    <row r="4787" spans="1:8">
      <c r="A4787" s="60"/>
      <c r="B4787" s="77"/>
      <c r="C4787" s="60"/>
      <c r="D4787" s="81"/>
      <c r="E4787" s="62"/>
      <c r="F4787" s="60"/>
      <c r="G4787" s="62"/>
      <c r="H4787" s="60"/>
    </row>
    <row r="4788" spans="1:8">
      <c r="A4788" s="60"/>
      <c r="B4788" s="77"/>
      <c r="C4788" s="60"/>
      <c r="D4788" s="81"/>
      <c r="E4788" s="62"/>
      <c r="F4788" s="60"/>
      <c r="G4788" s="62"/>
      <c r="H4788" s="60"/>
    </row>
    <row r="4789" spans="1:8">
      <c r="A4789" s="60"/>
      <c r="B4789" s="77"/>
      <c r="C4789" s="60"/>
      <c r="D4789" s="81"/>
      <c r="E4789" s="62"/>
      <c r="F4789" s="60"/>
      <c r="G4789" s="62"/>
      <c r="H4789" s="60"/>
    </row>
    <row r="4790" spans="1:8">
      <c r="A4790" s="60"/>
      <c r="B4790" s="77"/>
      <c r="C4790" s="60"/>
      <c r="D4790" s="81"/>
      <c r="E4790" s="62"/>
      <c r="F4790" s="60"/>
      <c r="G4790" s="62"/>
      <c r="H4790" s="60"/>
    </row>
    <row r="4791" spans="1:8">
      <c r="A4791" s="60"/>
      <c r="B4791" s="77"/>
      <c r="C4791" s="60"/>
      <c r="D4791" s="81"/>
      <c r="E4791" s="62"/>
      <c r="F4791" s="60"/>
      <c r="G4791" s="62"/>
      <c r="H4791" s="60"/>
    </row>
    <row r="4792" spans="1:8">
      <c r="A4792" s="60"/>
      <c r="B4792" s="77"/>
      <c r="C4792" s="60"/>
      <c r="D4792" s="81"/>
      <c r="E4792" s="62"/>
      <c r="F4792" s="60"/>
      <c r="G4792" s="62"/>
      <c r="H4792" s="60"/>
    </row>
    <row r="4793" spans="1:8">
      <c r="A4793" s="60"/>
      <c r="B4793" s="77"/>
      <c r="C4793" s="60"/>
      <c r="D4793" s="81"/>
      <c r="E4793" s="62"/>
      <c r="F4793" s="60"/>
      <c r="G4793" s="62"/>
      <c r="H4793" s="60"/>
    </row>
    <row r="4794" spans="1:8">
      <c r="A4794" s="60"/>
      <c r="B4794" s="77"/>
      <c r="C4794" s="60"/>
      <c r="D4794" s="81"/>
      <c r="E4794" s="62"/>
      <c r="F4794" s="60"/>
      <c r="G4794" s="62"/>
      <c r="H4794" s="60"/>
    </row>
    <row r="4795" spans="1:8">
      <c r="A4795" s="60"/>
      <c r="B4795" s="77"/>
      <c r="C4795" s="60"/>
      <c r="D4795" s="81"/>
      <c r="E4795" s="62"/>
      <c r="F4795" s="60"/>
      <c r="G4795" s="62"/>
      <c r="H4795" s="60"/>
    </row>
    <row r="4796" spans="1:8">
      <c r="A4796" s="60"/>
      <c r="B4796" s="77"/>
      <c r="C4796" s="60"/>
      <c r="D4796" s="81"/>
      <c r="E4796" s="62"/>
      <c r="F4796" s="60"/>
      <c r="G4796" s="62"/>
      <c r="H4796" s="60"/>
    </row>
    <row r="4797" spans="1:8">
      <c r="A4797" s="60"/>
      <c r="B4797" s="77"/>
      <c r="C4797" s="60"/>
      <c r="D4797" s="81"/>
      <c r="E4797" s="62"/>
      <c r="F4797" s="60"/>
      <c r="G4797" s="62"/>
      <c r="H4797" s="60"/>
    </row>
    <row r="4798" spans="1:8">
      <c r="A4798" s="60"/>
      <c r="B4798" s="77"/>
      <c r="C4798" s="60"/>
      <c r="D4798" s="81"/>
      <c r="E4798" s="62"/>
      <c r="F4798" s="60"/>
      <c r="G4798" s="62"/>
      <c r="H4798" s="60"/>
    </row>
    <row r="4799" spans="1:8">
      <c r="A4799" s="60"/>
      <c r="B4799" s="77"/>
      <c r="C4799" s="60"/>
      <c r="D4799" s="81"/>
      <c r="E4799" s="62"/>
      <c r="F4799" s="60"/>
      <c r="G4799" s="62"/>
      <c r="H4799" s="60"/>
    </row>
    <row r="4800" spans="1:8">
      <c r="A4800" s="60"/>
      <c r="B4800" s="77"/>
      <c r="C4800" s="60"/>
      <c r="D4800" s="81"/>
      <c r="E4800" s="62"/>
      <c r="F4800" s="60"/>
      <c r="G4800" s="62"/>
      <c r="H4800" s="60"/>
    </row>
    <row r="4801" spans="1:8">
      <c r="A4801" s="60"/>
      <c r="B4801" s="77"/>
      <c r="C4801" s="60"/>
      <c r="D4801" s="81"/>
      <c r="E4801" s="62"/>
      <c r="F4801" s="60"/>
      <c r="G4801" s="62"/>
      <c r="H4801" s="60"/>
    </row>
    <row r="4802" spans="1:8">
      <c r="A4802" s="60"/>
      <c r="B4802" s="77"/>
      <c r="C4802" s="60"/>
      <c r="D4802" s="81"/>
      <c r="E4802" s="62"/>
      <c r="F4802" s="60"/>
      <c r="G4802" s="62"/>
      <c r="H4802" s="60"/>
    </row>
    <row r="4803" spans="1:8">
      <c r="A4803" s="60"/>
      <c r="B4803" s="77"/>
      <c r="C4803" s="60"/>
      <c r="D4803" s="81"/>
      <c r="E4803" s="62"/>
      <c r="F4803" s="60"/>
      <c r="G4803" s="62"/>
      <c r="H4803" s="60"/>
    </row>
    <row r="4804" spans="1:8">
      <c r="A4804" s="60"/>
      <c r="B4804" s="77"/>
      <c r="C4804" s="60"/>
      <c r="D4804" s="81"/>
      <c r="E4804" s="62"/>
      <c r="F4804" s="60"/>
      <c r="G4804" s="62"/>
      <c r="H4804" s="60"/>
    </row>
    <row r="4805" spans="1:8">
      <c r="A4805" s="60"/>
      <c r="B4805" s="77"/>
      <c r="C4805" s="60"/>
      <c r="D4805" s="81"/>
      <c r="E4805" s="62"/>
      <c r="F4805" s="60"/>
      <c r="G4805" s="62"/>
      <c r="H4805" s="60"/>
    </row>
    <row r="4806" spans="1:8">
      <c r="A4806" s="60"/>
      <c r="B4806" s="77"/>
      <c r="C4806" s="60"/>
      <c r="D4806" s="81"/>
      <c r="E4806" s="62"/>
      <c r="F4806" s="60"/>
      <c r="G4806" s="62"/>
      <c r="H4806" s="60"/>
    </row>
    <row r="4807" spans="1:8">
      <c r="A4807" s="60"/>
      <c r="B4807" s="77"/>
      <c r="C4807" s="60"/>
      <c r="D4807" s="81"/>
      <c r="E4807" s="62"/>
      <c r="F4807" s="60"/>
      <c r="G4807" s="62"/>
      <c r="H4807" s="60"/>
    </row>
    <row r="4808" spans="1:8">
      <c r="A4808" s="60"/>
      <c r="B4808" s="77"/>
      <c r="C4808" s="60"/>
      <c r="D4808" s="81"/>
      <c r="E4808" s="62"/>
      <c r="F4808" s="60"/>
      <c r="G4808" s="62"/>
      <c r="H4808" s="60"/>
    </row>
    <row r="4809" spans="1:8">
      <c r="A4809" s="60"/>
      <c r="B4809" s="77"/>
      <c r="C4809" s="60"/>
      <c r="D4809" s="81"/>
      <c r="E4809" s="62"/>
      <c r="F4809" s="60"/>
      <c r="G4809" s="62"/>
      <c r="H4809" s="60"/>
    </row>
    <row r="4810" spans="1:8">
      <c r="A4810" s="60"/>
      <c r="B4810" s="77"/>
      <c r="C4810" s="60"/>
      <c r="D4810" s="81"/>
      <c r="E4810" s="62"/>
      <c r="F4810" s="60"/>
      <c r="G4810" s="62"/>
      <c r="H4810" s="60"/>
    </row>
    <row r="4811" spans="1:8">
      <c r="A4811" s="60"/>
      <c r="B4811" s="77"/>
      <c r="C4811" s="60"/>
      <c r="D4811" s="81"/>
      <c r="E4811" s="62"/>
      <c r="F4811" s="60"/>
      <c r="G4811" s="62"/>
      <c r="H4811" s="60"/>
    </row>
    <row r="4812" spans="1:8">
      <c r="A4812" s="60"/>
      <c r="B4812" s="77"/>
      <c r="C4812" s="60"/>
      <c r="D4812" s="81"/>
      <c r="E4812" s="62"/>
      <c r="F4812" s="60"/>
      <c r="G4812" s="62"/>
      <c r="H4812" s="60"/>
    </row>
    <row r="4813" spans="1:8">
      <c r="A4813" s="60"/>
      <c r="B4813" s="77"/>
      <c r="C4813" s="60"/>
      <c r="D4813" s="81"/>
      <c r="E4813" s="62"/>
      <c r="F4813" s="60"/>
      <c r="G4813" s="62"/>
      <c r="H4813" s="60"/>
    </row>
    <row r="4814" spans="1:8">
      <c r="A4814" s="60"/>
      <c r="B4814" s="77"/>
      <c r="C4814" s="60"/>
      <c r="D4814" s="81"/>
      <c r="E4814" s="62"/>
      <c r="F4814" s="60"/>
      <c r="G4814" s="62"/>
      <c r="H4814" s="60"/>
    </row>
    <row r="4815" spans="1:8">
      <c r="A4815" s="60"/>
      <c r="B4815" s="77"/>
      <c r="C4815" s="60"/>
      <c r="D4815" s="81"/>
      <c r="E4815" s="62"/>
      <c r="F4815" s="60"/>
      <c r="G4815" s="62"/>
      <c r="H4815" s="60"/>
    </row>
    <row r="4816" spans="1:8">
      <c r="A4816" s="60"/>
      <c r="B4816" s="77"/>
      <c r="C4816" s="60"/>
      <c r="D4816" s="81"/>
      <c r="E4816" s="62"/>
      <c r="F4816" s="60"/>
      <c r="G4816" s="62"/>
      <c r="H4816" s="60"/>
    </row>
    <row r="4817" spans="1:8">
      <c r="A4817" s="60"/>
      <c r="B4817" s="77"/>
      <c r="C4817" s="60"/>
      <c r="D4817" s="81"/>
      <c r="E4817" s="62"/>
      <c r="F4817" s="60"/>
      <c r="G4817" s="62"/>
      <c r="H4817" s="60"/>
    </row>
    <row r="4818" spans="1:8">
      <c r="A4818" s="60"/>
      <c r="B4818" s="77"/>
      <c r="C4818" s="60"/>
      <c r="D4818" s="81"/>
      <c r="E4818" s="62"/>
      <c r="F4818" s="60"/>
      <c r="G4818" s="62"/>
      <c r="H4818" s="60"/>
    </row>
    <row r="4819" spans="1:8">
      <c r="A4819" s="60"/>
      <c r="B4819" s="77"/>
      <c r="C4819" s="60"/>
      <c r="D4819" s="81"/>
      <c r="E4819" s="62"/>
      <c r="F4819" s="60"/>
      <c r="G4819" s="62"/>
      <c r="H4819" s="60"/>
    </row>
    <row r="4820" spans="1:8">
      <c r="A4820" s="60"/>
      <c r="B4820" s="77"/>
      <c r="C4820" s="60"/>
      <c r="D4820" s="81"/>
      <c r="E4820" s="62"/>
      <c r="F4820" s="60"/>
      <c r="G4820" s="62"/>
      <c r="H4820" s="60"/>
    </row>
    <row r="4821" spans="1:8">
      <c r="A4821" s="60"/>
      <c r="B4821" s="77"/>
      <c r="C4821" s="60"/>
      <c r="D4821" s="81"/>
      <c r="E4821" s="62"/>
      <c r="F4821" s="60"/>
      <c r="G4821" s="62"/>
      <c r="H4821" s="60"/>
    </row>
    <row r="4822" spans="1:8">
      <c r="A4822" s="60"/>
      <c r="B4822" s="77"/>
      <c r="C4822" s="60"/>
      <c r="D4822" s="81"/>
      <c r="E4822" s="62"/>
      <c r="F4822" s="60"/>
      <c r="G4822" s="62"/>
      <c r="H4822" s="60"/>
    </row>
    <row r="4823" spans="1:8">
      <c r="A4823" s="60"/>
      <c r="B4823" s="77"/>
      <c r="C4823" s="60"/>
      <c r="D4823" s="81"/>
      <c r="E4823" s="62"/>
      <c r="F4823" s="60"/>
      <c r="G4823" s="62"/>
      <c r="H4823" s="60"/>
    </row>
    <row r="4824" spans="1:8">
      <c r="A4824" s="60"/>
      <c r="B4824" s="77"/>
      <c r="C4824" s="60"/>
      <c r="D4824" s="81"/>
      <c r="E4824" s="62"/>
      <c r="F4824" s="60"/>
      <c r="G4824" s="62"/>
      <c r="H4824" s="60"/>
    </row>
    <row r="4825" spans="1:8">
      <c r="A4825" s="60"/>
      <c r="B4825" s="77"/>
      <c r="C4825" s="60"/>
      <c r="D4825" s="81"/>
      <c r="E4825" s="62"/>
      <c r="F4825" s="60"/>
      <c r="G4825" s="62"/>
      <c r="H4825" s="60"/>
    </row>
    <row r="4826" spans="1:8">
      <c r="A4826" s="60"/>
      <c r="B4826" s="77"/>
      <c r="C4826" s="60"/>
      <c r="D4826" s="81"/>
      <c r="E4826" s="62"/>
      <c r="F4826" s="60"/>
      <c r="G4826" s="62"/>
      <c r="H4826" s="60"/>
    </row>
    <row r="4827" spans="1:8">
      <c r="A4827" s="60"/>
      <c r="B4827" s="77"/>
      <c r="C4827" s="60"/>
      <c r="D4827" s="81"/>
      <c r="E4827" s="62"/>
      <c r="F4827" s="60"/>
      <c r="G4827" s="62"/>
      <c r="H4827" s="60"/>
    </row>
    <row r="4828" spans="1:8">
      <c r="A4828" s="60"/>
      <c r="B4828" s="77"/>
      <c r="C4828" s="60"/>
      <c r="D4828" s="81"/>
      <c r="E4828" s="62"/>
      <c r="F4828" s="60"/>
      <c r="G4828" s="62"/>
      <c r="H4828" s="60"/>
    </row>
    <row r="4829" spans="1:8">
      <c r="A4829" s="60"/>
      <c r="B4829" s="77"/>
      <c r="C4829" s="60"/>
      <c r="D4829" s="81"/>
      <c r="E4829" s="62"/>
      <c r="F4829" s="60"/>
      <c r="G4829" s="62"/>
      <c r="H4829" s="60"/>
    </row>
    <row r="4830" spans="1:8">
      <c r="A4830" s="60"/>
      <c r="B4830" s="77"/>
      <c r="C4830" s="60"/>
      <c r="D4830" s="81"/>
      <c r="E4830" s="62"/>
      <c r="F4830" s="60"/>
      <c r="G4830" s="62"/>
      <c r="H4830" s="60"/>
    </row>
    <row r="4831" spans="1:8">
      <c r="A4831" s="60"/>
      <c r="B4831" s="77"/>
      <c r="C4831" s="60"/>
      <c r="D4831" s="81"/>
      <c r="E4831" s="62"/>
      <c r="F4831" s="60"/>
      <c r="G4831" s="62"/>
      <c r="H4831" s="60"/>
    </row>
    <row r="4832" spans="1:8">
      <c r="A4832" s="60"/>
      <c r="B4832" s="77"/>
      <c r="C4832" s="60"/>
      <c r="D4832" s="81"/>
      <c r="E4832" s="62"/>
      <c r="F4832" s="60"/>
      <c r="G4832" s="62"/>
      <c r="H4832" s="60"/>
    </row>
    <row r="4833" spans="1:8">
      <c r="A4833" s="60"/>
      <c r="B4833" s="77"/>
      <c r="C4833" s="60"/>
      <c r="D4833" s="81"/>
      <c r="E4833" s="62"/>
      <c r="F4833" s="60"/>
      <c r="G4833" s="62"/>
      <c r="H4833" s="60"/>
    </row>
    <row r="4834" spans="1:8">
      <c r="A4834" s="60"/>
      <c r="B4834" s="77"/>
      <c r="C4834" s="60"/>
      <c r="D4834" s="81"/>
      <c r="E4834" s="62"/>
      <c r="F4834" s="60"/>
      <c r="G4834" s="62"/>
      <c r="H4834" s="60"/>
    </row>
    <row r="4835" spans="1:8">
      <c r="A4835" s="60"/>
      <c r="B4835" s="77"/>
      <c r="C4835" s="60"/>
      <c r="D4835" s="81"/>
      <c r="E4835" s="62"/>
      <c r="F4835" s="60"/>
      <c r="G4835" s="62"/>
      <c r="H4835" s="60"/>
    </row>
    <row r="4836" spans="1:8">
      <c r="A4836" s="60"/>
      <c r="B4836" s="77"/>
      <c r="C4836" s="60"/>
      <c r="D4836" s="81"/>
      <c r="E4836" s="62"/>
      <c r="F4836" s="60"/>
      <c r="G4836" s="62"/>
      <c r="H4836" s="60"/>
    </row>
    <row r="4837" spans="1:8">
      <c r="A4837" s="60"/>
      <c r="B4837" s="77"/>
      <c r="C4837" s="60"/>
      <c r="D4837" s="81"/>
      <c r="E4837" s="62"/>
      <c r="F4837" s="60"/>
      <c r="G4837" s="62"/>
      <c r="H4837" s="60"/>
    </row>
    <row r="4838" spans="1:8">
      <c r="A4838" s="60"/>
      <c r="B4838" s="77"/>
      <c r="C4838" s="60"/>
      <c r="D4838" s="81"/>
      <c r="E4838" s="62"/>
      <c r="F4838" s="60"/>
      <c r="G4838" s="62"/>
      <c r="H4838" s="60"/>
    </row>
    <row r="4839" spans="1:8">
      <c r="A4839" s="60"/>
      <c r="B4839" s="77"/>
      <c r="C4839" s="60"/>
      <c r="D4839" s="81"/>
      <c r="E4839" s="62"/>
      <c r="F4839" s="60"/>
      <c r="G4839" s="62"/>
      <c r="H4839" s="60"/>
    </row>
    <row r="4840" spans="1:8">
      <c r="A4840" s="60"/>
      <c r="B4840" s="77"/>
      <c r="C4840" s="60"/>
      <c r="D4840" s="81"/>
      <c r="E4840" s="62"/>
      <c r="F4840" s="60"/>
      <c r="G4840" s="62"/>
      <c r="H4840" s="60"/>
    </row>
    <row r="4841" spans="1:8">
      <c r="A4841" s="60"/>
      <c r="B4841" s="77"/>
      <c r="C4841" s="60"/>
      <c r="D4841" s="81"/>
      <c r="E4841" s="62"/>
      <c r="F4841" s="60"/>
      <c r="G4841" s="62"/>
      <c r="H4841" s="60"/>
    </row>
    <row r="4842" spans="1:8">
      <c r="A4842" s="60"/>
      <c r="B4842" s="77"/>
      <c r="C4842" s="60"/>
      <c r="D4842" s="81"/>
      <c r="E4842" s="62"/>
      <c r="F4842" s="60"/>
      <c r="G4842" s="62"/>
      <c r="H4842" s="60"/>
    </row>
    <row r="4843" spans="1:8">
      <c r="A4843" s="60"/>
      <c r="B4843" s="77"/>
      <c r="C4843" s="60"/>
      <c r="D4843" s="81"/>
      <c r="E4843" s="62"/>
      <c r="F4843" s="60"/>
      <c r="G4843" s="62"/>
      <c r="H4843" s="60"/>
    </row>
    <row r="4844" spans="1:8">
      <c r="A4844" s="60"/>
      <c r="B4844" s="77"/>
      <c r="C4844" s="60"/>
      <c r="D4844" s="81"/>
      <c r="E4844" s="62"/>
      <c r="F4844" s="60"/>
      <c r="G4844" s="62"/>
      <c r="H4844" s="60"/>
    </row>
    <row r="4845" spans="1:8">
      <c r="A4845" s="60"/>
      <c r="B4845" s="77"/>
      <c r="C4845" s="60"/>
      <c r="D4845" s="81"/>
      <c r="E4845" s="62"/>
      <c r="F4845" s="60"/>
      <c r="G4845" s="62"/>
      <c r="H4845" s="60"/>
    </row>
    <row r="4846" spans="1:8">
      <c r="A4846" s="60"/>
      <c r="B4846" s="77"/>
      <c r="C4846" s="60"/>
      <c r="D4846" s="81"/>
      <c r="E4846" s="62"/>
      <c r="F4846" s="60"/>
      <c r="G4846" s="62"/>
      <c r="H4846" s="60"/>
    </row>
    <row r="4847" spans="1:8">
      <c r="A4847" s="60"/>
      <c r="B4847" s="77"/>
      <c r="C4847" s="60"/>
      <c r="D4847" s="81"/>
      <c r="E4847" s="62"/>
      <c r="F4847" s="60"/>
      <c r="G4847" s="62"/>
      <c r="H4847" s="60"/>
    </row>
    <row r="4848" spans="1:8">
      <c r="A4848" s="60"/>
      <c r="B4848" s="77"/>
      <c r="C4848" s="60"/>
      <c r="D4848" s="81"/>
      <c r="E4848" s="62"/>
      <c r="F4848" s="60"/>
      <c r="G4848" s="62"/>
      <c r="H4848" s="60"/>
    </row>
    <row r="4849" spans="1:8">
      <c r="A4849" s="60"/>
      <c r="B4849" s="77"/>
      <c r="C4849" s="60"/>
      <c r="D4849" s="81"/>
      <c r="E4849" s="62"/>
      <c r="F4849" s="60"/>
      <c r="G4849" s="62"/>
      <c r="H4849" s="60"/>
    </row>
    <row r="4850" spans="1:8">
      <c r="A4850" s="60"/>
      <c r="B4850" s="77"/>
      <c r="C4850" s="60"/>
      <c r="D4850" s="81"/>
      <c r="E4850" s="62"/>
      <c r="F4850" s="60"/>
      <c r="G4850" s="62"/>
      <c r="H4850" s="60"/>
    </row>
    <row r="4851" spans="1:8">
      <c r="A4851" s="60"/>
      <c r="B4851" s="77"/>
      <c r="C4851" s="60"/>
      <c r="D4851" s="81"/>
      <c r="E4851" s="62"/>
      <c r="F4851" s="60"/>
      <c r="G4851" s="62"/>
      <c r="H4851" s="60"/>
    </row>
    <row r="4852" spans="1:8">
      <c r="A4852" s="60"/>
      <c r="B4852" s="77"/>
      <c r="C4852" s="60"/>
      <c r="D4852" s="81"/>
      <c r="E4852" s="62"/>
      <c r="F4852" s="60"/>
      <c r="G4852" s="62"/>
      <c r="H4852" s="60"/>
    </row>
    <row r="4853" spans="1:8">
      <c r="A4853" s="60"/>
      <c r="B4853" s="77"/>
      <c r="C4853" s="60"/>
      <c r="D4853" s="81"/>
      <c r="E4853" s="62"/>
      <c r="F4853" s="60"/>
      <c r="G4853" s="62"/>
      <c r="H4853" s="60"/>
    </row>
    <row r="4854" spans="1:8">
      <c r="A4854" s="60"/>
      <c r="B4854" s="77"/>
      <c r="C4854" s="60"/>
      <c r="D4854" s="81"/>
      <c r="E4854" s="62"/>
      <c r="F4854" s="60"/>
      <c r="G4854" s="62"/>
      <c r="H4854" s="60"/>
    </row>
    <row r="4855" spans="1:8">
      <c r="A4855" s="60"/>
      <c r="B4855" s="77"/>
      <c r="C4855" s="60"/>
      <c r="D4855" s="81"/>
      <c r="E4855" s="62"/>
      <c r="F4855" s="60"/>
      <c r="G4855" s="62"/>
      <c r="H4855" s="60"/>
    </row>
    <row r="4856" spans="1:8">
      <c r="A4856" s="60"/>
      <c r="B4856" s="77"/>
      <c r="C4856" s="60"/>
      <c r="D4856" s="81"/>
      <c r="E4856" s="62"/>
      <c r="F4856" s="60"/>
      <c r="G4856" s="62"/>
      <c r="H4856" s="60"/>
    </row>
    <row r="4857" spans="1:8">
      <c r="A4857" s="60"/>
      <c r="B4857" s="77"/>
      <c r="C4857" s="60"/>
      <c r="D4857" s="81"/>
      <c r="E4857" s="62"/>
      <c r="F4857" s="60"/>
      <c r="G4857" s="62"/>
      <c r="H4857" s="60"/>
    </row>
    <row r="4858" spans="1:8">
      <c r="A4858" s="60"/>
      <c r="B4858" s="77"/>
      <c r="C4858" s="60"/>
      <c r="D4858" s="81"/>
      <c r="E4858" s="62"/>
      <c r="F4858" s="60"/>
      <c r="G4858" s="62"/>
      <c r="H4858" s="60"/>
    </row>
    <row r="4859" spans="1:8">
      <c r="A4859" s="60"/>
      <c r="B4859" s="77"/>
      <c r="C4859" s="60"/>
      <c r="D4859" s="81"/>
      <c r="E4859" s="62"/>
      <c r="F4859" s="60"/>
      <c r="G4859" s="62"/>
      <c r="H4859" s="60"/>
    </row>
    <row r="4860" spans="1:8">
      <c r="A4860" s="60"/>
      <c r="B4860" s="77"/>
      <c r="C4860" s="60"/>
      <c r="D4860" s="81"/>
      <c r="E4860" s="62"/>
      <c r="F4860" s="60"/>
      <c r="G4860" s="62"/>
      <c r="H4860" s="60"/>
    </row>
    <row r="4861" spans="1:8">
      <c r="A4861" s="60"/>
      <c r="B4861" s="77"/>
      <c r="C4861" s="60"/>
      <c r="D4861" s="81"/>
      <c r="E4861" s="62"/>
      <c r="F4861" s="60"/>
      <c r="G4861" s="62"/>
      <c r="H4861" s="60"/>
    </row>
    <row r="4862" spans="1:8">
      <c r="A4862" s="60"/>
      <c r="B4862" s="77"/>
      <c r="C4862" s="60"/>
      <c r="D4862" s="81"/>
      <c r="E4862" s="62"/>
      <c r="F4862" s="60"/>
      <c r="G4862" s="62"/>
      <c r="H4862" s="60"/>
    </row>
    <row r="4863" spans="1:8">
      <c r="A4863" s="60"/>
      <c r="B4863" s="77"/>
      <c r="C4863" s="60"/>
      <c r="D4863" s="81"/>
      <c r="E4863" s="62"/>
      <c r="F4863" s="60"/>
      <c r="G4863" s="62"/>
      <c r="H4863" s="60"/>
    </row>
    <row r="4864" spans="1:8">
      <c r="A4864" s="60"/>
      <c r="B4864" s="77"/>
      <c r="C4864" s="60"/>
      <c r="D4864" s="81"/>
      <c r="E4864" s="62"/>
      <c r="F4864" s="60"/>
      <c r="G4864" s="62"/>
      <c r="H4864" s="60"/>
    </row>
    <row r="4865" spans="1:8">
      <c r="A4865" s="60"/>
      <c r="B4865" s="77"/>
      <c r="C4865" s="60"/>
      <c r="D4865" s="81"/>
      <c r="E4865" s="62"/>
      <c r="F4865" s="60"/>
      <c r="G4865" s="62"/>
      <c r="H4865" s="60"/>
    </row>
    <row r="4866" spans="1:8">
      <c r="A4866" s="60"/>
      <c r="B4866" s="77"/>
      <c r="C4866" s="60"/>
      <c r="D4866" s="81"/>
      <c r="E4866" s="62"/>
      <c r="F4866" s="60"/>
      <c r="G4866" s="62"/>
      <c r="H4866" s="60"/>
    </row>
    <row r="4867" spans="1:8">
      <c r="A4867" s="60"/>
      <c r="B4867" s="77"/>
      <c r="C4867" s="60"/>
      <c r="D4867" s="81"/>
      <c r="E4867" s="62"/>
      <c r="F4867" s="60"/>
      <c r="G4867" s="62"/>
      <c r="H4867" s="60"/>
    </row>
    <row r="4868" spans="1:8">
      <c r="A4868" s="60"/>
      <c r="B4868" s="77"/>
      <c r="C4868" s="60"/>
      <c r="D4868" s="81"/>
      <c r="E4868" s="62"/>
      <c r="F4868" s="60"/>
      <c r="G4868" s="62"/>
      <c r="H4868" s="60"/>
    </row>
    <row r="4869" spans="1:8">
      <c r="A4869" s="60"/>
      <c r="B4869" s="77"/>
      <c r="C4869" s="60"/>
      <c r="D4869" s="81"/>
      <c r="E4869" s="62"/>
      <c r="F4869" s="60"/>
      <c r="G4869" s="62"/>
      <c r="H4869" s="60"/>
    </row>
    <row r="4870" spans="1:8">
      <c r="A4870" s="60"/>
      <c r="B4870" s="77"/>
      <c r="C4870" s="60"/>
      <c r="D4870" s="81"/>
      <c r="E4870" s="62"/>
      <c r="F4870" s="60"/>
      <c r="G4870" s="62"/>
      <c r="H4870" s="60"/>
    </row>
    <row r="4871" spans="1:8">
      <c r="A4871" s="60"/>
      <c r="B4871" s="77"/>
      <c r="C4871" s="60"/>
      <c r="D4871" s="81"/>
      <c r="E4871" s="62"/>
      <c r="F4871" s="60"/>
      <c r="G4871" s="62"/>
      <c r="H4871" s="60"/>
    </row>
    <row r="4872" spans="1:8">
      <c r="A4872" s="60"/>
      <c r="B4872" s="77"/>
      <c r="C4872" s="60"/>
      <c r="D4872" s="81"/>
      <c r="E4872" s="62"/>
      <c r="F4872" s="60"/>
      <c r="G4872" s="62"/>
      <c r="H4872" s="60"/>
    </row>
    <row r="4873" spans="1:8">
      <c r="A4873" s="60"/>
      <c r="B4873" s="77"/>
      <c r="C4873" s="60"/>
      <c r="D4873" s="81"/>
      <c r="E4873" s="62"/>
      <c r="F4873" s="60"/>
      <c r="G4873" s="62"/>
      <c r="H4873" s="60"/>
    </row>
    <row r="4874" spans="1:8">
      <c r="A4874" s="60"/>
      <c r="B4874" s="77"/>
      <c r="C4874" s="60"/>
      <c r="D4874" s="81"/>
      <c r="E4874" s="62"/>
      <c r="F4874" s="60"/>
      <c r="G4874" s="62"/>
      <c r="H4874" s="60"/>
    </row>
    <row r="4875" spans="1:8">
      <c r="A4875" s="60"/>
      <c r="B4875" s="77"/>
      <c r="C4875" s="60"/>
      <c r="D4875" s="81"/>
      <c r="E4875" s="62"/>
      <c r="F4875" s="60"/>
      <c r="G4875" s="62"/>
      <c r="H4875" s="60"/>
    </row>
    <row r="4876" spans="1:8">
      <c r="A4876" s="60"/>
      <c r="B4876" s="77"/>
      <c r="C4876" s="60"/>
      <c r="D4876" s="81"/>
      <c r="E4876" s="62"/>
      <c r="F4876" s="60"/>
      <c r="G4876" s="62"/>
      <c r="H4876" s="60"/>
    </row>
    <row r="4877" spans="1:8">
      <c r="A4877" s="60"/>
      <c r="B4877" s="77"/>
      <c r="C4877" s="60"/>
      <c r="D4877" s="81"/>
      <c r="E4877" s="62"/>
      <c r="F4877" s="60"/>
      <c r="G4877" s="62"/>
      <c r="H4877" s="60"/>
    </row>
    <row r="4878" spans="1:8">
      <c r="A4878" s="60"/>
      <c r="B4878" s="77"/>
      <c r="C4878" s="60"/>
      <c r="D4878" s="81"/>
      <c r="E4878" s="62"/>
      <c r="F4878" s="60"/>
      <c r="G4878" s="62"/>
      <c r="H4878" s="60"/>
    </row>
    <row r="4879" spans="1:8">
      <c r="A4879" s="60"/>
      <c r="B4879" s="77"/>
      <c r="C4879" s="60"/>
      <c r="D4879" s="81"/>
      <c r="E4879" s="62"/>
      <c r="F4879" s="60"/>
      <c r="G4879" s="62"/>
      <c r="H4879" s="60"/>
    </row>
    <row r="4880" spans="1:8">
      <c r="A4880" s="60"/>
      <c r="B4880" s="77"/>
      <c r="C4880" s="60"/>
      <c r="D4880" s="81"/>
      <c r="E4880" s="62"/>
      <c r="F4880" s="60"/>
      <c r="G4880" s="62"/>
      <c r="H4880" s="60"/>
    </row>
    <row r="4881" spans="1:8">
      <c r="A4881" s="60"/>
      <c r="B4881" s="77"/>
      <c r="C4881" s="60"/>
      <c r="D4881" s="81"/>
      <c r="E4881" s="62"/>
      <c r="F4881" s="60"/>
      <c r="G4881" s="62"/>
      <c r="H4881" s="60"/>
    </row>
    <row r="4882" spans="1:8">
      <c r="A4882" s="60"/>
      <c r="B4882" s="77"/>
      <c r="C4882" s="60"/>
      <c r="D4882" s="81"/>
      <c r="E4882" s="62"/>
      <c r="F4882" s="60"/>
      <c r="G4882" s="62"/>
      <c r="H4882" s="60"/>
    </row>
    <row r="4883" spans="1:8">
      <c r="A4883" s="60"/>
      <c r="B4883" s="77"/>
      <c r="C4883" s="60"/>
      <c r="D4883" s="81"/>
      <c r="E4883" s="62"/>
      <c r="F4883" s="60"/>
      <c r="G4883" s="62"/>
      <c r="H4883" s="60"/>
    </row>
    <row r="4884" spans="1:8">
      <c r="A4884" s="60"/>
      <c r="B4884" s="77"/>
      <c r="C4884" s="60"/>
      <c r="D4884" s="81"/>
      <c r="E4884" s="62"/>
      <c r="F4884" s="60"/>
      <c r="G4884" s="62"/>
      <c r="H4884" s="60"/>
    </row>
    <row r="4885" spans="1:8">
      <c r="A4885" s="60"/>
      <c r="B4885" s="77"/>
      <c r="C4885" s="60"/>
      <c r="D4885" s="81"/>
      <c r="E4885" s="62"/>
      <c r="F4885" s="60"/>
      <c r="G4885" s="62"/>
      <c r="H4885" s="60"/>
    </row>
    <row r="4886" spans="1:8">
      <c r="A4886" s="60"/>
      <c r="B4886" s="77"/>
      <c r="C4886" s="60"/>
      <c r="D4886" s="81"/>
      <c r="E4886" s="62"/>
      <c r="F4886" s="60"/>
      <c r="G4886" s="62"/>
      <c r="H4886" s="60"/>
    </row>
    <row r="4887" spans="1:8">
      <c r="A4887" s="60"/>
      <c r="B4887" s="77"/>
      <c r="C4887" s="60"/>
      <c r="D4887" s="81"/>
      <c r="E4887" s="62"/>
      <c r="F4887" s="60"/>
      <c r="G4887" s="62"/>
      <c r="H4887" s="60"/>
    </row>
    <row r="4888" spans="1:8">
      <c r="A4888" s="60"/>
      <c r="B4888" s="77"/>
      <c r="C4888" s="60"/>
      <c r="D4888" s="81"/>
      <c r="E4888" s="62"/>
      <c r="F4888" s="60"/>
      <c r="G4888" s="62"/>
      <c r="H4888" s="60"/>
    </row>
    <row r="4889" spans="1:8">
      <c r="A4889" s="60"/>
      <c r="B4889" s="77"/>
      <c r="C4889" s="60"/>
      <c r="D4889" s="81"/>
      <c r="E4889" s="62"/>
      <c r="F4889" s="60"/>
      <c r="G4889" s="62"/>
      <c r="H4889" s="60"/>
    </row>
    <row r="4890" spans="1:8">
      <c r="A4890" s="60"/>
      <c r="B4890" s="77"/>
      <c r="C4890" s="60"/>
      <c r="D4890" s="81"/>
      <c r="E4890" s="62"/>
      <c r="F4890" s="60"/>
      <c r="G4890" s="62"/>
      <c r="H4890" s="60"/>
    </row>
    <row r="4891" spans="1:8">
      <c r="A4891" s="60"/>
      <c r="B4891" s="77"/>
      <c r="C4891" s="60"/>
      <c r="D4891" s="81"/>
      <c r="E4891" s="62"/>
      <c r="F4891" s="60"/>
      <c r="G4891" s="62"/>
      <c r="H4891" s="60"/>
    </row>
    <row r="4892" spans="1:8">
      <c r="A4892" s="60"/>
      <c r="B4892" s="77"/>
      <c r="C4892" s="60"/>
      <c r="D4892" s="81"/>
      <c r="E4892" s="62"/>
      <c r="F4892" s="60"/>
      <c r="G4892" s="62"/>
      <c r="H4892" s="60"/>
    </row>
    <row r="4893" spans="1:8">
      <c r="A4893" s="60"/>
      <c r="B4893" s="77"/>
      <c r="C4893" s="60"/>
      <c r="D4893" s="81"/>
      <c r="E4893" s="62"/>
      <c r="F4893" s="60"/>
      <c r="G4893" s="62"/>
      <c r="H4893" s="60"/>
    </row>
    <row r="4894" spans="1:8">
      <c r="A4894" s="60"/>
      <c r="B4894" s="77"/>
      <c r="C4894" s="60"/>
      <c r="D4894" s="81"/>
      <c r="E4894" s="62"/>
      <c r="F4894" s="60"/>
      <c r="G4894" s="62"/>
      <c r="H4894" s="60"/>
    </row>
    <row r="4895" spans="1:8">
      <c r="A4895" s="60"/>
      <c r="B4895" s="77"/>
      <c r="C4895" s="60"/>
      <c r="D4895" s="81"/>
      <c r="E4895" s="62"/>
      <c r="F4895" s="60"/>
      <c r="G4895" s="62"/>
      <c r="H4895" s="60"/>
    </row>
    <row r="4896" spans="1:8">
      <c r="A4896" s="60"/>
      <c r="B4896" s="77"/>
      <c r="C4896" s="60"/>
      <c r="D4896" s="81"/>
      <c r="E4896" s="62"/>
      <c r="F4896" s="60"/>
      <c r="G4896" s="62"/>
      <c r="H4896" s="60"/>
    </row>
    <row r="4897" spans="1:8">
      <c r="A4897" s="60"/>
      <c r="B4897" s="77"/>
      <c r="C4897" s="60"/>
      <c r="D4897" s="81"/>
      <c r="E4897" s="62"/>
      <c r="F4897" s="60"/>
      <c r="G4897" s="62"/>
      <c r="H4897" s="60"/>
    </row>
    <row r="4898" spans="1:8">
      <c r="A4898" s="60"/>
      <c r="B4898" s="77"/>
      <c r="C4898" s="60"/>
      <c r="D4898" s="81"/>
      <c r="E4898" s="62"/>
      <c r="F4898" s="60"/>
      <c r="G4898" s="62"/>
      <c r="H4898" s="60"/>
    </row>
    <row r="4899" spans="1:8">
      <c r="A4899" s="60"/>
      <c r="B4899" s="77"/>
      <c r="C4899" s="60"/>
      <c r="D4899" s="81"/>
      <c r="E4899" s="62"/>
      <c r="F4899" s="60"/>
      <c r="G4899" s="62"/>
      <c r="H4899" s="60"/>
    </row>
    <row r="4900" spans="1:8">
      <c r="A4900" s="60"/>
      <c r="B4900" s="77"/>
      <c r="C4900" s="60"/>
      <c r="D4900" s="81"/>
      <c r="E4900" s="62"/>
      <c r="F4900" s="60"/>
      <c r="G4900" s="62"/>
      <c r="H4900" s="60"/>
    </row>
    <row r="4901" spans="1:8">
      <c r="A4901" s="60"/>
      <c r="B4901" s="77"/>
      <c r="C4901" s="60"/>
      <c r="D4901" s="81"/>
      <c r="E4901" s="62"/>
      <c r="F4901" s="60"/>
      <c r="G4901" s="62"/>
      <c r="H4901" s="60"/>
    </row>
    <row r="4902" spans="1:8">
      <c r="A4902" s="60"/>
      <c r="B4902" s="77"/>
      <c r="C4902" s="60"/>
      <c r="D4902" s="81"/>
      <c r="E4902" s="62"/>
      <c r="F4902" s="60"/>
      <c r="G4902" s="62"/>
      <c r="H4902" s="60"/>
    </row>
    <row r="4903" spans="1:8">
      <c r="A4903" s="60"/>
      <c r="B4903" s="77"/>
      <c r="C4903" s="60"/>
      <c r="D4903" s="81"/>
      <c r="E4903" s="62"/>
      <c r="F4903" s="60"/>
      <c r="G4903" s="62"/>
      <c r="H4903" s="60"/>
    </row>
    <row r="4904" spans="1:8">
      <c r="A4904" s="60"/>
      <c r="B4904" s="77"/>
      <c r="C4904" s="60"/>
      <c r="D4904" s="81"/>
      <c r="E4904" s="62"/>
      <c r="F4904" s="60"/>
      <c r="G4904" s="62"/>
      <c r="H4904" s="60"/>
    </row>
    <row r="4905" spans="1:8">
      <c r="A4905" s="60"/>
      <c r="B4905" s="77"/>
      <c r="C4905" s="60"/>
      <c r="D4905" s="81"/>
      <c r="E4905" s="62"/>
      <c r="F4905" s="60"/>
      <c r="G4905" s="62"/>
      <c r="H4905" s="60"/>
    </row>
    <row r="4906" spans="1:8">
      <c r="A4906" s="60"/>
      <c r="B4906" s="77"/>
      <c r="C4906" s="60"/>
      <c r="D4906" s="81"/>
      <c r="E4906" s="62"/>
      <c r="F4906" s="60"/>
      <c r="G4906" s="62"/>
      <c r="H4906" s="60"/>
    </row>
    <row r="4907" spans="1:8">
      <c r="A4907" s="60"/>
      <c r="B4907" s="77"/>
      <c r="C4907" s="60"/>
      <c r="D4907" s="81"/>
      <c r="E4907" s="62"/>
      <c r="F4907" s="60"/>
      <c r="G4907" s="62"/>
      <c r="H4907" s="60"/>
    </row>
    <row r="4908" spans="1:8">
      <c r="A4908" s="60"/>
      <c r="B4908" s="77"/>
      <c r="C4908" s="60"/>
      <c r="D4908" s="81"/>
      <c r="E4908" s="62"/>
      <c r="F4908" s="60"/>
      <c r="G4908" s="62"/>
      <c r="H4908" s="60"/>
    </row>
    <row r="4909" spans="1:8">
      <c r="A4909" s="60"/>
      <c r="B4909" s="77"/>
      <c r="C4909" s="60"/>
      <c r="D4909" s="81"/>
      <c r="E4909" s="62"/>
      <c r="F4909" s="60"/>
      <c r="G4909" s="62"/>
      <c r="H4909" s="60"/>
    </row>
    <row r="4910" spans="1:8">
      <c r="A4910" s="60"/>
      <c r="B4910" s="77"/>
      <c r="C4910" s="60"/>
      <c r="D4910" s="81"/>
      <c r="E4910" s="62"/>
      <c r="F4910" s="60"/>
      <c r="G4910" s="62"/>
      <c r="H4910" s="60"/>
    </row>
    <row r="4911" spans="1:8">
      <c r="A4911" s="60"/>
      <c r="B4911" s="77"/>
      <c r="C4911" s="60"/>
      <c r="D4911" s="81"/>
      <c r="E4911" s="62"/>
      <c r="F4911" s="60"/>
      <c r="G4911" s="62"/>
      <c r="H4911" s="60"/>
    </row>
    <row r="4912" spans="1:8">
      <c r="A4912" s="60"/>
      <c r="B4912" s="77"/>
      <c r="C4912" s="60"/>
      <c r="D4912" s="81"/>
      <c r="E4912" s="62"/>
      <c r="F4912" s="60"/>
      <c r="G4912" s="62"/>
      <c r="H4912" s="60"/>
    </row>
    <row r="4913" spans="1:8">
      <c r="A4913" s="60"/>
      <c r="B4913" s="77"/>
      <c r="C4913" s="60"/>
      <c r="D4913" s="81"/>
      <c r="E4913" s="62"/>
      <c r="F4913" s="60"/>
      <c r="G4913" s="62"/>
      <c r="H4913" s="60"/>
    </row>
    <row r="4914" spans="1:8">
      <c r="A4914" s="60"/>
      <c r="B4914" s="77"/>
      <c r="C4914" s="60"/>
      <c r="D4914" s="81"/>
      <c r="E4914" s="62"/>
      <c r="F4914" s="60"/>
      <c r="G4914" s="62"/>
      <c r="H4914" s="60"/>
    </row>
    <row r="4915" spans="1:8">
      <c r="A4915" s="60"/>
      <c r="B4915" s="77"/>
      <c r="C4915" s="60"/>
      <c r="D4915" s="81"/>
      <c r="E4915" s="62"/>
      <c r="F4915" s="60"/>
      <c r="G4915" s="62"/>
      <c r="H4915" s="60"/>
    </row>
    <row r="4916" spans="1:8">
      <c r="A4916" s="60"/>
      <c r="B4916" s="77"/>
      <c r="C4916" s="60"/>
      <c r="D4916" s="81"/>
      <c r="E4916" s="62"/>
      <c r="F4916" s="60"/>
      <c r="G4916" s="62"/>
      <c r="H4916" s="60"/>
    </row>
    <row r="4917" spans="1:8">
      <c r="A4917" s="60"/>
      <c r="B4917" s="77"/>
      <c r="C4917" s="60"/>
      <c r="D4917" s="81"/>
      <c r="E4917" s="62"/>
      <c r="F4917" s="60"/>
      <c r="G4917" s="62"/>
      <c r="H4917" s="60"/>
    </row>
    <row r="4918" spans="1:8">
      <c r="A4918" s="60"/>
      <c r="B4918" s="77"/>
      <c r="C4918" s="60"/>
      <c r="D4918" s="81"/>
      <c r="E4918" s="62"/>
      <c r="F4918" s="60"/>
      <c r="G4918" s="62"/>
      <c r="H4918" s="60"/>
    </row>
    <row r="4919" spans="1:8">
      <c r="A4919" s="60"/>
      <c r="B4919" s="77"/>
      <c r="C4919" s="60"/>
      <c r="D4919" s="81"/>
      <c r="E4919" s="62"/>
      <c r="F4919" s="60"/>
      <c r="G4919" s="62"/>
      <c r="H4919" s="60"/>
    </row>
    <row r="4920" spans="1:8">
      <c r="A4920" s="60"/>
      <c r="B4920" s="77"/>
      <c r="C4920" s="60"/>
      <c r="D4920" s="81"/>
      <c r="E4920" s="62"/>
      <c r="F4920" s="60"/>
      <c r="G4920" s="62"/>
      <c r="H4920" s="60"/>
    </row>
    <row r="4921" spans="1:8">
      <c r="A4921" s="60"/>
      <c r="B4921" s="77"/>
      <c r="C4921" s="60"/>
      <c r="D4921" s="81"/>
      <c r="E4921" s="62"/>
      <c r="F4921" s="60"/>
      <c r="G4921" s="62"/>
      <c r="H4921" s="60"/>
    </row>
    <row r="4922" spans="1:8">
      <c r="A4922" s="60"/>
      <c r="B4922" s="77"/>
      <c r="C4922" s="60"/>
      <c r="D4922" s="81"/>
      <c r="E4922" s="62"/>
      <c r="F4922" s="60"/>
      <c r="G4922" s="62"/>
      <c r="H4922" s="60"/>
    </row>
    <row r="4923" spans="1:8">
      <c r="A4923" s="60"/>
      <c r="B4923" s="77"/>
      <c r="C4923" s="60"/>
      <c r="D4923" s="81"/>
      <c r="E4923" s="62"/>
      <c r="F4923" s="60"/>
      <c r="G4923" s="62"/>
      <c r="H4923" s="60"/>
    </row>
    <row r="4924" spans="1:8">
      <c r="A4924" s="60"/>
      <c r="B4924" s="77"/>
      <c r="C4924" s="60"/>
      <c r="D4924" s="81"/>
      <c r="E4924" s="62"/>
      <c r="F4924" s="60"/>
      <c r="G4924" s="62"/>
      <c r="H4924" s="60"/>
    </row>
    <row r="4925" spans="1:8">
      <c r="A4925" s="60"/>
      <c r="B4925" s="77"/>
      <c r="C4925" s="60"/>
      <c r="D4925" s="81"/>
      <c r="E4925" s="62"/>
      <c r="F4925" s="60"/>
      <c r="G4925" s="62"/>
      <c r="H4925" s="60"/>
    </row>
    <row r="4926" spans="1:8">
      <c r="A4926" s="60"/>
      <c r="B4926" s="77"/>
      <c r="C4926" s="60"/>
      <c r="D4926" s="81"/>
      <c r="E4926" s="62"/>
      <c r="F4926" s="60"/>
      <c r="G4926" s="62"/>
      <c r="H4926" s="60"/>
    </row>
    <row r="4927" spans="1:8">
      <c r="A4927" s="60"/>
      <c r="B4927" s="77"/>
      <c r="C4927" s="60"/>
      <c r="D4927" s="81"/>
      <c r="E4927" s="62"/>
      <c r="F4927" s="60"/>
      <c r="G4927" s="62"/>
      <c r="H4927" s="60"/>
    </row>
    <row r="4928" spans="1:8">
      <c r="A4928" s="60"/>
      <c r="B4928" s="77"/>
      <c r="C4928" s="60"/>
      <c r="D4928" s="81"/>
      <c r="E4928" s="62"/>
      <c r="F4928" s="60"/>
      <c r="G4928" s="62"/>
      <c r="H4928" s="60"/>
    </row>
    <row r="4929" spans="1:8">
      <c r="A4929" s="60"/>
      <c r="B4929" s="77"/>
      <c r="C4929" s="60"/>
      <c r="D4929" s="81"/>
      <c r="E4929" s="62"/>
      <c r="F4929" s="60"/>
      <c r="G4929" s="62"/>
      <c r="H4929" s="60"/>
    </row>
    <row r="4930" spans="1:8">
      <c r="A4930" s="60"/>
      <c r="B4930" s="77"/>
      <c r="C4930" s="60"/>
      <c r="D4930" s="81"/>
      <c r="E4930" s="62"/>
      <c r="F4930" s="60"/>
      <c r="G4930" s="62"/>
      <c r="H4930" s="60"/>
    </row>
    <row r="4931" spans="1:8">
      <c r="A4931" s="60"/>
      <c r="B4931" s="77"/>
      <c r="C4931" s="60"/>
      <c r="D4931" s="81"/>
      <c r="E4931" s="62"/>
      <c r="F4931" s="60"/>
      <c r="G4931" s="62"/>
      <c r="H4931" s="60"/>
    </row>
    <row r="4932" spans="1:8">
      <c r="A4932" s="60"/>
      <c r="B4932" s="77"/>
      <c r="C4932" s="60"/>
      <c r="D4932" s="81"/>
      <c r="E4932" s="62"/>
      <c r="F4932" s="60"/>
      <c r="G4932" s="62"/>
      <c r="H4932" s="60"/>
    </row>
    <row r="4933" spans="1:8">
      <c r="A4933" s="60"/>
      <c r="B4933" s="77"/>
      <c r="C4933" s="60"/>
      <c r="D4933" s="81"/>
      <c r="E4933" s="62"/>
      <c r="F4933" s="60"/>
      <c r="G4933" s="62"/>
      <c r="H4933" s="60"/>
    </row>
    <row r="4934" spans="1:8">
      <c r="A4934" s="60"/>
      <c r="B4934" s="77"/>
      <c r="C4934" s="60"/>
      <c r="D4934" s="81"/>
      <c r="E4934" s="62"/>
      <c r="F4934" s="60"/>
      <c r="G4934" s="62"/>
      <c r="H4934" s="60"/>
    </row>
    <row r="4935" spans="1:8">
      <c r="A4935" s="60"/>
      <c r="B4935" s="77"/>
      <c r="C4935" s="60"/>
      <c r="D4935" s="81"/>
      <c r="E4935" s="62"/>
      <c r="F4935" s="60"/>
      <c r="G4935" s="62"/>
      <c r="H4935" s="60"/>
    </row>
    <row r="4936" spans="1:8">
      <c r="A4936" s="60"/>
      <c r="B4936" s="77"/>
      <c r="C4936" s="60"/>
      <c r="D4936" s="81"/>
      <c r="E4936" s="62"/>
      <c r="F4936" s="60"/>
      <c r="G4936" s="62"/>
      <c r="H4936" s="60"/>
    </row>
    <row r="4937" spans="1:8">
      <c r="A4937" s="60"/>
      <c r="B4937" s="77"/>
      <c r="C4937" s="60"/>
      <c r="D4937" s="81"/>
      <c r="E4937" s="62"/>
      <c r="F4937" s="60"/>
      <c r="G4937" s="62"/>
      <c r="H4937" s="60"/>
    </row>
    <row r="4938" spans="1:8">
      <c r="A4938" s="60"/>
      <c r="B4938" s="77"/>
      <c r="C4938" s="60"/>
      <c r="D4938" s="81"/>
      <c r="E4938" s="62"/>
      <c r="F4938" s="60"/>
      <c r="G4938" s="62"/>
      <c r="H4938" s="60"/>
    </row>
    <row r="4939" spans="1:8">
      <c r="A4939" s="60"/>
      <c r="B4939" s="77"/>
      <c r="C4939" s="60"/>
      <c r="D4939" s="81"/>
      <c r="E4939" s="62"/>
      <c r="F4939" s="60"/>
      <c r="G4939" s="62"/>
      <c r="H4939" s="60"/>
    </row>
    <row r="4940" spans="1:8">
      <c r="A4940" s="60"/>
      <c r="B4940" s="77"/>
      <c r="C4940" s="60"/>
      <c r="D4940" s="81"/>
      <c r="E4940" s="62"/>
      <c r="F4940" s="60"/>
      <c r="G4940" s="62"/>
      <c r="H4940" s="60"/>
    </row>
    <row r="4941" spans="1:8">
      <c r="A4941" s="60"/>
      <c r="B4941" s="77"/>
      <c r="C4941" s="60"/>
      <c r="D4941" s="81"/>
      <c r="E4941" s="62"/>
      <c r="F4941" s="60"/>
      <c r="G4941" s="62"/>
      <c r="H4941" s="60"/>
    </row>
    <row r="4942" spans="1:8">
      <c r="A4942" s="60"/>
      <c r="B4942" s="77"/>
      <c r="C4942" s="60"/>
      <c r="D4942" s="81"/>
      <c r="E4942" s="62"/>
      <c r="F4942" s="60"/>
      <c r="G4942" s="62"/>
      <c r="H4942" s="60"/>
    </row>
    <row r="4943" spans="1:8">
      <c r="A4943" s="60"/>
      <c r="B4943" s="77"/>
      <c r="C4943" s="60"/>
      <c r="D4943" s="81"/>
      <c r="E4943" s="62"/>
      <c r="F4943" s="60"/>
      <c r="G4943" s="62"/>
      <c r="H4943" s="60"/>
    </row>
    <row r="4944" spans="1:8">
      <c r="A4944" s="60"/>
      <c r="B4944" s="77"/>
      <c r="C4944" s="60"/>
      <c r="D4944" s="81"/>
      <c r="E4944" s="62"/>
      <c r="F4944" s="60"/>
      <c r="G4944" s="62"/>
      <c r="H4944" s="60"/>
    </row>
    <row r="4945" spans="1:8">
      <c r="A4945" s="60"/>
      <c r="B4945" s="77"/>
      <c r="C4945" s="60"/>
      <c r="D4945" s="81"/>
      <c r="E4945" s="62"/>
      <c r="F4945" s="60"/>
      <c r="G4945" s="62"/>
      <c r="H4945" s="60"/>
    </row>
    <row r="4946" spans="1:8">
      <c r="A4946" s="60"/>
      <c r="B4946" s="77"/>
      <c r="C4946" s="60"/>
      <c r="D4946" s="81"/>
      <c r="E4946" s="62"/>
      <c r="F4946" s="60"/>
      <c r="G4946" s="62"/>
      <c r="H4946" s="60"/>
    </row>
    <row r="4947" spans="1:8">
      <c r="A4947" s="60"/>
      <c r="B4947" s="77"/>
      <c r="C4947" s="60"/>
      <c r="D4947" s="81"/>
      <c r="E4947" s="62"/>
      <c r="F4947" s="60"/>
      <c r="G4947" s="62"/>
      <c r="H4947" s="60"/>
    </row>
    <row r="4948" spans="1:8">
      <c r="A4948" s="60"/>
      <c r="B4948" s="77"/>
      <c r="C4948" s="60"/>
      <c r="D4948" s="81"/>
      <c r="E4948" s="62"/>
      <c r="F4948" s="60"/>
      <c r="G4948" s="62"/>
      <c r="H4948" s="60"/>
    </row>
    <row r="4949" spans="1:8">
      <c r="A4949" s="60"/>
      <c r="B4949" s="77"/>
      <c r="C4949" s="60"/>
      <c r="D4949" s="81"/>
      <c r="E4949" s="62"/>
      <c r="F4949" s="60"/>
      <c r="G4949" s="62"/>
      <c r="H4949" s="60"/>
    </row>
    <row r="4950" spans="1:8">
      <c r="A4950" s="60"/>
      <c r="B4950" s="77"/>
      <c r="C4950" s="60"/>
      <c r="D4950" s="81"/>
      <c r="E4950" s="62"/>
      <c r="F4950" s="60"/>
      <c r="G4950" s="62"/>
      <c r="H4950" s="60"/>
    </row>
    <row r="4951" spans="1:8">
      <c r="A4951" s="60"/>
      <c r="B4951" s="77"/>
      <c r="C4951" s="60"/>
      <c r="D4951" s="81"/>
      <c r="E4951" s="62"/>
      <c r="F4951" s="60"/>
      <c r="G4951" s="62"/>
      <c r="H4951" s="60"/>
    </row>
    <row r="4952" spans="1:8">
      <c r="A4952" s="60"/>
      <c r="B4952" s="77"/>
      <c r="C4952" s="60"/>
      <c r="D4952" s="81"/>
      <c r="E4952" s="62"/>
      <c r="F4952" s="60"/>
      <c r="G4952" s="62"/>
      <c r="H4952" s="60"/>
    </row>
    <row r="4953" spans="1:8">
      <c r="A4953" s="60"/>
      <c r="B4953" s="77"/>
      <c r="C4953" s="60"/>
      <c r="D4953" s="81"/>
      <c r="E4953" s="62"/>
      <c r="F4953" s="60"/>
      <c r="G4953" s="62"/>
      <c r="H4953" s="60"/>
    </row>
    <row r="4954" spans="1:8">
      <c r="A4954" s="60"/>
      <c r="B4954" s="77"/>
      <c r="C4954" s="60"/>
      <c r="D4954" s="81"/>
      <c r="E4954" s="62"/>
      <c r="F4954" s="60"/>
      <c r="G4954" s="62"/>
      <c r="H4954" s="60"/>
    </row>
    <row r="4955" spans="1:8">
      <c r="A4955" s="60"/>
      <c r="B4955" s="77"/>
      <c r="C4955" s="60"/>
      <c r="D4955" s="81"/>
      <c r="E4955" s="62"/>
      <c r="F4955" s="60"/>
      <c r="G4955" s="62"/>
      <c r="H4955" s="60"/>
    </row>
    <row r="4956" spans="1:8">
      <c r="A4956" s="60"/>
      <c r="B4956" s="77"/>
      <c r="C4956" s="60"/>
      <c r="D4956" s="81"/>
      <c r="E4956" s="62"/>
      <c r="F4956" s="60"/>
      <c r="G4956" s="62"/>
      <c r="H4956" s="60"/>
    </row>
    <row r="4957" spans="1:8">
      <c r="A4957" s="60"/>
      <c r="B4957" s="77"/>
      <c r="C4957" s="60"/>
      <c r="D4957" s="81"/>
      <c r="E4957" s="62"/>
      <c r="F4957" s="60"/>
      <c r="G4957" s="62"/>
      <c r="H4957" s="60"/>
    </row>
    <row r="4958" spans="1:8">
      <c r="A4958" s="60"/>
      <c r="B4958" s="77"/>
      <c r="C4958" s="60"/>
      <c r="D4958" s="81"/>
      <c r="E4958" s="62"/>
      <c r="F4958" s="60"/>
      <c r="G4958" s="62"/>
      <c r="H4958" s="60"/>
    </row>
    <row r="4959" spans="1:8">
      <c r="A4959" s="60"/>
      <c r="B4959" s="77"/>
      <c r="C4959" s="60"/>
      <c r="D4959" s="81"/>
      <c r="E4959" s="62"/>
      <c r="F4959" s="60"/>
      <c r="G4959" s="62"/>
      <c r="H4959" s="60"/>
    </row>
    <row r="4960" spans="1:8">
      <c r="A4960" s="60"/>
      <c r="B4960" s="77"/>
      <c r="C4960" s="60"/>
      <c r="D4960" s="81"/>
      <c r="E4960" s="62"/>
      <c r="F4960" s="60"/>
      <c r="G4960" s="62"/>
      <c r="H4960" s="60"/>
    </row>
    <row r="4961" spans="1:8">
      <c r="A4961" s="60"/>
      <c r="B4961" s="77"/>
      <c r="C4961" s="60"/>
      <c r="D4961" s="81"/>
      <c r="E4961" s="62"/>
      <c r="F4961" s="60"/>
      <c r="G4961" s="62"/>
      <c r="H4961" s="60"/>
    </row>
    <row r="4962" spans="1:8">
      <c r="A4962" s="60"/>
      <c r="B4962" s="77"/>
      <c r="C4962" s="60"/>
      <c r="D4962" s="81"/>
      <c r="E4962" s="62"/>
      <c r="F4962" s="60"/>
      <c r="G4962" s="62"/>
      <c r="H4962" s="60"/>
    </row>
    <row r="4963" spans="1:8">
      <c r="A4963" s="60"/>
      <c r="B4963" s="77"/>
      <c r="C4963" s="60"/>
      <c r="D4963" s="81"/>
      <c r="E4963" s="62"/>
      <c r="F4963" s="60"/>
      <c r="G4963" s="62"/>
      <c r="H4963" s="60"/>
    </row>
    <row r="4964" spans="1:8">
      <c r="A4964" s="60"/>
      <c r="B4964" s="77"/>
      <c r="C4964" s="60"/>
      <c r="D4964" s="81"/>
      <c r="E4964" s="62"/>
      <c r="F4964" s="60"/>
      <c r="G4964" s="62"/>
      <c r="H4964" s="60"/>
    </row>
    <row r="4965" spans="1:8">
      <c r="A4965" s="60"/>
      <c r="B4965" s="77"/>
      <c r="C4965" s="60"/>
      <c r="D4965" s="81"/>
      <c r="E4965" s="62"/>
      <c r="F4965" s="60"/>
      <c r="G4965" s="62"/>
      <c r="H4965" s="60"/>
    </row>
    <row r="4966" spans="1:8">
      <c r="A4966" s="60"/>
      <c r="B4966" s="77"/>
      <c r="C4966" s="60"/>
      <c r="D4966" s="81"/>
      <c r="E4966" s="62"/>
      <c r="F4966" s="60"/>
      <c r="G4966" s="62"/>
      <c r="H4966" s="60"/>
    </row>
    <row r="4967" spans="1:8">
      <c r="A4967" s="60"/>
      <c r="B4967" s="77"/>
      <c r="C4967" s="60"/>
      <c r="D4967" s="81"/>
      <c r="E4967" s="62"/>
      <c r="F4967" s="60"/>
      <c r="G4967" s="62"/>
      <c r="H4967" s="60"/>
    </row>
    <row r="4968" spans="1:8">
      <c r="A4968" s="60"/>
      <c r="B4968" s="77"/>
      <c r="C4968" s="60"/>
      <c r="D4968" s="81"/>
      <c r="E4968" s="62"/>
      <c r="F4968" s="60"/>
      <c r="G4968" s="62"/>
      <c r="H4968" s="60"/>
    </row>
    <row r="4969" spans="1:8">
      <c r="A4969" s="60"/>
      <c r="B4969" s="77"/>
      <c r="C4969" s="60"/>
      <c r="D4969" s="81"/>
      <c r="E4969" s="62"/>
      <c r="F4969" s="60"/>
      <c r="G4969" s="62"/>
      <c r="H4969" s="60"/>
    </row>
    <row r="4970" spans="1:8">
      <c r="A4970" s="60"/>
      <c r="B4970" s="77"/>
      <c r="C4970" s="60"/>
      <c r="D4970" s="81"/>
      <c r="E4970" s="62"/>
      <c r="F4970" s="60"/>
      <c r="G4970" s="62"/>
      <c r="H4970" s="60"/>
    </row>
    <row r="4971" spans="1:8">
      <c r="A4971" s="60"/>
      <c r="B4971" s="77"/>
      <c r="C4971" s="60"/>
      <c r="D4971" s="81"/>
      <c r="E4971" s="62"/>
      <c r="F4971" s="60"/>
      <c r="G4971" s="62"/>
      <c r="H4971" s="60"/>
    </row>
    <row r="4972" spans="1:8">
      <c r="A4972" s="60"/>
      <c r="B4972" s="77"/>
      <c r="C4972" s="60"/>
      <c r="D4972" s="81"/>
      <c r="E4972" s="62"/>
      <c r="F4972" s="60"/>
      <c r="G4972" s="62"/>
      <c r="H4972" s="60"/>
    </row>
    <row r="4973" spans="1:8">
      <c r="A4973" s="60"/>
      <c r="B4973" s="77"/>
      <c r="C4973" s="60"/>
      <c r="D4973" s="81"/>
      <c r="E4973" s="62"/>
      <c r="F4973" s="60"/>
      <c r="G4973" s="62"/>
      <c r="H4973" s="60"/>
    </row>
    <row r="4974" spans="1:8">
      <c r="A4974" s="60"/>
      <c r="B4974" s="77"/>
      <c r="C4974" s="60"/>
      <c r="D4974" s="81"/>
      <c r="E4974" s="62"/>
      <c r="F4974" s="60"/>
      <c r="G4974" s="62"/>
      <c r="H4974" s="60"/>
    </row>
    <row r="4975" spans="1:8">
      <c r="A4975" s="60"/>
      <c r="B4975" s="77"/>
      <c r="C4975" s="60"/>
      <c r="D4975" s="81"/>
      <c r="E4975" s="62"/>
      <c r="F4975" s="60"/>
      <c r="G4975" s="62"/>
      <c r="H4975" s="60"/>
    </row>
    <row r="4976" spans="1:8">
      <c r="A4976" s="60"/>
      <c r="B4976" s="77"/>
      <c r="C4976" s="60"/>
      <c r="D4976" s="81"/>
      <c r="E4976" s="62"/>
      <c r="F4976" s="60"/>
      <c r="G4976" s="62"/>
      <c r="H4976" s="60"/>
    </row>
    <row r="4977" spans="1:8">
      <c r="A4977" s="60"/>
      <c r="B4977" s="77"/>
      <c r="C4977" s="60"/>
      <c r="D4977" s="81"/>
      <c r="E4977" s="62"/>
      <c r="F4977" s="60"/>
      <c r="G4977" s="62"/>
      <c r="H4977" s="60"/>
    </row>
    <row r="4978" spans="1:8">
      <c r="A4978" s="60"/>
      <c r="B4978" s="77"/>
      <c r="C4978" s="60"/>
      <c r="D4978" s="81"/>
      <c r="E4978" s="62"/>
      <c r="F4978" s="60"/>
      <c r="G4978" s="62"/>
      <c r="H4978" s="60"/>
    </row>
    <row r="4979" spans="1:8">
      <c r="A4979" s="60"/>
      <c r="B4979" s="77"/>
      <c r="C4979" s="60"/>
      <c r="D4979" s="81"/>
      <c r="E4979" s="62"/>
      <c r="F4979" s="60"/>
      <c r="G4979" s="62"/>
      <c r="H4979" s="60"/>
    </row>
    <row r="4980" spans="1:8">
      <c r="A4980" s="60"/>
      <c r="B4980" s="77"/>
      <c r="C4980" s="60"/>
      <c r="D4980" s="81"/>
      <c r="E4980" s="62"/>
      <c r="F4980" s="60"/>
      <c r="G4980" s="62"/>
      <c r="H4980" s="60"/>
    </row>
    <row r="4981" spans="1:8">
      <c r="A4981" s="60"/>
      <c r="B4981" s="77"/>
      <c r="C4981" s="60"/>
      <c r="D4981" s="81"/>
      <c r="E4981" s="62"/>
      <c r="F4981" s="60"/>
      <c r="G4981" s="62"/>
      <c r="H4981" s="60"/>
    </row>
    <row r="4982" spans="1:8">
      <c r="A4982" s="60"/>
      <c r="B4982" s="77"/>
      <c r="C4982" s="60"/>
      <c r="D4982" s="81"/>
      <c r="E4982" s="62"/>
      <c r="F4982" s="60"/>
      <c r="G4982" s="62"/>
      <c r="H4982" s="60"/>
    </row>
    <row r="4983" spans="1:8">
      <c r="A4983" s="60"/>
      <c r="B4983" s="77"/>
      <c r="C4983" s="60"/>
      <c r="D4983" s="81"/>
      <c r="E4983" s="62"/>
      <c r="F4983" s="60"/>
      <c r="G4983" s="62"/>
      <c r="H4983" s="60"/>
    </row>
    <row r="4984" spans="1:8">
      <c r="A4984" s="60"/>
      <c r="B4984" s="77"/>
      <c r="C4984" s="60"/>
      <c r="D4984" s="81"/>
      <c r="E4984" s="62"/>
      <c r="F4984" s="60"/>
      <c r="G4984" s="62"/>
      <c r="H4984" s="60"/>
    </row>
    <row r="4985" spans="1:8">
      <c r="A4985" s="60"/>
      <c r="B4985" s="77"/>
      <c r="C4985" s="60"/>
      <c r="D4985" s="81"/>
      <c r="E4985" s="62"/>
      <c r="F4985" s="60"/>
      <c r="G4985" s="62"/>
      <c r="H4985" s="60"/>
    </row>
    <row r="4986" spans="1:8">
      <c r="A4986" s="60"/>
      <c r="B4986" s="77"/>
      <c r="C4986" s="60"/>
      <c r="D4986" s="81"/>
      <c r="E4986" s="62"/>
      <c r="F4986" s="60"/>
      <c r="G4986" s="62"/>
      <c r="H4986" s="60"/>
    </row>
    <row r="4987" spans="1:8">
      <c r="A4987" s="60"/>
      <c r="B4987" s="77"/>
      <c r="C4987" s="60"/>
      <c r="D4987" s="81"/>
      <c r="E4987" s="62"/>
      <c r="F4987" s="60"/>
      <c r="G4987" s="62"/>
      <c r="H4987" s="60"/>
    </row>
    <row r="4988" spans="1:8">
      <c r="A4988" s="60"/>
      <c r="B4988" s="77"/>
      <c r="C4988" s="60"/>
      <c r="D4988" s="81"/>
      <c r="E4988" s="62"/>
      <c r="F4988" s="60"/>
      <c r="G4988" s="62"/>
      <c r="H4988" s="60"/>
    </row>
    <row r="4989" spans="1:8">
      <c r="A4989" s="60"/>
      <c r="B4989" s="77"/>
      <c r="C4989" s="60"/>
      <c r="D4989" s="81"/>
      <c r="E4989" s="62"/>
      <c r="F4989" s="60"/>
      <c r="G4989" s="62"/>
      <c r="H4989" s="60"/>
    </row>
    <row r="4990" spans="1:8">
      <c r="A4990" s="60"/>
      <c r="B4990" s="77"/>
      <c r="C4990" s="60"/>
      <c r="D4990" s="81"/>
      <c r="E4990" s="62"/>
      <c r="F4990" s="60"/>
      <c r="G4990" s="62"/>
      <c r="H4990" s="60"/>
    </row>
    <row r="4991" spans="1:8">
      <c r="A4991" s="60"/>
      <c r="B4991" s="77"/>
      <c r="C4991" s="60"/>
      <c r="D4991" s="81"/>
      <c r="E4991" s="62"/>
      <c r="F4991" s="60"/>
      <c r="G4991" s="62"/>
      <c r="H4991" s="60"/>
    </row>
    <row r="4992" spans="1:8">
      <c r="A4992" s="60"/>
      <c r="B4992" s="77"/>
      <c r="C4992" s="60"/>
      <c r="D4992" s="81"/>
      <c r="E4992" s="62"/>
      <c r="F4992" s="60"/>
      <c r="G4992" s="62"/>
      <c r="H4992" s="60"/>
    </row>
    <row r="4993" spans="1:8">
      <c r="A4993" s="60"/>
      <c r="B4993" s="77"/>
      <c r="C4993" s="60"/>
      <c r="D4993" s="81"/>
      <c r="E4993" s="62"/>
      <c r="F4993" s="60"/>
      <c r="G4993" s="62"/>
      <c r="H4993" s="60"/>
    </row>
    <row r="4994" spans="1:8">
      <c r="A4994" s="60"/>
      <c r="B4994" s="77"/>
      <c r="C4994" s="60"/>
      <c r="D4994" s="81"/>
      <c r="E4994" s="62"/>
      <c r="F4994" s="60"/>
      <c r="G4994" s="62"/>
      <c r="H4994" s="60"/>
    </row>
    <row r="4995" spans="1:8">
      <c r="A4995" s="60"/>
      <c r="B4995" s="77"/>
      <c r="C4995" s="60"/>
      <c r="D4995" s="81"/>
      <c r="E4995" s="62"/>
      <c r="F4995" s="60"/>
      <c r="G4995" s="62"/>
      <c r="H4995" s="60"/>
    </row>
    <row r="4996" spans="1:8">
      <c r="A4996" s="60"/>
      <c r="B4996" s="77"/>
      <c r="C4996" s="60"/>
      <c r="D4996" s="81"/>
      <c r="E4996" s="62"/>
      <c r="F4996" s="60"/>
      <c r="G4996" s="62"/>
      <c r="H4996" s="60"/>
    </row>
    <row r="4997" spans="1:8">
      <c r="A4997" s="60"/>
      <c r="B4997" s="77"/>
      <c r="C4997" s="60"/>
      <c r="D4997" s="81"/>
      <c r="E4997" s="62"/>
      <c r="F4997" s="60"/>
      <c r="G4997" s="62"/>
      <c r="H4997" s="60"/>
    </row>
    <row r="4998" spans="1:8">
      <c r="A4998" s="60"/>
      <c r="B4998" s="77"/>
      <c r="C4998" s="60"/>
      <c r="D4998" s="81"/>
      <c r="E4998" s="62"/>
      <c r="F4998" s="60"/>
      <c r="G4998" s="62"/>
      <c r="H4998" s="60"/>
    </row>
    <row r="4999" spans="1:8">
      <c r="A4999" s="60"/>
      <c r="B4999" s="77"/>
      <c r="C4999" s="60"/>
      <c r="D4999" s="81"/>
      <c r="E4999" s="62"/>
      <c r="F4999" s="60"/>
      <c r="G4999" s="62"/>
      <c r="H4999" s="60"/>
    </row>
    <row r="5000" spans="1:8">
      <c r="A5000" s="60"/>
      <c r="B5000" s="77"/>
      <c r="C5000" s="60"/>
      <c r="D5000" s="81"/>
      <c r="E5000" s="62"/>
      <c r="F5000" s="60"/>
      <c r="G5000" s="62"/>
      <c r="H5000" s="60"/>
    </row>
    <row r="5001" spans="1:8">
      <c r="A5001" s="60"/>
      <c r="B5001" s="77"/>
      <c r="C5001" s="60"/>
      <c r="D5001" s="81"/>
      <c r="E5001" s="62"/>
      <c r="F5001" s="60"/>
      <c r="G5001" s="62"/>
      <c r="H5001" s="60"/>
    </row>
    <row r="5002" spans="1:8">
      <c r="A5002" s="60"/>
      <c r="B5002" s="77"/>
      <c r="C5002" s="60"/>
      <c r="D5002" s="81"/>
      <c r="E5002" s="62"/>
      <c r="F5002" s="60"/>
      <c r="G5002" s="62"/>
      <c r="H5002" s="60"/>
    </row>
    <row r="5003" spans="1:8">
      <c r="A5003" s="60"/>
      <c r="B5003" s="77"/>
      <c r="C5003" s="60"/>
      <c r="D5003" s="81"/>
      <c r="E5003" s="62"/>
      <c r="F5003" s="60"/>
      <c r="G5003" s="62"/>
      <c r="H5003" s="60"/>
    </row>
    <row r="5004" spans="1:8">
      <c r="A5004" s="60"/>
      <c r="B5004" s="77"/>
      <c r="C5004" s="60"/>
      <c r="D5004" s="81"/>
      <c r="E5004" s="62"/>
      <c r="F5004" s="60"/>
      <c r="G5004" s="62"/>
      <c r="H5004" s="60"/>
    </row>
    <row r="5005" spans="1:8">
      <c r="A5005" s="60"/>
      <c r="B5005" s="77"/>
      <c r="C5005" s="60"/>
      <c r="D5005" s="81"/>
      <c r="E5005" s="62"/>
      <c r="F5005" s="60"/>
      <c r="G5005" s="62"/>
      <c r="H5005" s="60"/>
    </row>
    <row r="5006" spans="1:8">
      <c r="A5006" s="60"/>
      <c r="B5006" s="77"/>
      <c r="C5006" s="60"/>
      <c r="D5006" s="81"/>
      <c r="E5006" s="62"/>
      <c r="F5006" s="60"/>
      <c r="G5006" s="62"/>
      <c r="H5006" s="60"/>
    </row>
    <row r="5007" spans="1:8">
      <c r="A5007" s="60"/>
      <c r="B5007" s="77"/>
      <c r="C5007" s="60"/>
      <c r="D5007" s="81"/>
      <c r="E5007" s="62"/>
      <c r="F5007" s="60"/>
      <c r="G5007" s="62"/>
      <c r="H5007" s="60"/>
    </row>
    <row r="5008" spans="1:8">
      <c r="A5008" s="60"/>
      <c r="B5008" s="77"/>
      <c r="C5008" s="60"/>
      <c r="D5008" s="81"/>
      <c r="E5008" s="62"/>
      <c r="F5008" s="60"/>
      <c r="G5008" s="62"/>
      <c r="H5008" s="60"/>
    </row>
    <row r="5009" spans="1:8">
      <c r="A5009" s="60"/>
      <c r="B5009" s="77"/>
      <c r="C5009" s="60"/>
      <c r="D5009" s="81"/>
      <c r="E5009" s="62"/>
      <c r="F5009" s="60"/>
      <c r="G5009" s="62"/>
      <c r="H5009" s="60"/>
    </row>
    <row r="5010" spans="1:8">
      <c r="A5010" s="60"/>
      <c r="B5010" s="77"/>
      <c r="C5010" s="60"/>
      <c r="D5010" s="81"/>
      <c r="E5010" s="62"/>
      <c r="F5010" s="60"/>
      <c r="G5010" s="62"/>
      <c r="H5010" s="60"/>
    </row>
    <row r="5011" spans="1:8">
      <c r="A5011" s="60"/>
      <c r="B5011" s="77"/>
      <c r="C5011" s="60"/>
      <c r="D5011" s="81"/>
      <c r="E5011" s="62"/>
      <c r="F5011" s="60"/>
      <c r="G5011" s="62"/>
      <c r="H5011" s="60"/>
    </row>
    <row r="5012" spans="1:8">
      <c r="A5012" s="60"/>
      <c r="B5012" s="77"/>
      <c r="C5012" s="60"/>
      <c r="D5012" s="81"/>
      <c r="E5012" s="62"/>
      <c r="F5012" s="60"/>
      <c r="G5012" s="62"/>
      <c r="H5012" s="60"/>
    </row>
    <row r="5013" spans="1:8">
      <c r="A5013" s="60"/>
      <c r="B5013" s="77"/>
      <c r="C5013" s="60"/>
      <c r="D5013" s="81"/>
      <c r="E5013" s="62"/>
      <c r="F5013" s="60"/>
      <c r="G5013" s="62"/>
      <c r="H5013" s="60"/>
    </row>
    <row r="5014" spans="1:8">
      <c r="A5014" s="60"/>
      <c r="B5014" s="77"/>
      <c r="C5014" s="60"/>
      <c r="D5014" s="81"/>
      <c r="E5014" s="62"/>
      <c r="F5014" s="60"/>
      <c r="G5014" s="62"/>
      <c r="H5014" s="60"/>
    </row>
    <row r="5015" spans="1:8">
      <c r="A5015" s="60"/>
      <c r="B5015" s="77"/>
      <c r="C5015" s="60"/>
      <c r="D5015" s="81"/>
      <c r="E5015" s="62"/>
      <c r="F5015" s="60"/>
      <c r="G5015" s="62"/>
      <c r="H5015" s="60"/>
    </row>
    <row r="5016" spans="1:8">
      <c r="A5016" s="60"/>
      <c r="B5016" s="77"/>
      <c r="C5016" s="60"/>
      <c r="D5016" s="81"/>
      <c r="E5016" s="62"/>
      <c r="F5016" s="60"/>
      <c r="G5016" s="62"/>
      <c r="H5016" s="60"/>
    </row>
    <row r="5017" spans="1:8">
      <c r="A5017" s="60"/>
      <c r="B5017" s="77"/>
      <c r="C5017" s="60"/>
      <c r="D5017" s="81"/>
      <c r="E5017" s="62"/>
      <c r="F5017" s="60"/>
      <c r="G5017" s="62"/>
      <c r="H5017" s="60"/>
    </row>
    <row r="5018" spans="1:8">
      <c r="A5018" s="60"/>
      <c r="B5018" s="77"/>
      <c r="C5018" s="60"/>
      <c r="D5018" s="81"/>
      <c r="E5018" s="62"/>
      <c r="F5018" s="60"/>
      <c r="G5018" s="62"/>
      <c r="H5018" s="60"/>
    </row>
    <row r="5019" spans="1:8">
      <c r="A5019" s="60"/>
      <c r="B5019" s="77"/>
      <c r="C5019" s="60"/>
      <c r="D5019" s="81"/>
      <c r="E5019" s="62"/>
      <c r="F5019" s="60"/>
      <c r="G5019" s="62"/>
      <c r="H5019" s="60"/>
    </row>
    <row r="5020" spans="1:8">
      <c r="A5020" s="60"/>
      <c r="B5020" s="77"/>
      <c r="C5020" s="60"/>
      <c r="D5020" s="81"/>
      <c r="E5020" s="62"/>
      <c r="F5020" s="60"/>
      <c r="G5020" s="62"/>
      <c r="H5020" s="60"/>
    </row>
    <row r="5021" spans="1:8">
      <c r="A5021" s="60"/>
      <c r="B5021" s="77"/>
      <c r="C5021" s="60"/>
      <c r="D5021" s="81"/>
      <c r="E5021" s="62"/>
      <c r="F5021" s="60"/>
      <c r="G5021" s="62"/>
      <c r="H5021" s="60"/>
    </row>
    <row r="5022" spans="1:8">
      <c r="A5022" s="60"/>
      <c r="B5022" s="77"/>
      <c r="C5022" s="60"/>
      <c r="D5022" s="81"/>
      <c r="E5022" s="62"/>
      <c r="F5022" s="60"/>
      <c r="G5022" s="62"/>
      <c r="H5022" s="60"/>
    </row>
    <row r="5023" spans="1:8">
      <c r="A5023" s="60"/>
      <c r="B5023" s="77"/>
      <c r="C5023" s="60"/>
      <c r="D5023" s="81"/>
      <c r="E5023" s="62"/>
      <c r="F5023" s="60"/>
      <c r="G5023" s="62"/>
      <c r="H5023" s="60"/>
    </row>
    <row r="5024" spans="1:8">
      <c r="A5024" s="60"/>
      <c r="B5024" s="77"/>
      <c r="C5024" s="60"/>
      <c r="D5024" s="81"/>
      <c r="E5024" s="62"/>
      <c r="F5024" s="60"/>
      <c r="G5024" s="62"/>
      <c r="H5024" s="60"/>
    </row>
    <row r="5025" spans="1:8">
      <c r="A5025" s="60"/>
      <c r="B5025" s="77"/>
      <c r="C5025" s="60"/>
      <c r="D5025" s="81"/>
      <c r="E5025" s="62"/>
      <c r="F5025" s="60"/>
      <c r="G5025" s="62"/>
      <c r="H5025" s="60"/>
    </row>
    <row r="5026" spans="1:8">
      <c r="A5026" s="60"/>
      <c r="B5026" s="77"/>
      <c r="C5026" s="60"/>
      <c r="D5026" s="81"/>
      <c r="E5026" s="62"/>
      <c r="F5026" s="60"/>
      <c r="G5026" s="62"/>
      <c r="H5026" s="60"/>
    </row>
    <row r="5027" spans="1:8">
      <c r="A5027" s="60"/>
      <c r="B5027" s="77"/>
      <c r="C5027" s="60"/>
      <c r="D5027" s="81"/>
      <c r="E5027" s="62"/>
      <c r="F5027" s="60"/>
      <c r="G5027" s="62"/>
      <c r="H5027" s="60"/>
    </row>
    <row r="5028" spans="1:8">
      <c r="A5028" s="60"/>
      <c r="B5028" s="77"/>
      <c r="C5028" s="60"/>
      <c r="D5028" s="81"/>
      <c r="E5028" s="62"/>
      <c r="F5028" s="60"/>
      <c r="G5028" s="62"/>
      <c r="H5028" s="60"/>
    </row>
    <row r="5029" spans="1:8">
      <c r="A5029" s="60"/>
      <c r="B5029" s="77"/>
      <c r="C5029" s="60"/>
      <c r="D5029" s="81"/>
      <c r="E5029" s="62"/>
      <c r="F5029" s="60"/>
      <c r="G5029" s="62"/>
      <c r="H5029" s="60"/>
    </row>
    <row r="5030" spans="1:8">
      <c r="A5030" s="60"/>
      <c r="B5030" s="77"/>
      <c r="C5030" s="60"/>
      <c r="D5030" s="81"/>
      <c r="E5030" s="62"/>
      <c r="F5030" s="60"/>
      <c r="G5030" s="62"/>
      <c r="H5030" s="60"/>
    </row>
    <row r="5031" spans="1:8">
      <c r="A5031" s="60"/>
      <c r="B5031" s="77"/>
      <c r="C5031" s="60"/>
      <c r="D5031" s="81"/>
      <c r="E5031" s="62"/>
      <c r="F5031" s="60"/>
      <c r="G5031" s="62"/>
      <c r="H5031" s="60"/>
    </row>
    <row r="5032" spans="1:8">
      <c r="A5032" s="60"/>
      <c r="B5032" s="77"/>
      <c r="C5032" s="60"/>
      <c r="D5032" s="81"/>
      <c r="E5032" s="62"/>
      <c r="F5032" s="60"/>
      <c r="G5032" s="62"/>
      <c r="H5032" s="60"/>
    </row>
    <row r="5033" spans="1:8">
      <c r="A5033" s="60"/>
      <c r="B5033" s="77"/>
      <c r="C5033" s="60"/>
      <c r="D5033" s="81"/>
      <c r="E5033" s="62"/>
      <c r="F5033" s="60"/>
      <c r="G5033" s="62"/>
      <c r="H5033" s="60"/>
    </row>
    <row r="5034" spans="1:8">
      <c r="A5034" s="60"/>
      <c r="B5034" s="77"/>
      <c r="C5034" s="60"/>
      <c r="D5034" s="81"/>
      <c r="E5034" s="62"/>
      <c r="F5034" s="60"/>
      <c r="G5034" s="62"/>
      <c r="H5034" s="60"/>
    </row>
    <row r="5035" spans="1:8">
      <c r="A5035" s="60"/>
      <c r="B5035" s="77"/>
      <c r="C5035" s="60"/>
      <c r="D5035" s="81"/>
      <c r="E5035" s="62"/>
      <c r="F5035" s="60"/>
      <c r="G5035" s="62"/>
      <c r="H5035" s="60"/>
    </row>
    <row r="5036" spans="1:8">
      <c r="A5036" s="60"/>
      <c r="B5036" s="77"/>
      <c r="C5036" s="60"/>
      <c r="D5036" s="81"/>
      <c r="E5036" s="62"/>
      <c r="F5036" s="60"/>
      <c r="G5036" s="62"/>
      <c r="H5036" s="60"/>
    </row>
    <row r="5037" spans="1:8">
      <c r="A5037" s="60"/>
      <c r="B5037" s="77"/>
      <c r="C5037" s="60"/>
      <c r="D5037" s="81"/>
      <c r="E5037" s="62"/>
      <c r="F5037" s="60"/>
      <c r="G5037" s="62"/>
      <c r="H5037" s="60"/>
    </row>
    <row r="5038" spans="1:8">
      <c r="A5038" s="60"/>
      <c r="B5038" s="77"/>
      <c r="C5038" s="60"/>
      <c r="D5038" s="81"/>
      <c r="E5038" s="62"/>
      <c r="F5038" s="60"/>
      <c r="G5038" s="62"/>
      <c r="H5038" s="60"/>
    </row>
    <row r="5039" spans="1:8">
      <c r="A5039" s="60"/>
      <c r="B5039" s="77"/>
      <c r="C5039" s="60"/>
      <c r="D5039" s="81"/>
      <c r="E5039" s="62"/>
      <c r="F5039" s="60"/>
      <c r="G5039" s="62"/>
      <c r="H5039" s="60"/>
    </row>
    <row r="5040" spans="1:8">
      <c r="A5040" s="60"/>
      <c r="B5040" s="77"/>
      <c r="C5040" s="60"/>
      <c r="D5040" s="81"/>
      <c r="E5040" s="62"/>
      <c r="F5040" s="60"/>
      <c r="G5040" s="62"/>
      <c r="H5040" s="60"/>
    </row>
    <row r="5041" spans="1:8">
      <c r="A5041" s="60"/>
      <c r="B5041" s="77"/>
      <c r="C5041" s="60"/>
      <c r="D5041" s="81"/>
      <c r="E5041" s="62"/>
      <c r="F5041" s="60"/>
      <c r="G5041" s="62"/>
      <c r="H5041" s="60"/>
    </row>
    <row r="5042" spans="1:8">
      <c r="A5042" s="60"/>
      <c r="B5042" s="77"/>
      <c r="C5042" s="60"/>
      <c r="D5042" s="81"/>
      <c r="E5042" s="62"/>
      <c r="F5042" s="60"/>
      <c r="G5042" s="62"/>
      <c r="H5042" s="60"/>
    </row>
    <row r="5043" spans="1:8">
      <c r="A5043" s="60"/>
      <c r="B5043" s="77"/>
      <c r="C5043" s="60"/>
      <c r="D5043" s="81"/>
      <c r="E5043" s="62"/>
      <c r="F5043" s="60"/>
      <c r="G5043" s="62"/>
      <c r="H5043" s="60"/>
    </row>
    <row r="5044" spans="1:8">
      <c r="A5044" s="60"/>
      <c r="B5044" s="77"/>
      <c r="C5044" s="60"/>
      <c r="D5044" s="81"/>
      <c r="E5044" s="62"/>
      <c r="F5044" s="60"/>
      <c r="G5044" s="62"/>
      <c r="H5044" s="60"/>
    </row>
    <row r="5045" spans="1:8">
      <c r="A5045" s="60"/>
      <c r="B5045" s="77"/>
      <c r="C5045" s="60"/>
      <c r="D5045" s="81"/>
      <c r="E5045" s="62"/>
      <c r="F5045" s="60"/>
      <c r="G5045" s="62"/>
      <c r="H5045" s="60"/>
    </row>
    <row r="5046" spans="1:8">
      <c r="A5046" s="60"/>
      <c r="B5046" s="77"/>
      <c r="C5046" s="60"/>
      <c r="D5046" s="81"/>
      <c r="E5046" s="62"/>
      <c r="F5046" s="60"/>
      <c r="G5046" s="62"/>
      <c r="H5046" s="60"/>
    </row>
    <row r="5047" spans="1:8">
      <c r="A5047" s="60"/>
      <c r="B5047" s="77"/>
      <c r="C5047" s="60"/>
      <c r="D5047" s="81"/>
      <c r="E5047" s="62"/>
      <c r="F5047" s="60"/>
      <c r="G5047" s="62"/>
      <c r="H5047" s="60"/>
    </row>
    <row r="5048" spans="1:8">
      <c r="A5048" s="60"/>
      <c r="B5048" s="77"/>
      <c r="C5048" s="60"/>
      <c r="D5048" s="81"/>
      <c r="E5048" s="62"/>
      <c r="F5048" s="60"/>
      <c r="G5048" s="62"/>
      <c r="H5048" s="60"/>
    </row>
    <row r="5049" spans="1:8">
      <c r="A5049" s="60"/>
      <c r="B5049" s="77"/>
      <c r="C5049" s="60"/>
      <c r="D5049" s="81"/>
      <c r="E5049" s="62"/>
      <c r="F5049" s="60"/>
      <c r="G5049" s="62"/>
      <c r="H5049" s="60"/>
    </row>
    <row r="5050" spans="1:8">
      <c r="A5050" s="60"/>
      <c r="B5050" s="77"/>
      <c r="C5050" s="60"/>
      <c r="D5050" s="81"/>
      <c r="E5050" s="62"/>
      <c r="F5050" s="60"/>
      <c r="G5050" s="62"/>
      <c r="H5050" s="60"/>
    </row>
    <row r="5051" spans="1:8">
      <c r="A5051" s="60"/>
      <c r="B5051" s="77"/>
      <c r="C5051" s="60"/>
      <c r="D5051" s="81"/>
      <c r="E5051" s="62"/>
      <c r="F5051" s="60"/>
      <c r="G5051" s="62"/>
      <c r="H5051" s="60"/>
    </row>
    <row r="5052" spans="1:8">
      <c r="A5052" s="60"/>
      <c r="B5052" s="77"/>
      <c r="C5052" s="60"/>
      <c r="D5052" s="81"/>
      <c r="E5052" s="62"/>
      <c r="F5052" s="60"/>
      <c r="G5052" s="62"/>
      <c r="H5052" s="60"/>
    </row>
    <row r="5053" spans="1:8">
      <c r="A5053" s="60"/>
      <c r="B5053" s="77"/>
      <c r="C5053" s="60"/>
      <c r="D5053" s="81"/>
      <c r="E5053" s="62"/>
      <c r="F5053" s="60"/>
      <c r="G5053" s="62"/>
      <c r="H5053" s="60"/>
    </row>
    <row r="5054" spans="1:8">
      <c r="A5054" s="60"/>
      <c r="B5054" s="77"/>
      <c r="C5054" s="60"/>
      <c r="D5054" s="81"/>
      <c r="E5054" s="62"/>
      <c r="F5054" s="60"/>
      <c r="G5054" s="62"/>
      <c r="H5054" s="60"/>
    </row>
    <row r="5055" spans="1:8">
      <c r="A5055" s="60"/>
      <c r="B5055" s="77"/>
      <c r="C5055" s="60"/>
      <c r="D5055" s="81"/>
      <c r="E5055" s="62"/>
      <c r="F5055" s="60"/>
      <c r="G5055" s="62"/>
      <c r="H5055" s="60"/>
    </row>
    <row r="5056" spans="1:8">
      <c r="A5056" s="60"/>
      <c r="B5056" s="77"/>
      <c r="C5056" s="60"/>
      <c r="D5056" s="81"/>
      <c r="E5056" s="62"/>
      <c r="F5056" s="60"/>
      <c r="G5056" s="62"/>
      <c r="H5056" s="60"/>
    </row>
    <row r="5057" spans="1:8">
      <c r="A5057" s="60"/>
      <c r="B5057" s="77"/>
      <c r="C5057" s="60"/>
      <c r="D5057" s="81"/>
      <c r="E5057" s="62"/>
      <c r="F5057" s="60"/>
      <c r="G5057" s="62"/>
      <c r="H5057" s="60"/>
    </row>
    <row r="5058" spans="1:8">
      <c r="A5058" s="60"/>
      <c r="B5058" s="77"/>
      <c r="C5058" s="60"/>
      <c r="D5058" s="81"/>
      <c r="E5058" s="62"/>
      <c r="F5058" s="60"/>
      <c r="G5058" s="62"/>
      <c r="H5058" s="60"/>
    </row>
    <row r="5059" spans="1:8">
      <c r="A5059" s="60"/>
      <c r="B5059" s="77"/>
      <c r="C5059" s="60"/>
      <c r="D5059" s="81"/>
      <c r="E5059" s="62"/>
      <c r="F5059" s="60"/>
      <c r="G5059" s="62"/>
      <c r="H5059" s="60"/>
    </row>
    <row r="5060" spans="1:8">
      <c r="A5060" s="60"/>
      <c r="B5060" s="77"/>
      <c r="C5060" s="60"/>
      <c r="D5060" s="81"/>
      <c r="E5060" s="62"/>
      <c r="F5060" s="60"/>
      <c r="G5060" s="62"/>
      <c r="H5060" s="60"/>
    </row>
    <row r="5061" spans="1:8">
      <c r="A5061" s="60"/>
      <c r="B5061" s="77"/>
      <c r="C5061" s="60"/>
      <c r="D5061" s="81"/>
      <c r="E5061" s="62"/>
      <c r="F5061" s="60"/>
      <c r="G5061" s="62"/>
      <c r="H5061" s="60"/>
    </row>
    <row r="5062" spans="1:8">
      <c r="A5062" s="60"/>
      <c r="B5062" s="77"/>
      <c r="C5062" s="60"/>
      <c r="D5062" s="81"/>
      <c r="E5062" s="62"/>
      <c r="F5062" s="60"/>
      <c r="G5062" s="62"/>
      <c r="H5062" s="60"/>
    </row>
    <row r="5063" spans="1:8">
      <c r="A5063" s="60"/>
      <c r="B5063" s="77"/>
      <c r="C5063" s="60"/>
      <c r="D5063" s="81"/>
      <c r="E5063" s="62"/>
      <c r="F5063" s="60"/>
      <c r="G5063" s="62"/>
      <c r="H5063" s="60"/>
    </row>
    <row r="5064" spans="1:8">
      <c r="A5064" s="60"/>
      <c r="B5064" s="77"/>
      <c r="C5064" s="60"/>
      <c r="D5064" s="81"/>
      <c r="E5064" s="62"/>
      <c r="F5064" s="60"/>
      <c r="G5064" s="62"/>
      <c r="H5064" s="60"/>
    </row>
    <row r="5065" spans="1:8">
      <c r="A5065" s="60"/>
      <c r="B5065" s="77"/>
      <c r="C5065" s="60"/>
      <c r="D5065" s="81"/>
      <c r="E5065" s="62"/>
      <c r="F5065" s="60"/>
      <c r="G5065" s="62"/>
      <c r="H5065" s="60"/>
    </row>
    <row r="5066" spans="1:8">
      <c r="A5066" s="60"/>
      <c r="B5066" s="77"/>
      <c r="C5066" s="60"/>
      <c r="D5066" s="81"/>
      <c r="E5066" s="62"/>
      <c r="F5066" s="60"/>
      <c r="G5066" s="62"/>
      <c r="H5066" s="60"/>
    </row>
    <row r="5067" spans="1:8">
      <c r="A5067" s="60"/>
      <c r="B5067" s="77"/>
      <c r="C5067" s="60"/>
      <c r="D5067" s="81"/>
      <c r="E5067" s="62"/>
      <c r="F5067" s="60"/>
      <c r="G5067" s="62"/>
      <c r="H5067" s="60"/>
    </row>
    <row r="5068" spans="1:8">
      <c r="A5068" s="60"/>
      <c r="B5068" s="77"/>
      <c r="C5068" s="60"/>
      <c r="D5068" s="81"/>
      <c r="E5068" s="62"/>
      <c r="F5068" s="60"/>
      <c r="G5068" s="62"/>
      <c r="H5068" s="60"/>
    </row>
    <row r="5069" spans="1:8">
      <c r="A5069" s="60"/>
      <c r="B5069" s="77"/>
      <c r="C5069" s="60"/>
      <c r="D5069" s="81"/>
      <c r="E5069" s="62"/>
      <c r="F5069" s="60"/>
      <c r="G5069" s="62"/>
      <c r="H5069" s="60"/>
    </row>
    <row r="5070" spans="1:8">
      <c r="A5070" s="60"/>
      <c r="B5070" s="77"/>
      <c r="C5070" s="60"/>
      <c r="D5070" s="81"/>
      <c r="E5070" s="62"/>
      <c r="F5070" s="60"/>
      <c r="G5070" s="62"/>
      <c r="H5070" s="60"/>
    </row>
    <row r="5071" spans="1:8">
      <c r="A5071" s="60"/>
      <c r="B5071" s="77"/>
      <c r="C5071" s="60"/>
      <c r="D5071" s="81"/>
      <c r="E5071" s="62"/>
      <c r="F5071" s="60"/>
      <c r="G5071" s="62"/>
      <c r="H5071" s="60"/>
    </row>
    <row r="5072" spans="1:8">
      <c r="A5072" s="60"/>
      <c r="B5072" s="77"/>
      <c r="C5072" s="60"/>
      <c r="D5072" s="81"/>
      <c r="E5072" s="62"/>
      <c r="F5072" s="60"/>
      <c r="G5072" s="62"/>
      <c r="H5072" s="60"/>
    </row>
    <row r="5073" spans="1:8">
      <c r="A5073" s="60"/>
      <c r="B5073" s="77"/>
      <c r="C5073" s="60"/>
      <c r="D5073" s="81"/>
      <c r="E5073" s="62"/>
      <c r="F5073" s="60"/>
      <c r="G5073" s="62"/>
      <c r="H5073" s="60"/>
    </row>
    <row r="5074" spans="1:8">
      <c r="A5074" s="60"/>
      <c r="B5074" s="77"/>
      <c r="C5074" s="60"/>
      <c r="D5074" s="81"/>
      <c r="E5074" s="62"/>
      <c r="F5074" s="60"/>
      <c r="G5074" s="62"/>
      <c r="H5074" s="60"/>
    </row>
    <row r="5075" spans="1:8">
      <c r="A5075" s="60"/>
      <c r="B5075" s="77"/>
      <c r="C5075" s="60"/>
      <c r="D5075" s="81"/>
      <c r="E5075" s="62"/>
      <c r="F5075" s="60"/>
      <c r="G5075" s="62"/>
      <c r="H5075" s="60"/>
    </row>
    <row r="5076" spans="1:8">
      <c r="A5076" s="60"/>
      <c r="B5076" s="77"/>
      <c r="C5076" s="60"/>
      <c r="D5076" s="81"/>
      <c r="E5076" s="62"/>
      <c r="F5076" s="60"/>
      <c r="G5076" s="62"/>
      <c r="H5076" s="60"/>
    </row>
    <row r="5077" spans="1:8">
      <c r="A5077" s="60"/>
      <c r="B5077" s="77"/>
      <c r="C5077" s="60"/>
      <c r="D5077" s="81"/>
      <c r="E5077" s="62"/>
      <c r="F5077" s="60"/>
      <c r="G5077" s="62"/>
      <c r="H5077" s="60"/>
    </row>
    <row r="5078" spans="1:8">
      <c r="A5078" s="60"/>
      <c r="B5078" s="77"/>
      <c r="C5078" s="60"/>
      <c r="D5078" s="81"/>
      <c r="E5078" s="62"/>
      <c r="F5078" s="60"/>
      <c r="G5078" s="62"/>
      <c r="H5078" s="60"/>
    </row>
    <row r="5079" spans="1:8">
      <c r="A5079" s="60"/>
      <c r="B5079" s="77"/>
      <c r="C5079" s="60"/>
      <c r="D5079" s="81"/>
      <c r="E5079" s="62"/>
      <c r="F5079" s="60"/>
      <c r="G5079" s="62"/>
      <c r="H5079" s="60"/>
    </row>
    <row r="5080" spans="1:8">
      <c r="A5080" s="60"/>
      <c r="B5080" s="77"/>
      <c r="C5080" s="60"/>
      <c r="D5080" s="81"/>
      <c r="E5080" s="62"/>
      <c r="F5080" s="60"/>
      <c r="G5080" s="62"/>
      <c r="H5080" s="60"/>
    </row>
    <row r="5081" spans="1:8">
      <c r="A5081" s="60"/>
      <c r="B5081" s="77"/>
      <c r="C5081" s="60"/>
      <c r="D5081" s="81"/>
      <c r="E5081" s="62"/>
      <c r="F5081" s="60"/>
      <c r="G5081" s="62"/>
      <c r="H5081" s="60"/>
    </row>
    <row r="5082" spans="1:8">
      <c r="A5082" s="60"/>
      <c r="B5082" s="77"/>
      <c r="C5082" s="60"/>
      <c r="D5082" s="81"/>
      <c r="E5082" s="62"/>
      <c r="F5082" s="60"/>
      <c r="G5082" s="62"/>
      <c r="H5082" s="60"/>
    </row>
    <row r="5083" spans="1:8">
      <c r="A5083" s="60"/>
      <c r="B5083" s="77"/>
      <c r="C5083" s="60"/>
      <c r="D5083" s="81"/>
      <c r="E5083" s="62"/>
      <c r="F5083" s="60"/>
      <c r="G5083" s="62"/>
      <c r="H5083" s="60"/>
    </row>
    <row r="5084" spans="1:8">
      <c r="A5084" s="60"/>
      <c r="B5084" s="77"/>
      <c r="C5084" s="60"/>
      <c r="D5084" s="81"/>
      <c r="E5084" s="62"/>
      <c r="F5084" s="60"/>
      <c r="G5084" s="62"/>
      <c r="H5084" s="60"/>
    </row>
    <row r="5085" spans="1:8">
      <c r="A5085" s="60"/>
      <c r="B5085" s="77"/>
      <c r="C5085" s="60"/>
      <c r="D5085" s="81"/>
      <c r="E5085" s="62"/>
      <c r="F5085" s="60"/>
      <c r="G5085" s="62"/>
      <c r="H5085" s="60"/>
    </row>
    <row r="5086" spans="1:8">
      <c r="A5086" s="60"/>
      <c r="B5086" s="77"/>
      <c r="C5086" s="60"/>
      <c r="D5086" s="81"/>
      <c r="E5086" s="62"/>
      <c r="F5086" s="60"/>
      <c r="G5086" s="62"/>
      <c r="H5086" s="60"/>
    </row>
    <row r="5087" spans="1:8">
      <c r="A5087" s="60"/>
      <c r="B5087" s="77"/>
      <c r="C5087" s="60"/>
      <c r="D5087" s="81"/>
      <c r="E5087" s="62"/>
      <c r="F5087" s="60"/>
      <c r="G5087" s="62"/>
      <c r="H5087" s="60"/>
    </row>
    <row r="5088" spans="1:8">
      <c r="A5088" s="60"/>
      <c r="B5088" s="77"/>
      <c r="C5088" s="60"/>
      <c r="D5088" s="81"/>
      <c r="E5088" s="62"/>
      <c r="F5088" s="60"/>
      <c r="G5088" s="62"/>
      <c r="H5088" s="60"/>
    </row>
    <row r="5089" spans="1:8">
      <c r="A5089" s="60"/>
      <c r="B5089" s="77"/>
      <c r="C5089" s="60"/>
      <c r="D5089" s="81"/>
      <c r="E5089" s="62"/>
      <c r="F5089" s="60"/>
      <c r="G5089" s="62"/>
      <c r="H5089" s="60"/>
    </row>
    <row r="5090" spans="1:8">
      <c r="A5090" s="60"/>
      <c r="B5090" s="77"/>
      <c r="C5090" s="60"/>
      <c r="D5090" s="81"/>
      <c r="E5090" s="62"/>
      <c r="F5090" s="60"/>
      <c r="G5090" s="62"/>
      <c r="H5090" s="60"/>
    </row>
    <row r="5091" spans="1:8">
      <c r="A5091" s="60"/>
      <c r="B5091" s="77"/>
      <c r="C5091" s="60"/>
      <c r="D5091" s="81"/>
      <c r="E5091" s="62"/>
      <c r="F5091" s="60"/>
      <c r="G5091" s="62"/>
      <c r="H5091" s="60"/>
    </row>
    <row r="5092" spans="1:8">
      <c r="A5092" s="60"/>
      <c r="B5092" s="77"/>
      <c r="C5092" s="60"/>
      <c r="D5092" s="81"/>
      <c r="E5092" s="62"/>
      <c r="F5092" s="60"/>
      <c r="G5092" s="62"/>
      <c r="H5092" s="60"/>
    </row>
    <row r="5093" spans="1:8">
      <c r="A5093" s="60"/>
      <c r="B5093" s="77"/>
      <c r="C5093" s="60"/>
      <c r="D5093" s="81"/>
      <c r="E5093" s="62"/>
      <c r="F5093" s="60"/>
      <c r="G5093" s="62"/>
      <c r="H5093" s="60"/>
    </row>
    <row r="5094" spans="1:8">
      <c r="A5094" s="60"/>
      <c r="B5094" s="77"/>
      <c r="C5094" s="60"/>
      <c r="D5094" s="81"/>
      <c r="E5094" s="62"/>
      <c r="F5094" s="60"/>
      <c r="G5094" s="62"/>
      <c r="H5094" s="60"/>
    </row>
    <row r="5095" spans="1:8">
      <c r="A5095" s="60"/>
      <c r="B5095" s="77"/>
      <c r="C5095" s="60"/>
      <c r="D5095" s="81"/>
      <c r="E5095" s="62"/>
      <c r="F5095" s="60"/>
      <c r="G5095" s="62"/>
      <c r="H5095" s="60"/>
    </row>
    <row r="5096" spans="1:8">
      <c r="A5096" s="60"/>
      <c r="B5096" s="77"/>
      <c r="C5096" s="60"/>
      <c r="D5096" s="81"/>
      <c r="E5096" s="62"/>
      <c r="F5096" s="60"/>
      <c r="G5096" s="62"/>
      <c r="H5096" s="60"/>
    </row>
    <row r="5097" spans="1:8">
      <c r="A5097" s="60"/>
      <c r="B5097" s="77"/>
      <c r="C5097" s="60"/>
      <c r="D5097" s="81"/>
      <c r="E5097" s="62"/>
      <c r="F5097" s="60"/>
      <c r="G5097" s="62"/>
      <c r="H5097" s="60"/>
    </row>
    <row r="5098" spans="1:8">
      <c r="A5098" s="60"/>
      <c r="B5098" s="77"/>
      <c r="C5098" s="60"/>
      <c r="D5098" s="81"/>
      <c r="E5098" s="62"/>
      <c r="F5098" s="60"/>
      <c r="G5098" s="62"/>
      <c r="H5098" s="60"/>
    </row>
    <row r="5099" spans="1:8">
      <c r="A5099" s="60"/>
      <c r="B5099" s="77"/>
      <c r="C5099" s="60"/>
      <c r="D5099" s="81"/>
      <c r="E5099" s="62"/>
      <c r="F5099" s="60"/>
      <c r="G5099" s="62"/>
      <c r="H5099" s="60"/>
    </row>
    <row r="5100" spans="1:8">
      <c r="A5100" s="60"/>
      <c r="B5100" s="77"/>
      <c r="C5100" s="60"/>
      <c r="D5100" s="81"/>
      <c r="E5100" s="62"/>
      <c r="F5100" s="60"/>
      <c r="G5100" s="62"/>
      <c r="H5100" s="60"/>
    </row>
    <row r="5101" spans="1:8">
      <c r="A5101" s="60"/>
      <c r="B5101" s="77"/>
      <c r="C5101" s="60"/>
      <c r="D5101" s="81"/>
      <c r="E5101" s="62"/>
      <c r="F5101" s="60"/>
      <c r="G5101" s="62"/>
      <c r="H5101" s="60"/>
    </row>
    <row r="5102" spans="1:8">
      <c r="A5102" s="60"/>
      <c r="B5102" s="77"/>
      <c r="C5102" s="60"/>
      <c r="D5102" s="81"/>
      <c r="E5102" s="62"/>
      <c r="F5102" s="60"/>
      <c r="G5102" s="62"/>
      <c r="H5102" s="60"/>
    </row>
    <row r="5103" spans="1:8">
      <c r="A5103" s="60"/>
      <c r="B5103" s="77"/>
      <c r="C5103" s="60"/>
      <c r="D5103" s="81"/>
      <c r="E5103" s="62"/>
      <c r="F5103" s="60"/>
      <c r="G5103" s="62"/>
      <c r="H5103" s="60"/>
    </row>
    <row r="5104" spans="1:8">
      <c r="A5104" s="60"/>
      <c r="B5104" s="77"/>
      <c r="C5104" s="60"/>
      <c r="D5104" s="81"/>
      <c r="E5104" s="62"/>
      <c r="F5104" s="60"/>
      <c r="G5104" s="62"/>
      <c r="H5104" s="60"/>
    </row>
    <row r="5105" spans="1:8">
      <c r="A5105" s="60"/>
      <c r="B5105" s="77"/>
      <c r="C5105" s="60"/>
      <c r="D5105" s="81"/>
      <c r="E5105" s="62"/>
      <c r="F5105" s="60"/>
      <c r="G5105" s="62"/>
      <c r="H5105" s="60"/>
    </row>
    <row r="5106" spans="1:8">
      <c r="A5106" s="60"/>
      <c r="B5106" s="77"/>
      <c r="C5106" s="60"/>
      <c r="D5106" s="81"/>
      <c r="E5106" s="62"/>
      <c r="F5106" s="60"/>
      <c r="G5106" s="62"/>
      <c r="H5106" s="60"/>
    </row>
    <row r="5107" spans="1:8">
      <c r="A5107" s="60"/>
      <c r="B5107" s="77"/>
      <c r="C5107" s="60"/>
      <c r="D5107" s="81"/>
      <c r="E5107" s="62"/>
      <c r="F5107" s="60"/>
      <c r="G5107" s="62"/>
      <c r="H5107" s="60"/>
    </row>
    <row r="5108" spans="1:8">
      <c r="A5108" s="60"/>
      <c r="B5108" s="77"/>
      <c r="C5108" s="60"/>
      <c r="D5108" s="81"/>
      <c r="E5108" s="62"/>
      <c r="F5108" s="60"/>
      <c r="G5108" s="62"/>
      <c r="H5108" s="60"/>
    </row>
    <row r="5109" spans="1:8">
      <c r="A5109" s="60"/>
      <c r="B5109" s="77"/>
      <c r="C5109" s="60"/>
      <c r="D5109" s="81"/>
      <c r="E5109" s="62"/>
      <c r="F5109" s="60"/>
      <c r="G5109" s="62"/>
      <c r="H5109" s="60"/>
    </row>
    <row r="5110" spans="1:8">
      <c r="A5110" s="60"/>
      <c r="B5110" s="77"/>
      <c r="C5110" s="60"/>
      <c r="D5110" s="81"/>
      <c r="E5110" s="62"/>
      <c r="F5110" s="60"/>
      <c r="G5110" s="62"/>
      <c r="H5110" s="60"/>
    </row>
    <row r="5111" spans="1:8">
      <c r="A5111" s="60"/>
      <c r="B5111" s="77"/>
      <c r="C5111" s="60"/>
      <c r="D5111" s="81"/>
      <c r="E5111" s="62"/>
      <c r="F5111" s="60"/>
      <c r="G5111" s="62"/>
      <c r="H5111" s="60"/>
    </row>
    <row r="5112" spans="1:8">
      <c r="A5112" s="60"/>
      <c r="B5112" s="77"/>
      <c r="C5112" s="60"/>
      <c r="D5112" s="81"/>
      <c r="E5112" s="62"/>
      <c r="F5112" s="60"/>
      <c r="G5112" s="62"/>
      <c r="H5112" s="60"/>
    </row>
    <row r="5113" spans="1:8">
      <c r="A5113" s="60"/>
      <c r="B5113" s="77"/>
      <c r="C5113" s="60"/>
      <c r="D5113" s="81"/>
      <c r="E5113" s="62"/>
      <c r="F5113" s="60"/>
      <c r="G5113" s="62"/>
      <c r="H5113" s="60"/>
    </row>
    <row r="5114" spans="1:8">
      <c r="A5114" s="60"/>
      <c r="B5114" s="77"/>
      <c r="C5114" s="60"/>
      <c r="D5114" s="81"/>
      <c r="E5114" s="62"/>
      <c r="F5114" s="60"/>
      <c r="G5114" s="62"/>
      <c r="H5114" s="60"/>
    </row>
    <row r="5115" spans="1:8">
      <c r="A5115" s="60"/>
      <c r="B5115" s="77"/>
      <c r="C5115" s="60"/>
      <c r="D5115" s="81"/>
      <c r="E5115" s="62"/>
      <c r="F5115" s="60"/>
      <c r="G5115" s="62"/>
      <c r="H5115" s="60"/>
    </row>
    <row r="5116" spans="1:8">
      <c r="A5116" s="60"/>
      <c r="B5116" s="77"/>
      <c r="C5116" s="60"/>
      <c r="D5116" s="81"/>
      <c r="E5116" s="62"/>
      <c r="F5116" s="60"/>
      <c r="G5116" s="62"/>
      <c r="H5116" s="60"/>
    </row>
    <row r="5117" spans="1:8">
      <c r="A5117" s="60"/>
      <c r="B5117" s="77"/>
      <c r="C5117" s="60"/>
      <c r="D5117" s="81"/>
      <c r="E5117" s="62"/>
      <c r="F5117" s="60"/>
      <c r="G5117" s="62"/>
      <c r="H5117" s="60"/>
    </row>
    <row r="5118" spans="1:8">
      <c r="A5118" s="60"/>
      <c r="B5118" s="77"/>
      <c r="C5118" s="60"/>
      <c r="D5118" s="81"/>
      <c r="E5118" s="62"/>
      <c r="F5118" s="60"/>
      <c r="G5118" s="62"/>
      <c r="H5118" s="60"/>
    </row>
    <row r="5119" spans="1:8">
      <c r="A5119" s="60"/>
      <c r="B5119" s="77"/>
      <c r="C5119" s="60"/>
      <c r="D5119" s="81"/>
      <c r="E5119" s="62"/>
      <c r="F5119" s="60"/>
      <c r="G5119" s="62"/>
      <c r="H5119" s="60"/>
    </row>
    <row r="5120" spans="1:8">
      <c r="A5120" s="60"/>
      <c r="B5120" s="77"/>
      <c r="C5120" s="60"/>
      <c r="D5120" s="81"/>
      <c r="E5120" s="62"/>
      <c r="F5120" s="60"/>
      <c r="G5120" s="62"/>
      <c r="H5120" s="60"/>
    </row>
    <row r="5121" spans="1:8">
      <c r="A5121" s="60"/>
      <c r="B5121" s="77"/>
      <c r="C5121" s="60"/>
      <c r="D5121" s="81"/>
      <c r="E5121" s="62"/>
      <c r="F5121" s="60"/>
      <c r="G5121" s="62"/>
      <c r="H5121" s="60"/>
    </row>
    <row r="5122" spans="1:8">
      <c r="A5122" s="60"/>
      <c r="B5122" s="77"/>
      <c r="C5122" s="60"/>
      <c r="D5122" s="81"/>
      <c r="E5122" s="62"/>
      <c r="F5122" s="60"/>
      <c r="G5122" s="62"/>
      <c r="H5122" s="60"/>
    </row>
    <row r="5123" spans="1:8">
      <c r="A5123" s="60"/>
      <c r="B5123" s="77"/>
      <c r="C5123" s="60"/>
      <c r="D5123" s="81"/>
      <c r="E5123" s="62"/>
      <c r="F5123" s="60"/>
      <c r="G5123" s="62"/>
      <c r="H5123" s="60"/>
    </row>
    <row r="5124" spans="1:8">
      <c r="A5124" s="60"/>
      <c r="B5124" s="77"/>
      <c r="C5124" s="60"/>
      <c r="D5124" s="81"/>
      <c r="E5124" s="62"/>
      <c r="F5124" s="60"/>
      <c r="G5124" s="62"/>
      <c r="H5124" s="60"/>
    </row>
    <row r="5125" spans="1:8">
      <c r="A5125" s="60"/>
      <c r="B5125" s="77"/>
      <c r="C5125" s="60"/>
      <c r="D5125" s="81"/>
      <c r="E5125" s="62"/>
      <c r="F5125" s="60"/>
      <c r="G5125" s="62"/>
      <c r="H5125" s="60"/>
    </row>
    <row r="5126" spans="1:8">
      <c r="A5126" s="60"/>
      <c r="B5126" s="77"/>
      <c r="C5126" s="60"/>
      <c r="D5126" s="81"/>
      <c r="E5126" s="62"/>
      <c r="F5126" s="60"/>
      <c r="G5126" s="62"/>
      <c r="H5126" s="60"/>
    </row>
    <row r="5127" spans="1:8">
      <c r="A5127" s="60"/>
      <c r="B5127" s="77"/>
      <c r="C5127" s="60"/>
      <c r="D5127" s="81"/>
      <c r="E5127" s="62"/>
      <c r="F5127" s="60"/>
      <c r="G5127" s="62"/>
      <c r="H5127" s="60"/>
    </row>
    <row r="5128" spans="1:8">
      <c r="A5128" s="60"/>
      <c r="B5128" s="77"/>
      <c r="C5128" s="60"/>
      <c r="D5128" s="81"/>
      <c r="E5128" s="62"/>
      <c r="F5128" s="60"/>
      <c r="G5128" s="62"/>
      <c r="H5128" s="60"/>
    </row>
    <row r="5129" spans="1:8">
      <c r="A5129" s="60"/>
      <c r="B5129" s="77"/>
      <c r="C5129" s="60"/>
      <c r="D5129" s="81"/>
      <c r="E5129" s="62"/>
      <c r="F5129" s="60"/>
      <c r="G5129" s="62"/>
      <c r="H5129" s="60"/>
    </row>
    <row r="5130" spans="1:8">
      <c r="A5130" s="60"/>
      <c r="B5130" s="77"/>
      <c r="C5130" s="60"/>
      <c r="D5130" s="81"/>
      <c r="E5130" s="62"/>
      <c r="F5130" s="60"/>
      <c r="G5130" s="62"/>
      <c r="H5130" s="60"/>
    </row>
    <row r="5131" spans="1:8">
      <c r="A5131" s="60"/>
      <c r="B5131" s="77"/>
      <c r="C5131" s="60"/>
      <c r="D5131" s="81"/>
      <c r="E5131" s="62"/>
      <c r="F5131" s="60"/>
      <c r="G5131" s="62"/>
      <c r="H5131" s="60"/>
    </row>
    <row r="5132" spans="1:8">
      <c r="A5132" s="60"/>
      <c r="B5132" s="77"/>
      <c r="C5132" s="60"/>
      <c r="D5132" s="81"/>
      <c r="E5132" s="62"/>
      <c r="F5132" s="60"/>
      <c r="G5132" s="62"/>
      <c r="H5132" s="60"/>
    </row>
    <row r="5133" spans="1:8">
      <c r="A5133" s="60"/>
      <c r="B5133" s="77"/>
      <c r="C5133" s="60"/>
      <c r="D5133" s="81"/>
      <c r="E5133" s="62"/>
      <c r="F5133" s="60"/>
      <c r="G5133" s="62"/>
      <c r="H5133" s="60"/>
    </row>
    <row r="5134" spans="1:8">
      <c r="A5134" s="60"/>
      <c r="B5134" s="77"/>
      <c r="C5134" s="60"/>
      <c r="D5134" s="81"/>
      <c r="E5134" s="62"/>
      <c r="F5134" s="60"/>
      <c r="G5134" s="62"/>
      <c r="H5134" s="60"/>
    </row>
    <row r="5135" spans="1:8">
      <c r="A5135" s="60"/>
      <c r="B5135" s="77"/>
      <c r="C5135" s="60"/>
      <c r="D5135" s="81"/>
      <c r="E5135" s="62"/>
      <c r="F5135" s="60"/>
      <c r="G5135" s="62"/>
      <c r="H5135" s="60"/>
    </row>
    <row r="5136" spans="1:8">
      <c r="A5136" s="60"/>
      <c r="B5136" s="77"/>
      <c r="C5136" s="60"/>
      <c r="D5136" s="81"/>
      <c r="E5136" s="62"/>
      <c r="F5136" s="60"/>
      <c r="G5136" s="62"/>
      <c r="H5136" s="60"/>
    </row>
    <row r="5137" spans="1:8">
      <c r="A5137" s="60"/>
      <c r="B5137" s="77"/>
      <c r="C5137" s="60"/>
      <c r="D5137" s="81"/>
      <c r="E5137" s="62"/>
      <c r="F5137" s="60"/>
      <c r="G5137" s="62"/>
      <c r="H5137" s="60"/>
    </row>
    <row r="5138" spans="1:8">
      <c r="A5138" s="60"/>
      <c r="B5138" s="77"/>
      <c r="C5138" s="60"/>
      <c r="D5138" s="81"/>
      <c r="E5138" s="62"/>
      <c r="F5138" s="60"/>
      <c r="G5138" s="62"/>
      <c r="H5138" s="60"/>
    </row>
    <row r="5139" spans="1:8">
      <c r="A5139" s="60"/>
      <c r="B5139" s="77"/>
      <c r="C5139" s="60"/>
      <c r="D5139" s="81"/>
      <c r="E5139" s="62"/>
      <c r="F5139" s="60"/>
      <c r="G5139" s="62"/>
      <c r="H5139" s="60"/>
    </row>
    <row r="5140" spans="1:8">
      <c r="A5140" s="60"/>
      <c r="B5140" s="77"/>
      <c r="C5140" s="60"/>
      <c r="D5140" s="81"/>
      <c r="E5140" s="62"/>
      <c r="F5140" s="60"/>
      <c r="G5140" s="62"/>
      <c r="H5140" s="60"/>
    </row>
    <row r="5141" spans="1:8">
      <c r="A5141" s="60"/>
      <c r="B5141" s="77"/>
      <c r="C5141" s="60"/>
      <c r="D5141" s="81"/>
      <c r="E5141" s="62"/>
      <c r="F5141" s="60"/>
      <c r="G5141" s="62"/>
      <c r="H5141" s="60"/>
    </row>
    <row r="5142" spans="1:8">
      <c r="A5142" s="60"/>
      <c r="B5142" s="77"/>
      <c r="C5142" s="60"/>
      <c r="D5142" s="81"/>
      <c r="E5142" s="62"/>
      <c r="F5142" s="60"/>
      <c r="G5142" s="62"/>
      <c r="H5142" s="60"/>
    </row>
    <row r="5143" spans="1:8">
      <c r="A5143" s="60"/>
      <c r="B5143" s="77"/>
      <c r="C5143" s="60"/>
      <c r="D5143" s="81"/>
      <c r="E5143" s="62"/>
      <c r="F5143" s="60"/>
      <c r="G5143" s="62"/>
      <c r="H5143" s="60"/>
    </row>
    <row r="5144" spans="1:8">
      <c r="A5144" s="60"/>
      <c r="B5144" s="77"/>
      <c r="C5144" s="60"/>
      <c r="D5144" s="81"/>
      <c r="E5144" s="62"/>
      <c r="F5144" s="60"/>
      <c r="G5144" s="62"/>
      <c r="H5144" s="60"/>
    </row>
    <row r="5145" spans="1:8">
      <c r="A5145" s="60"/>
      <c r="B5145" s="77"/>
      <c r="C5145" s="60"/>
      <c r="D5145" s="81"/>
      <c r="E5145" s="62"/>
      <c r="F5145" s="60"/>
      <c r="G5145" s="62"/>
      <c r="H5145" s="60"/>
    </row>
    <row r="5146" spans="1:8">
      <c r="A5146" s="60"/>
      <c r="B5146" s="77"/>
      <c r="C5146" s="60"/>
      <c r="D5146" s="81"/>
      <c r="E5146" s="62"/>
      <c r="F5146" s="60"/>
      <c r="G5146" s="62"/>
      <c r="H5146" s="60"/>
    </row>
    <row r="5147" spans="1:8">
      <c r="A5147" s="60"/>
      <c r="B5147" s="77"/>
      <c r="C5147" s="60"/>
      <c r="D5147" s="81"/>
      <c r="E5147" s="62"/>
      <c r="F5147" s="60"/>
      <c r="G5147" s="62"/>
      <c r="H5147" s="60"/>
    </row>
    <row r="5148" spans="1:8">
      <c r="A5148" s="60"/>
      <c r="B5148" s="77"/>
      <c r="C5148" s="60"/>
      <c r="D5148" s="81"/>
      <c r="E5148" s="62"/>
      <c r="F5148" s="60"/>
      <c r="G5148" s="62"/>
      <c r="H5148" s="60"/>
    </row>
    <row r="5149" spans="1:8">
      <c r="A5149" s="60"/>
      <c r="B5149" s="77"/>
      <c r="C5149" s="60"/>
      <c r="D5149" s="81"/>
      <c r="E5149" s="62"/>
      <c r="F5149" s="60"/>
      <c r="G5149" s="62"/>
      <c r="H5149" s="60"/>
    </row>
    <row r="5150" spans="1:8">
      <c r="A5150" s="60"/>
      <c r="B5150" s="77"/>
      <c r="C5150" s="60"/>
      <c r="D5150" s="81"/>
      <c r="E5150" s="62"/>
      <c r="F5150" s="60"/>
      <c r="G5150" s="62"/>
      <c r="H5150" s="60"/>
    </row>
    <row r="5151" spans="1:8">
      <c r="A5151" s="60"/>
      <c r="B5151" s="77"/>
      <c r="C5151" s="60"/>
      <c r="D5151" s="81"/>
      <c r="E5151" s="62"/>
      <c r="F5151" s="60"/>
      <c r="G5151" s="62"/>
      <c r="H5151" s="60"/>
    </row>
    <row r="5152" spans="1:8">
      <c r="A5152" s="60"/>
      <c r="B5152" s="77"/>
      <c r="C5152" s="60"/>
      <c r="D5152" s="81"/>
      <c r="E5152" s="62"/>
      <c r="F5152" s="60"/>
      <c r="G5152" s="62"/>
      <c r="H5152" s="60"/>
    </row>
    <row r="5153" spans="1:8">
      <c r="A5153" s="60"/>
      <c r="B5153" s="77"/>
      <c r="C5153" s="60"/>
      <c r="D5153" s="81"/>
      <c r="E5153" s="62"/>
      <c r="F5153" s="60"/>
      <c r="G5153" s="62"/>
      <c r="H5153" s="60"/>
    </row>
    <row r="5154" spans="1:8">
      <c r="A5154" s="60"/>
      <c r="B5154" s="77"/>
      <c r="C5154" s="60"/>
      <c r="D5154" s="81"/>
      <c r="E5154" s="62"/>
      <c r="F5154" s="60"/>
      <c r="G5154" s="62"/>
      <c r="H5154" s="60"/>
    </row>
    <row r="5155" spans="1:8">
      <c r="A5155" s="60"/>
      <c r="B5155" s="77"/>
      <c r="C5155" s="60"/>
      <c r="D5155" s="81"/>
      <c r="E5155" s="62"/>
      <c r="F5155" s="60"/>
      <c r="G5155" s="62"/>
      <c r="H5155" s="60"/>
    </row>
    <row r="5156" spans="1:8">
      <c r="A5156" s="60"/>
      <c r="B5156" s="77"/>
      <c r="C5156" s="60"/>
      <c r="D5156" s="81"/>
      <c r="E5156" s="62"/>
      <c r="F5156" s="60"/>
      <c r="G5156" s="62"/>
      <c r="H5156" s="60"/>
    </row>
    <row r="5157" spans="1:8">
      <c r="A5157" s="60"/>
      <c r="B5157" s="77"/>
      <c r="C5157" s="60"/>
      <c r="D5157" s="81"/>
      <c r="E5157" s="62"/>
      <c r="F5157" s="60"/>
      <c r="G5157" s="62"/>
      <c r="H5157" s="60"/>
    </row>
    <row r="5158" spans="1:8">
      <c r="A5158" s="60"/>
      <c r="B5158" s="77"/>
      <c r="C5158" s="60"/>
      <c r="D5158" s="81"/>
      <c r="E5158" s="62"/>
      <c r="F5158" s="60"/>
      <c r="G5158" s="62"/>
      <c r="H5158" s="60"/>
    </row>
    <row r="5159" spans="1:8">
      <c r="A5159" s="60"/>
      <c r="B5159" s="77"/>
      <c r="C5159" s="60"/>
      <c r="D5159" s="81"/>
      <c r="E5159" s="62"/>
      <c r="F5159" s="60"/>
      <c r="G5159" s="62"/>
      <c r="H5159" s="60"/>
    </row>
    <row r="5160" spans="1:8">
      <c r="A5160" s="60"/>
      <c r="B5160" s="77"/>
      <c r="C5160" s="60"/>
      <c r="D5160" s="81"/>
      <c r="E5160" s="62"/>
      <c r="F5160" s="60"/>
      <c r="G5160" s="62"/>
      <c r="H5160" s="60"/>
    </row>
    <row r="5161" spans="1:8">
      <c r="A5161" s="60"/>
      <c r="B5161" s="77"/>
      <c r="C5161" s="60"/>
      <c r="D5161" s="81"/>
      <c r="E5161" s="62"/>
      <c r="F5161" s="60"/>
      <c r="G5161" s="62"/>
      <c r="H5161" s="60"/>
    </row>
    <row r="5162" spans="1:8">
      <c r="A5162" s="60"/>
      <c r="B5162" s="77"/>
      <c r="C5162" s="60"/>
      <c r="D5162" s="81"/>
      <c r="E5162" s="62"/>
      <c r="F5162" s="60"/>
      <c r="G5162" s="62"/>
      <c r="H5162" s="60"/>
    </row>
    <row r="5163" spans="1:8">
      <c r="A5163" s="60"/>
      <c r="B5163" s="77"/>
      <c r="C5163" s="60"/>
      <c r="D5163" s="81"/>
      <c r="E5163" s="62"/>
      <c r="F5163" s="60"/>
      <c r="G5163" s="62"/>
      <c r="H5163" s="60"/>
    </row>
    <row r="5164" spans="1:8">
      <c r="A5164" s="60"/>
      <c r="B5164" s="77"/>
      <c r="C5164" s="60"/>
      <c r="D5164" s="81"/>
      <c r="E5164" s="62"/>
      <c r="F5164" s="60"/>
      <c r="G5164" s="62"/>
      <c r="H5164" s="60"/>
    </row>
    <row r="5165" spans="1:8">
      <c r="A5165" s="60"/>
      <c r="B5165" s="77"/>
      <c r="C5165" s="60"/>
      <c r="D5165" s="81"/>
      <c r="E5165" s="62"/>
      <c r="F5165" s="60"/>
      <c r="G5165" s="62"/>
      <c r="H5165" s="60"/>
    </row>
    <row r="5166" spans="1:8">
      <c r="A5166" s="60"/>
      <c r="B5166" s="77"/>
      <c r="C5166" s="60"/>
      <c r="D5166" s="81"/>
      <c r="E5166" s="62"/>
      <c r="F5166" s="60"/>
      <c r="G5166" s="62"/>
      <c r="H5166" s="60"/>
    </row>
    <row r="5167" spans="1:8">
      <c r="A5167" s="60"/>
      <c r="B5167" s="77"/>
      <c r="C5167" s="60"/>
      <c r="D5167" s="81"/>
      <c r="E5167" s="62"/>
      <c r="F5167" s="60"/>
      <c r="G5167" s="62"/>
      <c r="H5167" s="60"/>
    </row>
    <row r="5168" spans="1:8">
      <c r="A5168" s="60"/>
      <c r="B5168" s="77"/>
      <c r="C5168" s="60"/>
      <c r="D5168" s="81"/>
      <c r="E5168" s="62"/>
      <c r="F5168" s="60"/>
      <c r="G5168" s="62"/>
      <c r="H5168" s="60"/>
    </row>
    <row r="5169" spans="1:8">
      <c r="A5169" s="60"/>
      <c r="B5169" s="77"/>
      <c r="C5169" s="60"/>
      <c r="D5169" s="81"/>
      <c r="E5169" s="62"/>
      <c r="F5169" s="60"/>
      <c r="G5169" s="62"/>
      <c r="H5169" s="60"/>
    </row>
    <row r="5170" spans="1:8">
      <c r="A5170" s="60"/>
      <c r="B5170" s="77"/>
      <c r="C5170" s="60"/>
      <c r="D5170" s="81"/>
      <c r="E5170" s="62"/>
      <c r="F5170" s="60"/>
      <c r="G5170" s="62"/>
      <c r="H5170" s="60"/>
    </row>
    <row r="5171" spans="1:8">
      <c r="A5171" s="60"/>
      <c r="B5171" s="77"/>
      <c r="C5171" s="60"/>
      <c r="D5171" s="81"/>
      <c r="E5171" s="62"/>
      <c r="F5171" s="60"/>
      <c r="G5171" s="62"/>
      <c r="H5171" s="60"/>
    </row>
    <row r="5172" spans="1:8">
      <c r="A5172" s="60"/>
      <c r="B5172" s="77"/>
      <c r="C5172" s="60"/>
      <c r="D5172" s="81"/>
      <c r="E5172" s="62"/>
      <c r="F5172" s="60"/>
      <c r="G5172" s="62"/>
      <c r="H5172" s="60"/>
    </row>
    <row r="5173" spans="1:8">
      <c r="A5173" s="60"/>
      <c r="B5173" s="77"/>
      <c r="C5173" s="60"/>
      <c r="D5173" s="81"/>
      <c r="E5173" s="62"/>
      <c r="F5173" s="60"/>
      <c r="G5173" s="62"/>
      <c r="H5173" s="60"/>
    </row>
    <row r="5174" spans="1:8">
      <c r="A5174" s="60"/>
      <c r="B5174" s="77"/>
      <c r="C5174" s="60"/>
      <c r="D5174" s="81"/>
      <c r="E5174" s="62"/>
      <c r="F5174" s="60"/>
      <c r="G5174" s="62"/>
      <c r="H5174" s="60"/>
    </row>
    <row r="5175" spans="1:8">
      <c r="A5175" s="60"/>
      <c r="B5175" s="77"/>
      <c r="C5175" s="60"/>
      <c r="D5175" s="81"/>
      <c r="E5175" s="62"/>
      <c r="F5175" s="60"/>
      <c r="G5175" s="62"/>
      <c r="H5175" s="60"/>
    </row>
    <row r="5176" spans="1:8">
      <c r="A5176" s="60"/>
      <c r="B5176" s="77"/>
      <c r="C5176" s="60"/>
      <c r="D5176" s="81"/>
      <c r="E5176" s="62"/>
      <c r="F5176" s="60"/>
      <c r="G5176" s="62"/>
      <c r="H5176" s="60"/>
    </row>
    <row r="5177" spans="1:8">
      <c r="A5177" s="60"/>
      <c r="B5177" s="77"/>
      <c r="C5177" s="60"/>
      <c r="D5177" s="81"/>
      <c r="E5177" s="62"/>
      <c r="F5177" s="60"/>
      <c r="G5177" s="62"/>
      <c r="H5177" s="60"/>
    </row>
    <row r="5178" spans="1:8">
      <c r="A5178" s="60"/>
      <c r="B5178" s="77"/>
      <c r="C5178" s="60"/>
      <c r="D5178" s="81"/>
      <c r="E5178" s="62"/>
      <c r="F5178" s="60"/>
      <c r="G5178" s="62"/>
      <c r="H5178" s="60"/>
    </row>
    <row r="5179" spans="1:8">
      <c r="A5179" s="60"/>
      <c r="B5179" s="77"/>
      <c r="C5179" s="60"/>
      <c r="D5179" s="81"/>
      <c r="E5179" s="62"/>
      <c r="F5179" s="60"/>
      <c r="G5179" s="62"/>
      <c r="H5179" s="60"/>
    </row>
    <row r="5180" spans="1:8">
      <c r="A5180" s="60"/>
      <c r="B5180" s="77"/>
      <c r="C5180" s="60"/>
      <c r="D5180" s="81"/>
      <c r="E5180" s="62"/>
      <c r="F5180" s="60"/>
      <c r="G5180" s="62"/>
      <c r="H5180" s="60"/>
    </row>
    <row r="5181" spans="1:8">
      <c r="A5181" s="60"/>
      <c r="B5181" s="77"/>
      <c r="C5181" s="60"/>
      <c r="D5181" s="81"/>
      <c r="E5181" s="62"/>
      <c r="F5181" s="60"/>
      <c r="G5181" s="62"/>
      <c r="H5181" s="60"/>
    </row>
    <row r="5182" spans="1:8">
      <c r="A5182" s="60"/>
      <c r="B5182" s="77"/>
      <c r="C5182" s="60"/>
      <c r="D5182" s="81"/>
      <c r="E5182" s="62"/>
      <c r="F5182" s="60"/>
      <c r="G5182" s="62"/>
      <c r="H5182" s="60"/>
    </row>
    <row r="5183" spans="1:8">
      <c r="A5183" s="60"/>
      <c r="B5183" s="77"/>
      <c r="C5183" s="60"/>
      <c r="D5183" s="81"/>
      <c r="E5183" s="62"/>
      <c r="F5183" s="60"/>
      <c r="G5183" s="62"/>
      <c r="H5183" s="60"/>
    </row>
    <row r="5184" spans="1:8">
      <c r="A5184" s="60"/>
      <c r="B5184" s="77"/>
      <c r="C5184" s="60"/>
      <c r="D5184" s="81"/>
      <c r="E5184" s="62"/>
      <c r="F5184" s="60"/>
      <c r="G5184" s="62"/>
      <c r="H5184" s="60"/>
    </row>
    <row r="5185" spans="1:8">
      <c r="A5185" s="60"/>
      <c r="B5185" s="77"/>
      <c r="C5185" s="60"/>
      <c r="D5185" s="81"/>
      <c r="E5185" s="62"/>
      <c r="F5185" s="60"/>
      <c r="G5185" s="62"/>
      <c r="H5185" s="60"/>
    </row>
    <row r="5186" spans="1:8">
      <c r="A5186" s="60"/>
      <c r="B5186" s="77"/>
      <c r="C5186" s="60"/>
      <c r="D5186" s="81"/>
      <c r="E5186" s="62"/>
      <c r="F5186" s="60"/>
      <c r="G5186" s="62"/>
      <c r="H5186" s="60"/>
    </row>
    <row r="5187" spans="1:8">
      <c r="A5187" s="60"/>
      <c r="B5187" s="77"/>
      <c r="C5187" s="60"/>
      <c r="D5187" s="81"/>
      <c r="E5187" s="62"/>
      <c r="F5187" s="60"/>
      <c r="G5187" s="62"/>
      <c r="H5187" s="60"/>
    </row>
    <row r="5188" spans="1:8">
      <c r="A5188" s="60"/>
      <c r="B5188" s="77"/>
      <c r="C5188" s="60"/>
      <c r="D5188" s="81"/>
      <c r="E5188" s="62"/>
      <c r="F5188" s="60"/>
      <c r="G5188" s="62"/>
      <c r="H5188" s="60"/>
    </row>
    <row r="5189" spans="1:8">
      <c r="A5189" s="60"/>
      <c r="B5189" s="77"/>
      <c r="C5189" s="60"/>
      <c r="D5189" s="81"/>
      <c r="E5189" s="62"/>
      <c r="F5189" s="60"/>
      <c r="G5189" s="62"/>
      <c r="H5189" s="60"/>
    </row>
    <row r="5190" spans="1:8">
      <c r="A5190" s="60"/>
      <c r="B5190" s="77"/>
      <c r="C5190" s="60"/>
      <c r="D5190" s="81"/>
      <c r="E5190" s="62"/>
      <c r="F5190" s="60"/>
      <c r="G5190" s="62"/>
      <c r="H5190" s="60"/>
    </row>
    <row r="5191" spans="1:8">
      <c r="A5191" s="60"/>
      <c r="B5191" s="77"/>
      <c r="C5191" s="60"/>
      <c r="D5191" s="81"/>
      <c r="E5191" s="62"/>
      <c r="F5191" s="60"/>
      <c r="G5191" s="62"/>
      <c r="H5191" s="60"/>
    </row>
    <row r="5192" spans="1:8">
      <c r="A5192" s="60"/>
      <c r="B5192" s="77"/>
      <c r="C5192" s="60"/>
      <c r="D5192" s="81"/>
      <c r="E5192" s="62"/>
      <c r="F5192" s="60"/>
      <c r="G5192" s="62"/>
      <c r="H5192" s="60"/>
    </row>
    <row r="5193" spans="1:8">
      <c r="A5193" s="60"/>
      <c r="B5193" s="77"/>
      <c r="C5193" s="60"/>
      <c r="D5193" s="81"/>
      <c r="E5193" s="62"/>
      <c r="F5193" s="60"/>
      <c r="G5193" s="62"/>
      <c r="H5193" s="60"/>
    </row>
    <row r="5194" spans="1:8">
      <c r="A5194" s="60"/>
      <c r="B5194" s="77"/>
      <c r="C5194" s="60"/>
      <c r="D5194" s="81"/>
      <c r="E5194" s="62"/>
      <c r="F5194" s="60"/>
      <c r="G5194" s="62"/>
      <c r="H5194" s="60"/>
    </row>
    <row r="5195" spans="1:8">
      <c r="A5195" s="60"/>
      <c r="B5195" s="77"/>
      <c r="C5195" s="60"/>
      <c r="D5195" s="81"/>
      <c r="E5195" s="62"/>
      <c r="F5195" s="60"/>
      <c r="G5195" s="62"/>
      <c r="H5195" s="60"/>
    </row>
    <row r="5196" spans="1:8">
      <c r="A5196" s="60"/>
      <c r="B5196" s="77"/>
      <c r="C5196" s="60"/>
      <c r="D5196" s="81"/>
      <c r="E5196" s="62"/>
      <c r="F5196" s="60"/>
      <c r="G5196" s="62"/>
      <c r="H5196" s="60"/>
    </row>
    <row r="5197" spans="1:8">
      <c r="A5197" s="60"/>
      <c r="B5197" s="77"/>
      <c r="C5197" s="60"/>
      <c r="D5197" s="81"/>
      <c r="E5197" s="62"/>
      <c r="F5197" s="60"/>
      <c r="G5197" s="62"/>
      <c r="H5197" s="60"/>
    </row>
    <row r="5198" spans="1:8">
      <c r="A5198" s="60"/>
      <c r="B5198" s="77"/>
      <c r="C5198" s="60"/>
      <c r="D5198" s="81"/>
      <c r="E5198" s="62"/>
      <c r="F5198" s="60"/>
      <c r="G5198" s="62"/>
      <c r="H5198" s="60"/>
    </row>
    <row r="5199" spans="1:8">
      <c r="A5199" s="60"/>
      <c r="B5199" s="77"/>
      <c r="C5199" s="60"/>
      <c r="D5199" s="81"/>
      <c r="E5199" s="62"/>
      <c r="F5199" s="60"/>
      <c r="G5199" s="62"/>
      <c r="H5199" s="60"/>
    </row>
    <row r="5200" spans="1:8">
      <c r="A5200" s="60"/>
      <c r="B5200" s="77"/>
      <c r="C5200" s="60"/>
      <c r="D5200" s="81"/>
      <c r="E5200" s="62"/>
      <c r="F5200" s="60"/>
      <c r="G5200" s="62"/>
      <c r="H5200" s="60"/>
    </row>
    <row r="5201" spans="1:8">
      <c r="A5201" s="60"/>
      <c r="B5201" s="77"/>
      <c r="C5201" s="60"/>
      <c r="D5201" s="81"/>
      <c r="E5201" s="62"/>
      <c r="F5201" s="60"/>
      <c r="G5201" s="62"/>
      <c r="H5201" s="60"/>
    </row>
    <row r="5202" spans="1:8">
      <c r="A5202" s="60"/>
      <c r="B5202" s="77"/>
      <c r="C5202" s="60"/>
      <c r="D5202" s="81"/>
      <c r="E5202" s="62"/>
      <c r="F5202" s="60"/>
      <c r="G5202" s="62"/>
      <c r="H5202" s="60"/>
    </row>
    <row r="5203" spans="1:8">
      <c r="A5203" s="60"/>
      <c r="B5203" s="77"/>
      <c r="C5203" s="60"/>
      <c r="D5203" s="81"/>
      <c r="E5203" s="62"/>
      <c r="F5203" s="60"/>
      <c r="G5203" s="62"/>
      <c r="H5203" s="60"/>
    </row>
    <row r="5204" spans="1:8">
      <c r="A5204" s="60"/>
      <c r="B5204" s="77"/>
      <c r="C5204" s="60"/>
      <c r="D5204" s="81"/>
      <c r="E5204" s="62"/>
      <c r="F5204" s="60"/>
      <c r="G5204" s="62"/>
      <c r="H5204" s="60"/>
    </row>
    <row r="5205" spans="1:8">
      <c r="A5205" s="60"/>
      <c r="B5205" s="77"/>
      <c r="C5205" s="60"/>
      <c r="D5205" s="81"/>
      <c r="E5205" s="62"/>
      <c r="F5205" s="60"/>
      <c r="G5205" s="62"/>
      <c r="H5205" s="60"/>
    </row>
    <row r="5206" spans="1:8">
      <c r="A5206" s="60"/>
      <c r="B5206" s="77"/>
      <c r="C5206" s="60"/>
      <c r="D5206" s="81"/>
      <c r="E5206" s="62"/>
      <c r="F5206" s="60"/>
      <c r="G5206" s="62"/>
      <c r="H5206" s="60"/>
    </row>
    <row r="5207" spans="1:8">
      <c r="A5207" s="60"/>
      <c r="B5207" s="77"/>
      <c r="C5207" s="60"/>
      <c r="D5207" s="81"/>
      <c r="E5207" s="62"/>
      <c r="F5207" s="60"/>
      <c r="G5207" s="62"/>
      <c r="H5207" s="60"/>
    </row>
    <row r="5208" spans="1:8">
      <c r="A5208" s="60"/>
      <c r="B5208" s="77"/>
      <c r="C5208" s="60"/>
      <c r="D5208" s="81"/>
      <c r="E5208" s="62"/>
      <c r="F5208" s="60"/>
      <c r="G5208" s="62"/>
      <c r="H5208" s="60"/>
    </row>
    <row r="5209" spans="1:8">
      <c r="A5209" s="60"/>
      <c r="B5209" s="77"/>
      <c r="C5209" s="60"/>
      <c r="D5209" s="81"/>
      <c r="E5209" s="62"/>
      <c r="F5209" s="60"/>
      <c r="G5209" s="62"/>
      <c r="H5209" s="60"/>
    </row>
    <row r="5210" spans="1:8">
      <c r="A5210" s="60"/>
      <c r="B5210" s="77"/>
      <c r="C5210" s="60"/>
      <c r="D5210" s="81"/>
      <c r="E5210" s="62"/>
      <c r="F5210" s="60"/>
      <c r="G5210" s="62"/>
      <c r="H5210" s="60"/>
    </row>
    <row r="5211" spans="1:8">
      <c r="A5211" s="60"/>
      <c r="B5211" s="77"/>
      <c r="C5211" s="60"/>
      <c r="D5211" s="81"/>
      <c r="E5211" s="62"/>
      <c r="F5211" s="60"/>
      <c r="G5211" s="62"/>
      <c r="H5211" s="60"/>
    </row>
    <row r="5212" spans="1:8">
      <c r="A5212" s="60"/>
      <c r="B5212" s="77"/>
      <c r="C5212" s="60"/>
      <c r="D5212" s="81"/>
      <c r="E5212" s="62"/>
      <c r="F5212" s="60"/>
      <c r="G5212" s="62"/>
      <c r="H5212" s="60"/>
    </row>
    <row r="5213" spans="1:8">
      <c r="A5213" s="60"/>
      <c r="B5213" s="77"/>
      <c r="C5213" s="60"/>
      <c r="D5213" s="81"/>
      <c r="E5213" s="62"/>
      <c r="F5213" s="60"/>
      <c r="G5213" s="62"/>
      <c r="H5213" s="60"/>
    </row>
    <row r="5214" spans="1:8">
      <c r="A5214" s="60"/>
      <c r="B5214" s="77"/>
      <c r="C5214" s="60"/>
      <c r="D5214" s="81"/>
      <c r="E5214" s="62"/>
      <c r="F5214" s="60"/>
      <c r="G5214" s="62"/>
      <c r="H5214" s="60"/>
    </row>
    <row r="5215" spans="1:8">
      <c r="A5215" s="60"/>
      <c r="B5215" s="77"/>
      <c r="C5215" s="60"/>
      <c r="D5215" s="81"/>
      <c r="E5215" s="62"/>
      <c r="F5215" s="60"/>
      <c r="G5215" s="62"/>
      <c r="H5215" s="60"/>
    </row>
    <row r="5216" spans="1:8">
      <c r="A5216" s="60"/>
      <c r="B5216" s="77"/>
      <c r="C5216" s="60"/>
      <c r="D5216" s="81"/>
      <c r="E5216" s="62"/>
      <c r="F5216" s="60"/>
      <c r="G5216" s="62"/>
      <c r="H5216" s="60"/>
    </row>
    <row r="5217" spans="1:8">
      <c r="A5217" s="60"/>
      <c r="B5217" s="77"/>
      <c r="C5217" s="60"/>
      <c r="D5217" s="81"/>
      <c r="E5217" s="62"/>
      <c r="F5217" s="60"/>
      <c r="G5217" s="62"/>
      <c r="H5217" s="60"/>
    </row>
    <row r="5218" spans="1:8">
      <c r="A5218" s="60"/>
      <c r="B5218" s="77"/>
      <c r="C5218" s="60"/>
      <c r="D5218" s="81"/>
      <c r="E5218" s="62"/>
      <c r="F5218" s="60"/>
      <c r="G5218" s="62"/>
      <c r="H5218" s="60"/>
    </row>
    <row r="5219" spans="1:8">
      <c r="A5219" s="60"/>
      <c r="B5219" s="77"/>
      <c r="C5219" s="60"/>
      <c r="D5219" s="81"/>
      <c r="E5219" s="62"/>
      <c r="F5219" s="60"/>
      <c r="G5219" s="62"/>
      <c r="H5219" s="60"/>
    </row>
    <row r="5220" spans="1:8">
      <c r="A5220" s="60"/>
      <c r="B5220" s="77"/>
      <c r="C5220" s="60"/>
      <c r="D5220" s="81"/>
      <c r="E5220" s="62"/>
      <c r="F5220" s="60"/>
      <c r="G5220" s="62"/>
      <c r="H5220" s="60"/>
    </row>
    <row r="5221" spans="1:8">
      <c r="A5221" s="60"/>
      <c r="B5221" s="77"/>
      <c r="C5221" s="60"/>
      <c r="D5221" s="81"/>
      <c r="E5221" s="62"/>
      <c r="F5221" s="60"/>
      <c r="G5221" s="62"/>
      <c r="H5221" s="60"/>
    </row>
    <row r="5222" spans="1:8">
      <c r="A5222" s="60"/>
      <c r="B5222" s="77"/>
      <c r="C5222" s="60"/>
      <c r="D5222" s="81"/>
      <c r="E5222" s="62"/>
      <c r="F5222" s="60"/>
      <c r="G5222" s="62"/>
      <c r="H5222" s="60"/>
    </row>
    <row r="5223" spans="1:8">
      <c r="A5223" s="60"/>
      <c r="B5223" s="77"/>
      <c r="C5223" s="60"/>
      <c r="D5223" s="81"/>
      <c r="E5223" s="62"/>
      <c r="F5223" s="60"/>
      <c r="G5223" s="62"/>
      <c r="H5223" s="60"/>
    </row>
    <row r="5224" spans="1:8">
      <c r="A5224" s="60"/>
      <c r="B5224" s="77"/>
      <c r="C5224" s="60"/>
      <c r="D5224" s="81"/>
      <c r="E5224" s="62"/>
      <c r="F5224" s="60"/>
      <c r="G5224" s="62"/>
      <c r="H5224" s="60"/>
    </row>
    <row r="5225" spans="1:8">
      <c r="A5225" s="60"/>
      <c r="B5225" s="77"/>
      <c r="C5225" s="60"/>
      <c r="D5225" s="81"/>
      <c r="E5225" s="62"/>
      <c r="F5225" s="60"/>
      <c r="G5225" s="62"/>
      <c r="H5225" s="60"/>
    </row>
    <row r="5226" spans="1:8">
      <c r="A5226" s="60"/>
      <c r="B5226" s="77"/>
      <c r="C5226" s="60"/>
      <c r="D5226" s="81"/>
      <c r="E5226" s="62"/>
      <c r="F5226" s="60"/>
      <c r="G5226" s="62"/>
      <c r="H5226" s="60"/>
    </row>
    <row r="5227" spans="1:8">
      <c r="A5227" s="60"/>
      <c r="B5227" s="77"/>
      <c r="C5227" s="60"/>
      <c r="D5227" s="81"/>
      <c r="E5227" s="62"/>
      <c r="F5227" s="60"/>
      <c r="G5227" s="62"/>
      <c r="H5227" s="60"/>
    </row>
    <row r="5228" spans="1:8">
      <c r="A5228" s="60"/>
      <c r="B5228" s="77"/>
      <c r="C5228" s="60"/>
      <c r="D5228" s="81"/>
      <c r="E5228" s="62"/>
      <c r="F5228" s="60"/>
      <c r="G5228" s="62"/>
      <c r="H5228" s="60"/>
    </row>
    <row r="5229" spans="1:8">
      <c r="A5229" s="60"/>
      <c r="B5229" s="77"/>
      <c r="C5229" s="60"/>
      <c r="D5229" s="81"/>
      <c r="E5229" s="62"/>
      <c r="F5229" s="60"/>
      <c r="G5229" s="62"/>
      <c r="H5229" s="60"/>
    </row>
    <row r="5230" spans="1:8">
      <c r="A5230" s="60"/>
      <c r="B5230" s="77"/>
      <c r="C5230" s="60"/>
      <c r="D5230" s="81"/>
      <c r="E5230" s="62"/>
      <c r="F5230" s="60"/>
      <c r="G5230" s="62"/>
      <c r="H5230" s="60"/>
    </row>
    <row r="5231" spans="1:8">
      <c r="A5231" s="60"/>
      <c r="B5231" s="77"/>
      <c r="C5231" s="60"/>
      <c r="D5231" s="81"/>
      <c r="E5231" s="62"/>
      <c r="F5231" s="60"/>
      <c r="G5231" s="62"/>
      <c r="H5231" s="60"/>
    </row>
    <row r="5232" spans="1:8">
      <c r="A5232" s="60"/>
      <c r="B5232" s="77"/>
      <c r="C5232" s="60"/>
      <c r="D5232" s="81"/>
      <c r="E5232" s="62"/>
      <c r="F5232" s="60"/>
      <c r="G5232" s="62"/>
      <c r="H5232" s="60"/>
    </row>
    <row r="5233" spans="1:8">
      <c r="A5233" s="60"/>
      <c r="B5233" s="77"/>
      <c r="C5233" s="60"/>
      <c r="D5233" s="81"/>
      <c r="E5233" s="62"/>
      <c r="F5233" s="60"/>
      <c r="G5233" s="62"/>
      <c r="H5233" s="60"/>
    </row>
    <row r="5234" spans="1:8">
      <c r="A5234" s="60"/>
      <c r="B5234" s="77"/>
      <c r="C5234" s="60"/>
      <c r="D5234" s="81"/>
      <c r="E5234" s="62"/>
      <c r="F5234" s="60"/>
      <c r="G5234" s="62"/>
      <c r="H5234" s="60"/>
    </row>
    <row r="5235" spans="1:8">
      <c r="A5235" s="60"/>
      <c r="B5235" s="77"/>
      <c r="C5235" s="60"/>
      <c r="D5235" s="81"/>
      <c r="E5235" s="62"/>
      <c r="F5235" s="60"/>
      <c r="G5235" s="62"/>
      <c r="H5235" s="60"/>
    </row>
    <row r="5236" spans="1:8">
      <c r="A5236" s="60"/>
      <c r="B5236" s="77"/>
      <c r="C5236" s="60"/>
      <c r="D5236" s="81"/>
      <c r="E5236" s="62"/>
      <c r="F5236" s="60"/>
      <c r="G5236" s="62"/>
      <c r="H5236" s="60"/>
    </row>
    <row r="5237" spans="1:8">
      <c r="A5237" s="60"/>
      <c r="B5237" s="77"/>
      <c r="C5237" s="60"/>
      <c r="D5237" s="81"/>
      <c r="E5237" s="62"/>
      <c r="F5237" s="60"/>
      <c r="G5237" s="62"/>
      <c r="H5237" s="60"/>
    </row>
    <row r="5238" spans="1:8">
      <c r="A5238" s="60"/>
      <c r="B5238" s="77"/>
      <c r="C5238" s="60"/>
      <c r="D5238" s="81"/>
      <c r="E5238" s="62"/>
      <c r="F5238" s="60"/>
      <c r="G5238" s="62"/>
      <c r="H5238" s="60"/>
    </row>
    <row r="5239" spans="1:8">
      <c r="A5239" s="60"/>
      <c r="B5239" s="77"/>
      <c r="C5239" s="60"/>
      <c r="D5239" s="81"/>
      <c r="E5239" s="62"/>
      <c r="F5239" s="60"/>
      <c r="G5239" s="62"/>
      <c r="H5239" s="60"/>
    </row>
    <row r="5240" spans="1:8">
      <c r="A5240" s="60"/>
      <c r="B5240" s="77"/>
      <c r="C5240" s="60"/>
      <c r="D5240" s="81"/>
      <c r="E5240" s="62"/>
      <c r="F5240" s="60"/>
      <c r="G5240" s="62"/>
      <c r="H5240" s="60"/>
    </row>
    <row r="5241" spans="1:8">
      <c r="A5241" s="60"/>
      <c r="B5241" s="77"/>
      <c r="C5241" s="60"/>
      <c r="D5241" s="81"/>
      <c r="E5241" s="62"/>
      <c r="F5241" s="60"/>
      <c r="G5241" s="62"/>
      <c r="H5241" s="60"/>
    </row>
    <row r="5242" spans="1:8">
      <c r="A5242" s="60"/>
      <c r="B5242" s="77"/>
      <c r="C5242" s="60"/>
      <c r="D5242" s="81"/>
      <c r="E5242" s="62"/>
      <c r="F5242" s="60"/>
      <c r="G5242" s="62"/>
      <c r="H5242" s="60"/>
    </row>
    <row r="5243" spans="1:8">
      <c r="A5243" s="60"/>
      <c r="B5243" s="77"/>
      <c r="C5243" s="60"/>
      <c r="D5243" s="81"/>
      <c r="E5243" s="62"/>
      <c r="F5243" s="60"/>
      <c r="G5243" s="62"/>
      <c r="H5243" s="60"/>
    </row>
    <row r="5244" spans="1:8">
      <c r="A5244" s="60"/>
      <c r="B5244" s="77"/>
      <c r="C5244" s="60"/>
      <c r="D5244" s="81"/>
      <c r="E5244" s="62"/>
      <c r="F5244" s="60"/>
      <c r="G5244" s="62"/>
      <c r="H5244" s="60"/>
    </row>
    <row r="5245" spans="1:8">
      <c r="A5245" s="60"/>
      <c r="B5245" s="77"/>
      <c r="C5245" s="60"/>
      <c r="D5245" s="81"/>
      <c r="E5245" s="62"/>
      <c r="F5245" s="60"/>
      <c r="G5245" s="62"/>
      <c r="H5245" s="60"/>
    </row>
    <row r="5246" spans="1:8">
      <c r="A5246" s="60"/>
      <c r="B5246" s="77"/>
      <c r="C5246" s="60"/>
      <c r="D5246" s="81"/>
      <c r="E5246" s="62"/>
      <c r="F5246" s="60"/>
      <c r="G5246" s="62"/>
      <c r="H5246" s="60"/>
    </row>
    <row r="5247" spans="1:8">
      <c r="A5247" s="60"/>
      <c r="B5247" s="77"/>
      <c r="C5247" s="60"/>
      <c r="D5247" s="81"/>
      <c r="E5247" s="62"/>
      <c r="F5247" s="60"/>
      <c r="G5247" s="62"/>
      <c r="H5247" s="60"/>
    </row>
    <row r="5248" spans="1:8">
      <c r="A5248" s="60"/>
      <c r="B5248" s="77"/>
      <c r="C5248" s="60"/>
      <c r="D5248" s="81"/>
      <c r="E5248" s="62"/>
      <c r="F5248" s="60"/>
      <c r="G5248" s="62"/>
      <c r="H5248" s="60"/>
    </row>
    <row r="5249" spans="1:8">
      <c r="A5249" s="60"/>
      <c r="B5249" s="77"/>
      <c r="C5249" s="60"/>
      <c r="D5249" s="81"/>
      <c r="E5249" s="62"/>
      <c r="F5249" s="60"/>
      <c r="G5249" s="62"/>
      <c r="H5249" s="60"/>
    </row>
    <row r="5250" spans="1:8">
      <c r="A5250" s="60"/>
      <c r="B5250" s="77"/>
      <c r="C5250" s="60"/>
      <c r="D5250" s="81"/>
      <c r="E5250" s="62"/>
      <c r="F5250" s="60"/>
      <c r="G5250" s="62"/>
      <c r="H5250" s="60"/>
    </row>
    <row r="5251" spans="1:8">
      <c r="A5251" s="60"/>
      <c r="B5251" s="77"/>
      <c r="C5251" s="60"/>
      <c r="D5251" s="81"/>
      <c r="E5251" s="62"/>
      <c r="F5251" s="60"/>
      <c r="G5251" s="62"/>
      <c r="H5251" s="60"/>
    </row>
    <row r="5252" spans="1:8">
      <c r="A5252" s="60"/>
      <c r="B5252" s="77"/>
      <c r="C5252" s="60"/>
      <c r="D5252" s="81"/>
      <c r="E5252" s="62"/>
      <c r="F5252" s="60"/>
      <c r="G5252" s="62"/>
      <c r="H5252" s="60"/>
    </row>
    <row r="5253" spans="1:8">
      <c r="A5253" s="60"/>
      <c r="B5253" s="77"/>
      <c r="C5253" s="60"/>
      <c r="D5253" s="81"/>
      <c r="E5253" s="62"/>
      <c r="F5253" s="60"/>
      <c r="G5253" s="62"/>
      <c r="H5253" s="60"/>
    </row>
    <row r="5254" spans="1:8">
      <c r="A5254" s="60"/>
      <c r="B5254" s="77"/>
      <c r="C5254" s="60"/>
      <c r="D5254" s="81"/>
      <c r="E5254" s="62"/>
      <c r="F5254" s="60"/>
      <c r="G5254" s="62"/>
      <c r="H5254" s="60"/>
    </row>
    <row r="5255" spans="1:8">
      <c r="A5255" s="60"/>
      <c r="B5255" s="77"/>
      <c r="C5255" s="60"/>
      <c r="D5255" s="81"/>
      <c r="E5255" s="62"/>
      <c r="F5255" s="60"/>
      <c r="G5255" s="62"/>
      <c r="H5255" s="60"/>
    </row>
    <row r="5256" spans="1:8">
      <c r="A5256" s="60"/>
      <c r="B5256" s="77"/>
      <c r="C5256" s="60"/>
      <c r="D5256" s="81"/>
      <c r="E5256" s="62"/>
      <c r="F5256" s="60"/>
      <c r="G5256" s="62"/>
      <c r="H5256" s="60"/>
    </row>
    <row r="5257" spans="1:8">
      <c r="A5257" s="60"/>
      <c r="B5257" s="77"/>
      <c r="C5257" s="60"/>
      <c r="D5257" s="81"/>
      <c r="E5257" s="62"/>
      <c r="F5257" s="60"/>
      <c r="G5257" s="62"/>
      <c r="H5257" s="60"/>
    </row>
    <row r="5258" spans="1:8">
      <c r="A5258" s="60"/>
      <c r="B5258" s="77"/>
      <c r="C5258" s="60"/>
      <c r="D5258" s="81"/>
      <c r="E5258" s="62"/>
      <c r="F5258" s="60"/>
      <c r="G5258" s="62"/>
      <c r="H5258" s="60"/>
    </row>
    <row r="5259" spans="1:8">
      <c r="A5259" s="60"/>
      <c r="B5259" s="77"/>
      <c r="C5259" s="60"/>
      <c r="D5259" s="81"/>
      <c r="E5259" s="62"/>
      <c r="F5259" s="60"/>
      <c r="G5259" s="62"/>
      <c r="H5259" s="60"/>
    </row>
    <row r="5260" spans="1:8">
      <c r="A5260" s="60"/>
      <c r="B5260" s="77"/>
      <c r="C5260" s="60"/>
      <c r="D5260" s="81"/>
      <c r="E5260" s="62"/>
      <c r="F5260" s="60"/>
      <c r="G5260" s="62"/>
      <c r="H5260" s="60"/>
    </row>
    <row r="5261" spans="1:8">
      <c r="A5261" s="60"/>
      <c r="B5261" s="77"/>
      <c r="C5261" s="60"/>
      <c r="D5261" s="81"/>
      <c r="E5261" s="62"/>
      <c r="F5261" s="60"/>
      <c r="G5261" s="62"/>
      <c r="H5261" s="60"/>
    </row>
    <row r="5262" spans="1:8">
      <c r="A5262" s="60"/>
      <c r="B5262" s="77"/>
      <c r="C5262" s="60"/>
      <c r="D5262" s="81"/>
      <c r="E5262" s="62"/>
      <c r="F5262" s="60"/>
      <c r="G5262" s="62"/>
      <c r="H5262" s="60"/>
    </row>
    <row r="5263" spans="1:8">
      <c r="A5263" s="60"/>
      <c r="B5263" s="77"/>
      <c r="C5263" s="60"/>
      <c r="D5263" s="81"/>
      <c r="E5263" s="62"/>
      <c r="F5263" s="60"/>
      <c r="G5263" s="62"/>
      <c r="H5263" s="60"/>
    </row>
    <row r="5264" spans="1:8">
      <c r="A5264" s="60"/>
      <c r="B5264" s="77"/>
      <c r="C5264" s="60"/>
      <c r="D5264" s="81"/>
      <c r="E5264" s="62"/>
      <c r="F5264" s="60"/>
      <c r="G5264" s="62"/>
      <c r="H5264" s="60"/>
    </row>
    <row r="5265" spans="1:8">
      <c r="A5265" s="60"/>
      <c r="B5265" s="77"/>
      <c r="C5265" s="60"/>
      <c r="D5265" s="81"/>
      <c r="E5265" s="62"/>
      <c r="F5265" s="60"/>
      <c r="G5265" s="62"/>
      <c r="H5265" s="60"/>
    </row>
    <row r="5266" spans="1:8">
      <c r="A5266" s="60"/>
      <c r="B5266" s="77"/>
      <c r="C5266" s="60"/>
      <c r="D5266" s="81"/>
      <c r="E5266" s="62"/>
      <c r="F5266" s="60"/>
      <c r="G5266" s="62"/>
      <c r="H5266" s="60"/>
    </row>
    <row r="5267" spans="1:8">
      <c r="A5267" s="60"/>
      <c r="B5267" s="77"/>
      <c r="C5267" s="60"/>
      <c r="D5267" s="81"/>
      <c r="E5267" s="62"/>
      <c r="F5267" s="60"/>
      <c r="G5267" s="62"/>
      <c r="H5267" s="60"/>
    </row>
    <row r="5268" spans="1:8">
      <c r="A5268" s="60"/>
      <c r="B5268" s="77"/>
      <c r="C5268" s="60"/>
      <c r="D5268" s="81"/>
      <c r="E5268" s="62"/>
      <c r="F5268" s="60"/>
      <c r="G5268" s="62"/>
      <c r="H5268" s="60"/>
    </row>
    <row r="5269" spans="1:8">
      <c r="A5269" s="60"/>
      <c r="B5269" s="77"/>
      <c r="C5269" s="60"/>
      <c r="D5269" s="81"/>
      <c r="E5269" s="62"/>
      <c r="F5269" s="60"/>
      <c r="G5269" s="62"/>
      <c r="H5269" s="60"/>
    </row>
    <row r="5270" spans="1:8">
      <c r="A5270" s="60"/>
      <c r="B5270" s="77"/>
      <c r="C5270" s="60"/>
      <c r="D5270" s="81"/>
      <c r="E5270" s="62"/>
      <c r="F5270" s="60"/>
      <c r="G5270" s="62"/>
      <c r="H5270" s="60"/>
    </row>
    <row r="5271" spans="1:8">
      <c r="A5271" s="60"/>
      <c r="B5271" s="77"/>
      <c r="C5271" s="60"/>
      <c r="D5271" s="81"/>
      <c r="E5271" s="62"/>
      <c r="F5271" s="60"/>
      <c r="G5271" s="62"/>
      <c r="H5271" s="60"/>
    </row>
    <row r="5272" spans="1:8">
      <c r="A5272" s="60"/>
      <c r="B5272" s="77"/>
      <c r="C5272" s="60"/>
      <c r="D5272" s="81"/>
      <c r="E5272" s="62"/>
      <c r="F5272" s="60"/>
      <c r="G5272" s="62"/>
      <c r="H5272" s="60"/>
    </row>
    <row r="5273" spans="1:8">
      <c r="A5273" s="60"/>
      <c r="B5273" s="77"/>
      <c r="C5273" s="60"/>
      <c r="D5273" s="81"/>
      <c r="E5273" s="62"/>
      <c r="F5273" s="60"/>
      <c r="G5273" s="62"/>
      <c r="H5273" s="60"/>
    </row>
    <row r="5274" spans="1:8">
      <c r="A5274" s="60"/>
      <c r="B5274" s="77"/>
      <c r="C5274" s="60"/>
      <c r="D5274" s="81"/>
      <c r="E5274" s="62"/>
      <c r="F5274" s="60"/>
      <c r="G5274" s="62"/>
      <c r="H5274" s="60"/>
    </row>
    <row r="5275" spans="1:8">
      <c r="A5275" s="60"/>
      <c r="B5275" s="77"/>
      <c r="C5275" s="60"/>
      <c r="D5275" s="81"/>
      <c r="E5275" s="62"/>
      <c r="F5275" s="60"/>
      <c r="G5275" s="62"/>
      <c r="H5275" s="60"/>
    </row>
    <row r="5276" spans="1:8">
      <c r="A5276" s="60"/>
      <c r="B5276" s="77"/>
      <c r="C5276" s="60"/>
      <c r="D5276" s="81"/>
      <c r="E5276" s="62"/>
      <c r="F5276" s="60"/>
      <c r="G5276" s="62"/>
      <c r="H5276" s="60"/>
    </row>
    <row r="5277" spans="1:8">
      <c r="A5277" s="60"/>
      <c r="B5277" s="77"/>
      <c r="C5277" s="60"/>
      <c r="D5277" s="81"/>
      <c r="E5277" s="62"/>
      <c r="F5277" s="60"/>
      <c r="G5277" s="62"/>
      <c r="H5277" s="60"/>
    </row>
    <row r="5278" spans="1:8">
      <c r="A5278" s="60"/>
      <c r="B5278" s="77"/>
      <c r="C5278" s="60"/>
      <c r="D5278" s="81"/>
      <c r="E5278" s="62"/>
      <c r="F5278" s="60"/>
      <c r="G5278" s="62"/>
      <c r="H5278" s="60"/>
    </row>
    <row r="5279" spans="1:8">
      <c r="A5279" s="60"/>
      <c r="B5279" s="77"/>
      <c r="C5279" s="60"/>
      <c r="D5279" s="81"/>
      <c r="E5279" s="62"/>
      <c r="F5279" s="60"/>
      <c r="G5279" s="62"/>
      <c r="H5279" s="60"/>
    </row>
    <row r="5280" spans="1:8">
      <c r="A5280" s="60"/>
      <c r="B5280" s="77"/>
      <c r="C5280" s="60"/>
      <c r="D5280" s="81"/>
      <c r="E5280" s="62"/>
      <c r="F5280" s="60"/>
      <c r="G5280" s="62"/>
      <c r="H5280" s="60"/>
    </row>
    <row r="5281" spans="1:8">
      <c r="A5281" s="60"/>
      <c r="B5281" s="77"/>
      <c r="C5281" s="60"/>
      <c r="D5281" s="81"/>
      <c r="E5281" s="62"/>
      <c r="F5281" s="60"/>
      <c r="G5281" s="62"/>
      <c r="H5281" s="60"/>
    </row>
    <row r="5282" spans="1:8">
      <c r="A5282" s="60"/>
      <c r="B5282" s="77"/>
      <c r="C5282" s="60"/>
      <c r="D5282" s="81"/>
      <c r="E5282" s="62"/>
      <c r="F5282" s="60"/>
      <c r="G5282" s="62"/>
      <c r="H5282" s="60"/>
    </row>
    <row r="5283" spans="1:8">
      <c r="A5283" s="60"/>
      <c r="B5283" s="77"/>
      <c r="C5283" s="60"/>
      <c r="D5283" s="81"/>
      <c r="E5283" s="62"/>
      <c r="F5283" s="60"/>
      <c r="G5283" s="62"/>
      <c r="H5283" s="60"/>
    </row>
    <row r="5284" spans="1:8">
      <c r="A5284" s="60"/>
      <c r="B5284" s="77"/>
      <c r="C5284" s="60"/>
      <c r="D5284" s="81"/>
      <c r="E5284" s="62"/>
      <c r="F5284" s="60"/>
      <c r="G5284" s="62"/>
      <c r="H5284" s="60"/>
    </row>
    <row r="5285" spans="1:8">
      <c r="A5285" s="60"/>
      <c r="B5285" s="77"/>
      <c r="C5285" s="60"/>
      <c r="D5285" s="81"/>
      <c r="E5285" s="62"/>
      <c r="F5285" s="60"/>
      <c r="G5285" s="62"/>
      <c r="H5285" s="60"/>
    </row>
    <row r="5286" spans="1:8">
      <c r="A5286" s="60"/>
      <c r="B5286" s="77"/>
      <c r="C5286" s="60"/>
      <c r="D5286" s="81"/>
      <c r="E5286" s="62"/>
      <c r="F5286" s="60"/>
      <c r="G5286" s="62"/>
      <c r="H5286" s="60"/>
    </row>
    <row r="5287" spans="1:8">
      <c r="A5287" s="60"/>
      <c r="B5287" s="77"/>
      <c r="C5287" s="60"/>
      <c r="D5287" s="81"/>
      <c r="E5287" s="62"/>
      <c r="F5287" s="60"/>
      <c r="G5287" s="62"/>
      <c r="H5287" s="60"/>
    </row>
    <row r="5288" spans="1:8">
      <c r="A5288" s="60"/>
      <c r="B5288" s="77"/>
      <c r="C5288" s="60"/>
      <c r="D5288" s="81"/>
      <c r="E5288" s="62"/>
      <c r="F5288" s="60"/>
      <c r="G5288" s="62"/>
      <c r="H5288" s="60"/>
    </row>
    <row r="5289" spans="1:8">
      <c r="A5289" s="60"/>
      <c r="B5289" s="77"/>
      <c r="C5289" s="60"/>
      <c r="D5289" s="81"/>
      <c r="E5289" s="62"/>
      <c r="F5289" s="60"/>
      <c r="G5289" s="62"/>
      <c r="H5289" s="60"/>
    </row>
    <row r="5290" spans="1:8">
      <c r="A5290" s="60"/>
      <c r="B5290" s="77"/>
      <c r="C5290" s="60"/>
      <c r="D5290" s="81"/>
      <c r="E5290" s="62"/>
      <c r="F5290" s="60"/>
      <c r="G5290" s="62"/>
      <c r="H5290" s="60"/>
    </row>
    <row r="5291" spans="1:8">
      <c r="A5291" s="60"/>
      <c r="B5291" s="77"/>
      <c r="C5291" s="60"/>
      <c r="D5291" s="81"/>
      <c r="E5291" s="62"/>
      <c r="F5291" s="60"/>
      <c r="G5291" s="62"/>
      <c r="H5291" s="60"/>
    </row>
    <row r="5292" spans="1:8">
      <c r="A5292" s="60"/>
      <c r="B5292" s="77"/>
      <c r="C5292" s="60"/>
      <c r="D5292" s="81"/>
      <c r="E5292" s="62"/>
      <c r="F5292" s="60"/>
      <c r="G5292" s="62"/>
      <c r="H5292" s="60"/>
    </row>
    <row r="5293" spans="1:8">
      <c r="A5293" s="60"/>
      <c r="B5293" s="77"/>
      <c r="C5293" s="60"/>
      <c r="D5293" s="81"/>
      <c r="E5293" s="62"/>
      <c r="F5293" s="60"/>
      <c r="G5293" s="62"/>
      <c r="H5293" s="60"/>
    </row>
    <row r="5294" spans="1:8">
      <c r="A5294" s="60"/>
      <c r="B5294" s="77"/>
      <c r="C5294" s="60"/>
      <c r="D5294" s="81"/>
      <c r="E5294" s="62"/>
      <c r="F5294" s="60"/>
      <c r="G5294" s="62"/>
      <c r="H5294" s="60"/>
    </row>
    <row r="5295" spans="1:8">
      <c r="A5295" s="60"/>
      <c r="B5295" s="77"/>
      <c r="C5295" s="60"/>
      <c r="D5295" s="81"/>
      <c r="E5295" s="62"/>
      <c r="F5295" s="60"/>
      <c r="G5295" s="62"/>
      <c r="H5295" s="60"/>
    </row>
    <row r="5296" spans="1:8">
      <c r="A5296" s="60"/>
      <c r="B5296" s="77"/>
      <c r="C5296" s="60"/>
      <c r="D5296" s="81"/>
      <c r="E5296" s="62"/>
      <c r="F5296" s="60"/>
      <c r="G5296" s="62"/>
      <c r="H5296" s="60"/>
    </row>
    <row r="5297" spans="1:8">
      <c r="A5297" s="60"/>
      <c r="B5297" s="77"/>
      <c r="C5297" s="60"/>
      <c r="D5297" s="81"/>
      <c r="E5297" s="62"/>
      <c r="F5297" s="60"/>
      <c r="G5297" s="62"/>
      <c r="H5297" s="60"/>
    </row>
    <row r="5298" spans="1:8">
      <c r="A5298" s="60"/>
      <c r="B5298" s="77"/>
      <c r="C5298" s="60"/>
      <c r="D5298" s="81"/>
      <c r="E5298" s="62"/>
      <c r="F5298" s="60"/>
      <c r="G5298" s="62"/>
      <c r="H5298" s="60"/>
    </row>
    <row r="5299" spans="1:8">
      <c r="A5299" s="60"/>
      <c r="B5299" s="77"/>
      <c r="C5299" s="60"/>
      <c r="D5299" s="81"/>
      <c r="E5299" s="62"/>
      <c r="F5299" s="60"/>
      <c r="G5299" s="62"/>
      <c r="H5299" s="60"/>
    </row>
    <row r="5300" spans="1:8">
      <c r="A5300" s="60"/>
      <c r="B5300" s="77"/>
      <c r="C5300" s="60"/>
      <c r="D5300" s="81"/>
      <c r="E5300" s="62"/>
      <c r="F5300" s="60"/>
      <c r="G5300" s="62"/>
      <c r="H5300" s="60"/>
    </row>
    <row r="5301" spans="1:8">
      <c r="A5301" s="60"/>
      <c r="B5301" s="77"/>
      <c r="C5301" s="60"/>
      <c r="D5301" s="81"/>
      <c r="E5301" s="62"/>
      <c r="F5301" s="60"/>
      <c r="G5301" s="62"/>
      <c r="H5301" s="60"/>
    </row>
    <row r="5302" spans="1:8">
      <c r="A5302" s="60"/>
      <c r="B5302" s="77"/>
      <c r="C5302" s="60"/>
      <c r="D5302" s="81"/>
      <c r="E5302" s="62"/>
      <c r="F5302" s="60"/>
      <c r="G5302" s="62"/>
      <c r="H5302" s="60"/>
    </row>
    <row r="5303" spans="1:8">
      <c r="A5303" s="60"/>
      <c r="B5303" s="77"/>
      <c r="C5303" s="60"/>
      <c r="D5303" s="81"/>
      <c r="E5303" s="62"/>
      <c r="F5303" s="60"/>
      <c r="G5303" s="62"/>
      <c r="H5303" s="60"/>
    </row>
    <row r="5304" spans="1:8">
      <c r="A5304" s="60"/>
      <c r="B5304" s="77"/>
      <c r="C5304" s="60"/>
      <c r="D5304" s="81"/>
      <c r="E5304" s="62"/>
      <c r="F5304" s="60"/>
      <c r="G5304" s="62"/>
      <c r="H5304" s="60"/>
    </row>
    <row r="5305" spans="1:8">
      <c r="A5305" s="60"/>
      <c r="B5305" s="77"/>
      <c r="C5305" s="60"/>
      <c r="D5305" s="81"/>
      <c r="E5305" s="62"/>
      <c r="F5305" s="60"/>
      <c r="G5305" s="62"/>
      <c r="H5305" s="60"/>
    </row>
    <row r="5306" spans="1:8">
      <c r="A5306" s="60"/>
      <c r="B5306" s="77"/>
      <c r="C5306" s="60"/>
      <c r="D5306" s="81"/>
      <c r="E5306" s="62"/>
      <c r="F5306" s="60"/>
      <c r="G5306" s="62"/>
      <c r="H5306" s="60"/>
    </row>
    <row r="5307" spans="1:8">
      <c r="A5307" s="60"/>
      <c r="B5307" s="77"/>
      <c r="C5307" s="60"/>
      <c r="D5307" s="81"/>
      <c r="E5307" s="62"/>
      <c r="F5307" s="60"/>
      <c r="G5307" s="62"/>
      <c r="H5307" s="60"/>
    </row>
    <row r="5308" spans="1:8">
      <c r="A5308" s="60"/>
      <c r="B5308" s="77"/>
      <c r="C5308" s="60"/>
      <c r="D5308" s="81"/>
      <c r="E5308" s="62"/>
      <c r="F5308" s="60"/>
      <c r="G5308" s="62"/>
      <c r="H5308" s="60"/>
    </row>
    <row r="5309" spans="1:8">
      <c r="A5309" s="60"/>
      <c r="B5309" s="77"/>
      <c r="C5309" s="60"/>
      <c r="D5309" s="81"/>
      <c r="E5309" s="62"/>
      <c r="F5309" s="60"/>
      <c r="G5309" s="62"/>
      <c r="H5309" s="60"/>
    </row>
    <row r="5310" spans="1:8">
      <c r="A5310" s="60"/>
      <c r="B5310" s="77"/>
      <c r="C5310" s="60"/>
      <c r="D5310" s="81"/>
      <c r="E5310" s="62"/>
      <c r="F5310" s="60"/>
      <c r="G5310" s="62"/>
      <c r="H5310" s="60"/>
    </row>
    <row r="5311" spans="1:8">
      <c r="A5311" s="60"/>
      <c r="B5311" s="77"/>
      <c r="C5311" s="60"/>
      <c r="D5311" s="81"/>
      <c r="E5311" s="62"/>
      <c r="F5311" s="60"/>
      <c r="G5311" s="62"/>
      <c r="H5311" s="60"/>
    </row>
    <row r="5312" spans="1:8">
      <c r="A5312" s="60"/>
      <c r="B5312" s="77"/>
      <c r="C5312" s="60"/>
      <c r="D5312" s="81"/>
      <c r="E5312" s="62"/>
      <c r="F5312" s="60"/>
      <c r="G5312" s="62"/>
      <c r="H5312" s="60"/>
    </row>
    <row r="5313" spans="1:8">
      <c r="A5313" s="60"/>
      <c r="B5313" s="77"/>
      <c r="C5313" s="60"/>
      <c r="D5313" s="81"/>
      <c r="E5313" s="62"/>
      <c r="F5313" s="60"/>
      <c r="G5313" s="62"/>
      <c r="H5313" s="60"/>
    </row>
    <row r="5314" spans="1:8">
      <c r="A5314" s="60"/>
      <c r="B5314" s="77"/>
      <c r="C5314" s="60"/>
      <c r="D5314" s="81"/>
      <c r="E5314" s="62"/>
      <c r="F5314" s="60"/>
      <c r="G5314" s="62"/>
      <c r="H5314" s="60"/>
    </row>
    <row r="5315" spans="1:8">
      <c r="A5315" s="60"/>
      <c r="B5315" s="77"/>
      <c r="C5315" s="60"/>
      <c r="D5315" s="81"/>
      <c r="E5315" s="62"/>
      <c r="F5315" s="60"/>
      <c r="G5315" s="62"/>
      <c r="H5315" s="60"/>
    </row>
    <row r="5316" spans="1:8">
      <c r="A5316" s="60"/>
      <c r="B5316" s="77"/>
      <c r="C5316" s="60"/>
      <c r="D5316" s="81"/>
      <c r="E5316" s="62"/>
      <c r="F5316" s="60"/>
      <c r="G5316" s="62"/>
      <c r="H5316" s="60"/>
    </row>
    <row r="5317" spans="1:8">
      <c r="A5317" s="60"/>
      <c r="B5317" s="77"/>
      <c r="C5317" s="60"/>
      <c r="D5317" s="81"/>
      <c r="E5317" s="62"/>
      <c r="F5317" s="60"/>
      <c r="G5317" s="62"/>
      <c r="H5317" s="60"/>
    </row>
    <row r="5318" spans="1:8">
      <c r="A5318" s="60"/>
      <c r="B5318" s="77"/>
      <c r="C5318" s="60"/>
      <c r="D5318" s="81"/>
      <c r="E5318" s="62"/>
      <c r="F5318" s="60"/>
      <c r="G5318" s="62"/>
      <c r="H5318" s="60"/>
    </row>
    <row r="5319" spans="1:8">
      <c r="A5319" s="60"/>
      <c r="B5319" s="77"/>
      <c r="C5319" s="60"/>
      <c r="D5319" s="81"/>
      <c r="E5319" s="62"/>
      <c r="F5319" s="60"/>
      <c r="G5319" s="62"/>
      <c r="H5319" s="60"/>
    </row>
    <row r="5320" spans="1:8">
      <c r="A5320" s="60"/>
      <c r="B5320" s="77"/>
      <c r="C5320" s="60"/>
      <c r="D5320" s="81"/>
      <c r="E5320" s="62"/>
      <c r="F5320" s="60"/>
      <c r="G5320" s="62"/>
      <c r="H5320" s="60"/>
    </row>
    <row r="5321" spans="1:8">
      <c r="A5321" s="60"/>
      <c r="B5321" s="77"/>
      <c r="C5321" s="60"/>
      <c r="D5321" s="81"/>
      <c r="E5321" s="62"/>
      <c r="F5321" s="60"/>
      <c r="G5321" s="62"/>
      <c r="H5321" s="60"/>
    </row>
    <row r="5322" spans="1:8">
      <c r="A5322" s="60"/>
      <c r="B5322" s="77"/>
      <c r="C5322" s="60"/>
      <c r="D5322" s="81"/>
      <c r="E5322" s="62"/>
      <c r="F5322" s="60"/>
      <c r="G5322" s="62"/>
      <c r="H5322" s="60"/>
    </row>
    <row r="5323" spans="1:8">
      <c r="A5323" s="60"/>
      <c r="B5323" s="77"/>
      <c r="C5323" s="60"/>
      <c r="D5323" s="81"/>
      <c r="E5323" s="62"/>
      <c r="F5323" s="60"/>
      <c r="G5323" s="62"/>
      <c r="H5323" s="60"/>
    </row>
    <row r="5324" spans="1:8">
      <c r="A5324" s="60"/>
      <c r="B5324" s="77"/>
      <c r="C5324" s="60"/>
      <c r="D5324" s="81"/>
      <c r="E5324" s="62"/>
      <c r="F5324" s="60"/>
      <c r="G5324" s="62"/>
      <c r="H5324" s="60"/>
    </row>
    <row r="5325" spans="1:8">
      <c r="A5325" s="60"/>
      <c r="B5325" s="77"/>
      <c r="C5325" s="60"/>
      <c r="D5325" s="81"/>
      <c r="E5325" s="62"/>
      <c r="F5325" s="60"/>
      <c r="G5325" s="62"/>
      <c r="H5325" s="60"/>
    </row>
    <row r="5326" spans="1:8">
      <c r="A5326" s="60"/>
      <c r="B5326" s="77"/>
      <c r="C5326" s="60"/>
      <c r="D5326" s="81"/>
      <c r="E5326" s="62"/>
      <c r="F5326" s="60"/>
      <c r="G5326" s="62"/>
      <c r="H5326" s="60"/>
    </row>
    <row r="5327" spans="1:8">
      <c r="A5327" s="60"/>
      <c r="B5327" s="77"/>
      <c r="C5327" s="60"/>
      <c r="D5327" s="81"/>
      <c r="E5327" s="62"/>
      <c r="F5327" s="60"/>
      <c r="G5327" s="62"/>
      <c r="H5327" s="60"/>
    </row>
    <row r="5328" spans="1:8">
      <c r="A5328" s="60"/>
      <c r="B5328" s="77"/>
      <c r="C5328" s="60"/>
      <c r="D5328" s="81"/>
      <c r="E5328" s="62"/>
      <c r="F5328" s="60"/>
      <c r="G5328" s="62"/>
      <c r="H5328" s="60"/>
    </row>
    <row r="5329" spans="1:8">
      <c r="A5329" s="60"/>
      <c r="B5329" s="77"/>
      <c r="C5329" s="60"/>
      <c r="D5329" s="81"/>
      <c r="E5329" s="62"/>
      <c r="F5329" s="60"/>
      <c r="G5329" s="62"/>
      <c r="H5329" s="60"/>
    </row>
    <row r="5330" spans="1:8">
      <c r="A5330" s="60"/>
      <c r="B5330" s="77"/>
      <c r="C5330" s="60"/>
      <c r="D5330" s="81"/>
      <c r="E5330" s="62"/>
      <c r="F5330" s="60"/>
      <c r="G5330" s="62"/>
      <c r="H5330" s="60"/>
    </row>
    <row r="5331" spans="1:8">
      <c r="A5331" s="60"/>
      <c r="B5331" s="77"/>
      <c r="C5331" s="60"/>
      <c r="D5331" s="81"/>
      <c r="E5331" s="62"/>
      <c r="F5331" s="60"/>
      <c r="G5331" s="62"/>
      <c r="H5331" s="60"/>
    </row>
    <row r="5332" spans="1:8">
      <c r="A5332" s="60"/>
      <c r="B5332" s="77"/>
      <c r="C5332" s="60"/>
      <c r="D5332" s="81"/>
      <c r="E5332" s="62"/>
      <c r="F5332" s="60"/>
      <c r="G5332" s="62"/>
      <c r="H5332" s="60"/>
    </row>
    <row r="5333" spans="1:8">
      <c r="A5333" s="60"/>
      <c r="B5333" s="77"/>
      <c r="C5333" s="60"/>
      <c r="D5333" s="81"/>
      <c r="E5333" s="62"/>
      <c r="F5333" s="60"/>
      <c r="G5333" s="62"/>
      <c r="H5333" s="60"/>
    </row>
    <row r="5334" spans="1:8">
      <c r="A5334" s="60"/>
      <c r="B5334" s="77"/>
      <c r="C5334" s="60"/>
      <c r="D5334" s="81"/>
      <c r="E5334" s="62"/>
      <c r="F5334" s="60"/>
      <c r="G5334" s="62"/>
      <c r="H5334" s="60"/>
    </row>
    <row r="5335" spans="1:8">
      <c r="A5335" s="60"/>
      <c r="B5335" s="77"/>
      <c r="C5335" s="60"/>
      <c r="D5335" s="81"/>
      <c r="E5335" s="62"/>
      <c r="F5335" s="60"/>
      <c r="G5335" s="62"/>
      <c r="H5335" s="60"/>
    </row>
    <row r="5336" spans="1:8">
      <c r="A5336" s="60"/>
      <c r="B5336" s="77"/>
      <c r="C5336" s="60"/>
      <c r="D5336" s="81"/>
      <c r="E5336" s="62"/>
      <c r="F5336" s="60"/>
      <c r="G5336" s="62"/>
      <c r="H5336" s="60"/>
    </row>
    <row r="5337" spans="1:8">
      <c r="A5337" s="60"/>
      <c r="B5337" s="77"/>
      <c r="C5337" s="60"/>
      <c r="D5337" s="81"/>
      <c r="E5337" s="62"/>
      <c r="F5337" s="60"/>
      <c r="G5337" s="62"/>
      <c r="H5337" s="60"/>
    </row>
    <row r="5338" spans="1:8">
      <c r="A5338" s="60"/>
      <c r="B5338" s="77"/>
      <c r="C5338" s="60"/>
      <c r="D5338" s="81"/>
      <c r="E5338" s="62"/>
      <c r="F5338" s="60"/>
      <c r="G5338" s="62"/>
      <c r="H5338" s="60"/>
    </row>
    <row r="5339" spans="1:8">
      <c r="A5339" s="60"/>
      <c r="B5339" s="77"/>
      <c r="C5339" s="60"/>
      <c r="D5339" s="81"/>
      <c r="E5339" s="62"/>
      <c r="F5339" s="60"/>
      <c r="G5339" s="62"/>
      <c r="H5339" s="60"/>
    </row>
    <row r="5340" spans="1:8">
      <c r="A5340" s="60"/>
      <c r="B5340" s="77"/>
      <c r="C5340" s="60"/>
      <c r="D5340" s="81"/>
      <c r="E5340" s="62"/>
      <c r="F5340" s="60"/>
      <c r="G5340" s="62"/>
      <c r="H5340" s="60"/>
    </row>
    <row r="5341" spans="1:8">
      <c r="A5341" s="60"/>
      <c r="B5341" s="77"/>
      <c r="C5341" s="60"/>
      <c r="D5341" s="81"/>
      <c r="E5341" s="62"/>
      <c r="F5341" s="60"/>
      <c r="G5341" s="62"/>
      <c r="H5341" s="60"/>
    </row>
    <row r="5342" spans="1:8">
      <c r="A5342" s="60"/>
      <c r="B5342" s="77"/>
      <c r="C5342" s="60"/>
      <c r="D5342" s="81"/>
      <c r="E5342" s="62"/>
      <c r="F5342" s="60"/>
      <c r="G5342" s="62"/>
      <c r="H5342" s="60"/>
    </row>
    <row r="5343" spans="1:8">
      <c r="A5343" s="60"/>
      <c r="B5343" s="77"/>
      <c r="C5343" s="60"/>
      <c r="D5343" s="81"/>
      <c r="E5343" s="62"/>
      <c r="F5343" s="60"/>
      <c r="G5343" s="62"/>
      <c r="H5343" s="60"/>
    </row>
    <row r="5344" spans="1:8">
      <c r="A5344" s="60"/>
      <c r="B5344" s="77"/>
      <c r="C5344" s="60"/>
      <c r="D5344" s="81"/>
      <c r="E5344" s="62"/>
      <c r="F5344" s="60"/>
      <c r="G5344" s="62"/>
      <c r="H5344" s="60"/>
    </row>
    <row r="5345" spans="1:8">
      <c r="A5345" s="60"/>
      <c r="B5345" s="77"/>
      <c r="C5345" s="60"/>
      <c r="D5345" s="81"/>
      <c r="E5345" s="62"/>
      <c r="F5345" s="60"/>
      <c r="G5345" s="62"/>
      <c r="H5345" s="60"/>
    </row>
    <row r="5346" spans="1:8">
      <c r="A5346" s="60"/>
      <c r="B5346" s="77"/>
      <c r="C5346" s="60"/>
      <c r="D5346" s="81"/>
      <c r="E5346" s="62"/>
      <c r="F5346" s="60"/>
      <c r="G5346" s="62"/>
      <c r="H5346" s="60"/>
    </row>
    <row r="5347" spans="1:8">
      <c r="A5347" s="60"/>
      <c r="B5347" s="77"/>
      <c r="C5347" s="60"/>
      <c r="D5347" s="81"/>
      <c r="E5347" s="62"/>
      <c r="F5347" s="60"/>
      <c r="G5347" s="62"/>
      <c r="H5347" s="60"/>
    </row>
    <row r="5348" spans="1:8">
      <c r="A5348" s="60"/>
      <c r="B5348" s="77"/>
      <c r="C5348" s="60"/>
      <c r="D5348" s="81"/>
      <c r="E5348" s="62"/>
      <c r="F5348" s="60"/>
      <c r="G5348" s="62"/>
      <c r="H5348" s="60"/>
    </row>
    <row r="5349" spans="1:8">
      <c r="A5349" s="60"/>
      <c r="B5349" s="77"/>
      <c r="C5349" s="60"/>
      <c r="D5349" s="81"/>
      <c r="E5349" s="62"/>
      <c r="F5349" s="60"/>
      <c r="G5349" s="62"/>
      <c r="H5349" s="60"/>
    </row>
    <row r="5350" spans="1:8">
      <c r="A5350" s="60"/>
      <c r="B5350" s="77"/>
      <c r="C5350" s="60"/>
      <c r="D5350" s="81"/>
      <c r="E5350" s="62"/>
      <c r="F5350" s="60"/>
      <c r="G5350" s="62"/>
      <c r="H5350" s="60"/>
    </row>
    <row r="5351" spans="1:8">
      <c r="A5351" s="60"/>
      <c r="B5351" s="77"/>
      <c r="C5351" s="60"/>
      <c r="D5351" s="81"/>
      <c r="E5351" s="62"/>
      <c r="F5351" s="60"/>
      <c r="G5351" s="62"/>
      <c r="H5351" s="60"/>
    </row>
    <row r="5352" spans="1:8">
      <c r="A5352" s="60"/>
      <c r="B5352" s="77"/>
      <c r="C5352" s="60"/>
      <c r="D5352" s="81"/>
      <c r="E5352" s="62"/>
      <c r="F5352" s="60"/>
      <c r="G5352" s="62"/>
      <c r="H5352" s="60"/>
    </row>
    <row r="5353" spans="1:8">
      <c r="A5353" s="60"/>
      <c r="B5353" s="77"/>
      <c r="C5353" s="60"/>
      <c r="D5353" s="81"/>
      <c r="E5353" s="62"/>
      <c r="F5353" s="60"/>
      <c r="G5353" s="62"/>
      <c r="H5353" s="60"/>
    </row>
    <row r="5354" spans="1:8">
      <c r="A5354" s="60"/>
      <c r="B5354" s="77"/>
      <c r="C5354" s="60"/>
      <c r="D5354" s="81"/>
      <c r="E5354" s="62"/>
      <c r="F5354" s="60"/>
      <c r="G5354" s="62"/>
      <c r="H5354" s="60"/>
    </row>
    <row r="5355" spans="1:8">
      <c r="A5355" s="60"/>
      <c r="B5355" s="77"/>
      <c r="C5355" s="60"/>
      <c r="D5355" s="81"/>
      <c r="E5355" s="62"/>
      <c r="F5355" s="60"/>
      <c r="G5355" s="62"/>
      <c r="H5355" s="60"/>
    </row>
    <row r="5356" spans="1:8">
      <c r="A5356" s="60"/>
      <c r="B5356" s="77"/>
      <c r="C5356" s="60"/>
      <c r="D5356" s="81"/>
      <c r="E5356" s="62"/>
      <c r="F5356" s="60"/>
      <c r="G5356" s="62"/>
      <c r="H5356" s="60"/>
    </row>
    <row r="5357" spans="1:8">
      <c r="A5357" s="60"/>
      <c r="B5357" s="77"/>
      <c r="C5357" s="60"/>
      <c r="D5357" s="81"/>
      <c r="E5357" s="62"/>
      <c r="F5357" s="60"/>
      <c r="G5357" s="62"/>
      <c r="H5357" s="60"/>
    </row>
    <row r="5358" spans="1:8">
      <c r="A5358" s="60"/>
      <c r="B5358" s="77"/>
      <c r="C5358" s="60"/>
      <c r="D5358" s="81"/>
      <c r="E5358" s="62"/>
      <c r="F5358" s="60"/>
      <c r="G5358" s="62"/>
      <c r="H5358" s="60"/>
    </row>
    <row r="5359" spans="1:8">
      <c r="A5359" s="60"/>
      <c r="B5359" s="77"/>
      <c r="C5359" s="60"/>
      <c r="D5359" s="81"/>
      <c r="E5359" s="62"/>
      <c r="F5359" s="60"/>
      <c r="G5359" s="62"/>
      <c r="H5359" s="60"/>
    </row>
    <row r="5360" spans="1:8">
      <c r="A5360" s="60"/>
      <c r="B5360" s="77"/>
      <c r="C5360" s="60"/>
      <c r="D5360" s="81"/>
      <c r="E5360" s="62"/>
      <c r="F5360" s="60"/>
      <c r="G5360" s="62"/>
      <c r="H5360" s="60"/>
    </row>
    <row r="5361" spans="1:8">
      <c r="A5361" s="60"/>
      <c r="B5361" s="77"/>
      <c r="C5361" s="60"/>
      <c r="D5361" s="81"/>
      <c r="E5361" s="62"/>
      <c r="F5361" s="60"/>
      <c r="G5361" s="62"/>
      <c r="H5361" s="60"/>
    </row>
    <row r="5362" spans="1:8">
      <c r="A5362" s="60"/>
      <c r="B5362" s="77"/>
      <c r="C5362" s="60"/>
      <c r="D5362" s="81"/>
      <c r="E5362" s="62"/>
      <c r="F5362" s="60"/>
      <c r="G5362" s="62"/>
      <c r="H5362" s="60"/>
    </row>
    <row r="5363" spans="1:8">
      <c r="A5363" s="60"/>
      <c r="B5363" s="77"/>
      <c r="C5363" s="60"/>
      <c r="D5363" s="81"/>
      <c r="E5363" s="62"/>
      <c r="F5363" s="60"/>
      <c r="G5363" s="62"/>
      <c r="H5363" s="60"/>
    </row>
    <row r="5364" spans="1:8">
      <c r="A5364" s="60"/>
      <c r="B5364" s="77"/>
      <c r="C5364" s="60"/>
      <c r="D5364" s="81"/>
      <c r="E5364" s="62"/>
      <c r="F5364" s="60"/>
      <c r="G5364" s="62"/>
      <c r="H5364" s="60"/>
    </row>
    <row r="5365" spans="1:8">
      <c r="A5365" s="60"/>
      <c r="B5365" s="77"/>
      <c r="C5365" s="60"/>
      <c r="D5365" s="81"/>
      <c r="E5365" s="62"/>
      <c r="F5365" s="60"/>
      <c r="G5365" s="62"/>
      <c r="H5365" s="60"/>
    </row>
    <row r="5366" spans="1:8">
      <c r="A5366" s="60"/>
      <c r="B5366" s="77"/>
      <c r="C5366" s="60"/>
      <c r="D5366" s="81"/>
      <c r="E5366" s="62"/>
      <c r="F5366" s="60"/>
      <c r="G5366" s="62"/>
      <c r="H5366" s="60"/>
    </row>
    <row r="5367" spans="1:8">
      <c r="A5367" s="60"/>
      <c r="B5367" s="77"/>
      <c r="C5367" s="60"/>
      <c r="D5367" s="81"/>
      <c r="E5367" s="62"/>
      <c r="F5367" s="60"/>
      <c r="G5367" s="62"/>
      <c r="H5367" s="60"/>
    </row>
    <row r="5368" spans="1:8">
      <c r="A5368" s="60"/>
      <c r="B5368" s="77"/>
      <c r="C5368" s="60"/>
      <c r="D5368" s="81"/>
      <c r="E5368" s="62"/>
      <c r="F5368" s="60"/>
      <c r="G5368" s="62"/>
      <c r="H5368" s="60"/>
    </row>
    <row r="5369" spans="1:8">
      <c r="A5369" s="60"/>
      <c r="B5369" s="77"/>
      <c r="C5369" s="60"/>
      <c r="D5369" s="81"/>
      <c r="E5369" s="62"/>
      <c r="F5369" s="60"/>
      <c r="G5369" s="62"/>
      <c r="H5369" s="60"/>
    </row>
    <row r="5370" spans="1:8">
      <c r="A5370" s="60"/>
      <c r="B5370" s="77"/>
      <c r="C5370" s="60"/>
      <c r="D5370" s="81"/>
      <c r="E5370" s="62"/>
      <c r="F5370" s="60"/>
      <c r="G5370" s="62"/>
      <c r="H5370" s="60"/>
    </row>
    <row r="5371" spans="1:8">
      <c r="A5371" s="60"/>
      <c r="B5371" s="77"/>
      <c r="C5371" s="60"/>
      <c r="D5371" s="81"/>
      <c r="E5371" s="62"/>
      <c r="F5371" s="60"/>
      <c r="G5371" s="62"/>
      <c r="H5371" s="60"/>
    </row>
    <row r="5372" spans="1:8">
      <c r="A5372" s="60"/>
      <c r="B5372" s="77"/>
      <c r="C5372" s="60"/>
      <c r="D5372" s="81"/>
      <c r="E5372" s="62"/>
      <c r="F5372" s="60"/>
      <c r="G5372" s="62"/>
      <c r="H5372" s="60"/>
    </row>
    <row r="5373" spans="1:8">
      <c r="A5373" s="60"/>
      <c r="B5373" s="77"/>
      <c r="C5373" s="60"/>
      <c r="D5373" s="81"/>
      <c r="E5373" s="62"/>
      <c r="F5373" s="60"/>
      <c r="G5373" s="62"/>
      <c r="H5373" s="60"/>
    </row>
    <row r="5374" spans="1:8">
      <c r="A5374" s="60"/>
      <c r="B5374" s="77"/>
      <c r="C5374" s="60"/>
      <c r="D5374" s="81"/>
      <c r="E5374" s="62"/>
      <c r="F5374" s="60"/>
      <c r="G5374" s="62"/>
      <c r="H5374" s="60"/>
    </row>
    <row r="5375" spans="1:8">
      <c r="A5375" s="60"/>
      <c r="B5375" s="77"/>
      <c r="C5375" s="60"/>
      <c r="D5375" s="81"/>
      <c r="E5375" s="62"/>
      <c r="F5375" s="60"/>
      <c r="G5375" s="62"/>
      <c r="H5375" s="60"/>
    </row>
    <row r="5376" spans="1:8">
      <c r="A5376" s="60"/>
      <c r="B5376" s="77"/>
      <c r="C5376" s="60"/>
      <c r="D5376" s="81"/>
      <c r="E5376" s="62"/>
      <c r="F5376" s="60"/>
      <c r="G5376" s="62"/>
      <c r="H5376" s="60"/>
    </row>
    <row r="5377" spans="1:8">
      <c r="A5377" s="60"/>
      <c r="B5377" s="77"/>
      <c r="C5377" s="60"/>
      <c r="D5377" s="81"/>
      <c r="E5377" s="62"/>
      <c r="F5377" s="60"/>
      <c r="G5377" s="62"/>
      <c r="H5377" s="60"/>
    </row>
    <row r="5378" spans="1:8">
      <c r="A5378" s="60"/>
      <c r="B5378" s="77"/>
      <c r="C5378" s="60"/>
      <c r="D5378" s="81"/>
      <c r="E5378" s="62"/>
      <c r="F5378" s="60"/>
      <c r="G5378" s="62"/>
      <c r="H5378" s="60"/>
    </row>
    <row r="5379" spans="1:8">
      <c r="A5379" s="60"/>
      <c r="B5379" s="77"/>
      <c r="C5379" s="60"/>
      <c r="D5379" s="81"/>
      <c r="E5379" s="62"/>
      <c r="F5379" s="60"/>
      <c r="G5379" s="62"/>
      <c r="H5379" s="60"/>
    </row>
    <row r="5380" spans="1:8">
      <c r="A5380" s="60"/>
      <c r="B5380" s="77"/>
      <c r="C5380" s="60"/>
      <c r="D5380" s="81"/>
      <c r="E5380" s="62"/>
      <c r="F5380" s="60"/>
      <c r="G5380" s="62"/>
      <c r="H5380" s="60"/>
    </row>
    <row r="5381" spans="1:8">
      <c r="A5381" s="60"/>
      <c r="B5381" s="77"/>
      <c r="C5381" s="60"/>
      <c r="D5381" s="81"/>
      <c r="E5381" s="62"/>
      <c r="F5381" s="60"/>
      <c r="G5381" s="62"/>
      <c r="H5381" s="60"/>
    </row>
    <row r="5382" spans="1:8">
      <c r="A5382" s="60"/>
      <c r="B5382" s="77"/>
      <c r="C5382" s="60"/>
      <c r="D5382" s="81"/>
      <c r="E5382" s="62"/>
      <c r="F5382" s="60"/>
      <c r="G5382" s="62"/>
      <c r="H5382" s="60"/>
    </row>
    <row r="5383" spans="1:8">
      <c r="A5383" s="60"/>
      <c r="B5383" s="77"/>
      <c r="C5383" s="60"/>
      <c r="D5383" s="81"/>
      <c r="E5383" s="62"/>
      <c r="F5383" s="60"/>
      <c r="G5383" s="62"/>
      <c r="H5383" s="60"/>
    </row>
    <row r="5384" spans="1:8">
      <c r="A5384" s="60"/>
      <c r="B5384" s="77"/>
      <c r="C5384" s="60"/>
      <c r="D5384" s="81"/>
      <c r="E5384" s="62"/>
      <c r="F5384" s="60"/>
      <c r="G5384" s="62"/>
      <c r="H5384" s="60"/>
    </row>
    <row r="5385" spans="1:8">
      <c r="A5385" s="60"/>
      <c r="B5385" s="77"/>
      <c r="C5385" s="60"/>
      <c r="D5385" s="81"/>
      <c r="E5385" s="62"/>
      <c r="F5385" s="60"/>
      <c r="G5385" s="62"/>
      <c r="H5385" s="60"/>
    </row>
    <row r="5386" spans="1:8">
      <c r="A5386" s="60"/>
      <c r="B5386" s="77"/>
      <c r="C5386" s="60"/>
      <c r="D5386" s="81"/>
      <c r="E5386" s="62"/>
      <c r="F5386" s="60"/>
      <c r="G5386" s="62"/>
      <c r="H5386" s="60"/>
    </row>
    <row r="5387" spans="1:8">
      <c r="A5387" s="60"/>
      <c r="B5387" s="77"/>
      <c r="C5387" s="60"/>
      <c r="D5387" s="81"/>
      <c r="E5387" s="62"/>
      <c r="F5387" s="60"/>
      <c r="G5387" s="62"/>
      <c r="H5387" s="60"/>
    </row>
    <row r="5388" spans="1:8">
      <c r="A5388" s="60"/>
      <c r="B5388" s="77"/>
      <c r="C5388" s="60"/>
      <c r="D5388" s="81"/>
      <c r="E5388" s="62"/>
      <c r="F5388" s="60"/>
      <c r="G5388" s="62"/>
      <c r="H5388" s="60"/>
    </row>
    <row r="5389" spans="1:8">
      <c r="A5389" s="60"/>
      <c r="B5389" s="77"/>
      <c r="C5389" s="60"/>
      <c r="D5389" s="81"/>
      <c r="E5389" s="62"/>
      <c r="F5389" s="60"/>
      <c r="G5389" s="62"/>
      <c r="H5389" s="60"/>
    </row>
    <row r="5390" spans="1:8">
      <c r="A5390" s="60"/>
      <c r="B5390" s="77"/>
      <c r="C5390" s="60"/>
      <c r="D5390" s="81"/>
      <c r="E5390" s="62"/>
      <c r="F5390" s="60"/>
      <c r="G5390" s="62"/>
      <c r="H5390" s="60"/>
    </row>
    <row r="5391" spans="1:8">
      <c r="A5391" s="60"/>
      <c r="B5391" s="77"/>
      <c r="C5391" s="60"/>
      <c r="D5391" s="81"/>
      <c r="E5391" s="62"/>
      <c r="F5391" s="60"/>
      <c r="G5391" s="62"/>
      <c r="H5391" s="60"/>
    </row>
    <row r="5392" spans="1:8">
      <c r="A5392" s="60"/>
      <c r="B5392" s="77"/>
      <c r="C5392" s="60"/>
      <c r="D5392" s="81"/>
      <c r="E5392" s="62"/>
      <c r="F5392" s="60"/>
      <c r="G5392" s="62"/>
      <c r="H5392" s="60"/>
    </row>
    <row r="5393" spans="1:8">
      <c r="A5393" s="60"/>
      <c r="B5393" s="77"/>
      <c r="C5393" s="60"/>
      <c r="D5393" s="81"/>
      <c r="E5393" s="62"/>
      <c r="F5393" s="60"/>
      <c r="G5393" s="62"/>
      <c r="H5393" s="60"/>
    </row>
    <row r="5394" spans="1:8">
      <c r="A5394" s="60"/>
      <c r="B5394" s="77"/>
      <c r="C5394" s="60"/>
      <c r="D5394" s="81"/>
      <c r="E5394" s="62"/>
      <c r="F5394" s="60"/>
      <c r="G5394" s="62"/>
      <c r="H5394" s="60"/>
    </row>
    <row r="5395" spans="1:8">
      <c r="A5395" s="60"/>
      <c r="B5395" s="77"/>
      <c r="C5395" s="60"/>
      <c r="D5395" s="81"/>
      <c r="E5395" s="62"/>
      <c r="F5395" s="60"/>
      <c r="G5395" s="62"/>
      <c r="H5395" s="60"/>
    </row>
    <row r="5396" spans="1:8">
      <c r="A5396" s="60"/>
      <c r="B5396" s="77"/>
      <c r="C5396" s="60"/>
      <c r="D5396" s="81"/>
      <c r="E5396" s="62"/>
      <c r="F5396" s="60"/>
      <c r="G5396" s="62"/>
      <c r="H5396" s="60"/>
    </row>
    <row r="5397" spans="1:8">
      <c r="A5397" s="60"/>
      <c r="B5397" s="77"/>
      <c r="C5397" s="60"/>
      <c r="D5397" s="81"/>
      <c r="E5397" s="62"/>
      <c r="F5397" s="60"/>
      <c r="G5397" s="62"/>
      <c r="H5397" s="60"/>
    </row>
    <row r="5398" spans="1:8">
      <c r="A5398" s="60"/>
      <c r="B5398" s="77"/>
      <c r="C5398" s="60"/>
      <c r="D5398" s="81"/>
      <c r="E5398" s="62"/>
      <c r="F5398" s="60"/>
      <c r="G5398" s="62"/>
      <c r="H5398" s="60"/>
    </row>
    <row r="5399" spans="1:8">
      <c r="A5399" s="60"/>
      <c r="B5399" s="77"/>
      <c r="C5399" s="60"/>
      <c r="D5399" s="81"/>
      <c r="E5399" s="62"/>
      <c r="F5399" s="60"/>
      <c r="G5399" s="62"/>
      <c r="H5399" s="60"/>
    </row>
    <row r="5400" spans="1:8">
      <c r="A5400" s="60"/>
      <c r="B5400" s="77"/>
      <c r="C5400" s="60"/>
      <c r="D5400" s="81"/>
      <c r="E5400" s="62"/>
      <c r="F5400" s="60"/>
      <c r="G5400" s="62"/>
      <c r="H5400" s="60"/>
    </row>
    <row r="5401" spans="1:8">
      <c r="A5401" s="60"/>
      <c r="B5401" s="77"/>
      <c r="C5401" s="60"/>
      <c r="D5401" s="81"/>
      <c r="E5401" s="62"/>
      <c r="F5401" s="60"/>
      <c r="G5401" s="62"/>
      <c r="H5401" s="60"/>
    </row>
    <row r="5402" spans="1:8">
      <c r="A5402" s="60"/>
      <c r="B5402" s="77"/>
      <c r="C5402" s="60"/>
      <c r="D5402" s="81"/>
      <c r="E5402" s="62"/>
      <c r="F5402" s="60"/>
      <c r="G5402" s="62"/>
      <c r="H5402" s="60"/>
    </row>
    <row r="5403" spans="1:8">
      <c r="A5403" s="60"/>
      <c r="B5403" s="77"/>
      <c r="C5403" s="60"/>
      <c r="D5403" s="81"/>
      <c r="E5403" s="62"/>
      <c r="F5403" s="60"/>
      <c r="G5403" s="62"/>
      <c r="H5403" s="60"/>
    </row>
    <row r="5404" spans="1:8">
      <c r="A5404" s="60"/>
      <c r="B5404" s="77"/>
      <c r="C5404" s="60"/>
      <c r="D5404" s="81"/>
      <c r="E5404" s="62"/>
      <c r="F5404" s="60"/>
      <c r="G5404" s="62"/>
      <c r="H5404" s="60"/>
    </row>
    <row r="5405" spans="1:8">
      <c r="A5405" s="60"/>
      <c r="B5405" s="77"/>
      <c r="C5405" s="60"/>
      <c r="D5405" s="81"/>
      <c r="E5405" s="62"/>
      <c r="F5405" s="60"/>
      <c r="G5405" s="62"/>
      <c r="H5405" s="60"/>
    </row>
    <row r="5406" spans="1:8">
      <c r="A5406" s="60"/>
      <c r="B5406" s="77"/>
      <c r="C5406" s="60"/>
      <c r="D5406" s="81"/>
      <c r="E5406" s="62"/>
      <c r="F5406" s="60"/>
      <c r="G5406" s="62"/>
      <c r="H5406" s="60"/>
    </row>
    <row r="5407" spans="1:8">
      <c r="A5407" s="60"/>
      <c r="B5407" s="77"/>
      <c r="C5407" s="60"/>
      <c r="D5407" s="81"/>
      <c r="E5407" s="62"/>
      <c r="F5407" s="60"/>
      <c r="G5407" s="62"/>
      <c r="H5407" s="60"/>
    </row>
    <row r="5408" spans="1:8">
      <c r="A5408" s="60"/>
      <c r="B5408" s="77"/>
      <c r="C5408" s="60"/>
      <c r="D5408" s="81"/>
      <c r="E5408" s="62"/>
      <c r="F5408" s="60"/>
      <c r="G5408" s="62"/>
      <c r="H5408" s="60"/>
    </row>
    <row r="5409" spans="1:8">
      <c r="A5409" s="60"/>
      <c r="B5409" s="77"/>
      <c r="C5409" s="60"/>
      <c r="D5409" s="81"/>
      <c r="E5409" s="62"/>
      <c r="F5409" s="60"/>
      <c r="G5409" s="62"/>
      <c r="H5409" s="60"/>
    </row>
    <row r="5410" spans="1:8">
      <c r="A5410" s="60"/>
      <c r="B5410" s="77"/>
      <c r="C5410" s="60"/>
      <c r="D5410" s="81"/>
      <c r="E5410" s="62"/>
      <c r="F5410" s="60"/>
      <c r="G5410" s="62"/>
      <c r="H5410" s="60"/>
    </row>
    <row r="5411" spans="1:8">
      <c r="A5411" s="60"/>
      <c r="B5411" s="77"/>
      <c r="C5411" s="60"/>
      <c r="D5411" s="81"/>
      <c r="E5411" s="62"/>
      <c r="F5411" s="60"/>
      <c r="G5411" s="62"/>
      <c r="H5411" s="60"/>
    </row>
    <row r="5412" spans="1:8">
      <c r="A5412" s="60"/>
      <c r="B5412" s="77"/>
      <c r="C5412" s="60"/>
      <c r="D5412" s="81"/>
      <c r="E5412" s="62"/>
      <c r="F5412" s="60"/>
      <c r="G5412" s="62"/>
      <c r="H5412" s="60"/>
    </row>
    <row r="5413" spans="1:8">
      <c r="A5413" s="60"/>
      <c r="B5413" s="77"/>
      <c r="C5413" s="60"/>
      <c r="D5413" s="81"/>
      <c r="E5413" s="62"/>
      <c r="F5413" s="60"/>
      <c r="G5413" s="62"/>
      <c r="H5413" s="60"/>
    </row>
    <row r="5414" spans="1:8">
      <c r="A5414" s="60"/>
      <c r="B5414" s="77"/>
      <c r="C5414" s="60"/>
      <c r="D5414" s="81"/>
      <c r="E5414" s="62"/>
      <c r="F5414" s="60"/>
      <c r="G5414" s="62"/>
      <c r="H5414" s="60"/>
    </row>
    <row r="5415" spans="1:8">
      <c r="A5415" s="60"/>
      <c r="B5415" s="77"/>
      <c r="C5415" s="60"/>
      <c r="D5415" s="81"/>
      <c r="E5415" s="62"/>
      <c r="F5415" s="60"/>
      <c r="G5415" s="62"/>
      <c r="H5415" s="60"/>
    </row>
    <row r="5416" spans="1:8">
      <c r="A5416" s="60"/>
      <c r="B5416" s="77"/>
      <c r="C5416" s="60"/>
      <c r="D5416" s="81"/>
      <c r="E5416" s="62"/>
      <c r="F5416" s="60"/>
      <c r="G5416" s="62"/>
      <c r="H5416" s="60"/>
    </row>
    <row r="5417" spans="1:8">
      <c r="A5417" s="60"/>
      <c r="B5417" s="77"/>
      <c r="C5417" s="60"/>
      <c r="D5417" s="81"/>
      <c r="E5417" s="62"/>
      <c r="F5417" s="60"/>
      <c r="G5417" s="62"/>
      <c r="H5417" s="60"/>
    </row>
    <row r="5418" spans="1:8">
      <c r="A5418" s="60"/>
      <c r="B5418" s="77"/>
      <c r="C5418" s="60"/>
      <c r="D5418" s="81"/>
      <c r="E5418" s="62"/>
      <c r="F5418" s="60"/>
      <c r="G5418" s="62"/>
      <c r="H5418" s="60"/>
    </row>
    <row r="5419" spans="1:8">
      <c r="A5419" s="60"/>
      <c r="B5419" s="77"/>
      <c r="C5419" s="60"/>
      <c r="D5419" s="81"/>
      <c r="E5419" s="62"/>
      <c r="F5419" s="60"/>
      <c r="G5419" s="62"/>
      <c r="H5419" s="60"/>
    </row>
    <row r="5420" spans="1:8">
      <c r="A5420" s="60"/>
      <c r="B5420" s="77"/>
      <c r="C5420" s="60"/>
      <c r="D5420" s="81"/>
      <c r="E5420" s="62"/>
      <c r="F5420" s="60"/>
      <c r="G5420" s="62"/>
      <c r="H5420" s="60"/>
    </row>
    <row r="5421" spans="1:8">
      <c r="A5421" s="60"/>
      <c r="B5421" s="77"/>
      <c r="C5421" s="60"/>
      <c r="D5421" s="81"/>
      <c r="E5421" s="62"/>
      <c r="F5421" s="60"/>
      <c r="G5421" s="62"/>
      <c r="H5421" s="60"/>
    </row>
    <row r="5422" spans="1:8">
      <c r="A5422" s="60"/>
      <c r="B5422" s="77"/>
      <c r="C5422" s="60"/>
      <c r="D5422" s="81"/>
      <c r="E5422" s="62"/>
      <c r="F5422" s="60"/>
      <c r="G5422" s="62"/>
      <c r="H5422" s="60"/>
    </row>
    <row r="5423" spans="1:8">
      <c r="A5423" s="60"/>
      <c r="B5423" s="77"/>
      <c r="C5423" s="60"/>
      <c r="D5423" s="81"/>
      <c r="E5423" s="62"/>
      <c r="F5423" s="60"/>
      <c r="G5423" s="62"/>
      <c r="H5423" s="60"/>
    </row>
    <row r="5424" spans="1:8">
      <c r="A5424" s="60"/>
      <c r="B5424" s="77"/>
      <c r="C5424" s="60"/>
      <c r="D5424" s="81"/>
      <c r="E5424" s="62"/>
      <c r="F5424" s="60"/>
      <c r="G5424" s="62"/>
      <c r="H5424" s="60"/>
    </row>
    <row r="5425" spans="1:8">
      <c r="A5425" s="60"/>
      <c r="B5425" s="77"/>
      <c r="C5425" s="60"/>
      <c r="D5425" s="81"/>
      <c r="E5425" s="62"/>
      <c r="F5425" s="60"/>
      <c r="G5425" s="62"/>
      <c r="H5425" s="60"/>
    </row>
    <row r="5426" spans="1:8">
      <c r="A5426" s="60"/>
      <c r="B5426" s="77"/>
      <c r="C5426" s="60"/>
      <c r="D5426" s="81"/>
      <c r="E5426" s="62"/>
      <c r="F5426" s="60"/>
      <c r="G5426" s="62"/>
      <c r="H5426" s="60"/>
    </row>
    <row r="5427" spans="1:8">
      <c r="A5427" s="60"/>
      <c r="B5427" s="77"/>
      <c r="C5427" s="60"/>
      <c r="D5427" s="81"/>
      <c r="E5427" s="62"/>
      <c r="F5427" s="60"/>
      <c r="G5427" s="62"/>
      <c r="H5427" s="60"/>
    </row>
    <row r="5428" spans="1:8">
      <c r="A5428" s="60"/>
      <c r="B5428" s="77"/>
      <c r="C5428" s="60"/>
      <c r="D5428" s="81"/>
      <c r="E5428" s="62"/>
      <c r="F5428" s="60"/>
      <c r="G5428" s="62"/>
      <c r="H5428" s="60"/>
    </row>
    <row r="5429" spans="1:8">
      <c r="A5429" s="60"/>
      <c r="B5429" s="77"/>
      <c r="C5429" s="60"/>
      <c r="D5429" s="81"/>
      <c r="E5429" s="62"/>
      <c r="F5429" s="60"/>
      <c r="G5429" s="62"/>
      <c r="H5429" s="60"/>
    </row>
    <row r="5430" spans="1:8">
      <c r="A5430" s="60"/>
      <c r="B5430" s="77"/>
      <c r="C5430" s="60"/>
      <c r="D5430" s="81"/>
      <c r="E5430" s="62"/>
      <c r="F5430" s="60"/>
      <c r="G5430" s="62"/>
      <c r="H5430" s="60"/>
    </row>
    <row r="5431" spans="1:8">
      <c r="A5431" s="60"/>
      <c r="B5431" s="77"/>
      <c r="C5431" s="60"/>
      <c r="D5431" s="81"/>
      <c r="E5431" s="62"/>
      <c r="F5431" s="60"/>
      <c r="G5431" s="62"/>
      <c r="H5431" s="60"/>
    </row>
    <row r="5432" spans="1:8">
      <c r="A5432" s="60"/>
      <c r="B5432" s="77"/>
      <c r="C5432" s="60"/>
      <c r="D5432" s="81"/>
      <c r="E5432" s="62"/>
      <c r="F5432" s="60"/>
      <c r="G5432" s="62"/>
      <c r="H5432" s="60"/>
    </row>
    <row r="5433" spans="1:8">
      <c r="A5433" s="60"/>
      <c r="B5433" s="77"/>
      <c r="C5433" s="60"/>
      <c r="D5433" s="81"/>
      <c r="E5433" s="62"/>
      <c r="F5433" s="60"/>
      <c r="G5433" s="62"/>
      <c r="H5433" s="60"/>
    </row>
    <row r="5434" spans="1:8">
      <c r="A5434" s="60"/>
      <c r="B5434" s="77"/>
      <c r="C5434" s="60"/>
      <c r="D5434" s="81"/>
      <c r="E5434" s="62"/>
      <c r="F5434" s="60"/>
      <c r="G5434" s="62"/>
      <c r="H5434" s="60"/>
    </row>
    <row r="5435" spans="1:8">
      <c r="A5435" s="60"/>
      <c r="B5435" s="77"/>
      <c r="C5435" s="60"/>
      <c r="D5435" s="81"/>
      <c r="E5435" s="62"/>
      <c r="F5435" s="60"/>
      <c r="G5435" s="62"/>
      <c r="H5435" s="60"/>
    </row>
    <row r="5436" spans="1:8">
      <c r="A5436" s="60"/>
      <c r="B5436" s="77"/>
      <c r="C5436" s="60"/>
      <c r="D5436" s="81"/>
      <c r="E5436" s="62"/>
      <c r="F5436" s="60"/>
      <c r="G5436" s="62"/>
      <c r="H5436" s="60"/>
    </row>
    <row r="5437" spans="1:8">
      <c r="A5437" s="60"/>
      <c r="B5437" s="77"/>
      <c r="C5437" s="60"/>
      <c r="D5437" s="81"/>
      <c r="E5437" s="62"/>
      <c r="F5437" s="60"/>
      <c r="G5437" s="62"/>
      <c r="H5437" s="60"/>
    </row>
    <row r="5438" spans="1:8">
      <c r="A5438" s="60"/>
      <c r="B5438" s="77"/>
      <c r="C5438" s="60"/>
      <c r="D5438" s="81"/>
      <c r="E5438" s="62"/>
      <c r="F5438" s="60"/>
      <c r="G5438" s="62"/>
      <c r="H5438" s="60"/>
    </row>
    <row r="5439" spans="1:8">
      <c r="A5439" s="60"/>
      <c r="B5439" s="77"/>
      <c r="C5439" s="60"/>
      <c r="D5439" s="81"/>
      <c r="E5439" s="62"/>
      <c r="F5439" s="60"/>
      <c r="G5439" s="62"/>
      <c r="H5439" s="60"/>
    </row>
    <row r="5440" spans="1:8">
      <c r="A5440" s="60"/>
      <c r="B5440" s="77"/>
      <c r="C5440" s="60"/>
      <c r="D5440" s="81"/>
      <c r="E5440" s="62"/>
      <c r="F5440" s="60"/>
      <c r="G5440" s="62"/>
      <c r="H5440" s="60"/>
    </row>
    <row r="5441" spans="1:8">
      <c r="A5441" s="60"/>
      <c r="B5441" s="77"/>
      <c r="C5441" s="60"/>
      <c r="D5441" s="81"/>
      <c r="E5441" s="62"/>
      <c r="F5441" s="60"/>
      <c r="G5441" s="62"/>
      <c r="H5441" s="60"/>
    </row>
    <row r="5442" spans="1:8">
      <c r="A5442" s="60"/>
      <c r="B5442" s="77"/>
      <c r="C5442" s="60"/>
      <c r="D5442" s="81"/>
      <c r="E5442" s="62"/>
      <c r="F5442" s="60"/>
      <c r="G5442" s="62"/>
      <c r="H5442" s="60"/>
    </row>
    <row r="5443" spans="1:8">
      <c r="A5443" s="60"/>
      <c r="B5443" s="77"/>
      <c r="C5443" s="60"/>
      <c r="D5443" s="81"/>
      <c r="E5443" s="62"/>
      <c r="F5443" s="60"/>
      <c r="G5443" s="62"/>
      <c r="H5443" s="60"/>
    </row>
    <row r="5444" spans="1:8">
      <c r="A5444" s="60"/>
      <c r="B5444" s="77"/>
      <c r="C5444" s="60"/>
      <c r="D5444" s="81"/>
      <c r="E5444" s="62"/>
      <c r="F5444" s="60"/>
      <c r="G5444" s="62"/>
      <c r="H5444" s="60"/>
    </row>
    <row r="5445" spans="1:8">
      <c r="A5445" s="60"/>
      <c r="B5445" s="77"/>
      <c r="C5445" s="60"/>
      <c r="D5445" s="81"/>
      <c r="E5445" s="62"/>
      <c r="F5445" s="60"/>
      <c r="G5445" s="62"/>
      <c r="H5445" s="60"/>
    </row>
    <row r="5446" spans="1:8">
      <c r="A5446" s="60"/>
      <c r="B5446" s="77"/>
      <c r="C5446" s="60"/>
      <c r="D5446" s="81"/>
      <c r="E5446" s="62"/>
      <c r="F5446" s="60"/>
      <c r="G5446" s="62"/>
      <c r="H5446" s="60"/>
    </row>
    <row r="5447" spans="1:8">
      <c r="A5447" s="60"/>
      <c r="B5447" s="77"/>
      <c r="C5447" s="60"/>
      <c r="D5447" s="81"/>
      <c r="E5447" s="62"/>
      <c r="F5447" s="60"/>
      <c r="G5447" s="62"/>
      <c r="H5447" s="60"/>
    </row>
    <row r="5448" spans="1:8">
      <c r="A5448" s="60"/>
      <c r="B5448" s="77"/>
      <c r="C5448" s="60"/>
      <c r="D5448" s="81"/>
      <c r="E5448" s="62"/>
      <c r="F5448" s="60"/>
      <c r="G5448" s="62"/>
      <c r="H5448" s="60"/>
    </row>
    <row r="5449" spans="1:8">
      <c r="A5449" s="60"/>
      <c r="B5449" s="77"/>
      <c r="C5449" s="60"/>
      <c r="D5449" s="81"/>
      <c r="E5449" s="62"/>
      <c r="F5449" s="60"/>
      <c r="G5449" s="62"/>
      <c r="H5449" s="60"/>
    </row>
    <row r="5450" spans="1:8">
      <c r="A5450" s="60"/>
      <c r="B5450" s="77"/>
      <c r="C5450" s="60"/>
      <c r="D5450" s="81"/>
      <c r="E5450" s="62"/>
      <c r="F5450" s="60"/>
      <c r="G5450" s="62"/>
      <c r="H5450" s="60"/>
    </row>
    <row r="5451" spans="1:8">
      <c r="A5451" s="60"/>
      <c r="B5451" s="77"/>
      <c r="C5451" s="60"/>
      <c r="D5451" s="81"/>
      <c r="E5451" s="62"/>
      <c r="F5451" s="60"/>
      <c r="G5451" s="62"/>
      <c r="H5451" s="60"/>
    </row>
    <row r="5452" spans="1:8">
      <c r="A5452" s="60"/>
      <c r="B5452" s="77"/>
      <c r="C5452" s="60"/>
      <c r="D5452" s="81"/>
      <c r="E5452" s="62"/>
      <c r="F5452" s="60"/>
      <c r="G5452" s="62"/>
      <c r="H5452" s="60"/>
    </row>
    <row r="5453" spans="1:8">
      <c r="A5453" s="60"/>
      <c r="B5453" s="77"/>
      <c r="C5453" s="60"/>
      <c r="D5453" s="81"/>
      <c r="E5453" s="62"/>
      <c r="F5453" s="60"/>
      <c r="G5453" s="62"/>
      <c r="H5453" s="60"/>
    </row>
    <row r="5454" spans="1:8">
      <c r="A5454" s="60"/>
      <c r="B5454" s="77"/>
      <c r="C5454" s="60"/>
      <c r="D5454" s="81"/>
      <c r="E5454" s="62"/>
      <c r="F5454" s="60"/>
      <c r="G5454" s="62"/>
      <c r="H5454" s="60"/>
    </row>
    <row r="5455" spans="1:8">
      <c r="A5455" s="60"/>
      <c r="B5455" s="77"/>
      <c r="C5455" s="60"/>
      <c r="D5455" s="81"/>
      <c r="E5455" s="62"/>
      <c r="F5455" s="60"/>
      <c r="G5455" s="62"/>
      <c r="H5455" s="60"/>
    </row>
    <row r="5456" spans="1:8">
      <c r="A5456" s="60"/>
      <c r="B5456" s="77"/>
      <c r="C5456" s="60"/>
      <c r="D5456" s="81"/>
      <c r="E5456" s="62"/>
      <c r="F5456" s="60"/>
      <c r="G5456" s="62"/>
      <c r="H5456" s="60"/>
    </row>
    <row r="5457" spans="1:8">
      <c r="A5457" s="60"/>
      <c r="B5457" s="77"/>
      <c r="C5457" s="60"/>
      <c r="D5457" s="81"/>
      <c r="E5457" s="62"/>
      <c r="F5457" s="60"/>
      <c r="G5457" s="62"/>
      <c r="H5457" s="60"/>
    </row>
    <row r="5458" spans="1:8">
      <c r="A5458" s="60"/>
      <c r="B5458" s="77"/>
      <c r="C5458" s="60"/>
      <c r="D5458" s="81"/>
      <c r="E5458" s="62"/>
      <c r="F5458" s="60"/>
      <c r="G5458" s="62"/>
      <c r="H5458" s="60"/>
    </row>
    <row r="5459" spans="1:8">
      <c r="A5459" s="60"/>
      <c r="B5459" s="77"/>
      <c r="C5459" s="60"/>
      <c r="D5459" s="81"/>
      <c r="E5459" s="62"/>
      <c r="F5459" s="60"/>
      <c r="G5459" s="62"/>
      <c r="H5459" s="60"/>
    </row>
    <row r="5460" spans="1:8">
      <c r="A5460" s="60"/>
      <c r="B5460" s="77"/>
      <c r="C5460" s="60"/>
      <c r="D5460" s="81"/>
      <c r="E5460" s="62"/>
      <c r="F5460" s="60"/>
      <c r="G5460" s="62"/>
      <c r="H5460" s="60"/>
    </row>
    <row r="5461" spans="1:8">
      <c r="A5461" s="60"/>
      <c r="B5461" s="77"/>
      <c r="C5461" s="60"/>
      <c r="D5461" s="81"/>
      <c r="E5461" s="62"/>
      <c r="F5461" s="60"/>
      <c r="G5461" s="62"/>
      <c r="H5461" s="60"/>
    </row>
    <row r="5462" spans="1:8">
      <c r="A5462" s="60"/>
      <c r="B5462" s="77"/>
      <c r="C5462" s="60"/>
      <c r="D5462" s="81"/>
      <c r="E5462" s="62"/>
      <c r="F5462" s="60"/>
      <c r="G5462" s="62"/>
      <c r="H5462" s="60"/>
    </row>
    <row r="5463" spans="1:8">
      <c r="A5463" s="60"/>
      <c r="B5463" s="77"/>
      <c r="C5463" s="60"/>
      <c r="D5463" s="81"/>
      <c r="E5463" s="62"/>
      <c r="F5463" s="60"/>
      <c r="G5463" s="62"/>
      <c r="H5463" s="60"/>
    </row>
    <row r="5464" spans="1:8">
      <c r="A5464" s="60"/>
      <c r="B5464" s="77"/>
      <c r="C5464" s="60"/>
      <c r="D5464" s="81"/>
      <c r="E5464" s="62"/>
      <c r="F5464" s="60"/>
      <c r="G5464" s="62"/>
      <c r="H5464" s="60"/>
    </row>
    <row r="5465" spans="1:8">
      <c r="A5465" s="60"/>
      <c r="B5465" s="77"/>
      <c r="C5465" s="60"/>
      <c r="D5465" s="81"/>
      <c r="E5465" s="62"/>
      <c r="F5465" s="60"/>
      <c r="G5465" s="62"/>
      <c r="H5465" s="60"/>
    </row>
    <row r="5466" spans="1:8">
      <c r="A5466" s="60"/>
      <c r="B5466" s="77"/>
      <c r="C5466" s="60"/>
      <c r="D5466" s="81"/>
      <c r="E5466" s="62"/>
      <c r="F5466" s="60"/>
      <c r="G5466" s="62"/>
      <c r="H5466" s="60"/>
    </row>
    <row r="5467" spans="1:8">
      <c r="A5467" s="60"/>
      <c r="B5467" s="77"/>
      <c r="C5467" s="60"/>
      <c r="D5467" s="81"/>
      <c r="E5467" s="62"/>
      <c r="F5467" s="60"/>
      <c r="G5467" s="62"/>
      <c r="H5467" s="60"/>
    </row>
    <row r="5468" spans="1:8">
      <c r="A5468" s="60"/>
      <c r="B5468" s="77"/>
      <c r="C5468" s="60"/>
      <c r="D5468" s="81"/>
      <c r="E5468" s="62"/>
      <c r="F5468" s="60"/>
      <c r="G5468" s="62"/>
      <c r="H5468" s="60"/>
    </row>
    <row r="5469" spans="1:8">
      <c r="A5469" s="60"/>
      <c r="B5469" s="77"/>
      <c r="C5469" s="60"/>
      <c r="D5469" s="81"/>
      <c r="E5469" s="62"/>
      <c r="F5469" s="60"/>
      <c r="G5469" s="62"/>
      <c r="H5469" s="60"/>
    </row>
    <row r="5470" spans="1:8">
      <c r="A5470" s="60"/>
      <c r="B5470" s="77"/>
      <c r="C5470" s="60"/>
      <c r="D5470" s="81"/>
      <c r="E5470" s="62"/>
      <c r="F5470" s="60"/>
      <c r="G5470" s="62"/>
      <c r="H5470" s="60"/>
    </row>
    <row r="5471" spans="1:8">
      <c r="A5471" s="60"/>
      <c r="B5471" s="77"/>
      <c r="C5471" s="60"/>
      <c r="D5471" s="81"/>
      <c r="E5471" s="62"/>
      <c r="F5471" s="60"/>
      <c r="G5471" s="62"/>
      <c r="H5471" s="60"/>
    </row>
    <row r="5472" spans="1:8">
      <c r="A5472" s="60"/>
      <c r="B5472" s="77"/>
      <c r="C5472" s="60"/>
      <c r="D5472" s="81"/>
      <c r="E5472" s="62"/>
      <c r="F5472" s="60"/>
      <c r="G5472" s="62"/>
      <c r="H5472" s="60"/>
    </row>
    <row r="5473" spans="1:8">
      <c r="A5473" s="60"/>
      <c r="B5473" s="77"/>
      <c r="C5473" s="60"/>
      <c r="D5473" s="81"/>
      <c r="E5473" s="62"/>
      <c r="F5473" s="60"/>
      <c r="G5473" s="62"/>
      <c r="H5473" s="60"/>
    </row>
    <row r="5474" spans="1:8">
      <c r="A5474" s="60"/>
      <c r="B5474" s="77"/>
      <c r="C5474" s="60"/>
      <c r="D5474" s="81"/>
      <c r="E5474" s="62"/>
      <c r="F5474" s="60"/>
      <c r="G5474" s="62"/>
      <c r="H5474" s="60"/>
    </row>
    <row r="5475" spans="1:8">
      <c r="A5475" s="60"/>
      <c r="B5475" s="77"/>
      <c r="C5475" s="60"/>
      <c r="D5475" s="81"/>
      <c r="E5475" s="62"/>
      <c r="F5475" s="60"/>
      <c r="G5475" s="62"/>
      <c r="H5475" s="60"/>
    </row>
    <row r="5476" spans="1:8">
      <c r="A5476" s="60"/>
      <c r="B5476" s="77"/>
      <c r="C5476" s="60"/>
      <c r="D5476" s="81"/>
      <c r="E5476" s="62"/>
      <c r="F5476" s="60"/>
      <c r="G5476" s="62"/>
      <c r="H5476" s="60"/>
    </row>
    <row r="5477" spans="1:8">
      <c r="A5477" s="60"/>
      <c r="B5477" s="77"/>
      <c r="C5477" s="60"/>
      <c r="D5477" s="81"/>
      <c r="E5477" s="62"/>
      <c r="F5477" s="60"/>
      <c r="G5477" s="62"/>
      <c r="H5477" s="60"/>
    </row>
    <row r="5478" spans="1:8">
      <c r="A5478" s="60"/>
      <c r="B5478" s="77"/>
      <c r="C5478" s="60"/>
      <c r="D5478" s="81"/>
      <c r="E5478" s="62"/>
      <c r="F5478" s="60"/>
      <c r="G5478" s="62"/>
      <c r="H5478" s="60"/>
    </row>
    <row r="5479" spans="1:8">
      <c r="A5479" s="60"/>
      <c r="B5479" s="77"/>
      <c r="C5479" s="60"/>
      <c r="D5479" s="81"/>
      <c r="E5479" s="62"/>
      <c r="F5479" s="60"/>
      <c r="G5479" s="62"/>
      <c r="H5479" s="60"/>
    </row>
    <row r="5480" spans="1:8">
      <c r="A5480" s="60"/>
      <c r="B5480" s="77"/>
      <c r="C5480" s="60"/>
      <c r="D5480" s="81"/>
      <c r="E5480" s="62"/>
      <c r="F5480" s="60"/>
      <c r="G5480" s="62"/>
      <c r="H5480" s="60"/>
    </row>
    <row r="5481" spans="1:8">
      <c r="A5481" s="60"/>
      <c r="B5481" s="77"/>
      <c r="C5481" s="60"/>
      <c r="D5481" s="81"/>
      <c r="E5481" s="62"/>
      <c r="F5481" s="60"/>
      <c r="G5481" s="62"/>
      <c r="H5481" s="60"/>
    </row>
    <row r="5482" spans="1:8">
      <c r="A5482" s="60"/>
      <c r="B5482" s="77"/>
      <c r="C5482" s="60"/>
      <c r="D5482" s="81"/>
      <c r="E5482" s="62"/>
      <c r="F5482" s="60"/>
      <c r="G5482" s="62"/>
      <c r="H5482" s="60"/>
    </row>
    <row r="5483" spans="1:8">
      <c r="A5483" s="60"/>
      <c r="B5483" s="77"/>
      <c r="C5483" s="60"/>
      <c r="D5483" s="81"/>
      <c r="E5483" s="62"/>
      <c r="F5483" s="60"/>
      <c r="G5483" s="62"/>
      <c r="H5483" s="60"/>
    </row>
    <row r="5484" spans="1:8">
      <c r="A5484" s="60"/>
      <c r="B5484" s="77"/>
      <c r="C5484" s="60"/>
      <c r="D5484" s="81"/>
      <c r="E5484" s="62"/>
      <c r="F5484" s="60"/>
      <c r="G5484" s="62"/>
      <c r="H5484" s="60"/>
    </row>
    <row r="5485" spans="1:8">
      <c r="A5485" s="60"/>
      <c r="B5485" s="77"/>
      <c r="C5485" s="60"/>
      <c r="D5485" s="81"/>
      <c r="E5485" s="62"/>
      <c r="F5485" s="60"/>
      <c r="G5485" s="62"/>
      <c r="H5485" s="60"/>
    </row>
    <row r="5486" spans="1:8">
      <c r="A5486" s="60"/>
      <c r="B5486" s="77"/>
      <c r="C5486" s="60"/>
      <c r="D5486" s="81"/>
      <c r="E5486" s="62"/>
      <c r="F5486" s="60"/>
      <c r="G5486" s="62"/>
      <c r="H5486" s="60"/>
    </row>
    <row r="5487" spans="1:8">
      <c r="A5487" s="60"/>
      <c r="B5487" s="77"/>
      <c r="C5487" s="60"/>
      <c r="D5487" s="81"/>
      <c r="E5487" s="62"/>
      <c r="F5487" s="60"/>
      <c r="G5487" s="62"/>
      <c r="H5487" s="60"/>
    </row>
    <row r="5488" spans="1:8">
      <c r="A5488" s="60"/>
      <c r="B5488" s="77"/>
      <c r="C5488" s="60"/>
      <c r="D5488" s="81"/>
      <c r="E5488" s="62"/>
      <c r="F5488" s="60"/>
      <c r="G5488" s="62"/>
      <c r="H5488" s="60"/>
    </row>
    <row r="5489" spans="1:8">
      <c r="A5489" s="60"/>
      <c r="B5489" s="77"/>
      <c r="C5489" s="60"/>
      <c r="D5489" s="81"/>
      <c r="E5489" s="62"/>
      <c r="F5489" s="60"/>
      <c r="G5489" s="62"/>
      <c r="H5489" s="60"/>
    </row>
    <row r="5490" spans="1:8">
      <c r="A5490" s="60"/>
      <c r="B5490" s="77"/>
      <c r="C5490" s="60"/>
      <c r="D5490" s="81"/>
      <c r="E5490" s="62"/>
      <c r="F5490" s="60"/>
      <c r="G5490" s="62"/>
      <c r="H5490" s="60"/>
    </row>
    <row r="5491" spans="1:8">
      <c r="A5491" s="60"/>
      <c r="B5491" s="77"/>
      <c r="C5491" s="60"/>
      <c r="D5491" s="81"/>
      <c r="E5491" s="62"/>
      <c r="F5491" s="60"/>
      <c r="G5491" s="62"/>
      <c r="H5491" s="60"/>
    </row>
    <row r="5492" spans="1:8">
      <c r="A5492" s="60"/>
      <c r="B5492" s="77"/>
      <c r="C5492" s="60"/>
      <c r="D5492" s="81"/>
      <c r="E5492" s="62"/>
      <c r="F5492" s="60"/>
      <c r="G5492" s="62"/>
      <c r="H5492" s="60"/>
    </row>
    <row r="5493" spans="1:8">
      <c r="A5493" s="60"/>
      <c r="B5493" s="77"/>
      <c r="C5493" s="60"/>
      <c r="D5493" s="81"/>
      <c r="E5493" s="62"/>
      <c r="F5493" s="60"/>
      <c r="G5493" s="62"/>
      <c r="H5493" s="60"/>
    </row>
    <row r="5494" spans="1:8">
      <c r="A5494" s="60"/>
      <c r="B5494" s="77"/>
      <c r="C5494" s="60"/>
      <c r="D5494" s="81"/>
      <c r="E5494" s="62"/>
      <c r="F5494" s="60"/>
      <c r="G5494" s="62"/>
      <c r="H5494" s="60"/>
    </row>
    <row r="5495" spans="1:8">
      <c r="A5495" s="60"/>
      <c r="B5495" s="77"/>
      <c r="C5495" s="60"/>
      <c r="D5495" s="81"/>
      <c r="E5495" s="62"/>
      <c r="F5495" s="60"/>
      <c r="G5495" s="62"/>
      <c r="H5495" s="60"/>
    </row>
    <row r="5496" spans="1:8">
      <c r="A5496" s="60"/>
      <c r="B5496" s="77"/>
      <c r="C5496" s="60"/>
      <c r="D5496" s="81"/>
      <c r="E5496" s="62"/>
      <c r="F5496" s="60"/>
      <c r="G5496" s="62"/>
      <c r="H5496" s="60"/>
    </row>
    <row r="5497" spans="1:8">
      <c r="A5497" s="60"/>
      <c r="B5497" s="77"/>
      <c r="C5497" s="60"/>
      <c r="D5497" s="81"/>
      <c r="E5497" s="62"/>
      <c r="F5497" s="60"/>
      <c r="G5497" s="62"/>
      <c r="H5497" s="60"/>
    </row>
    <row r="5498" spans="1:8">
      <c r="A5498" s="60"/>
      <c r="B5498" s="77"/>
      <c r="C5498" s="60"/>
      <c r="D5498" s="81"/>
      <c r="E5498" s="62"/>
      <c r="F5498" s="60"/>
      <c r="G5498" s="62"/>
      <c r="H5498" s="60"/>
    </row>
    <row r="5499" spans="1:8">
      <c r="A5499" s="60"/>
      <c r="B5499" s="77"/>
      <c r="C5499" s="60"/>
      <c r="D5499" s="81"/>
      <c r="E5499" s="62"/>
      <c r="F5499" s="60"/>
      <c r="G5499" s="62"/>
      <c r="H5499" s="60"/>
    </row>
    <row r="5500" spans="1:8">
      <c r="A5500" s="60"/>
      <c r="B5500" s="77"/>
      <c r="C5500" s="60"/>
      <c r="D5500" s="81"/>
      <c r="E5500" s="62"/>
      <c r="F5500" s="60"/>
      <c r="G5500" s="62"/>
      <c r="H5500" s="60"/>
    </row>
    <row r="5501" spans="1:8">
      <c r="A5501" s="60"/>
      <c r="B5501" s="77"/>
      <c r="C5501" s="60"/>
      <c r="D5501" s="81"/>
      <c r="E5501" s="62"/>
      <c r="F5501" s="60"/>
      <c r="G5501" s="62"/>
      <c r="H5501" s="60"/>
    </row>
    <row r="5502" spans="1:8">
      <c r="A5502" s="60"/>
      <c r="B5502" s="77"/>
      <c r="C5502" s="60"/>
      <c r="D5502" s="81"/>
      <c r="E5502" s="62"/>
      <c r="F5502" s="60"/>
      <c r="G5502" s="62"/>
      <c r="H5502" s="60"/>
    </row>
    <row r="5503" spans="1:8">
      <c r="A5503" s="60"/>
      <c r="B5503" s="77"/>
      <c r="C5503" s="60"/>
      <c r="D5503" s="81"/>
      <c r="E5503" s="62"/>
      <c r="F5503" s="60"/>
      <c r="G5503" s="62"/>
      <c r="H5503" s="60"/>
    </row>
    <row r="5504" spans="1:8">
      <c r="A5504" s="60"/>
      <c r="B5504" s="77"/>
      <c r="C5504" s="60"/>
      <c r="D5504" s="81"/>
      <c r="E5504" s="62"/>
      <c r="F5504" s="60"/>
      <c r="G5504" s="62"/>
      <c r="H5504" s="60"/>
    </row>
    <row r="5505" spans="1:8">
      <c r="A5505" s="60"/>
      <c r="B5505" s="77"/>
      <c r="C5505" s="60"/>
      <c r="D5505" s="81"/>
      <c r="E5505" s="62"/>
      <c r="F5505" s="60"/>
      <c r="G5505" s="62"/>
      <c r="H5505" s="60"/>
    </row>
    <row r="5506" spans="1:8">
      <c r="A5506" s="60"/>
      <c r="B5506" s="77"/>
      <c r="C5506" s="60"/>
      <c r="D5506" s="81"/>
      <c r="E5506" s="62"/>
      <c r="F5506" s="60"/>
      <c r="G5506" s="62"/>
      <c r="H5506" s="60"/>
    </row>
    <row r="5507" spans="1:8">
      <c r="A5507" s="60"/>
      <c r="B5507" s="77"/>
      <c r="C5507" s="60"/>
      <c r="D5507" s="81"/>
      <c r="E5507" s="62"/>
      <c r="F5507" s="60"/>
      <c r="G5507" s="62"/>
      <c r="H5507" s="60"/>
    </row>
    <row r="5508" spans="1:8">
      <c r="A5508" s="60"/>
      <c r="B5508" s="77"/>
      <c r="C5508" s="60"/>
      <c r="D5508" s="81"/>
      <c r="E5508" s="62"/>
      <c r="F5508" s="60"/>
      <c r="G5508" s="62"/>
      <c r="H5508" s="60"/>
    </row>
    <row r="5509" spans="1:8">
      <c r="A5509" s="60"/>
      <c r="B5509" s="77"/>
      <c r="C5509" s="60"/>
      <c r="D5509" s="81"/>
      <c r="E5509" s="62"/>
      <c r="F5509" s="60"/>
      <c r="G5509" s="62"/>
      <c r="H5509" s="60"/>
    </row>
    <row r="5510" spans="1:8">
      <c r="A5510" s="60"/>
      <c r="B5510" s="77"/>
      <c r="C5510" s="60"/>
      <c r="D5510" s="81"/>
      <c r="E5510" s="62"/>
      <c r="F5510" s="60"/>
      <c r="G5510" s="62"/>
      <c r="H5510" s="60"/>
    </row>
    <row r="5511" spans="1:8">
      <c r="A5511" s="60"/>
      <c r="B5511" s="77"/>
      <c r="C5511" s="60"/>
      <c r="D5511" s="81"/>
      <c r="E5511" s="62"/>
      <c r="F5511" s="60"/>
      <c r="G5511" s="62"/>
      <c r="H5511" s="60"/>
    </row>
    <row r="5512" spans="1:8">
      <c r="A5512" s="60"/>
      <c r="B5512" s="77"/>
      <c r="C5512" s="60"/>
      <c r="D5512" s="81"/>
      <c r="E5512" s="62"/>
      <c r="F5512" s="60"/>
      <c r="G5512" s="62"/>
      <c r="H5512" s="60"/>
    </row>
    <row r="5513" spans="1:8">
      <c r="A5513" s="60"/>
      <c r="B5513" s="77"/>
      <c r="C5513" s="60"/>
      <c r="D5513" s="81"/>
      <c r="E5513" s="62"/>
      <c r="F5513" s="60"/>
      <c r="G5513" s="62"/>
      <c r="H5513" s="60"/>
    </row>
    <row r="5514" spans="1:8">
      <c r="A5514" s="60"/>
      <c r="B5514" s="77"/>
      <c r="C5514" s="60"/>
      <c r="D5514" s="81"/>
      <c r="E5514" s="62"/>
      <c r="F5514" s="60"/>
      <c r="G5514" s="62"/>
      <c r="H5514" s="60"/>
    </row>
    <row r="5515" spans="1:8">
      <c r="A5515" s="60"/>
      <c r="B5515" s="77"/>
      <c r="C5515" s="60"/>
      <c r="D5515" s="81"/>
      <c r="E5515" s="62"/>
      <c r="F5515" s="60"/>
      <c r="G5515" s="62"/>
      <c r="H5515" s="60"/>
    </row>
    <row r="5516" spans="1:8">
      <c r="A5516" s="60"/>
      <c r="B5516" s="77"/>
      <c r="C5516" s="60"/>
      <c r="D5516" s="81"/>
      <c r="E5516" s="62"/>
      <c r="F5516" s="60"/>
      <c r="G5516" s="62"/>
      <c r="H5516" s="60"/>
    </row>
    <row r="5517" spans="1:8">
      <c r="A5517" s="60"/>
      <c r="B5517" s="77"/>
      <c r="C5517" s="60"/>
      <c r="D5517" s="81"/>
      <c r="E5517" s="62"/>
      <c r="F5517" s="60"/>
      <c r="G5517" s="62"/>
      <c r="H5517" s="60"/>
    </row>
    <row r="5518" spans="1:8">
      <c r="A5518" s="60"/>
      <c r="B5518" s="77"/>
      <c r="C5518" s="60"/>
      <c r="D5518" s="81"/>
      <c r="E5518" s="62"/>
      <c r="F5518" s="60"/>
      <c r="G5518" s="62"/>
      <c r="H5518" s="60"/>
    </row>
    <row r="5519" spans="1:8">
      <c r="A5519" s="60"/>
      <c r="B5519" s="77"/>
      <c r="C5519" s="60"/>
      <c r="D5519" s="81"/>
      <c r="E5519" s="62"/>
      <c r="F5519" s="60"/>
      <c r="G5519" s="62"/>
      <c r="H5519" s="60"/>
    </row>
    <row r="5520" spans="1:8">
      <c r="A5520" s="60"/>
      <c r="B5520" s="77"/>
      <c r="C5520" s="60"/>
      <c r="D5520" s="81"/>
      <c r="E5520" s="62"/>
      <c r="F5520" s="60"/>
      <c r="G5520" s="62"/>
      <c r="H5520" s="60"/>
    </row>
    <row r="5521" spans="1:8">
      <c r="A5521" s="60"/>
      <c r="B5521" s="77"/>
      <c r="C5521" s="60"/>
      <c r="D5521" s="81"/>
      <c r="E5521" s="62"/>
      <c r="F5521" s="60"/>
      <c r="G5521" s="62"/>
      <c r="H5521" s="60"/>
    </row>
    <row r="5522" spans="1:8">
      <c r="A5522" s="60"/>
      <c r="B5522" s="77"/>
      <c r="C5522" s="60"/>
      <c r="D5522" s="81"/>
      <c r="E5522" s="62"/>
      <c r="F5522" s="60"/>
      <c r="G5522" s="62"/>
      <c r="H5522" s="60"/>
    </row>
    <row r="5523" spans="1:8">
      <c r="A5523" s="60"/>
      <c r="B5523" s="77"/>
      <c r="C5523" s="60"/>
      <c r="D5523" s="81"/>
      <c r="E5523" s="62"/>
      <c r="F5523" s="60"/>
      <c r="G5523" s="62"/>
      <c r="H5523" s="60"/>
    </row>
    <row r="5524" spans="1:8">
      <c r="A5524" s="60"/>
      <c r="B5524" s="77"/>
      <c r="C5524" s="60"/>
      <c r="D5524" s="81"/>
      <c r="E5524" s="62"/>
      <c r="F5524" s="60"/>
      <c r="G5524" s="62"/>
      <c r="H5524" s="60"/>
    </row>
    <row r="5525" spans="1:8">
      <c r="A5525" s="60"/>
      <c r="B5525" s="77"/>
      <c r="C5525" s="60"/>
      <c r="D5525" s="81"/>
      <c r="E5525" s="62"/>
      <c r="F5525" s="60"/>
      <c r="G5525" s="62"/>
      <c r="H5525" s="60"/>
    </row>
    <row r="5526" spans="1:8">
      <c r="A5526" s="60"/>
      <c r="B5526" s="77"/>
      <c r="C5526" s="60"/>
      <c r="D5526" s="81"/>
      <c r="E5526" s="62"/>
      <c r="F5526" s="60"/>
      <c r="G5526" s="62"/>
      <c r="H5526" s="60"/>
    </row>
    <row r="5527" spans="1:8">
      <c r="A5527" s="60"/>
      <c r="B5527" s="77"/>
      <c r="C5527" s="60"/>
      <c r="D5527" s="81"/>
      <c r="E5527" s="62"/>
      <c r="F5527" s="60"/>
      <c r="G5527" s="62"/>
      <c r="H5527" s="60"/>
    </row>
    <row r="5528" spans="1:8">
      <c r="A5528" s="60"/>
      <c r="B5528" s="77"/>
      <c r="C5528" s="60"/>
      <c r="D5528" s="81"/>
      <c r="E5528" s="62"/>
      <c r="F5528" s="60"/>
      <c r="G5528" s="62"/>
      <c r="H5528" s="60"/>
    </row>
    <row r="5529" spans="1:8">
      <c r="A5529" s="60"/>
      <c r="B5529" s="77"/>
      <c r="C5529" s="60"/>
      <c r="D5529" s="81"/>
      <c r="E5529" s="62"/>
      <c r="F5529" s="60"/>
      <c r="G5529" s="62"/>
      <c r="H5529" s="60"/>
    </row>
    <row r="5530" spans="1:8">
      <c r="A5530" s="60"/>
      <c r="B5530" s="77"/>
      <c r="C5530" s="60"/>
      <c r="D5530" s="81"/>
      <c r="E5530" s="62"/>
      <c r="F5530" s="60"/>
      <c r="G5530" s="62"/>
      <c r="H5530" s="60"/>
    </row>
    <row r="5531" spans="1:8">
      <c r="A5531" s="60"/>
      <c r="B5531" s="77"/>
      <c r="C5531" s="60"/>
      <c r="D5531" s="81"/>
      <c r="E5531" s="62"/>
      <c r="F5531" s="60"/>
      <c r="G5531" s="62"/>
      <c r="H5531" s="60"/>
    </row>
    <row r="5532" spans="1:8">
      <c r="A5532" s="60"/>
      <c r="B5532" s="77"/>
      <c r="C5532" s="60"/>
      <c r="D5532" s="81"/>
      <c r="E5532" s="62"/>
      <c r="F5532" s="60"/>
      <c r="G5532" s="62"/>
      <c r="H5532" s="60"/>
    </row>
    <row r="5533" spans="1:8">
      <c r="A5533" s="60"/>
      <c r="B5533" s="77"/>
      <c r="C5533" s="60"/>
      <c r="D5533" s="81"/>
      <c r="E5533" s="62"/>
      <c r="F5533" s="60"/>
      <c r="G5533" s="62"/>
      <c r="H5533" s="60"/>
    </row>
    <row r="5534" spans="1:8">
      <c r="A5534" s="60"/>
      <c r="B5534" s="77"/>
      <c r="C5534" s="60"/>
      <c r="D5534" s="81"/>
      <c r="E5534" s="62"/>
      <c r="F5534" s="60"/>
      <c r="G5534" s="62"/>
      <c r="H5534" s="60"/>
    </row>
    <row r="5535" spans="1:8">
      <c r="A5535" s="60"/>
      <c r="B5535" s="77"/>
      <c r="C5535" s="60"/>
      <c r="D5535" s="81"/>
      <c r="E5535" s="62"/>
      <c r="F5535" s="60"/>
      <c r="G5535" s="62"/>
      <c r="H5535" s="60"/>
    </row>
    <row r="5536" spans="1:8">
      <c r="A5536" s="60"/>
      <c r="B5536" s="77"/>
      <c r="C5536" s="60"/>
      <c r="D5536" s="81"/>
      <c r="E5536" s="62"/>
      <c r="F5536" s="60"/>
      <c r="G5536" s="62"/>
      <c r="H5536" s="60"/>
    </row>
    <row r="5537" spans="1:8">
      <c r="A5537" s="60"/>
      <c r="B5537" s="77"/>
      <c r="C5537" s="60"/>
      <c r="D5537" s="81"/>
      <c r="E5537" s="62"/>
      <c r="F5537" s="60"/>
      <c r="G5537" s="62"/>
      <c r="H5537" s="60"/>
    </row>
    <row r="5538" spans="1:8">
      <c r="A5538" s="60"/>
      <c r="B5538" s="77"/>
      <c r="C5538" s="60"/>
      <c r="D5538" s="81"/>
      <c r="E5538" s="62"/>
      <c r="F5538" s="60"/>
      <c r="G5538" s="62"/>
      <c r="H5538" s="60"/>
    </row>
    <row r="5539" spans="1:8">
      <c r="A5539" s="60"/>
      <c r="B5539" s="77"/>
      <c r="C5539" s="60"/>
      <c r="D5539" s="81"/>
      <c r="E5539" s="62"/>
      <c r="F5539" s="60"/>
      <c r="G5539" s="62"/>
      <c r="H5539" s="60"/>
    </row>
    <row r="5540" spans="1:8">
      <c r="A5540" s="60"/>
      <c r="B5540" s="77"/>
      <c r="C5540" s="60"/>
      <c r="D5540" s="81"/>
      <c r="E5540" s="62"/>
      <c r="F5540" s="60"/>
      <c r="G5540" s="62"/>
      <c r="H5540" s="60"/>
    </row>
    <row r="5541" spans="1:8">
      <c r="A5541" s="60"/>
      <c r="B5541" s="77"/>
      <c r="C5541" s="60"/>
      <c r="D5541" s="81"/>
      <c r="E5541" s="62"/>
      <c r="F5541" s="60"/>
      <c r="G5541" s="62"/>
      <c r="H5541" s="60"/>
    </row>
    <row r="5542" spans="1:8">
      <c r="A5542" s="60"/>
      <c r="B5542" s="77"/>
      <c r="C5542" s="60"/>
      <c r="D5542" s="81"/>
      <c r="E5542" s="62"/>
      <c r="F5542" s="60"/>
      <c r="G5542" s="62"/>
      <c r="H5542" s="60"/>
    </row>
    <row r="5543" spans="1:8">
      <c r="A5543" s="60"/>
      <c r="B5543" s="77"/>
      <c r="C5543" s="60"/>
      <c r="D5543" s="81"/>
      <c r="E5543" s="62"/>
      <c r="F5543" s="60"/>
      <c r="G5543" s="62"/>
      <c r="H5543" s="60"/>
    </row>
    <row r="5544" spans="1:8">
      <c r="A5544" s="60"/>
      <c r="B5544" s="77"/>
      <c r="C5544" s="60"/>
      <c r="D5544" s="81"/>
      <c r="E5544" s="62"/>
      <c r="F5544" s="60"/>
      <c r="G5544" s="62"/>
      <c r="H5544" s="60"/>
    </row>
    <row r="5545" spans="1:8">
      <c r="A5545" s="60"/>
      <c r="B5545" s="77"/>
      <c r="C5545" s="60"/>
      <c r="D5545" s="81"/>
      <c r="E5545" s="62"/>
      <c r="F5545" s="60"/>
      <c r="G5545" s="62"/>
      <c r="H5545" s="60"/>
    </row>
    <row r="5546" spans="1:8">
      <c r="A5546" s="60"/>
      <c r="B5546" s="77"/>
      <c r="C5546" s="60"/>
      <c r="D5546" s="81"/>
      <c r="E5546" s="62"/>
      <c r="F5546" s="60"/>
      <c r="G5546" s="62"/>
      <c r="H5546" s="60"/>
    </row>
    <row r="5547" spans="1:8">
      <c r="A5547" s="60"/>
      <c r="B5547" s="77"/>
      <c r="C5547" s="60"/>
      <c r="D5547" s="81"/>
      <c r="E5547" s="62"/>
      <c r="F5547" s="60"/>
      <c r="G5547" s="62"/>
      <c r="H5547" s="60"/>
    </row>
    <row r="5548" spans="1:8">
      <c r="A5548" s="60"/>
      <c r="B5548" s="77"/>
      <c r="C5548" s="60"/>
      <c r="D5548" s="81"/>
      <c r="E5548" s="62"/>
      <c r="F5548" s="60"/>
      <c r="G5548" s="62"/>
      <c r="H5548" s="60"/>
    </row>
    <row r="5549" spans="1:8">
      <c r="A5549" s="60"/>
      <c r="B5549" s="77"/>
      <c r="C5549" s="60"/>
      <c r="D5549" s="81"/>
      <c r="E5549" s="62"/>
      <c r="F5549" s="60"/>
      <c r="G5549" s="62"/>
      <c r="H5549" s="60"/>
    </row>
    <row r="5550" spans="1:8">
      <c r="A5550" s="60"/>
      <c r="B5550" s="77"/>
      <c r="C5550" s="60"/>
      <c r="D5550" s="81"/>
      <c r="E5550" s="62"/>
      <c r="F5550" s="60"/>
      <c r="G5550" s="62"/>
      <c r="H5550" s="60"/>
    </row>
    <row r="5551" spans="1:8">
      <c r="A5551" s="60"/>
      <c r="B5551" s="77"/>
      <c r="C5551" s="60"/>
      <c r="D5551" s="81"/>
      <c r="E5551" s="62"/>
      <c r="F5551" s="60"/>
      <c r="G5551" s="62"/>
      <c r="H5551" s="60"/>
    </row>
    <row r="5552" spans="1:8">
      <c r="A5552" s="60"/>
      <c r="B5552" s="77"/>
      <c r="C5552" s="60"/>
      <c r="D5552" s="81"/>
      <c r="E5552" s="62"/>
      <c r="F5552" s="60"/>
      <c r="G5552" s="62"/>
      <c r="H5552" s="60"/>
    </row>
    <row r="5553" spans="1:8">
      <c r="A5553" s="60"/>
      <c r="B5553" s="77"/>
      <c r="C5553" s="60"/>
      <c r="D5553" s="81"/>
      <c r="E5553" s="62"/>
      <c r="F5553" s="60"/>
      <c r="G5553" s="62"/>
      <c r="H5553" s="60"/>
    </row>
    <row r="5554" spans="1:8">
      <c r="A5554" s="60"/>
      <c r="B5554" s="77"/>
      <c r="C5554" s="60"/>
      <c r="D5554" s="81"/>
      <c r="E5554" s="62"/>
      <c r="F5554" s="60"/>
      <c r="G5554" s="62"/>
      <c r="H5554" s="60"/>
    </row>
    <row r="5555" spans="1:8">
      <c r="A5555" s="60"/>
      <c r="B5555" s="77"/>
      <c r="C5555" s="60"/>
      <c r="D5555" s="81"/>
      <c r="E5555" s="62"/>
      <c r="F5555" s="60"/>
      <c r="G5555" s="62"/>
      <c r="H5555" s="60"/>
    </row>
    <row r="5556" spans="1:8">
      <c r="A5556" s="60"/>
      <c r="B5556" s="77"/>
      <c r="C5556" s="60"/>
      <c r="D5556" s="81"/>
      <c r="E5556" s="62"/>
      <c r="F5556" s="60"/>
      <c r="G5556" s="62"/>
      <c r="H5556" s="60"/>
    </row>
    <row r="5557" spans="1:8">
      <c r="A5557" s="60"/>
      <c r="B5557" s="77"/>
      <c r="C5557" s="60"/>
      <c r="D5557" s="81"/>
      <c r="E5557" s="62"/>
      <c r="F5557" s="60"/>
      <c r="G5557" s="62"/>
      <c r="H5557" s="60"/>
    </row>
    <row r="5558" spans="1:8">
      <c r="A5558" s="60"/>
      <c r="B5558" s="77"/>
      <c r="C5558" s="60"/>
      <c r="D5558" s="81"/>
      <c r="E5558" s="62"/>
      <c r="F5558" s="60"/>
      <c r="G5558" s="62"/>
      <c r="H5558" s="60"/>
    </row>
    <row r="5559" spans="1:8">
      <c r="A5559" s="60"/>
      <c r="B5559" s="77"/>
      <c r="C5559" s="60"/>
      <c r="D5559" s="81"/>
      <c r="E5559" s="62"/>
      <c r="F5559" s="60"/>
      <c r="G5559" s="62"/>
      <c r="H5559" s="60"/>
    </row>
    <row r="5560" spans="1:8">
      <c r="A5560" s="60"/>
      <c r="B5560" s="77"/>
      <c r="C5560" s="60"/>
      <c r="D5560" s="81"/>
      <c r="E5560" s="62"/>
      <c r="F5560" s="60"/>
      <c r="G5560" s="62"/>
      <c r="H5560" s="60"/>
    </row>
    <row r="5561" spans="1:8">
      <c r="A5561" s="60"/>
      <c r="B5561" s="77"/>
      <c r="C5561" s="60"/>
      <c r="D5561" s="81"/>
      <c r="E5561" s="62"/>
      <c r="F5561" s="60"/>
      <c r="G5561" s="62"/>
      <c r="H5561" s="60"/>
    </row>
    <row r="5562" spans="1:8">
      <c r="A5562" s="60"/>
      <c r="B5562" s="77"/>
      <c r="C5562" s="60"/>
      <c r="D5562" s="81"/>
      <c r="E5562" s="62"/>
      <c r="F5562" s="60"/>
      <c r="G5562" s="62"/>
      <c r="H5562" s="60"/>
    </row>
    <row r="5563" spans="1:8">
      <c r="A5563" s="60"/>
      <c r="B5563" s="77"/>
      <c r="C5563" s="60"/>
      <c r="D5563" s="81"/>
      <c r="E5563" s="62"/>
      <c r="F5563" s="60"/>
      <c r="G5563" s="62"/>
      <c r="H5563" s="60"/>
    </row>
    <row r="5564" spans="1:8">
      <c r="A5564" s="60"/>
      <c r="B5564" s="77"/>
      <c r="C5564" s="60"/>
      <c r="D5564" s="81"/>
      <c r="E5564" s="62"/>
      <c r="F5564" s="60"/>
      <c r="G5564" s="62"/>
      <c r="H5564" s="60"/>
    </row>
    <row r="5565" spans="1:8">
      <c r="A5565" s="60"/>
      <c r="B5565" s="77"/>
      <c r="C5565" s="60"/>
      <c r="D5565" s="81"/>
      <c r="E5565" s="62"/>
      <c r="F5565" s="60"/>
      <c r="G5565" s="62"/>
      <c r="H5565" s="60"/>
    </row>
    <row r="5566" spans="1:8">
      <c r="A5566" s="60"/>
      <c r="B5566" s="77"/>
      <c r="C5566" s="60"/>
      <c r="D5566" s="81"/>
      <c r="E5566" s="62"/>
      <c r="F5566" s="60"/>
      <c r="G5566" s="62"/>
      <c r="H5566" s="60"/>
    </row>
    <row r="5567" spans="1:8">
      <c r="A5567" s="60"/>
      <c r="B5567" s="77"/>
      <c r="C5567" s="60"/>
      <c r="D5567" s="81"/>
      <c r="E5567" s="62"/>
      <c r="F5567" s="60"/>
      <c r="G5567" s="62"/>
      <c r="H5567" s="60"/>
    </row>
    <row r="5568" spans="1:8">
      <c r="A5568" s="60"/>
      <c r="B5568" s="77"/>
      <c r="C5568" s="60"/>
      <c r="D5568" s="81"/>
      <c r="E5568" s="62"/>
      <c r="F5568" s="60"/>
      <c r="G5568" s="62"/>
      <c r="H5568" s="60"/>
    </row>
    <row r="5569" spans="1:8">
      <c r="A5569" s="60"/>
      <c r="B5569" s="77"/>
      <c r="C5569" s="60"/>
      <c r="D5569" s="81"/>
      <c r="E5569" s="62"/>
      <c r="F5569" s="60"/>
      <c r="G5569" s="62"/>
      <c r="H5569" s="60"/>
    </row>
    <row r="5570" spans="1:8">
      <c r="A5570" s="60"/>
      <c r="B5570" s="77"/>
      <c r="C5570" s="60"/>
      <c r="D5570" s="81"/>
      <c r="E5570" s="62"/>
      <c r="F5570" s="60"/>
      <c r="G5570" s="62"/>
      <c r="H5570" s="60"/>
    </row>
    <row r="5571" spans="1:8">
      <c r="A5571" s="60"/>
      <c r="B5571" s="77"/>
      <c r="C5571" s="60"/>
      <c r="D5571" s="81"/>
      <c r="E5571" s="62"/>
      <c r="F5571" s="60"/>
      <c r="G5571" s="62"/>
      <c r="H5571" s="60"/>
    </row>
    <row r="5572" spans="1:8">
      <c r="A5572" s="60"/>
      <c r="B5572" s="77"/>
      <c r="C5572" s="60"/>
      <c r="D5572" s="81"/>
      <c r="E5572" s="62"/>
      <c r="F5572" s="60"/>
      <c r="G5572" s="62"/>
      <c r="H5572" s="60"/>
    </row>
    <row r="5573" spans="1:8">
      <c r="A5573" s="60"/>
      <c r="B5573" s="77"/>
      <c r="C5573" s="60"/>
      <c r="D5573" s="81"/>
      <c r="E5573" s="62"/>
      <c r="F5573" s="60"/>
      <c r="G5573" s="62"/>
      <c r="H5573" s="60"/>
    </row>
    <row r="5574" spans="1:8">
      <c r="A5574" s="60"/>
      <c r="B5574" s="77"/>
      <c r="C5574" s="60"/>
      <c r="D5574" s="81"/>
      <c r="E5574" s="62"/>
      <c r="F5574" s="60"/>
      <c r="G5574" s="62"/>
      <c r="H5574" s="60"/>
    </row>
    <row r="5575" spans="1:8">
      <c r="A5575" s="60"/>
      <c r="B5575" s="77"/>
      <c r="C5575" s="60"/>
      <c r="D5575" s="81"/>
      <c r="E5575" s="62"/>
      <c r="F5575" s="60"/>
      <c r="G5575" s="62"/>
      <c r="H5575" s="60"/>
    </row>
    <row r="5576" spans="1:8">
      <c r="A5576" s="60"/>
      <c r="B5576" s="77"/>
      <c r="C5576" s="60"/>
      <c r="D5576" s="81"/>
      <c r="E5576" s="62"/>
      <c r="F5576" s="60"/>
      <c r="G5576" s="62"/>
      <c r="H5576" s="60"/>
    </row>
    <row r="5577" spans="1:8">
      <c r="A5577" s="60"/>
      <c r="B5577" s="77"/>
      <c r="C5577" s="60"/>
      <c r="D5577" s="81"/>
      <c r="E5577" s="62"/>
      <c r="F5577" s="60"/>
      <c r="G5577" s="62"/>
      <c r="H5577" s="60"/>
    </row>
    <row r="5578" spans="1:8">
      <c r="A5578" s="60"/>
      <c r="B5578" s="77"/>
      <c r="C5578" s="60"/>
      <c r="D5578" s="81"/>
      <c r="E5578" s="62"/>
      <c r="F5578" s="60"/>
      <c r="G5578" s="62"/>
      <c r="H5578" s="60"/>
    </row>
    <row r="5579" spans="1:8">
      <c r="A5579" s="60"/>
      <c r="B5579" s="77"/>
      <c r="C5579" s="60"/>
      <c r="D5579" s="81"/>
      <c r="E5579" s="62"/>
      <c r="F5579" s="60"/>
      <c r="G5579" s="62"/>
      <c r="H5579" s="60"/>
    </row>
    <row r="5580" spans="1:8">
      <c r="A5580" s="60"/>
      <c r="B5580" s="77"/>
      <c r="C5580" s="60"/>
      <c r="D5580" s="81"/>
      <c r="E5580" s="62"/>
      <c r="F5580" s="60"/>
      <c r="G5580" s="62"/>
      <c r="H5580" s="60"/>
    </row>
    <row r="5581" spans="1:8">
      <c r="A5581" s="60"/>
      <c r="B5581" s="77"/>
      <c r="C5581" s="60"/>
      <c r="D5581" s="81"/>
      <c r="E5581" s="62"/>
      <c r="F5581" s="60"/>
      <c r="G5581" s="62"/>
      <c r="H5581" s="60"/>
    </row>
    <row r="5582" spans="1:8">
      <c r="A5582" s="60"/>
      <c r="B5582" s="77"/>
      <c r="C5582" s="60"/>
      <c r="D5582" s="81"/>
      <c r="E5582" s="62"/>
      <c r="F5582" s="60"/>
      <c r="G5582" s="62"/>
      <c r="H5582" s="60"/>
    </row>
    <row r="5583" spans="1:8">
      <c r="A5583" s="60"/>
      <c r="B5583" s="77"/>
      <c r="C5583" s="60"/>
      <c r="D5583" s="81"/>
      <c r="E5583" s="62"/>
      <c r="F5583" s="60"/>
      <c r="G5583" s="62"/>
      <c r="H5583" s="60"/>
    </row>
    <row r="5584" spans="1:8">
      <c r="A5584" s="60"/>
      <c r="B5584" s="77"/>
      <c r="C5584" s="60"/>
      <c r="D5584" s="81"/>
      <c r="E5584" s="62"/>
      <c r="F5584" s="60"/>
      <c r="G5584" s="62"/>
      <c r="H5584" s="60"/>
    </row>
    <row r="5585" spans="1:8">
      <c r="A5585" s="60"/>
      <c r="B5585" s="77"/>
      <c r="C5585" s="60"/>
      <c r="D5585" s="81"/>
      <c r="E5585" s="62"/>
      <c r="F5585" s="60"/>
      <c r="G5585" s="62"/>
      <c r="H5585" s="60"/>
    </row>
    <row r="5586" spans="1:8">
      <c r="A5586" s="60"/>
      <c r="B5586" s="77"/>
      <c r="C5586" s="60"/>
      <c r="D5586" s="81"/>
      <c r="E5586" s="62"/>
      <c r="F5586" s="60"/>
      <c r="G5586" s="62"/>
      <c r="H5586" s="60"/>
    </row>
    <row r="5587" spans="1:8">
      <c r="A5587" s="60"/>
      <c r="B5587" s="77"/>
      <c r="C5587" s="60"/>
      <c r="D5587" s="81"/>
      <c r="E5587" s="62"/>
      <c r="F5587" s="60"/>
      <c r="G5587" s="62"/>
      <c r="H5587" s="60"/>
    </row>
    <row r="5588" spans="1:8">
      <c r="A5588" s="60"/>
      <c r="B5588" s="77"/>
      <c r="C5588" s="60"/>
      <c r="D5588" s="81"/>
      <c r="E5588" s="62"/>
      <c r="F5588" s="60"/>
      <c r="G5588" s="62"/>
      <c r="H5588" s="60"/>
    </row>
    <row r="5589" spans="1:8">
      <c r="A5589" s="60"/>
      <c r="B5589" s="77"/>
      <c r="C5589" s="60"/>
      <c r="D5589" s="81"/>
      <c r="E5589" s="62"/>
      <c r="F5589" s="60"/>
      <c r="G5589" s="62"/>
      <c r="H5589" s="60"/>
    </row>
    <row r="5590" spans="1:8">
      <c r="A5590" s="60"/>
      <c r="B5590" s="77"/>
      <c r="C5590" s="60"/>
      <c r="D5590" s="81"/>
      <c r="E5590" s="62"/>
      <c r="F5590" s="60"/>
      <c r="G5590" s="62"/>
      <c r="H5590" s="60"/>
    </row>
    <row r="5591" spans="1:8">
      <c r="A5591" s="60"/>
      <c r="B5591" s="77"/>
      <c r="C5591" s="60"/>
      <c r="D5591" s="81"/>
      <c r="E5591" s="62"/>
      <c r="F5591" s="60"/>
      <c r="G5591" s="62"/>
      <c r="H5591" s="60"/>
    </row>
    <row r="5592" spans="1:8">
      <c r="A5592" s="60"/>
      <c r="B5592" s="77"/>
      <c r="C5592" s="60"/>
      <c r="D5592" s="81"/>
      <c r="E5592" s="62"/>
      <c r="F5592" s="60"/>
      <c r="G5592" s="62"/>
      <c r="H5592" s="60"/>
    </row>
    <row r="5593" spans="1:8">
      <c r="A5593" s="60"/>
      <c r="B5593" s="77"/>
      <c r="C5593" s="60"/>
      <c r="D5593" s="81"/>
      <c r="E5593" s="62"/>
      <c r="F5593" s="60"/>
      <c r="G5593" s="62"/>
      <c r="H5593" s="60"/>
    </row>
    <row r="5594" spans="1:8">
      <c r="A5594" s="60"/>
      <c r="B5594" s="77"/>
      <c r="C5594" s="60"/>
      <c r="D5594" s="81"/>
      <c r="E5594" s="62"/>
      <c r="F5594" s="60"/>
      <c r="G5594" s="62"/>
      <c r="H5594" s="60"/>
    </row>
    <row r="5595" spans="1:8">
      <c r="A5595" s="60"/>
      <c r="B5595" s="77"/>
      <c r="C5595" s="60"/>
      <c r="D5595" s="81"/>
      <c r="E5595" s="62"/>
      <c r="F5595" s="60"/>
      <c r="G5595" s="62"/>
      <c r="H5595" s="60"/>
    </row>
    <row r="5596" spans="1:8">
      <c r="A5596" s="60"/>
      <c r="B5596" s="77"/>
      <c r="C5596" s="60"/>
      <c r="D5596" s="81"/>
      <c r="E5596" s="62"/>
      <c r="F5596" s="60"/>
      <c r="G5596" s="62"/>
      <c r="H5596" s="60"/>
    </row>
    <row r="5597" spans="1:8">
      <c r="A5597" s="60"/>
      <c r="B5597" s="77"/>
      <c r="C5597" s="60"/>
      <c r="D5597" s="81"/>
      <c r="E5597" s="62"/>
      <c r="F5597" s="60"/>
      <c r="G5597" s="62"/>
      <c r="H5597" s="60"/>
    </row>
    <row r="5598" spans="1:8">
      <c r="A5598" s="60"/>
      <c r="B5598" s="77"/>
      <c r="C5598" s="60"/>
      <c r="D5598" s="81"/>
      <c r="E5598" s="62"/>
      <c r="F5598" s="60"/>
      <c r="G5598" s="62"/>
      <c r="H5598" s="60"/>
    </row>
    <row r="5599" spans="1:8">
      <c r="A5599" s="60"/>
      <c r="B5599" s="77"/>
      <c r="C5599" s="60"/>
      <c r="D5599" s="81"/>
      <c r="E5599" s="62"/>
      <c r="F5599" s="60"/>
      <c r="G5599" s="62"/>
      <c r="H5599" s="60"/>
    </row>
    <row r="5600" spans="1:8">
      <c r="A5600" s="60"/>
      <c r="B5600" s="77"/>
      <c r="C5600" s="60"/>
      <c r="D5600" s="81"/>
      <c r="E5600" s="62"/>
      <c r="F5600" s="60"/>
      <c r="G5600" s="62"/>
      <c r="H5600" s="60"/>
    </row>
    <row r="5601" spans="1:8">
      <c r="A5601" s="60"/>
      <c r="B5601" s="77"/>
      <c r="C5601" s="60"/>
      <c r="D5601" s="81"/>
      <c r="E5601" s="62"/>
      <c r="F5601" s="60"/>
      <c r="G5601" s="62"/>
      <c r="H5601" s="60"/>
    </row>
    <row r="5602" spans="1:8">
      <c r="A5602" s="60"/>
      <c r="B5602" s="77"/>
      <c r="C5602" s="60"/>
      <c r="D5602" s="81"/>
      <c r="E5602" s="62"/>
      <c r="F5602" s="60"/>
      <c r="G5602" s="62"/>
      <c r="H5602" s="60"/>
    </row>
    <row r="5603" spans="1:8">
      <c r="A5603" s="60"/>
      <c r="B5603" s="77"/>
      <c r="C5603" s="60"/>
      <c r="D5603" s="81"/>
      <c r="E5603" s="62"/>
      <c r="F5603" s="60"/>
      <c r="G5603" s="62"/>
      <c r="H5603" s="60"/>
    </row>
    <row r="5604" spans="1:8">
      <c r="A5604" s="60"/>
      <c r="B5604" s="77"/>
      <c r="C5604" s="60"/>
      <c r="D5604" s="81"/>
      <c r="E5604" s="62"/>
      <c r="F5604" s="60"/>
      <c r="G5604" s="62"/>
      <c r="H5604" s="60"/>
    </row>
    <row r="5605" spans="1:8">
      <c r="A5605" s="60"/>
      <c r="B5605" s="77"/>
      <c r="C5605" s="60"/>
      <c r="D5605" s="81"/>
      <c r="E5605" s="62"/>
      <c r="F5605" s="60"/>
      <c r="G5605" s="62"/>
      <c r="H5605" s="60"/>
    </row>
    <row r="5606" spans="1:8">
      <c r="A5606" s="60"/>
      <c r="B5606" s="77"/>
      <c r="C5606" s="60"/>
      <c r="D5606" s="81"/>
      <c r="E5606" s="62"/>
      <c r="F5606" s="60"/>
      <c r="G5606" s="62"/>
      <c r="H5606" s="60"/>
    </row>
    <row r="5607" spans="1:8">
      <c r="A5607" s="60"/>
      <c r="B5607" s="77"/>
      <c r="C5607" s="60"/>
      <c r="D5607" s="81"/>
      <c r="E5607" s="62"/>
      <c r="F5607" s="60"/>
      <c r="G5607" s="62"/>
      <c r="H5607" s="60"/>
    </row>
    <row r="5608" spans="1:8">
      <c r="A5608" s="60"/>
      <c r="B5608" s="77"/>
      <c r="C5608" s="60"/>
      <c r="D5608" s="81"/>
      <c r="E5608" s="62"/>
      <c r="F5608" s="60"/>
      <c r="G5608" s="62"/>
      <c r="H5608" s="60"/>
    </row>
    <row r="5609" spans="1:8">
      <c r="A5609" s="60"/>
      <c r="B5609" s="77"/>
      <c r="C5609" s="60"/>
      <c r="D5609" s="81"/>
      <c r="E5609" s="62"/>
      <c r="F5609" s="60"/>
      <c r="G5609" s="62"/>
      <c r="H5609" s="60"/>
    </row>
    <row r="5610" spans="1:8">
      <c r="A5610" s="60"/>
      <c r="B5610" s="77"/>
      <c r="C5610" s="60"/>
      <c r="D5610" s="81"/>
      <c r="E5610" s="62"/>
      <c r="F5610" s="60"/>
      <c r="G5610" s="62"/>
      <c r="H5610" s="60"/>
    </row>
    <row r="5611" spans="1:8">
      <c r="A5611" s="60"/>
      <c r="B5611" s="77"/>
      <c r="C5611" s="60"/>
      <c r="D5611" s="81"/>
      <c r="E5611" s="62"/>
      <c r="F5611" s="60"/>
      <c r="G5611" s="62"/>
      <c r="H5611" s="60"/>
    </row>
    <row r="5612" spans="1:8">
      <c r="A5612" s="60"/>
      <c r="B5612" s="77"/>
      <c r="C5612" s="60"/>
      <c r="D5612" s="81"/>
      <c r="E5612" s="62"/>
      <c r="F5612" s="60"/>
      <c r="G5612" s="62"/>
      <c r="H5612" s="60"/>
    </row>
    <row r="5613" spans="1:8">
      <c r="A5613" s="60"/>
      <c r="B5613" s="77"/>
      <c r="C5613" s="60"/>
      <c r="D5613" s="81"/>
      <c r="E5613" s="62"/>
      <c r="F5613" s="60"/>
      <c r="G5613" s="62"/>
      <c r="H5613" s="60"/>
    </row>
    <row r="5614" spans="1:8">
      <c r="A5614" s="60"/>
      <c r="B5614" s="77"/>
      <c r="C5614" s="60"/>
      <c r="D5614" s="81"/>
      <c r="E5614" s="62"/>
      <c r="F5614" s="60"/>
      <c r="G5614" s="62"/>
      <c r="H5614" s="60"/>
    </row>
    <row r="5615" spans="1:8">
      <c r="A5615" s="60"/>
      <c r="B5615" s="77"/>
      <c r="C5615" s="60"/>
      <c r="D5615" s="81"/>
      <c r="E5615" s="62"/>
      <c r="F5615" s="60"/>
      <c r="G5615" s="62"/>
      <c r="H5615" s="60"/>
    </row>
    <row r="5616" spans="1:8">
      <c r="A5616" s="60"/>
      <c r="B5616" s="77"/>
      <c r="C5616" s="60"/>
      <c r="D5616" s="81"/>
      <c r="E5616" s="62"/>
      <c r="F5616" s="60"/>
      <c r="G5616" s="62"/>
      <c r="H5616" s="60"/>
    </row>
    <row r="5617" spans="1:8">
      <c r="A5617" s="60"/>
      <c r="B5617" s="77"/>
      <c r="C5617" s="60"/>
      <c r="D5617" s="81"/>
      <c r="E5617" s="62"/>
      <c r="F5617" s="60"/>
      <c r="G5617" s="62"/>
      <c r="H5617" s="60"/>
    </row>
    <row r="5618" spans="1:8">
      <c r="A5618" s="60"/>
      <c r="B5618" s="77"/>
      <c r="C5618" s="60"/>
      <c r="D5618" s="81"/>
      <c r="E5618" s="62"/>
      <c r="F5618" s="60"/>
      <c r="G5618" s="62"/>
      <c r="H5618" s="60"/>
    </row>
    <row r="5619" spans="1:8">
      <c r="A5619" s="60"/>
      <c r="B5619" s="77"/>
      <c r="C5619" s="60"/>
      <c r="D5619" s="81"/>
      <c r="E5619" s="62"/>
      <c r="F5619" s="60"/>
      <c r="G5619" s="62"/>
      <c r="H5619" s="60"/>
    </row>
    <row r="5620" spans="1:8">
      <c r="A5620" s="60"/>
      <c r="B5620" s="77"/>
      <c r="C5620" s="60"/>
      <c r="D5620" s="81"/>
      <c r="E5620" s="62"/>
      <c r="F5620" s="60"/>
      <c r="G5620" s="62"/>
      <c r="H5620" s="60"/>
    </row>
    <row r="5621" spans="1:8">
      <c r="A5621" s="60"/>
      <c r="B5621" s="77"/>
      <c r="C5621" s="60"/>
      <c r="D5621" s="81"/>
      <c r="E5621" s="62"/>
      <c r="F5621" s="60"/>
      <c r="G5621" s="62"/>
      <c r="H5621" s="60"/>
    </row>
    <row r="5622" spans="1:8">
      <c r="A5622" s="60"/>
      <c r="B5622" s="77"/>
      <c r="C5622" s="60"/>
      <c r="D5622" s="81"/>
      <c r="E5622" s="62"/>
      <c r="F5622" s="60"/>
      <c r="G5622" s="62"/>
      <c r="H5622" s="60"/>
    </row>
    <row r="5623" spans="1:8">
      <c r="A5623" s="60"/>
      <c r="B5623" s="77"/>
      <c r="C5623" s="60"/>
      <c r="D5623" s="81"/>
      <c r="E5623" s="62"/>
      <c r="F5623" s="60"/>
      <c r="G5623" s="62"/>
      <c r="H5623" s="60"/>
    </row>
    <row r="5624" spans="1:8">
      <c r="A5624" s="60"/>
      <c r="B5624" s="77"/>
      <c r="C5624" s="60"/>
      <c r="D5624" s="81"/>
      <c r="E5624" s="62"/>
      <c r="F5624" s="60"/>
      <c r="G5624" s="62"/>
      <c r="H5624" s="60"/>
    </row>
    <row r="5625" spans="1:8">
      <c r="A5625" s="60"/>
      <c r="B5625" s="77"/>
      <c r="C5625" s="60"/>
      <c r="D5625" s="81"/>
      <c r="E5625" s="62"/>
      <c r="F5625" s="60"/>
      <c r="G5625" s="62"/>
      <c r="H5625" s="60"/>
    </row>
    <row r="5626" spans="1:8">
      <c r="A5626" s="60"/>
      <c r="B5626" s="77"/>
      <c r="C5626" s="60"/>
      <c r="D5626" s="81"/>
      <c r="E5626" s="62"/>
      <c r="F5626" s="60"/>
      <c r="G5626" s="62"/>
      <c r="H5626" s="60"/>
    </row>
    <row r="5627" spans="1:8">
      <c r="A5627" s="60"/>
      <c r="B5627" s="77"/>
      <c r="C5627" s="60"/>
      <c r="D5627" s="81"/>
      <c r="E5627" s="62"/>
      <c r="F5627" s="60"/>
      <c r="G5627" s="62"/>
      <c r="H5627" s="60"/>
    </row>
    <row r="5628" spans="1:8">
      <c r="A5628" s="60"/>
      <c r="B5628" s="77"/>
      <c r="C5628" s="60"/>
      <c r="D5628" s="81"/>
      <c r="E5628" s="62"/>
      <c r="F5628" s="60"/>
      <c r="G5628" s="62"/>
      <c r="H5628" s="60"/>
    </row>
    <row r="5629" spans="1:8">
      <c r="A5629" s="60"/>
      <c r="B5629" s="77"/>
      <c r="C5629" s="60"/>
      <c r="D5629" s="81"/>
      <c r="E5629" s="62"/>
      <c r="F5629" s="60"/>
      <c r="G5629" s="62"/>
      <c r="H5629" s="60"/>
    </row>
    <row r="5630" spans="1:8">
      <c r="A5630" s="60"/>
      <c r="B5630" s="77"/>
      <c r="C5630" s="60"/>
      <c r="D5630" s="81"/>
      <c r="E5630" s="62"/>
      <c r="F5630" s="60"/>
      <c r="G5630" s="62"/>
      <c r="H5630" s="60"/>
    </row>
    <row r="5631" spans="1:8">
      <c r="A5631" s="60"/>
      <c r="B5631" s="77"/>
      <c r="C5631" s="60"/>
      <c r="D5631" s="81"/>
      <c r="E5631" s="62"/>
      <c r="F5631" s="60"/>
      <c r="G5631" s="62"/>
      <c r="H5631" s="60"/>
    </row>
    <row r="5632" spans="1:8">
      <c r="A5632" s="60"/>
      <c r="B5632" s="77"/>
      <c r="C5632" s="60"/>
      <c r="D5632" s="81"/>
      <c r="E5632" s="62"/>
      <c r="F5632" s="60"/>
      <c r="G5632" s="62"/>
      <c r="H5632" s="60"/>
    </row>
    <row r="5633" spans="1:8">
      <c r="A5633" s="60"/>
      <c r="B5633" s="77"/>
      <c r="C5633" s="60"/>
      <c r="D5633" s="81"/>
      <c r="E5633" s="62"/>
      <c r="F5633" s="60"/>
      <c r="G5633" s="62"/>
      <c r="H5633" s="60"/>
    </row>
    <row r="5634" spans="1:8">
      <c r="A5634" s="60"/>
      <c r="B5634" s="77"/>
      <c r="C5634" s="60"/>
      <c r="D5634" s="81"/>
      <c r="E5634" s="62"/>
      <c r="F5634" s="60"/>
      <c r="G5634" s="62"/>
      <c r="H5634" s="60"/>
    </row>
    <row r="5635" spans="1:8">
      <c r="A5635" s="60"/>
      <c r="B5635" s="77"/>
      <c r="C5635" s="60"/>
      <c r="D5635" s="81"/>
      <c r="E5635" s="62"/>
      <c r="F5635" s="60"/>
      <c r="G5635" s="62"/>
      <c r="H5635" s="60"/>
    </row>
    <row r="5636" spans="1:8">
      <c r="A5636" s="60"/>
      <c r="B5636" s="77"/>
      <c r="C5636" s="60"/>
      <c r="D5636" s="81"/>
      <c r="E5636" s="62"/>
      <c r="F5636" s="60"/>
      <c r="G5636" s="62"/>
      <c r="H5636" s="60"/>
    </row>
    <row r="5637" spans="1:8">
      <c r="A5637" s="60"/>
      <c r="B5637" s="77"/>
      <c r="C5637" s="60"/>
      <c r="D5637" s="81"/>
      <c r="E5637" s="62"/>
      <c r="F5637" s="60"/>
      <c r="G5637" s="62"/>
      <c r="H5637" s="60"/>
    </row>
    <row r="5638" spans="1:8">
      <c r="A5638" s="60"/>
      <c r="B5638" s="77"/>
      <c r="C5638" s="60"/>
      <c r="D5638" s="81"/>
      <c r="E5638" s="62"/>
      <c r="F5638" s="60"/>
      <c r="G5638" s="62"/>
      <c r="H5638" s="60"/>
    </row>
    <row r="5639" spans="1:8">
      <c r="A5639" s="60"/>
      <c r="B5639" s="77"/>
      <c r="C5639" s="60"/>
      <c r="D5639" s="81"/>
      <c r="E5639" s="62"/>
      <c r="F5639" s="60"/>
      <c r="G5639" s="62"/>
      <c r="H5639" s="60"/>
    </row>
    <row r="5640" spans="1:8">
      <c r="A5640" s="60"/>
      <c r="B5640" s="77"/>
      <c r="C5640" s="60"/>
      <c r="D5640" s="81"/>
      <c r="E5640" s="62"/>
      <c r="F5640" s="60"/>
      <c r="G5640" s="62"/>
      <c r="H5640" s="60"/>
    </row>
    <row r="5641" spans="1:8">
      <c r="A5641" s="60"/>
      <c r="B5641" s="77"/>
      <c r="C5641" s="60"/>
      <c r="D5641" s="81"/>
      <c r="E5641" s="62"/>
      <c r="F5641" s="60"/>
      <c r="G5641" s="62"/>
      <c r="H5641" s="60"/>
    </row>
    <row r="5642" spans="1:8">
      <c r="A5642" s="60"/>
      <c r="B5642" s="77"/>
      <c r="C5642" s="60"/>
      <c r="D5642" s="81"/>
      <c r="E5642" s="62"/>
      <c r="F5642" s="60"/>
      <c r="G5642" s="62"/>
      <c r="H5642" s="60"/>
    </row>
    <row r="5643" spans="1:8">
      <c r="A5643" s="60"/>
      <c r="B5643" s="77"/>
      <c r="C5643" s="60"/>
      <c r="D5643" s="81"/>
      <c r="E5643" s="62"/>
      <c r="F5643" s="60"/>
      <c r="G5643" s="62"/>
      <c r="H5643" s="60"/>
    </row>
    <row r="5644" spans="1:8">
      <c r="A5644" s="60"/>
      <c r="B5644" s="77"/>
      <c r="C5644" s="60"/>
      <c r="D5644" s="81"/>
      <c r="E5644" s="62"/>
      <c r="F5644" s="60"/>
      <c r="G5644" s="62"/>
      <c r="H5644" s="60"/>
    </row>
    <row r="5645" spans="1:8">
      <c r="A5645" s="60"/>
      <c r="B5645" s="77"/>
      <c r="C5645" s="60"/>
      <c r="D5645" s="81"/>
      <c r="E5645" s="62"/>
      <c r="F5645" s="60"/>
      <c r="G5645" s="62"/>
      <c r="H5645" s="60"/>
    </row>
    <row r="5646" spans="1:8">
      <c r="A5646" s="60"/>
      <c r="B5646" s="77"/>
      <c r="C5646" s="60"/>
      <c r="D5646" s="81"/>
      <c r="E5646" s="62"/>
      <c r="F5646" s="60"/>
      <c r="G5646" s="62"/>
      <c r="H5646" s="60"/>
    </row>
    <row r="5647" spans="1:8">
      <c r="A5647" s="60"/>
      <c r="B5647" s="77"/>
      <c r="C5647" s="60"/>
      <c r="D5647" s="81"/>
      <c r="E5647" s="62"/>
      <c r="F5647" s="60"/>
      <c r="G5647" s="62"/>
      <c r="H5647" s="60"/>
    </row>
    <row r="5648" spans="1:8">
      <c r="A5648" s="60"/>
      <c r="B5648" s="77"/>
      <c r="C5648" s="60"/>
      <c r="D5648" s="81"/>
      <c r="E5648" s="62"/>
      <c r="F5648" s="60"/>
      <c r="G5648" s="62"/>
      <c r="H5648" s="60"/>
    </row>
    <row r="5649" spans="1:8">
      <c r="A5649" s="60"/>
      <c r="B5649" s="77"/>
      <c r="C5649" s="60"/>
      <c r="D5649" s="81"/>
      <c r="E5649" s="62"/>
      <c r="F5649" s="60"/>
      <c r="G5649" s="62"/>
      <c r="H5649" s="60"/>
    </row>
    <row r="5650" spans="1:8">
      <c r="A5650" s="60"/>
      <c r="B5650" s="77"/>
      <c r="C5650" s="60"/>
      <c r="D5650" s="81"/>
      <c r="E5650" s="62"/>
      <c r="F5650" s="60"/>
      <c r="G5650" s="62"/>
      <c r="H5650" s="60"/>
    </row>
    <row r="5651" spans="1:8">
      <c r="A5651" s="60"/>
      <c r="B5651" s="77"/>
      <c r="C5651" s="60"/>
      <c r="D5651" s="81"/>
      <c r="E5651" s="62"/>
      <c r="F5651" s="60"/>
      <c r="G5651" s="62"/>
      <c r="H5651" s="60"/>
    </row>
    <row r="5652" spans="1:8">
      <c r="A5652" s="60"/>
      <c r="B5652" s="77"/>
      <c r="C5652" s="60"/>
      <c r="D5652" s="81"/>
      <c r="E5652" s="62"/>
      <c r="F5652" s="60"/>
      <c r="G5652" s="62"/>
      <c r="H5652" s="60"/>
    </row>
    <row r="5653" spans="1:8">
      <c r="A5653" s="60"/>
      <c r="B5653" s="77"/>
      <c r="C5653" s="60"/>
      <c r="D5653" s="81"/>
      <c r="E5653" s="62"/>
      <c r="F5653" s="60"/>
      <c r="G5653" s="62"/>
      <c r="H5653" s="60"/>
    </row>
    <row r="5654" spans="1:8">
      <c r="A5654" s="60"/>
      <c r="B5654" s="77"/>
      <c r="C5654" s="60"/>
      <c r="D5654" s="81"/>
      <c r="E5654" s="62"/>
      <c r="F5654" s="60"/>
      <c r="G5654" s="62"/>
      <c r="H5654" s="60"/>
    </row>
    <row r="5655" spans="1:8">
      <c r="A5655" s="60"/>
      <c r="B5655" s="77"/>
      <c r="C5655" s="60"/>
      <c r="D5655" s="81"/>
      <c r="E5655" s="62"/>
      <c r="F5655" s="60"/>
      <c r="G5655" s="62"/>
      <c r="H5655" s="60"/>
    </row>
    <row r="5656" spans="1:8">
      <c r="A5656" s="60"/>
      <c r="B5656" s="77"/>
      <c r="C5656" s="60"/>
      <c r="D5656" s="81"/>
      <c r="E5656" s="62"/>
      <c r="F5656" s="60"/>
      <c r="G5656" s="62"/>
      <c r="H5656" s="60"/>
    </row>
    <row r="5657" spans="1:8">
      <c r="A5657" s="60"/>
      <c r="B5657" s="77"/>
      <c r="C5657" s="60"/>
      <c r="D5657" s="81"/>
      <c r="E5657" s="62"/>
      <c r="F5657" s="60"/>
      <c r="G5657" s="62"/>
      <c r="H5657" s="60"/>
    </row>
    <row r="5658" spans="1:8">
      <c r="A5658" s="60"/>
      <c r="B5658" s="77"/>
      <c r="C5658" s="60"/>
      <c r="D5658" s="81"/>
      <c r="E5658" s="62"/>
      <c r="F5658" s="60"/>
      <c r="G5658" s="62"/>
      <c r="H5658" s="60"/>
    </row>
    <row r="5659" spans="1:8">
      <c r="A5659" s="60"/>
      <c r="B5659" s="77"/>
      <c r="C5659" s="60"/>
      <c r="D5659" s="81"/>
      <c r="E5659" s="62"/>
      <c r="F5659" s="60"/>
      <c r="G5659" s="62"/>
      <c r="H5659" s="60"/>
    </row>
    <row r="5660" spans="1:8">
      <c r="A5660" s="60"/>
      <c r="B5660" s="77"/>
      <c r="C5660" s="60"/>
      <c r="D5660" s="81"/>
      <c r="E5660" s="62"/>
      <c r="F5660" s="60"/>
      <c r="G5660" s="62"/>
      <c r="H5660" s="60"/>
    </row>
    <row r="5661" spans="1:8">
      <c r="A5661" s="60"/>
      <c r="B5661" s="77"/>
      <c r="C5661" s="60"/>
      <c r="D5661" s="81"/>
      <c r="E5661" s="62"/>
      <c r="F5661" s="60"/>
      <c r="G5661" s="62"/>
      <c r="H5661" s="60"/>
    </row>
    <row r="5662" spans="1:8">
      <c r="A5662" s="60"/>
      <c r="B5662" s="77"/>
      <c r="C5662" s="60"/>
      <c r="D5662" s="81"/>
      <c r="E5662" s="62"/>
      <c r="F5662" s="60"/>
      <c r="G5662" s="62"/>
      <c r="H5662" s="60"/>
    </row>
    <row r="5663" spans="1:8">
      <c r="A5663" s="60"/>
      <c r="B5663" s="77"/>
      <c r="C5663" s="60"/>
      <c r="D5663" s="81"/>
      <c r="E5663" s="62"/>
      <c r="F5663" s="60"/>
      <c r="G5663" s="62"/>
      <c r="H5663" s="60"/>
    </row>
    <row r="5664" spans="1:8">
      <c r="A5664" s="60"/>
      <c r="B5664" s="77"/>
      <c r="C5664" s="60"/>
      <c r="D5664" s="81"/>
      <c r="E5664" s="62"/>
      <c r="F5664" s="60"/>
      <c r="G5664" s="62"/>
      <c r="H5664" s="60"/>
    </row>
    <row r="5665" spans="1:8">
      <c r="A5665" s="60"/>
      <c r="B5665" s="77"/>
      <c r="C5665" s="60"/>
      <c r="D5665" s="81"/>
      <c r="E5665" s="62"/>
      <c r="F5665" s="60"/>
      <c r="G5665" s="62"/>
      <c r="H5665" s="60"/>
    </row>
    <row r="5666" spans="1:8">
      <c r="A5666" s="60"/>
      <c r="B5666" s="77"/>
      <c r="C5666" s="60"/>
      <c r="D5666" s="81"/>
      <c r="E5666" s="62"/>
      <c r="F5666" s="60"/>
      <c r="G5666" s="62"/>
      <c r="H5666" s="60"/>
    </row>
    <row r="5667" spans="1:8">
      <c r="A5667" s="60"/>
      <c r="B5667" s="77"/>
      <c r="C5667" s="60"/>
      <c r="D5667" s="81"/>
      <c r="E5667" s="62"/>
      <c r="F5667" s="60"/>
      <c r="G5667" s="62"/>
      <c r="H5667" s="60"/>
    </row>
    <row r="5668" spans="1:8">
      <c r="A5668" s="60"/>
      <c r="B5668" s="77"/>
      <c r="C5668" s="60"/>
      <c r="D5668" s="81"/>
      <c r="E5668" s="62"/>
      <c r="F5668" s="60"/>
      <c r="G5668" s="62"/>
      <c r="H5668" s="60"/>
    </row>
    <row r="5669" spans="1:8">
      <c r="A5669" s="60"/>
      <c r="B5669" s="77"/>
      <c r="C5669" s="60"/>
      <c r="D5669" s="81"/>
      <c r="E5669" s="62"/>
      <c r="F5669" s="60"/>
      <c r="G5669" s="62"/>
      <c r="H5669" s="60"/>
    </row>
    <row r="5670" spans="1:8">
      <c r="A5670" s="60"/>
      <c r="B5670" s="77"/>
      <c r="C5670" s="60"/>
      <c r="D5670" s="81"/>
      <c r="E5670" s="62"/>
      <c r="F5670" s="60"/>
      <c r="G5670" s="62"/>
      <c r="H5670" s="60"/>
    </row>
    <row r="5671" spans="1:8">
      <c r="A5671" s="60"/>
      <c r="B5671" s="77"/>
      <c r="C5671" s="60"/>
      <c r="D5671" s="81"/>
      <c r="E5671" s="62"/>
      <c r="F5671" s="60"/>
      <c r="G5671" s="62"/>
      <c r="H5671" s="60"/>
    </row>
    <row r="5672" spans="1:8">
      <c r="A5672" s="60"/>
      <c r="B5672" s="77"/>
      <c r="C5672" s="60"/>
      <c r="D5672" s="81"/>
      <c r="E5672" s="62"/>
      <c r="F5672" s="60"/>
      <c r="G5672" s="62"/>
      <c r="H5672" s="60"/>
    </row>
    <row r="5673" spans="1:8">
      <c r="A5673" s="60"/>
      <c r="B5673" s="77"/>
      <c r="C5673" s="60"/>
      <c r="D5673" s="81"/>
      <c r="E5673" s="62"/>
      <c r="F5673" s="60"/>
      <c r="G5673" s="62"/>
      <c r="H5673" s="60"/>
    </row>
    <row r="5674" spans="1:8">
      <c r="A5674" s="60"/>
      <c r="B5674" s="77"/>
      <c r="C5674" s="60"/>
      <c r="D5674" s="81"/>
      <c r="E5674" s="62"/>
      <c r="F5674" s="60"/>
      <c r="G5674" s="62"/>
      <c r="H5674" s="60"/>
    </row>
    <row r="5675" spans="1:8">
      <c r="A5675" s="60"/>
      <c r="B5675" s="77"/>
      <c r="C5675" s="60"/>
      <c r="D5675" s="81"/>
      <c r="E5675" s="62"/>
      <c r="F5675" s="60"/>
      <c r="G5675" s="62"/>
      <c r="H5675" s="60"/>
    </row>
    <row r="5676" spans="1:8">
      <c r="A5676" s="60"/>
      <c r="B5676" s="77"/>
      <c r="C5676" s="60"/>
      <c r="D5676" s="81"/>
      <c r="E5676" s="62"/>
      <c r="F5676" s="60"/>
      <c r="G5676" s="62"/>
      <c r="H5676" s="60"/>
    </row>
    <row r="5677" spans="1:8">
      <c r="A5677" s="60"/>
      <c r="B5677" s="77"/>
      <c r="C5677" s="60"/>
      <c r="D5677" s="81"/>
      <c r="E5677" s="62"/>
      <c r="F5677" s="60"/>
      <c r="G5677" s="62"/>
      <c r="H5677" s="60"/>
    </row>
    <row r="5678" spans="1:8">
      <c r="A5678" s="60"/>
      <c r="B5678" s="77"/>
      <c r="C5678" s="60"/>
      <c r="D5678" s="81"/>
      <c r="E5678" s="62"/>
      <c r="F5678" s="60"/>
      <c r="G5678" s="62"/>
      <c r="H5678" s="60"/>
    </row>
    <row r="5679" spans="1:8">
      <c r="A5679" s="60"/>
      <c r="B5679" s="77"/>
      <c r="C5679" s="60"/>
      <c r="D5679" s="81"/>
      <c r="E5679" s="62"/>
      <c r="F5679" s="60"/>
      <c r="G5679" s="62"/>
      <c r="H5679" s="60"/>
    </row>
    <row r="5680" spans="1:8">
      <c r="A5680" s="60"/>
      <c r="B5680" s="77"/>
      <c r="C5680" s="60"/>
      <c r="D5680" s="81"/>
      <c r="E5680" s="62"/>
      <c r="F5680" s="60"/>
      <c r="G5680" s="62"/>
      <c r="H5680" s="60"/>
    </row>
    <row r="5681" spans="1:8">
      <c r="A5681" s="60"/>
      <c r="B5681" s="77"/>
      <c r="C5681" s="60"/>
      <c r="D5681" s="81"/>
      <c r="E5681" s="62"/>
      <c r="F5681" s="60"/>
      <c r="G5681" s="62"/>
      <c r="H5681" s="60"/>
    </row>
    <row r="5682" spans="1:8">
      <c r="A5682" s="60"/>
      <c r="B5682" s="77"/>
      <c r="C5682" s="60"/>
      <c r="D5682" s="81"/>
      <c r="E5682" s="62"/>
      <c r="F5682" s="60"/>
      <c r="G5682" s="62"/>
      <c r="H5682" s="60"/>
    </row>
    <row r="5683" spans="1:8">
      <c r="A5683" s="60"/>
      <c r="B5683" s="77"/>
      <c r="C5683" s="60"/>
      <c r="D5683" s="81"/>
      <c r="E5683" s="62"/>
      <c r="F5683" s="60"/>
      <c r="G5683" s="62"/>
      <c r="H5683" s="60"/>
    </row>
    <row r="5684" spans="1:8">
      <c r="A5684" s="60"/>
      <c r="B5684" s="77"/>
      <c r="C5684" s="60"/>
      <c r="D5684" s="81"/>
      <c r="E5684" s="62"/>
      <c r="F5684" s="60"/>
      <c r="G5684" s="62"/>
      <c r="H5684" s="60"/>
    </row>
    <row r="5685" spans="1:8">
      <c r="A5685" s="60"/>
      <c r="B5685" s="77"/>
      <c r="C5685" s="60"/>
      <c r="D5685" s="81"/>
      <c r="E5685" s="62"/>
      <c r="F5685" s="60"/>
      <c r="G5685" s="62"/>
      <c r="H5685" s="60"/>
    </row>
    <row r="5686" spans="1:8">
      <c r="A5686" s="60"/>
      <c r="B5686" s="77"/>
      <c r="C5686" s="60"/>
      <c r="D5686" s="81"/>
      <c r="E5686" s="62"/>
      <c r="F5686" s="60"/>
      <c r="G5686" s="62"/>
      <c r="H5686" s="60"/>
    </row>
    <row r="5687" spans="1:8">
      <c r="A5687" s="60"/>
      <c r="B5687" s="77"/>
      <c r="C5687" s="60"/>
      <c r="D5687" s="81"/>
      <c r="E5687" s="62"/>
      <c r="F5687" s="60"/>
      <c r="G5687" s="62"/>
      <c r="H5687" s="60"/>
    </row>
    <row r="5688" spans="1:8">
      <c r="A5688" s="60"/>
      <c r="B5688" s="77"/>
      <c r="C5688" s="60"/>
      <c r="D5688" s="81"/>
      <c r="E5688" s="62"/>
      <c r="F5688" s="60"/>
      <c r="G5688" s="62"/>
      <c r="H5688" s="60"/>
    </row>
    <row r="5689" spans="1:8">
      <c r="A5689" s="60"/>
      <c r="B5689" s="77"/>
      <c r="C5689" s="60"/>
      <c r="D5689" s="81"/>
      <c r="E5689" s="62"/>
      <c r="F5689" s="60"/>
      <c r="G5689" s="62"/>
      <c r="H5689" s="60"/>
    </row>
    <row r="5690" spans="1:8">
      <c r="A5690" s="60"/>
      <c r="B5690" s="77"/>
      <c r="C5690" s="60"/>
      <c r="D5690" s="81"/>
      <c r="E5690" s="62"/>
      <c r="F5690" s="60"/>
      <c r="G5690" s="62"/>
      <c r="H5690" s="60"/>
    </row>
    <row r="5691" spans="1:8">
      <c r="A5691" s="60"/>
      <c r="B5691" s="77"/>
      <c r="C5691" s="60"/>
      <c r="D5691" s="81"/>
      <c r="E5691" s="62"/>
      <c r="F5691" s="60"/>
      <c r="G5691" s="62"/>
      <c r="H5691" s="60"/>
    </row>
    <row r="5692" spans="1:8">
      <c r="A5692" s="60"/>
      <c r="B5692" s="77"/>
      <c r="C5692" s="60"/>
      <c r="D5692" s="81"/>
      <c r="E5692" s="62"/>
      <c r="F5692" s="60"/>
      <c r="G5692" s="62"/>
      <c r="H5692" s="60"/>
    </row>
    <row r="5693" spans="1:8">
      <c r="A5693" s="60"/>
      <c r="B5693" s="77"/>
      <c r="C5693" s="60"/>
      <c r="D5693" s="81"/>
      <c r="E5693" s="62"/>
      <c r="F5693" s="60"/>
      <c r="G5693" s="62"/>
      <c r="H5693" s="60"/>
    </row>
    <row r="5694" spans="1:8">
      <c r="A5694" s="60"/>
      <c r="B5694" s="77"/>
      <c r="C5694" s="60"/>
      <c r="D5694" s="81"/>
      <c r="E5694" s="62"/>
      <c r="F5694" s="60"/>
      <c r="G5694" s="62"/>
      <c r="H5694" s="60"/>
    </row>
    <row r="5695" spans="1:8">
      <c r="A5695" s="60"/>
      <c r="B5695" s="77"/>
      <c r="C5695" s="60"/>
      <c r="D5695" s="81"/>
      <c r="E5695" s="62"/>
      <c r="F5695" s="60"/>
      <c r="G5695" s="62"/>
      <c r="H5695" s="60"/>
    </row>
    <row r="5696" spans="1:8">
      <c r="A5696" s="60"/>
      <c r="B5696" s="77"/>
      <c r="C5696" s="60"/>
      <c r="D5696" s="81"/>
      <c r="E5696" s="62"/>
      <c r="F5696" s="60"/>
      <c r="G5696" s="62"/>
      <c r="H5696" s="60"/>
    </row>
    <row r="5697" spans="1:8">
      <c r="A5697" s="60"/>
      <c r="B5697" s="77"/>
      <c r="C5697" s="60"/>
      <c r="D5697" s="81"/>
      <c r="E5697" s="62"/>
      <c r="F5697" s="60"/>
      <c r="G5697" s="62"/>
      <c r="H5697" s="60"/>
    </row>
    <row r="5698" spans="1:8">
      <c r="A5698" s="60"/>
      <c r="B5698" s="77"/>
      <c r="C5698" s="60"/>
      <c r="D5698" s="81"/>
      <c r="E5698" s="62"/>
      <c r="F5698" s="60"/>
      <c r="G5698" s="62"/>
      <c r="H5698" s="60"/>
    </row>
    <row r="5699" spans="1:8">
      <c r="A5699" s="60"/>
      <c r="B5699" s="77"/>
      <c r="C5699" s="60"/>
      <c r="D5699" s="81"/>
      <c r="E5699" s="62"/>
      <c r="F5699" s="60"/>
      <c r="G5699" s="62"/>
      <c r="H5699" s="60"/>
    </row>
    <row r="5700" spans="1:8">
      <c r="A5700" s="60"/>
      <c r="B5700" s="77"/>
      <c r="C5700" s="60"/>
      <c r="D5700" s="81"/>
      <c r="E5700" s="62"/>
      <c r="F5700" s="60"/>
      <c r="G5700" s="62"/>
      <c r="H5700" s="60"/>
    </row>
    <row r="5701" spans="1:8">
      <c r="A5701" s="60"/>
      <c r="B5701" s="77"/>
      <c r="C5701" s="60"/>
      <c r="D5701" s="81"/>
      <c r="E5701" s="62"/>
      <c r="F5701" s="60"/>
      <c r="G5701" s="62"/>
      <c r="H5701" s="60"/>
    </row>
    <row r="5702" spans="1:8">
      <c r="A5702" s="60"/>
      <c r="B5702" s="77"/>
      <c r="C5702" s="60"/>
      <c r="D5702" s="81"/>
      <c r="E5702" s="62"/>
      <c r="F5702" s="60"/>
      <c r="G5702" s="62"/>
      <c r="H5702" s="60"/>
    </row>
    <row r="5703" spans="1:8">
      <c r="A5703" s="60"/>
      <c r="B5703" s="77"/>
      <c r="C5703" s="60"/>
      <c r="D5703" s="81"/>
      <c r="E5703" s="62"/>
      <c r="F5703" s="60"/>
      <c r="G5703" s="62"/>
      <c r="H5703" s="60"/>
    </row>
    <row r="5704" spans="1:8">
      <c r="A5704" s="60"/>
      <c r="B5704" s="77"/>
      <c r="C5704" s="60"/>
      <c r="D5704" s="81"/>
      <c r="E5704" s="62"/>
      <c r="F5704" s="60"/>
      <c r="G5704" s="62"/>
      <c r="H5704" s="60"/>
    </row>
    <row r="5705" spans="1:8">
      <c r="A5705" s="60"/>
      <c r="B5705" s="77"/>
      <c r="C5705" s="60"/>
      <c r="D5705" s="81"/>
      <c r="E5705" s="62"/>
      <c r="F5705" s="60"/>
      <c r="G5705" s="62"/>
      <c r="H5705" s="60"/>
    </row>
    <row r="5706" spans="1:8">
      <c r="A5706" s="60"/>
      <c r="B5706" s="77"/>
      <c r="C5706" s="60"/>
      <c r="D5706" s="81"/>
      <c r="E5706" s="62"/>
      <c r="F5706" s="60"/>
      <c r="G5706" s="62"/>
      <c r="H5706" s="60"/>
    </row>
    <row r="5707" spans="1:8">
      <c r="A5707" s="60"/>
      <c r="B5707" s="77"/>
      <c r="C5707" s="60"/>
      <c r="D5707" s="81"/>
      <c r="E5707" s="62"/>
      <c r="F5707" s="60"/>
      <c r="G5707" s="62"/>
      <c r="H5707" s="60"/>
    </row>
    <row r="5708" spans="1:8">
      <c r="A5708" s="60"/>
      <c r="B5708" s="77"/>
      <c r="C5708" s="60"/>
      <c r="D5708" s="81"/>
      <c r="E5708" s="62"/>
      <c r="F5708" s="60"/>
      <c r="G5708" s="62"/>
      <c r="H5708" s="60"/>
    </row>
    <row r="5709" spans="1:8">
      <c r="A5709" s="60"/>
      <c r="B5709" s="77"/>
      <c r="C5709" s="60"/>
      <c r="D5709" s="81"/>
      <c r="E5709" s="62"/>
      <c r="F5709" s="60"/>
      <c r="G5709" s="62"/>
      <c r="H5709" s="60"/>
    </row>
    <row r="5710" spans="1:8">
      <c r="A5710" s="60"/>
      <c r="B5710" s="77"/>
      <c r="C5710" s="60"/>
      <c r="D5710" s="81"/>
      <c r="E5710" s="62"/>
      <c r="F5710" s="60"/>
      <c r="G5710" s="62"/>
      <c r="H5710" s="60"/>
    </row>
    <row r="5711" spans="1:8">
      <c r="A5711" s="60"/>
      <c r="B5711" s="77"/>
      <c r="C5711" s="60"/>
      <c r="D5711" s="81"/>
      <c r="E5711" s="62"/>
      <c r="F5711" s="60"/>
      <c r="G5711" s="62"/>
      <c r="H5711" s="60"/>
    </row>
    <row r="5712" spans="1:8">
      <c r="A5712" s="60"/>
      <c r="B5712" s="77"/>
      <c r="C5712" s="60"/>
      <c r="D5712" s="81"/>
      <c r="E5712" s="62"/>
      <c r="F5712" s="60"/>
      <c r="G5712" s="62"/>
      <c r="H5712" s="60"/>
    </row>
    <row r="5713" spans="1:8">
      <c r="A5713" s="60"/>
      <c r="B5713" s="77"/>
      <c r="C5713" s="60"/>
      <c r="D5713" s="81"/>
      <c r="E5713" s="62"/>
      <c r="F5713" s="60"/>
      <c r="G5713" s="62"/>
      <c r="H5713" s="60"/>
    </row>
    <row r="5714" spans="1:8">
      <c r="A5714" s="60"/>
      <c r="B5714" s="77"/>
      <c r="C5714" s="60"/>
      <c r="D5714" s="81"/>
      <c r="E5714" s="62"/>
      <c r="F5714" s="60"/>
      <c r="G5714" s="62"/>
      <c r="H5714" s="60"/>
    </row>
    <row r="5715" spans="1:8">
      <c r="A5715" s="60"/>
      <c r="B5715" s="77"/>
      <c r="C5715" s="60"/>
      <c r="D5715" s="81"/>
      <c r="E5715" s="62"/>
      <c r="F5715" s="60"/>
      <c r="G5715" s="62"/>
      <c r="H5715" s="60"/>
    </row>
    <row r="5716" spans="1:8">
      <c r="A5716" s="60"/>
      <c r="B5716" s="77"/>
      <c r="C5716" s="60"/>
      <c r="D5716" s="81"/>
      <c r="E5716" s="62"/>
      <c r="F5716" s="60"/>
      <c r="G5716" s="62"/>
      <c r="H5716" s="60"/>
    </row>
    <row r="5717" spans="1:8">
      <c r="A5717" s="60"/>
      <c r="B5717" s="77"/>
      <c r="C5717" s="60"/>
      <c r="D5717" s="81"/>
      <c r="E5717" s="62"/>
      <c r="F5717" s="60"/>
      <c r="G5717" s="62"/>
      <c r="H5717" s="60"/>
    </row>
    <row r="5718" spans="1:8">
      <c r="A5718" s="60"/>
      <c r="B5718" s="77"/>
      <c r="C5718" s="60"/>
      <c r="D5718" s="81"/>
      <c r="E5718" s="62"/>
      <c r="F5718" s="60"/>
      <c r="G5718" s="62"/>
      <c r="H5718" s="60"/>
    </row>
    <row r="5719" spans="1:8">
      <c r="A5719" s="60"/>
      <c r="B5719" s="77"/>
      <c r="C5719" s="60"/>
      <c r="D5719" s="81"/>
      <c r="E5719" s="62"/>
      <c r="F5719" s="60"/>
      <c r="G5719" s="62"/>
      <c r="H5719" s="60"/>
    </row>
    <row r="5720" spans="1:8">
      <c r="A5720" s="60"/>
      <c r="B5720" s="77"/>
      <c r="C5720" s="60"/>
      <c r="D5720" s="81"/>
      <c r="E5720" s="62"/>
      <c r="F5720" s="60"/>
      <c r="G5720" s="62"/>
      <c r="H5720" s="60"/>
    </row>
    <row r="5721" spans="1:8">
      <c r="A5721" s="60"/>
      <c r="B5721" s="77"/>
      <c r="C5721" s="60"/>
      <c r="D5721" s="81"/>
      <c r="E5721" s="62"/>
      <c r="F5721" s="60"/>
      <c r="G5721" s="62"/>
      <c r="H5721" s="60"/>
    </row>
    <row r="5722" spans="1:8">
      <c r="A5722" s="60"/>
      <c r="B5722" s="77"/>
      <c r="C5722" s="60"/>
      <c r="D5722" s="81"/>
      <c r="E5722" s="62"/>
      <c r="F5722" s="60"/>
      <c r="G5722" s="62"/>
      <c r="H5722" s="60"/>
    </row>
    <row r="5723" spans="1:8">
      <c r="A5723" s="60"/>
      <c r="B5723" s="77"/>
      <c r="C5723" s="60"/>
      <c r="D5723" s="81"/>
      <c r="E5723" s="62"/>
      <c r="F5723" s="60"/>
      <c r="G5723" s="62"/>
      <c r="H5723" s="60"/>
    </row>
    <row r="5724" spans="1:8">
      <c r="A5724" s="60"/>
      <c r="B5724" s="77"/>
      <c r="C5724" s="60"/>
      <c r="D5724" s="81"/>
      <c r="E5724" s="62"/>
      <c r="F5724" s="60"/>
      <c r="G5724" s="62"/>
      <c r="H5724" s="60"/>
    </row>
    <row r="5725" spans="1:8">
      <c r="A5725" s="60"/>
      <c r="B5725" s="77"/>
      <c r="C5725" s="60"/>
      <c r="D5725" s="81"/>
      <c r="E5725" s="62"/>
      <c r="F5725" s="60"/>
      <c r="G5725" s="62"/>
      <c r="H5725" s="60"/>
    </row>
    <row r="5726" spans="1:8">
      <c r="A5726" s="60"/>
      <c r="B5726" s="77"/>
      <c r="C5726" s="60"/>
      <c r="D5726" s="81"/>
      <c r="E5726" s="62"/>
      <c r="F5726" s="60"/>
      <c r="G5726" s="62"/>
      <c r="H5726" s="60"/>
    </row>
    <row r="5727" spans="1:8">
      <c r="A5727" s="60"/>
      <c r="B5727" s="77"/>
      <c r="C5727" s="60"/>
      <c r="D5727" s="81"/>
      <c r="E5727" s="62"/>
      <c r="F5727" s="60"/>
      <c r="G5727" s="62"/>
      <c r="H5727" s="60"/>
    </row>
    <row r="5728" spans="1:8">
      <c r="A5728" s="60"/>
      <c r="B5728" s="77"/>
      <c r="C5728" s="60"/>
      <c r="D5728" s="81"/>
      <c r="E5728" s="62"/>
      <c r="F5728" s="60"/>
      <c r="G5728" s="62"/>
      <c r="H5728" s="60"/>
    </row>
    <row r="5729" spans="1:8">
      <c r="A5729" s="60"/>
      <c r="B5729" s="77"/>
      <c r="C5729" s="60"/>
      <c r="D5729" s="81"/>
      <c r="E5729" s="62"/>
      <c r="F5729" s="60"/>
      <c r="G5729" s="62"/>
      <c r="H5729" s="60"/>
    </row>
    <row r="5730" spans="1:8">
      <c r="A5730" s="60"/>
      <c r="B5730" s="77"/>
      <c r="C5730" s="60"/>
      <c r="D5730" s="81"/>
      <c r="E5730" s="62"/>
      <c r="F5730" s="60"/>
      <c r="G5730" s="62"/>
      <c r="H5730" s="60"/>
    </row>
    <row r="5731" spans="1:8">
      <c r="A5731" s="60"/>
      <c r="B5731" s="77"/>
      <c r="C5731" s="60"/>
      <c r="D5731" s="81"/>
      <c r="E5731" s="62"/>
      <c r="F5731" s="60"/>
      <c r="G5731" s="62"/>
      <c r="H5731" s="60"/>
    </row>
    <row r="5732" spans="1:8">
      <c r="A5732" s="60"/>
      <c r="B5732" s="77"/>
      <c r="C5732" s="60"/>
      <c r="D5732" s="81"/>
      <c r="E5732" s="62"/>
      <c r="F5732" s="60"/>
      <c r="G5732" s="62"/>
      <c r="H5732" s="60"/>
    </row>
    <row r="5733" spans="1:8">
      <c r="A5733" s="60"/>
      <c r="B5733" s="77"/>
      <c r="C5733" s="60"/>
      <c r="D5733" s="81"/>
      <c r="E5733" s="62"/>
      <c r="F5733" s="60"/>
      <c r="G5733" s="62"/>
      <c r="H5733" s="60"/>
    </row>
    <row r="5734" spans="1:8">
      <c r="A5734" s="60"/>
      <c r="B5734" s="77"/>
      <c r="C5734" s="60"/>
      <c r="D5734" s="81"/>
      <c r="E5734" s="62"/>
      <c r="F5734" s="60"/>
      <c r="G5734" s="62"/>
      <c r="H5734" s="60"/>
    </row>
    <row r="5735" spans="1:8">
      <c r="A5735" s="60"/>
      <c r="B5735" s="77"/>
      <c r="C5735" s="60"/>
      <c r="D5735" s="81"/>
      <c r="E5735" s="62"/>
      <c r="F5735" s="60"/>
      <c r="G5735" s="62"/>
      <c r="H5735" s="60"/>
    </row>
    <row r="5736" spans="1:8">
      <c r="A5736" s="60"/>
      <c r="B5736" s="77"/>
      <c r="C5736" s="60"/>
      <c r="D5736" s="81"/>
      <c r="E5736" s="62"/>
      <c r="F5736" s="60"/>
      <c r="G5736" s="62"/>
      <c r="H5736" s="60"/>
    </row>
    <row r="5737" spans="1:8">
      <c r="A5737" s="60"/>
      <c r="B5737" s="77"/>
      <c r="C5737" s="60"/>
      <c r="D5737" s="81"/>
      <c r="E5737" s="62"/>
      <c r="F5737" s="60"/>
      <c r="G5737" s="62"/>
      <c r="H5737" s="60"/>
    </row>
    <row r="5738" spans="1:8">
      <c r="A5738" s="60"/>
      <c r="B5738" s="77"/>
      <c r="C5738" s="60"/>
      <c r="D5738" s="81"/>
      <c r="E5738" s="62"/>
      <c r="F5738" s="60"/>
      <c r="G5738" s="62"/>
      <c r="H5738" s="60"/>
    </row>
    <row r="5739" spans="1:8">
      <c r="A5739" s="60"/>
      <c r="B5739" s="77"/>
      <c r="C5739" s="60"/>
      <c r="D5739" s="81"/>
      <c r="E5739" s="62"/>
      <c r="F5739" s="60"/>
      <c r="G5739" s="62"/>
      <c r="H5739" s="60"/>
    </row>
    <row r="5740" spans="1:8">
      <c r="A5740" s="60"/>
      <c r="B5740" s="77"/>
      <c r="C5740" s="60"/>
      <c r="D5740" s="81"/>
      <c r="E5740" s="62"/>
      <c r="F5740" s="60"/>
      <c r="G5740" s="62"/>
      <c r="H5740" s="60"/>
    </row>
    <row r="5741" spans="1:8">
      <c r="A5741" s="60"/>
      <c r="B5741" s="77"/>
      <c r="C5741" s="60"/>
      <c r="D5741" s="81"/>
      <c r="E5741" s="62"/>
      <c r="F5741" s="60"/>
      <c r="G5741" s="62"/>
      <c r="H5741" s="60"/>
    </row>
    <row r="5742" spans="1:8">
      <c r="A5742" s="60"/>
      <c r="B5742" s="77"/>
      <c r="C5742" s="60"/>
      <c r="D5742" s="81"/>
      <c r="E5742" s="62"/>
      <c r="F5742" s="60"/>
      <c r="G5742" s="62"/>
      <c r="H5742" s="60"/>
    </row>
    <row r="5743" spans="1:8">
      <c r="A5743" s="60"/>
      <c r="B5743" s="77"/>
      <c r="C5743" s="60"/>
      <c r="D5743" s="81"/>
      <c r="E5743" s="62"/>
      <c r="F5743" s="60"/>
      <c r="G5743" s="62"/>
      <c r="H5743" s="60"/>
    </row>
    <row r="5744" spans="1:8">
      <c r="A5744" s="60"/>
      <c r="B5744" s="77"/>
      <c r="C5744" s="60"/>
      <c r="D5744" s="81"/>
      <c r="E5744" s="62"/>
      <c r="F5744" s="60"/>
      <c r="G5744" s="62"/>
      <c r="H5744" s="60"/>
    </row>
    <row r="5745" spans="1:8">
      <c r="A5745" s="60"/>
      <c r="B5745" s="77"/>
      <c r="C5745" s="60"/>
      <c r="D5745" s="81"/>
      <c r="E5745" s="62"/>
      <c r="F5745" s="60"/>
      <c r="G5745" s="62"/>
      <c r="H5745" s="60"/>
    </row>
    <row r="5746" spans="1:8">
      <c r="A5746" s="60"/>
      <c r="B5746" s="77"/>
      <c r="C5746" s="60"/>
      <c r="D5746" s="81"/>
      <c r="E5746" s="62"/>
      <c r="F5746" s="60"/>
      <c r="G5746" s="62"/>
      <c r="H5746" s="60"/>
    </row>
    <row r="5747" spans="1:8">
      <c r="A5747" s="60"/>
      <c r="B5747" s="77"/>
      <c r="C5747" s="60"/>
      <c r="D5747" s="81"/>
      <c r="E5747" s="62"/>
      <c r="F5747" s="60"/>
      <c r="G5747" s="62"/>
      <c r="H5747" s="60"/>
    </row>
    <row r="5748" spans="1:8">
      <c r="A5748" s="60"/>
      <c r="B5748" s="77"/>
      <c r="C5748" s="60"/>
      <c r="D5748" s="81"/>
      <c r="E5748" s="62"/>
      <c r="F5748" s="60"/>
      <c r="G5748" s="62"/>
      <c r="H5748" s="60"/>
    </row>
    <row r="5749" spans="1:8">
      <c r="A5749" s="60"/>
      <c r="B5749" s="77"/>
      <c r="C5749" s="60"/>
      <c r="D5749" s="81"/>
      <c r="E5749" s="62"/>
      <c r="F5749" s="60"/>
      <c r="G5749" s="62"/>
      <c r="H5749" s="60"/>
    </row>
    <row r="5750" spans="1:8">
      <c r="A5750" s="60"/>
      <c r="B5750" s="77"/>
      <c r="C5750" s="60"/>
      <c r="D5750" s="81"/>
      <c r="E5750" s="62"/>
      <c r="F5750" s="60"/>
      <c r="G5750" s="62"/>
      <c r="H5750" s="60"/>
    </row>
    <row r="5751" spans="1:8">
      <c r="A5751" s="60"/>
      <c r="B5751" s="77"/>
      <c r="C5751" s="60"/>
      <c r="D5751" s="81"/>
      <c r="E5751" s="62"/>
      <c r="F5751" s="60"/>
      <c r="G5751" s="62"/>
      <c r="H5751" s="60"/>
    </row>
    <row r="5752" spans="1:8">
      <c r="A5752" s="60"/>
      <c r="B5752" s="77"/>
      <c r="C5752" s="60"/>
      <c r="D5752" s="81"/>
      <c r="E5752" s="62"/>
      <c r="F5752" s="60"/>
      <c r="G5752" s="62"/>
      <c r="H5752" s="60"/>
    </row>
    <row r="5753" spans="1:8">
      <c r="A5753" s="60"/>
      <c r="B5753" s="77"/>
      <c r="C5753" s="60"/>
      <c r="D5753" s="81"/>
      <c r="E5753" s="62"/>
      <c r="F5753" s="60"/>
      <c r="G5753" s="62"/>
      <c r="H5753" s="60"/>
    </row>
    <row r="5754" spans="1:8">
      <c r="A5754" s="60"/>
      <c r="B5754" s="77"/>
      <c r="C5754" s="60"/>
      <c r="D5754" s="81"/>
      <c r="E5754" s="62"/>
      <c r="F5754" s="60"/>
      <c r="G5754" s="62"/>
      <c r="H5754" s="60"/>
    </row>
    <row r="5755" spans="1:8">
      <c r="A5755" s="60"/>
      <c r="B5755" s="77"/>
      <c r="C5755" s="60"/>
      <c r="D5755" s="81"/>
      <c r="E5755" s="62"/>
      <c r="F5755" s="60"/>
      <c r="G5755" s="62"/>
      <c r="H5755" s="60"/>
    </row>
    <row r="5756" spans="1:8">
      <c r="A5756" s="60"/>
      <c r="B5756" s="77"/>
      <c r="C5756" s="60"/>
      <c r="D5756" s="81"/>
      <c r="E5756" s="62"/>
      <c r="F5756" s="60"/>
      <c r="G5756" s="62"/>
      <c r="H5756" s="60"/>
    </row>
    <row r="5757" spans="1:8">
      <c r="A5757" s="60"/>
      <c r="B5757" s="77"/>
      <c r="C5757" s="60"/>
      <c r="D5757" s="81"/>
      <c r="E5757" s="62"/>
      <c r="F5757" s="60"/>
      <c r="G5757" s="62"/>
      <c r="H5757" s="60"/>
    </row>
    <row r="5758" spans="1:8">
      <c r="A5758" s="60"/>
      <c r="B5758" s="77"/>
      <c r="C5758" s="60"/>
      <c r="D5758" s="81"/>
      <c r="E5758" s="62"/>
      <c r="F5758" s="60"/>
      <c r="G5758" s="62"/>
      <c r="H5758" s="60"/>
    </row>
    <row r="5759" spans="1:8">
      <c r="A5759" s="60"/>
      <c r="B5759" s="77"/>
      <c r="C5759" s="60"/>
      <c r="D5759" s="81"/>
      <c r="E5759" s="62"/>
      <c r="F5759" s="60"/>
      <c r="G5759" s="62"/>
      <c r="H5759" s="60"/>
    </row>
    <row r="5760" spans="1:8">
      <c r="A5760" s="60"/>
      <c r="B5760" s="77"/>
      <c r="C5760" s="60"/>
      <c r="D5760" s="81"/>
      <c r="E5760" s="62"/>
      <c r="F5760" s="60"/>
      <c r="G5760" s="62"/>
      <c r="H5760" s="60"/>
    </row>
    <row r="5761" spans="1:8">
      <c r="A5761" s="60"/>
      <c r="B5761" s="77"/>
      <c r="C5761" s="60"/>
      <c r="D5761" s="81"/>
      <c r="E5761" s="62"/>
      <c r="F5761" s="60"/>
      <c r="G5761" s="62"/>
      <c r="H5761" s="60"/>
    </row>
    <row r="5762" spans="1:8">
      <c r="A5762" s="60"/>
      <c r="B5762" s="77"/>
      <c r="C5762" s="60"/>
      <c r="D5762" s="81"/>
      <c r="E5762" s="62"/>
      <c r="F5762" s="60"/>
      <c r="G5762" s="62"/>
      <c r="H5762" s="60"/>
    </row>
    <row r="5763" spans="1:8">
      <c r="A5763" s="60"/>
      <c r="B5763" s="77"/>
      <c r="C5763" s="60"/>
      <c r="D5763" s="81"/>
      <c r="E5763" s="62"/>
      <c r="F5763" s="60"/>
      <c r="G5763" s="62"/>
      <c r="H5763" s="60"/>
    </row>
    <row r="5764" spans="1:8">
      <c r="A5764" s="60"/>
      <c r="B5764" s="77"/>
      <c r="C5764" s="60"/>
      <c r="D5764" s="81"/>
      <c r="E5764" s="62"/>
      <c r="F5764" s="60"/>
      <c r="G5764" s="62"/>
      <c r="H5764" s="60"/>
    </row>
    <row r="5765" spans="1:8">
      <c r="A5765" s="60"/>
      <c r="B5765" s="77"/>
      <c r="C5765" s="60"/>
      <c r="D5765" s="81"/>
      <c r="E5765" s="62"/>
      <c r="F5765" s="60"/>
      <c r="G5765" s="62"/>
      <c r="H5765" s="60"/>
    </row>
    <row r="5766" spans="1:8">
      <c r="A5766" s="60"/>
      <c r="B5766" s="77"/>
      <c r="C5766" s="60"/>
      <c r="D5766" s="81"/>
      <c r="E5766" s="62"/>
      <c r="F5766" s="60"/>
      <c r="G5766" s="62"/>
      <c r="H5766" s="60"/>
    </row>
    <row r="5767" spans="1:8">
      <c r="A5767" s="60"/>
      <c r="B5767" s="77"/>
      <c r="C5767" s="60"/>
      <c r="D5767" s="81"/>
      <c r="E5767" s="62"/>
      <c r="F5767" s="60"/>
      <c r="G5767" s="62"/>
      <c r="H5767" s="60"/>
    </row>
    <row r="5768" spans="1:8">
      <c r="A5768" s="60"/>
      <c r="B5768" s="77"/>
      <c r="C5768" s="60"/>
      <c r="D5768" s="81"/>
      <c r="E5768" s="62"/>
      <c r="F5768" s="60"/>
      <c r="G5768" s="62"/>
      <c r="H5768" s="60"/>
    </row>
    <row r="5769" spans="1:8">
      <c r="A5769" s="60"/>
      <c r="B5769" s="77"/>
      <c r="C5769" s="60"/>
      <c r="D5769" s="81"/>
      <c r="E5769" s="62"/>
      <c r="F5769" s="60"/>
      <c r="G5769" s="62"/>
      <c r="H5769" s="60"/>
    </row>
    <row r="5770" spans="1:8">
      <c r="A5770" s="60"/>
      <c r="B5770" s="77"/>
      <c r="C5770" s="60"/>
      <c r="D5770" s="81"/>
      <c r="E5770" s="62"/>
      <c r="F5770" s="60"/>
      <c r="G5770" s="62"/>
      <c r="H5770" s="60"/>
    </row>
    <row r="5771" spans="1:8">
      <c r="A5771" s="60"/>
      <c r="B5771" s="77"/>
      <c r="C5771" s="60"/>
      <c r="D5771" s="81"/>
      <c r="E5771" s="62"/>
      <c r="F5771" s="60"/>
      <c r="G5771" s="62"/>
      <c r="H5771" s="60"/>
    </row>
    <row r="5772" spans="1:8">
      <c r="A5772" s="60"/>
      <c r="B5772" s="77"/>
      <c r="C5772" s="60"/>
      <c r="D5772" s="81"/>
      <c r="E5772" s="62"/>
      <c r="F5772" s="60"/>
      <c r="G5772" s="62"/>
      <c r="H5772" s="60"/>
    </row>
    <row r="5773" spans="1:8">
      <c r="A5773" s="60"/>
      <c r="B5773" s="77"/>
      <c r="C5773" s="60"/>
      <c r="D5773" s="81"/>
      <c r="E5773" s="62"/>
      <c r="F5773" s="60"/>
      <c r="G5773" s="62"/>
      <c r="H5773" s="60"/>
    </row>
    <row r="5774" spans="1:8">
      <c r="A5774" s="60"/>
      <c r="B5774" s="77"/>
      <c r="C5774" s="60"/>
      <c r="D5774" s="81"/>
      <c r="E5774" s="62"/>
      <c r="F5774" s="60"/>
      <c r="G5774" s="62"/>
      <c r="H5774" s="60"/>
    </row>
    <row r="5775" spans="1:8">
      <c r="A5775" s="60"/>
      <c r="B5775" s="77"/>
      <c r="C5775" s="60"/>
      <c r="D5775" s="81"/>
      <c r="E5775" s="62"/>
      <c r="F5775" s="60"/>
      <c r="G5775" s="62"/>
      <c r="H5775" s="60"/>
    </row>
    <row r="5776" spans="1:8">
      <c r="A5776" s="60"/>
      <c r="B5776" s="77"/>
      <c r="C5776" s="60"/>
      <c r="D5776" s="81"/>
      <c r="E5776" s="62"/>
      <c r="F5776" s="60"/>
      <c r="G5776" s="62"/>
      <c r="H5776" s="60"/>
    </row>
    <row r="5777" spans="1:8">
      <c r="A5777" s="60"/>
      <c r="B5777" s="77"/>
      <c r="C5777" s="60"/>
      <c r="D5777" s="81"/>
      <c r="E5777" s="62"/>
      <c r="F5777" s="60"/>
      <c r="G5777" s="62"/>
      <c r="H5777" s="60"/>
    </row>
    <row r="5778" spans="1:8">
      <c r="A5778" s="60"/>
      <c r="B5778" s="77"/>
      <c r="C5778" s="60"/>
      <c r="D5778" s="81"/>
      <c r="E5778" s="62"/>
      <c r="F5778" s="60"/>
      <c r="G5778" s="62"/>
      <c r="H5778" s="60"/>
    </row>
    <row r="5779" spans="1:8">
      <c r="A5779" s="60"/>
      <c r="B5779" s="77"/>
      <c r="C5779" s="60"/>
      <c r="D5779" s="81"/>
      <c r="E5779" s="62"/>
      <c r="F5779" s="60"/>
      <c r="G5779" s="62"/>
      <c r="H5779" s="60"/>
    </row>
    <row r="5780" spans="1:8">
      <c r="A5780" s="60"/>
      <c r="B5780" s="77"/>
      <c r="C5780" s="60"/>
      <c r="D5780" s="81"/>
      <c r="E5780" s="62"/>
      <c r="F5780" s="60"/>
      <c r="G5780" s="62"/>
      <c r="H5780" s="60"/>
    </row>
    <row r="5781" spans="1:8">
      <c r="A5781" s="60"/>
      <c r="B5781" s="77"/>
      <c r="C5781" s="60"/>
      <c r="D5781" s="81"/>
      <c r="E5781" s="62"/>
      <c r="F5781" s="60"/>
      <c r="G5781" s="62"/>
      <c r="H5781" s="60"/>
    </row>
    <row r="5782" spans="1:8">
      <c r="A5782" s="60"/>
      <c r="B5782" s="77"/>
      <c r="C5782" s="60"/>
      <c r="D5782" s="81"/>
      <c r="E5782" s="62"/>
      <c r="F5782" s="60"/>
      <c r="G5782" s="62"/>
      <c r="H5782" s="60"/>
    </row>
    <row r="5783" spans="1:8">
      <c r="A5783" s="60"/>
      <c r="B5783" s="77"/>
      <c r="C5783" s="60"/>
      <c r="D5783" s="81"/>
      <c r="E5783" s="62"/>
      <c r="F5783" s="60"/>
      <c r="G5783" s="62"/>
      <c r="H5783" s="60"/>
    </row>
    <row r="5784" spans="1:8">
      <c r="A5784" s="60"/>
      <c r="B5784" s="77"/>
      <c r="C5784" s="60"/>
      <c r="D5784" s="81"/>
      <c r="E5784" s="62"/>
      <c r="F5784" s="60"/>
      <c r="G5784" s="62"/>
      <c r="H5784" s="60"/>
    </row>
    <row r="5785" spans="1:8">
      <c r="A5785" s="60"/>
      <c r="B5785" s="77"/>
      <c r="C5785" s="60"/>
      <c r="D5785" s="81"/>
      <c r="E5785" s="62"/>
      <c r="F5785" s="60"/>
      <c r="G5785" s="62"/>
      <c r="H5785" s="60"/>
    </row>
    <row r="5786" spans="1:8">
      <c r="A5786" s="60"/>
      <c r="B5786" s="77"/>
      <c r="C5786" s="60"/>
      <c r="D5786" s="81"/>
      <c r="E5786" s="62"/>
      <c r="F5786" s="60"/>
      <c r="G5786" s="62"/>
      <c r="H5786" s="60"/>
    </row>
    <row r="5787" spans="1:8">
      <c r="A5787" s="60"/>
      <c r="B5787" s="77"/>
      <c r="C5787" s="60"/>
      <c r="D5787" s="81"/>
      <c r="E5787" s="62"/>
      <c r="F5787" s="60"/>
      <c r="G5787" s="62"/>
      <c r="H5787" s="60"/>
    </row>
    <row r="5788" spans="1:8">
      <c r="A5788" s="60"/>
      <c r="B5788" s="77"/>
      <c r="C5788" s="60"/>
      <c r="D5788" s="81"/>
      <c r="E5788" s="62"/>
      <c r="F5788" s="60"/>
      <c r="G5788" s="62"/>
      <c r="H5788" s="60"/>
    </row>
    <row r="5789" spans="1:8">
      <c r="A5789" s="60"/>
      <c r="B5789" s="77"/>
      <c r="C5789" s="60"/>
      <c r="D5789" s="81"/>
      <c r="E5789" s="62"/>
      <c r="F5789" s="60"/>
      <c r="G5789" s="62"/>
      <c r="H5789" s="60"/>
    </row>
    <row r="5790" spans="1:8">
      <c r="A5790" s="60"/>
      <c r="B5790" s="77"/>
      <c r="C5790" s="60"/>
      <c r="D5790" s="81"/>
      <c r="E5790" s="62"/>
      <c r="F5790" s="60"/>
      <c r="G5790" s="62"/>
      <c r="H5790" s="60"/>
    </row>
    <row r="5791" spans="1:8">
      <c r="A5791" s="60"/>
      <c r="B5791" s="77"/>
      <c r="C5791" s="60"/>
      <c r="D5791" s="81"/>
      <c r="E5791" s="62"/>
      <c r="F5791" s="60"/>
      <c r="G5791" s="62"/>
      <c r="H5791" s="60"/>
    </row>
    <row r="5792" spans="1:8">
      <c r="A5792" s="60"/>
      <c r="B5792" s="77"/>
      <c r="C5792" s="60"/>
      <c r="D5792" s="81"/>
      <c r="E5792" s="62"/>
      <c r="F5792" s="60"/>
      <c r="G5792" s="62"/>
      <c r="H5792" s="60"/>
    </row>
    <row r="5793" spans="1:8">
      <c r="A5793" s="60"/>
      <c r="B5793" s="77"/>
      <c r="C5793" s="60"/>
      <c r="D5793" s="81"/>
      <c r="E5793" s="62"/>
      <c r="F5793" s="60"/>
      <c r="G5793" s="62"/>
      <c r="H5793" s="60"/>
    </row>
    <row r="5794" spans="1:8">
      <c r="A5794" s="60"/>
      <c r="B5794" s="77"/>
      <c r="C5794" s="60"/>
      <c r="D5794" s="81"/>
      <c r="E5794" s="62"/>
      <c r="F5794" s="60"/>
      <c r="G5794" s="62"/>
      <c r="H5794" s="60"/>
    </row>
    <row r="5795" spans="1:8">
      <c r="A5795" s="60"/>
      <c r="B5795" s="77"/>
      <c r="C5795" s="60"/>
      <c r="D5795" s="81"/>
      <c r="E5795" s="62"/>
      <c r="F5795" s="60"/>
      <c r="G5795" s="62"/>
      <c r="H5795" s="60"/>
    </row>
    <row r="5796" spans="1:8">
      <c r="A5796" s="60"/>
      <c r="B5796" s="77"/>
      <c r="C5796" s="60"/>
      <c r="D5796" s="81"/>
      <c r="E5796" s="62"/>
      <c r="F5796" s="60"/>
      <c r="G5796" s="62"/>
      <c r="H5796" s="60"/>
    </row>
    <row r="5797" spans="1:8">
      <c r="A5797" s="60"/>
      <c r="B5797" s="77"/>
      <c r="C5797" s="60"/>
      <c r="D5797" s="81"/>
      <c r="E5797" s="62"/>
      <c r="F5797" s="60"/>
      <c r="G5797" s="62"/>
      <c r="H5797" s="60"/>
    </row>
    <row r="5798" spans="1:8">
      <c r="A5798" s="60"/>
      <c r="B5798" s="77"/>
      <c r="C5798" s="60"/>
      <c r="D5798" s="81"/>
      <c r="E5798" s="62"/>
      <c r="F5798" s="60"/>
      <c r="G5798" s="62"/>
      <c r="H5798" s="60"/>
    </row>
    <row r="5799" spans="1:8">
      <c r="A5799" s="60"/>
      <c r="B5799" s="77"/>
      <c r="C5799" s="60"/>
      <c r="D5799" s="81"/>
      <c r="E5799" s="62"/>
      <c r="F5799" s="60"/>
      <c r="G5799" s="62"/>
      <c r="H5799" s="60"/>
    </row>
    <row r="5800" spans="1:8">
      <c r="A5800" s="60"/>
      <c r="B5800" s="77"/>
      <c r="C5800" s="60"/>
      <c r="D5800" s="81"/>
      <c r="E5800" s="62"/>
      <c r="F5800" s="60"/>
      <c r="G5800" s="62"/>
      <c r="H5800" s="60"/>
    </row>
    <row r="5801" spans="1:8">
      <c r="A5801" s="60"/>
      <c r="B5801" s="77"/>
      <c r="C5801" s="60"/>
      <c r="D5801" s="81"/>
      <c r="E5801" s="62"/>
      <c r="F5801" s="60"/>
      <c r="G5801" s="62"/>
      <c r="H5801" s="60"/>
    </row>
    <row r="5802" spans="1:8">
      <c r="A5802" s="60"/>
      <c r="B5802" s="77"/>
      <c r="C5802" s="60"/>
      <c r="D5802" s="81"/>
      <c r="E5802" s="62"/>
      <c r="F5802" s="60"/>
      <c r="G5802" s="62"/>
      <c r="H5802" s="60"/>
    </row>
    <row r="5803" spans="1:8">
      <c r="A5803" s="60"/>
      <c r="B5803" s="77"/>
      <c r="C5803" s="60"/>
      <c r="D5803" s="81"/>
      <c r="E5803" s="62"/>
      <c r="F5803" s="60"/>
      <c r="G5803" s="62"/>
      <c r="H5803" s="60"/>
    </row>
    <row r="5804" spans="1:8">
      <c r="A5804" s="60"/>
      <c r="B5804" s="77"/>
      <c r="C5804" s="60"/>
      <c r="D5804" s="81"/>
      <c r="E5804" s="62"/>
      <c r="F5804" s="60"/>
      <c r="G5804" s="62"/>
      <c r="H5804" s="60"/>
    </row>
    <row r="5805" spans="1:8">
      <c r="A5805" s="60"/>
      <c r="B5805" s="77"/>
      <c r="C5805" s="60"/>
      <c r="D5805" s="81"/>
      <c r="E5805" s="62"/>
      <c r="F5805" s="60"/>
      <c r="G5805" s="62"/>
      <c r="H5805" s="60"/>
    </row>
    <row r="5806" spans="1:8">
      <c r="A5806" s="60"/>
      <c r="B5806" s="77"/>
      <c r="C5806" s="60"/>
      <c r="D5806" s="81"/>
      <c r="E5806" s="62"/>
      <c r="F5806" s="60"/>
      <c r="G5806" s="62"/>
      <c r="H5806" s="60"/>
    </row>
    <row r="5807" spans="1:8">
      <c r="A5807" s="60"/>
      <c r="B5807" s="77"/>
      <c r="C5807" s="60"/>
      <c r="D5807" s="81"/>
      <c r="E5807" s="62"/>
      <c r="F5807" s="60"/>
      <c r="G5807" s="62"/>
      <c r="H5807" s="60"/>
    </row>
    <row r="5808" spans="1:8">
      <c r="A5808" s="60"/>
      <c r="B5808" s="77"/>
      <c r="C5808" s="60"/>
      <c r="D5808" s="81"/>
      <c r="E5808" s="62"/>
      <c r="F5808" s="60"/>
      <c r="G5808" s="62"/>
      <c r="H5808" s="60"/>
    </row>
    <row r="5809" spans="1:8">
      <c r="A5809" s="60"/>
      <c r="B5809" s="77"/>
      <c r="C5809" s="60"/>
      <c r="D5809" s="81"/>
      <c r="E5809" s="62"/>
      <c r="F5809" s="60"/>
      <c r="G5809" s="62"/>
      <c r="H5809" s="60"/>
    </row>
    <row r="5810" spans="1:8">
      <c r="A5810" s="60"/>
      <c r="B5810" s="77"/>
      <c r="C5810" s="60"/>
      <c r="D5810" s="81"/>
      <c r="E5810" s="62"/>
      <c r="F5810" s="60"/>
      <c r="G5810" s="62"/>
      <c r="H5810" s="60"/>
    </row>
    <row r="5811" spans="1:8">
      <c r="A5811" s="60"/>
      <c r="B5811" s="77"/>
      <c r="C5811" s="60"/>
      <c r="D5811" s="81"/>
      <c r="E5811" s="62"/>
      <c r="F5811" s="60"/>
      <c r="G5811" s="62"/>
      <c r="H5811" s="60"/>
    </row>
    <row r="5812" spans="1:8">
      <c r="A5812" s="60"/>
      <c r="B5812" s="77"/>
      <c r="C5812" s="60"/>
      <c r="D5812" s="81"/>
      <c r="E5812" s="62"/>
      <c r="F5812" s="60"/>
      <c r="G5812" s="62"/>
      <c r="H5812" s="60"/>
    </row>
    <row r="5813" spans="1:8">
      <c r="A5813" s="60"/>
      <c r="B5813" s="77"/>
      <c r="C5813" s="60"/>
      <c r="D5813" s="81"/>
      <c r="E5813" s="62"/>
      <c r="F5813" s="60"/>
      <c r="G5813" s="62"/>
      <c r="H5813" s="60"/>
    </row>
    <row r="5814" spans="1:8">
      <c r="A5814" s="60"/>
      <c r="B5814" s="77"/>
      <c r="C5814" s="60"/>
      <c r="D5814" s="81"/>
      <c r="E5814" s="62"/>
      <c r="F5814" s="60"/>
      <c r="G5814" s="62"/>
      <c r="H5814" s="60"/>
    </row>
    <row r="5815" spans="1:8">
      <c r="A5815" s="60"/>
      <c r="B5815" s="77"/>
      <c r="C5815" s="60"/>
      <c r="D5815" s="81"/>
      <c r="E5815" s="62"/>
      <c r="F5815" s="60"/>
      <c r="G5815" s="62"/>
      <c r="H5815" s="60"/>
    </row>
    <row r="5816" spans="1:8">
      <c r="A5816" s="60"/>
      <c r="B5816" s="77"/>
      <c r="C5816" s="60"/>
      <c r="D5816" s="81"/>
      <c r="E5816" s="62"/>
      <c r="F5816" s="60"/>
      <c r="G5816" s="62"/>
      <c r="H5816" s="60"/>
    </row>
    <row r="5817" spans="1:8">
      <c r="A5817" s="60"/>
      <c r="B5817" s="77"/>
      <c r="C5817" s="60"/>
      <c r="D5817" s="81"/>
      <c r="E5817" s="62"/>
      <c r="F5817" s="60"/>
      <c r="G5817" s="62"/>
      <c r="H5817" s="60"/>
    </row>
    <row r="5818" spans="1:8">
      <c r="A5818" s="60"/>
      <c r="B5818" s="77"/>
      <c r="C5818" s="60"/>
      <c r="D5818" s="81"/>
      <c r="E5818" s="62"/>
      <c r="F5818" s="60"/>
      <c r="G5818" s="62"/>
      <c r="H5818" s="60"/>
    </row>
    <row r="5819" spans="1:8">
      <c r="A5819" s="60"/>
      <c r="B5819" s="77"/>
      <c r="C5819" s="60"/>
      <c r="D5819" s="81"/>
      <c r="E5819" s="62"/>
      <c r="F5819" s="60"/>
      <c r="G5819" s="62"/>
      <c r="H5819" s="60"/>
    </row>
    <row r="5820" spans="1:8">
      <c r="A5820" s="60"/>
      <c r="B5820" s="77"/>
      <c r="C5820" s="60"/>
      <c r="D5820" s="81"/>
      <c r="E5820" s="62"/>
      <c r="F5820" s="60"/>
      <c r="G5820" s="62"/>
      <c r="H5820" s="60"/>
    </row>
    <row r="5821" spans="1:8">
      <c r="A5821" s="60"/>
      <c r="B5821" s="77"/>
      <c r="C5821" s="60"/>
      <c r="D5821" s="81"/>
      <c r="E5821" s="62"/>
      <c r="F5821" s="60"/>
      <c r="G5821" s="62"/>
      <c r="H5821" s="60"/>
    </row>
    <row r="5822" spans="1:8">
      <c r="A5822" s="60"/>
      <c r="B5822" s="77"/>
      <c r="C5822" s="60"/>
      <c r="D5822" s="81"/>
      <c r="E5822" s="62"/>
      <c r="F5822" s="60"/>
      <c r="G5822" s="62"/>
      <c r="H5822" s="60"/>
    </row>
    <row r="5823" spans="1:8">
      <c r="A5823" s="60"/>
      <c r="B5823" s="77"/>
      <c r="C5823" s="60"/>
      <c r="D5823" s="81"/>
      <c r="E5823" s="62"/>
      <c r="F5823" s="60"/>
      <c r="G5823" s="62"/>
      <c r="H5823" s="60"/>
    </row>
    <row r="5824" spans="1:8">
      <c r="A5824" s="60"/>
      <c r="B5824" s="77"/>
      <c r="C5824" s="60"/>
      <c r="D5824" s="81"/>
      <c r="E5824" s="62"/>
      <c r="F5824" s="60"/>
      <c r="G5824" s="62"/>
      <c r="H5824" s="60"/>
    </row>
    <row r="5825" spans="1:8">
      <c r="A5825" s="60"/>
      <c r="B5825" s="77"/>
      <c r="C5825" s="60"/>
      <c r="D5825" s="81"/>
      <c r="E5825" s="62"/>
      <c r="F5825" s="60"/>
      <c r="G5825" s="62"/>
      <c r="H5825" s="60"/>
    </row>
    <row r="5826" spans="1:8">
      <c r="A5826" s="60"/>
      <c r="B5826" s="77"/>
      <c r="C5826" s="60"/>
      <c r="D5826" s="81"/>
      <c r="E5826" s="62"/>
      <c r="F5826" s="60"/>
      <c r="G5826" s="62"/>
      <c r="H5826" s="60"/>
    </row>
    <row r="5827" spans="1:8">
      <c r="A5827" s="60"/>
      <c r="B5827" s="77"/>
      <c r="C5827" s="60"/>
      <c r="D5827" s="81"/>
      <c r="E5827" s="62"/>
      <c r="F5827" s="60"/>
      <c r="G5827" s="62"/>
      <c r="H5827" s="60"/>
    </row>
    <row r="5828" spans="1:8">
      <c r="A5828" s="60"/>
      <c r="B5828" s="77"/>
      <c r="C5828" s="60"/>
      <c r="D5828" s="81"/>
      <c r="E5828" s="62"/>
      <c r="F5828" s="60"/>
      <c r="G5828" s="62"/>
      <c r="H5828" s="60"/>
    </row>
    <row r="5829" spans="1:8">
      <c r="A5829" s="60"/>
      <c r="B5829" s="77"/>
      <c r="C5829" s="60"/>
      <c r="D5829" s="81"/>
      <c r="E5829" s="62"/>
      <c r="F5829" s="60"/>
      <c r="G5829" s="62"/>
      <c r="H5829" s="60"/>
    </row>
    <row r="5830" spans="1:8">
      <c r="A5830" s="60"/>
      <c r="B5830" s="77"/>
      <c r="C5830" s="60"/>
      <c r="D5830" s="81"/>
      <c r="E5830" s="62"/>
      <c r="F5830" s="60"/>
      <c r="G5830" s="62"/>
      <c r="H5830" s="60"/>
    </row>
    <row r="5831" spans="1:8">
      <c r="A5831" s="60"/>
      <c r="B5831" s="77"/>
      <c r="C5831" s="60"/>
      <c r="D5831" s="81"/>
      <c r="E5831" s="62"/>
      <c r="F5831" s="60"/>
      <c r="G5831" s="62"/>
      <c r="H5831" s="60"/>
    </row>
    <row r="5832" spans="1:8">
      <c r="A5832" s="60"/>
      <c r="B5832" s="77"/>
      <c r="C5832" s="60"/>
      <c r="D5832" s="81"/>
      <c r="E5832" s="62"/>
      <c r="F5832" s="60"/>
      <c r="G5832" s="62"/>
      <c r="H5832" s="60"/>
    </row>
    <row r="5833" spans="1:8">
      <c r="A5833" s="60"/>
      <c r="B5833" s="77"/>
      <c r="C5833" s="60"/>
      <c r="D5833" s="81"/>
      <c r="E5833" s="62"/>
      <c r="F5833" s="60"/>
      <c r="G5833" s="62"/>
      <c r="H5833" s="60"/>
    </row>
    <row r="5834" spans="1:8">
      <c r="A5834" s="60"/>
      <c r="B5834" s="77"/>
      <c r="C5834" s="60"/>
      <c r="D5834" s="81"/>
      <c r="E5834" s="62"/>
      <c r="F5834" s="60"/>
      <c r="G5834" s="62"/>
      <c r="H5834" s="60"/>
    </row>
    <row r="5835" spans="1:8">
      <c r="A5835" s="60"/>
      <c r="B5835" s="77"/>
      <c r="C5835" s="60"/>
      <c r="D5835" s="81"/>
      <c r="E5835" s="62"/>
      <c r="F5835" s="60"/>
      <c r="G5835" s="62"/>
      <c r="H5835" s="60"/>
    </row>
    <row r="5836" spans="1:8">
      <c r="A5836" s="60"/>
      <c r="B5836" s="77"/>
      <c r="C5836" s="60"/>
      <c r="D5836" s="81"/>
      <c r="E5836" s="62"/>
      <c r="F5836" s="60"/>
      <c r="G5836" s="62"/>
      <c r="H5836" s="60"/>
    </row>
    <row r="5837" spans="1:8">
      <c r="A5837" s="60"/>
      <c r="B5837" s="77"/>
      <c r="C5837" s="60"/>
      <c r="D5837" s="81"/>
      <c r="E5837" s="62"/>
      <c r="F5837" s="60"/>
      <c r="G5837" s="62"/>
      <c r="H5837" s="60"/>
    </row>
    <row r="5838" spans="1:8">
      <c r="A5838" s="60"/>
      <c r="B5838" s="77"/>
      <c r="C5838" s="60"/>
      <c r="D5838" s="81"/>
      <c r="E5838" s="62"/>
      <c r="F5838" s="60"/>
      <c r="G5838" s="62"/>
      <c r="H5838" s="60"/>
    </row>
    <row r="5839" spans="1:8">
      <c r="A5839" s="60"/>
      <c r="B5839" s="77"/>
      <c r="C5839" s="60"/>
      <c r="D5839" s="81"/>
      <c r="E5839" s="62"/>
      <c r="F5839" s="60"/>
      <c r="G5839" s="62"/>
      <c r="H5839" s="60"/>
    </row>
    <row r="5840" spans="1:8">
      <c r="A5840" s="60"/>
      <c r="B5840" s="77"/>
      <c r="C5840" s="60"/>
      <c r="D5840" s="81"/>
      <c r="E5840" s="62"/>
      <c r="F5840" s="60"/>
      <c r="G5840" s="62"/>
      <c r="H5840" s="60"/>
    </row>
    <row r="5841" spans="1:8">
      <c r="A5841" s="60"/>
      <c r="B5841" s="77"/>
      <c r="C5841" s="60"/>
      <c r="D5841" s="81"/>
      <c r="E5841" s="62"/>
      <c r="F5841" s="60"/>
      <c r="G5841" s="62"/>
      <c r="H5841" s="60"/>
    </row>
    <row r="5842" spans="1:8">
      <c r="A5842" s="60"/>
      <c r="B5842" s="77"/>
      <c r="C5842" s="60"/>
      <c r="D5842" s="81"/>
      <c r="E5842" s="62"/>
      <c r="F5842" s="60"/>
      <c r="G5842" s="62"/>
      <c r="H5842" s="60"/>
    </row>
    <row r="5843" spans="1:8">
      <c r="A5843" s="60"/>
      <c r="B5843" s="77"/>
      <c r="C5843" s="60"/>
      <c r="D5843" s="81"/>
      <c r="E5843" s="62"/>
      <c r="F5843" s="60"/>
      <c r="G5843" s="62"/>
      <c r="H5843" s="60"/>
    </row>
    <row r="5844" spans="1:8">
      <c r="A5844" s="60"/>
      <c r="B5844" s="77"/>
      <c r="C5844" s="60"/>
      <c r="D5844" s="81"/>
      <c r="E5844" s="62"/>
      <c r="F5844" s="60"/>
      <c r="G5844" s="62"/>
      <c r="H5844" s="60"/>
    </row>
    <row r="5845" spans="1:8">
      <c r="A5845" s="60"/>
      <c r="B5845" s="77"/>
      <c r="C5845" s="60"/>
      <c r="D5845" s="81"/>
      <c r="E5845" s="62"/>
      <c r="F5845" s="60"/>
      <c r="G5845" s="62"/>
      <c r="H5845" s="60"/>
    </row>
    <row r="5846" spans="1:8">
      <c r="A5846" s="60"/>
      <c r="B5846" s="77"/>
      <c r="C5846" s="60"/>
      <c r="D5846" s="81"/>
      <c r="E5846" s="62"/>
      <c r="F5846" s="60"/>
      <c r="G5846" s="62"/>
      <c r="H5846" s="60"/>
    </row>
    <row r="5847" spans="1:8">
      <c r="A5847" s="60"/>
      <c r="B5847" s="77"/>
      <c r="C5847" s="60"/>
      <c r="D5847" s="81"/>
      <c r="E5847" s="62"/>
      <c r="F5847" s="60"/>
      <c r="G5847" s="62"/>
      <c r="H5847" s="60"/>
    </row>
    <row r="5848" spans="1:8">
      <c r="A5848" s="60"/>
      <c r="B5848" s="77"/>
      <c r="C5848" s="60"/>
      <c r="D5848" s="81"/>
      <c r="E5848" s="62"/>
      <c r="F5848" s="60"/>
      <c r="G5848" s="62"/>
      <c r="H5848" s="60"/>
    </row>
    <row r="5849" spans="1:8">
      <c r="A5849" s="60"/>
      <c r="B5849" s="77"/>
      <c r="C5849" s="60"/>
      <c r="D5849" s="81"/>
      <c r="E5849" s="62"/>
      <c r="F5849" s="60"/>
      <c r="G5849" s="62"/>
      <c r="H5849" s="60"/>
    </row>
    <row r="5850" spans="1:8">
      <c r="A5850" s="60"/>
      <c r="B5850" s="77"/>
      <c r="C5850" s="60"/>
      <c r="D5850" s="81"/>
      <c r="E5850" s="62"/>
      <c r="F5850" s="60"/>
      <c r="G5850" s="62"/>
      <c r="H5850" s="60"/>
    </row>
    <row r="5851" spans="1:8">
      <c r="A5851" s="60"/>
      <c r="B5851" s="77"/>
      <c r="C5851" s="60"/>
      <c r="D5851" s="81"/>
      <c r="E5851" s="62"/>
      <c r="F5851" s="60"/>
      <c r="G5851" s="62"/>
      <c r="H5851" s="60"/>
    </row>
    <row r="5852" spans="1:8">
      <c r="A5852" s="60"/>
      <c r="B5852" s="77"/>
      <c r="C5852" s="60"/>
      <c r="D5852" s="81"/>
      <c r="E5852" s="62"/>
      <c r="F5852" s="60"/>
      <c r="G5852" s="62"/>
      <c r="H5852" s="60"/>
    </row>
    <row r="5853" spans="1:8">
      <c r="A5853" s="60"/>
      <c r="B5853" s="77"/>
      <c r="C5853" s="60"/>
      <c r="D5853" s="81"/>
      <c r="E5853" s="62"/>
      <c r="F5853" s="60"/>
      <c r="G5853" s="62"/>
      <c r="H5853" s="60"/>
    </row>
    <row r="5854" spans="1:8">
      <c r="A5854" s="60"/>
      <c r="B5854" s="77"/>
      <c r="C5854" s="60"/>
      <c r="D5854" s="81"/>
      <c r="E5854" s="62"/>
      <c r="F5854" s="60"/>
      <c r="G5854" s="62"/>
      <c r="H5854" s="60"/>
    </row>
    <row r="5855" spans="1:8">
      <c r="A5855" s="60"/>
      <c r="B5855" s="77"/>
      <c r="C5855" s="60"/>
      <c r="D5855" s="81"/>
      <c r="E5855" s="62"/>
      <c r="F5855" s="60"/>
      <c r="G5855" s="62"/>
      <c r="H5855" s="60"/>
    </row>
    <row r="5856" spans="1:8">
      <c r="A5856" s="60"/>
      <c r="B5856" s="77"/>
      <c r="C5856" s="60"/>
      <c r="D5856" s="81"/>
      <c r="E5856" s="62"/>
      <c r="F5856" s="60"/>
      <c r="G5856" s="62"/>
      <c r="H5856" s="60"/>
    </row>
    <row r="5857" spans="1:8">
      <c r="A5857" s="60"/>
      <c r="B5857" s="77"/>
      <c r="C5857" s="60"/>
      <c r="D5857" s="81"/>
      <c r="E5857" s="62"/>
      <c r="F5857" s="60"/>
      <c r="G5857" s="62"/>
      <c r="H5857" s="60"/>
    </row>
    <row r="5858" spans="1:8">
      <c r="A5858" s="60"/>
      <c r="B5858" s="77"/>
      <c r="C5858" s="60"/>
      <c r="D5858" s="81"/>
      <c r="E5858" s="62"/>
      <c r="F5858" s="60"/>
      <c r="G5858" s="62"/>
      <c r="H5858" s="60"/>
    </row>
    <row r="5859" spans="1:8">
      <c r="A5859" s="60"/>
      <c r="B5859" s="77"/>
      <c r="C5859" s="60"/>
      <c r="D5859" s="81"/>
      <c r="E5859" s="62"/>
      <c r="F5859" s="60"/>
      <c r="G5859" s="62"/>
      <c r="H5859" s="60"/>
    </row>
    <row r="5860" spans="1:8">
      <c r="A5860" s="60"/>
      <c r="B5860" s="77"/>
      <c r="C5860" s="60"/>
      <c r="D5860" s="81"/>
      <c r="E5860" s="62"/>
      <c r="F5860" s="60"/>
      <c r="G5860" s="62"/>
      <c r="H5860" s="60"/>
    </row>
    <row r="5861" spans="1:8">
      <c r="A5861" s="60"/>
      <c r="B5861" s="77"/>
      <c r="C5861" s="60"/>
      <c r="D5861" s="81"/>
      <c r="E5861" s="62"/>
      <c r="F5861" s="60"/>
      <c r="G5861" s="62"/>
      <c r="H5861" s="60"/>
    </row>
    <row r="5862" spans="1:8">
      <c r="A5862" s="60"/>
      <c r="B5862" s="77"/>
      <c r="C5862" s="60"/>
      <c r="D5862" s="81"/>
      <c r="E5862" s="62"/>
      <c r="F5862" s="60"/>
      <c r="G5862" s="62"/>
      <c r="H5862" s="60"/>
    </row>
    <row r="5863" spans="1:8">
      <c r="A5863" s="60"/>
      <c r="B5863" s="77"/>
      <c r="C5863" s="60"/>
      <c r="D5863" s="81"/>
      <c r="E5863" s="62"/>
      <c r="F5863" s="60"/>
      <c r="G5863" s="62"/>
      <c r="H5863" s="60"/>
    </row>
    <row r="5864" spans="1:8">
      <c r="A5864" s="60"/>
      <c r="B5864" s="77"/>
      <c r="C5864" s="60"/>
      <c r="D5864" s="81"/>
      <c r="E5864" s="62"/>
      <c r="F5864" s="60"/>
      <c r="G5864" s="62"/>
      <c r="H5864" s="60"/>
    </row>
    <row r="5865" spans="1:8">
      <c r="A5865" s="60"/>
      <c r="B5865" s="77"/>
      <c r="C5865" s="60"/>
      <c r="D5865" s="81"/>
      <c r="E5865" s="62"/>
      <c r="F5865" s="60"/>
      <c r="G5865" s="62"/>
      <c r="H5865" s="60"/>
    </row>
    <row r="5866" spans="1:8">
      <c r="A5866" s="60"/>
      <c r="B5866" s="77"/>
      <c r="C5866" s="60"/>
      <c r="D5866" s="81"/>
      <c r="E5866" s="62"/>
      <c r="F5866" s="60"/>
      <c r="G5866" s="62"/>
      <c r="H5866" s="60"/>
    </row>
    <row r="5867" spans="1:8">
      <c r="A5867" s="60"/>
      <c r="B5867" s="77"/>
      <c r="C5867" s="60"/>
      <c r="D5867" s="81"/>
      <c r="E5867" s="62"/>
      <c r="F5867" s="60"/>
      <c r="G5867" s="62"/>
      <c r="H5867" s="60"/>
    </row>
    <row r="5868" spans="1:8">
      <c r="A5868" s="60"/>
      <c r="B5868" s="77"/>
      <c r="C5868" s="60"/>
      <c r="D5868" s="81"/>
      <c r="E5868" s="62"/>
      <c r="F5868" s="60"/>
      <c r="G5868" s="62"/>
      <c r="H5868" s="60"/>
    </row>
    <row r="5869" spans="1:8">
      <c r="A5869" s="60"/>
      <c r="B5869" s="77"/>
      <c r="C5869" s="60"/>
      <c r="D5869" s="81"/>
      <c r="E5869" s="62"/>
      <c r="F5869" s="60"/>
      <c r="G5869" s="62"/>
      <c r="H5869" s="60"/>
    </row>
    <row r="5870" spans="1:8">
      <c r="A5870" s="60"/>
      <c r="B5870" s="77"/>
      <c r="C5870" s="60"/>
      <c r="D5870" s="81"/>
      <c r="E5870" s="62"/>
      <c r="F5870" s="60"/>
      <c r="G5870" s="62"/>
      <c r="H5870" s="60"/>
    </row>
    <row r="5871" spans="1:8">
      <c r="A5871" s="60"/>
      <c r="B5871" s="77"/>
      <c r="C5871" s="60"/>
      <c r="D5871" s="81"/>
      <c r="E5871" s="62"/>
      <c r="F5871" s="60"/>
      <c r="G5871" s="62"/>
      <c r="H5871" s="60"/>
    </row>
    <row r="5872" spans="1:8">
      <c r="A5872" s="60"/>
      <c r="B5872" s="77"/>
      <c r="C5872" s="60"/>
      <c r="D5872" s="81"/>
      <c r="E5872" s="62"/>
      <c r="F5872" s="60"/>
      <c r="G5872" s="62"/>
      <c r="H5872" s="60"/>
    </row>
    <row r="5873" spans="1:8">
      <c r="A5873" s="60"/>
      <c r="B5873" s="77"/>
      <c r="C5873" s="60"/>
      <c r="D5873" s="81"/>
      <c r="E5873" s="62"/>
      <c r="F5873" s="60"/>
      <c r="G5873" s="62"/>
      <c r="H5873" s="60"/>
    </row>
    <row r="5874" spans="1:8">
      <c r="A5874" s="60"/>
      <c r="B5874" s="77"/>
      <c r="C5874" s="60"/>
      <c r="D5874" s="81"/>
      <c r="E5874" s="62"/>
      <c r="F5874" s="60"/>
      <c r="G5874" s="62"/>
      <c r="H5874" s="60"/>
    </row>
    <row r="5875" spans="1:8">
      <c r="A5875" s="60"/>
      <c r="B5875" s="77"/>
      <c r="C5875" s="60"/>
      <c r="D5875" s="81"/>
      <c r="E5875" s="62"/>
      <c r="F5875" s="60"/>
      <c r="G5875" s="62"/>
      <c r="H5875" s="60"/>
    </row>
    <row r="5876" spans="1:8">
      <c r="A5876" s="60"/>
      <c r="B5876" s="77"/>
      <c r="C5876" s="60"/>
      <c r="D5876" s="81"/>
      <c r="E5876" s="62"/>
      <c r="F5876" s="60"/>
      <c r="G5876" s="62"/>
      <c r="H5876" s="60"/>
    </row>
    <row r="5877" spans="1:8">
      <c r="A5877" s="60"/>
      <c r="B5877" s="77"/>
      <c r="C5877" s="60"/>
      <c r="D5877" s="81"/>
      <c r="E5877" s="62"/>
      <c r="F5877" s="60"/>
      <c r="G5877" s="62"/>
      <c r="H5877" s="60"/>
    </row>
    <row r="5878" spans="1:8">
      <c r="A5878" s="60"/>
      <c r="B5878" s="77"/>
      <c r="C5878" s="60"/>
      <c r="D5878" s="81"/>
      <c r="E5878" s="62"/>
      <c r="F5878" s="60"/>
      <c r="G5878" s="62"/>
      <c r="H5878" s="60"/>
    </row>
    <row r="5879" spans="1:8">
      <c r="A5879" s="60"/>
      <c r="B5879" s="77"/>
      <c r="C5879" s="60"/>
      <c r="D5879" s="81"/>
      <c r="E5879" s="62"/>
      <c r="F5879" s="60"/>
      <c r="G5879" s="62"/>
      <c r="H5879" s="60"/>
    </row>
    <row r="5880" spans="1:8">
      <c r="A5880" s="60"/>
      <c r="B5880" s="77"/>
      <c r="C5880" s="60"/>
      <c r="D5880" s="81"/>
      <c r="E5880" s="62"/>
      <c r="F5880" s="60"/>
      <c r="G5880" s="62"/>
      <c r="H5880" s="60"/>
    </row>
    <row r="5881" spans="1:8">
      <c r="A5881" s="60"/>
      <c r="B5881" s="77"/>
      <c r="C5881" s="60"/>
      <c r="D5881" s="81"/>
      <c r="E5881" s="62"/>
      <c r="F5881" s="60"/>
      <c r="G5881" s="62"/>
      <c r="H5881" s="60"/>
    </row>
    <row r="5882" spans="1:8">
      <c r="A5882" s="60"/>
      <c r="B5882" s="77"/>
      <c r="C5882" s="60"/>
      <c r="D5882" s="81"/>
      <c r="E5882" s="62"/>
      <c r="F5882" s="60"/>
      <c r="G5882" s="62"/>
      <c r="H5882" s="60"/>
    </row>
    <row r="5883" spans="1:8">
      <c r="A5883" s="60"/>
      <c r="B5883" s="77"/>
      <c r="C5883" s="60"/>
      <c r="D5883" s="81"/>
      <c r="E5883" s="62"/>
      <c r="F5883" s="60"/>
      <c r="G5883" s="62"/>
      <c r="H5883" s="60"/>
    </row>
    <row r="5884" spans="1:8">
      <c r="A5884" s="60"/>
      <c r="B5884" s="77"/>
      <c r="C5884" s="60"/>
      <c r="D5884" s="81"/>
      <c r="E5884" s="62"/>
      <c r="F5884" s="60"/>
      <c r="G5884" s="62"/>
      <c r="H5884" s="60"/>
    </row>
    <row r="5885" spans="1:8">
      <c r="A5885" s="60"/>
      <c r="B5885" s="77"/>
      <c r="C5885" s="60"/>
      <c r="D5885" s="81"/>
      <c r="E5885" s="62"/>
      <c r="F5885" s="60"/>
      <c r="G5885" s="62"/>
      <c r="H5885" s="60"/>
    </row>
    <row r="5886" spans="1:8">
      <c r="A5886" s="60"/>
      <c r="B5886" s="77"/>
      <c r="C5886" s="60"/>
      <c r="D5886" s="81"/>
      <c r="E5886" s="62"/>
      <c r="F5886" s="60"/>
      <c r="G5886" s="62"/>
      <c r="H5886" s="60"/>
    </row>
    <row r="5887" spans="1:8">
      <c r="A5887" s="60"/>
      <c r="B5887" s="77"/>
      <c r="C5887" s="60"/>
      <c r="D5887" s="81"/>
      <c r="E5887" s="62"/>
      <c r="F5887" s="60"/>
      <c r="G5887" s="62"/>
      <c r="H5887" s="60"/>
    </row>
    <row r="5888" spans="1:8">
      <c r="A5888" s="60"/>
      <c r="B5888" s="77"/>
      <c r="C5888" s="60"/>
      <c r="D5888" s="81"/>
      <c r="E5888" s="62"/>
      <c r="F5888" s="60"/>
      <c r="G5888" s="62"/>
      <c r="H5888" s="60"/>
    </row>
    <row r="5889" spans="1:8">
      <c r="A5889" s="60"/>
      <c r="B5889" s="77"/>
      <c r="C5889" s="60"/>
      <c r="D5889" s="81"/>
      <c r="E5889" s="62"/>
      <c r="F5889" s="60"/>
      <c r="G5889" s="62"/>
      <c r="H5889" s="60"/>
    </row>
    <row r="5890" spans="1:8">
      <c r="A5890" s="60"/>
      <c r="B5890" s="77"/>
      <c r="C5890" s="60"/>
      <c r="D5890" s="81"/>
      <c r="E5890" s="62"/>
      <c r="F5890" s="60"/>
      <c r="G5890" s="62"/>
      <c r="H5890" s="60"/>
    </row>
    <row r="5891" spans="1:8">
      <c r="A5891" s="60"/>
      <c r="B5891" s="77"/>
      <c r="C5891" s="60"/>
      <c r="D5891" s="81"/>
      <c r="E5891" s="62"/>
      <c r="F5891" s="60"/>
      <c r="G5891" s="62"/>
      <c r="H5891" s="60"/>
    </row>
    <row r="5892" spans="1:8">
      <c r="A5892" s="60"/>
      <c r="B5892" s="77"/>
      <c r="C5892" s="60"/>
      <c r="D5892" s="81"/>
      <c r="E5892" s="62"/>
      <c r="F5892" s="60"/>
      <c r="G5892" s="62"/>
      <c r="H5892" s="60"/>
    </row>
    <row r="5893" spans="1:8">
      <c r="A5893" s="60"/>
      <c r="B5893" s="77"/>
      <c r="C5893" s="60"/>
      <c r="D5893" s="81"/>
      <c r="E5893" s="62"/>
      <c r="F5893" s="60"/>
      <c r="G5893" s="62"/>
      <c r="H5893" s="60"/>
    </row>
    <row r="5894" spans="1:8">
      <c r="A5894" s="60"/>
      <c r="B5894" s="77"/>
      <c r="C5894" s="60"/>
      <c r="D5894" s="81"/>
      <c r="E5894" s="62"/>
      <c r="F5894" s="60"/>
      <c r="G5894" s="62"/>
      <c r="H5894" s="60"/>
    </row>
    <row r="5895" spans="1:8">
      <c r="A5895" s="60"/>
      <c r="B5895" s="77"/>
      <c r="C5895" s="60"/>
      <c r="D5895" s="81"/>
      <c r="E5895" s="62"/>
      <c r="F5895" s="60"/>
      <c r="G5895" s="62"/>
      <c r="H5895" s="60"/>
    </row>
    <row r="5896" spans="1:8">
      <c r="A5896" s="60"/>
      <c r="B5896" s="77"/>
      <c r="C5896" s="60"/>
      <c r="D5896" s="81"/>
      <c r="E5896" s="62"/>
      <c r="F5896" s="60"/>
      <c r="G5896" s="62"/>
      <c r="H5896" s="60"/>
    </row>
    <row r="5897" spans="1:8">
      <c r="A5897" s="60"/>
      <c r="B5897" s="77"/>
      <c r="C5897" s="60"/>
      <c r="D5897" s="81"/>
      <c r="E5897" s="62"/>
      <c r="F5897" s="60"/>
      <c r="G5897" s="62"/>
      <c r="H5897" s="60"/>
    </row>
    <row r="5898" spans="1:8">
      <c r="A5898" s="60"/>
      <c r="B5898" s="77"/>
      <c r="C5898" s="60"/>
      <c r="D5898" s="81"/>
      <c r="E5898" s="62"/>
      <c r="F5898" s="60"/>
      <c r="G5898" s="62"/>
      <c r="H5898" s="60"/>
    </row>
    <row r="5899" spans="1:8">
      <c r="A5899" s="60"/>
      <c r="B5899" s="77"/>
      <c r="C5899" s="60"/>
      <c r="D5899" s="81"/>
      <c r="E5899" s="62"/>
      <c r="F5899" s="60"/>
      <c r="G5899" s="62"/>
      <c r="H5899" s="60"/>
    </row>
    <row r="5900" spans="1:8">
      <c r="A5900" s="60"/>
      <c r="B5900" s="77"/>
      <c r="C5900" s="60"/>
      <c r="D5900" s="81"/>
      <c r="E5900" s="62"/>
      <c r="F5900" s="60"/>
      <c r="G5900" s="62"/>
      <c r="H5900" s="60"/>
    </row>
    <row r="5901" spans="1:8">
      <c r="A5901" s="60"/>
      <c r="B5901" s="77"/>
      <c r="C5901" s="60"/>
      <c r="D5901" s="81"/>
      <c r="E5901" s="62"/>
      <c r="F5901" s="60"/>
      <c r="G5901" s="62"/>
      <c r="H5901" s="60"/>
    </row>
    <row r="5902" spans="1:8">
      <c r="A5902" s="60"/>
      <c r="B5902" s="77"/>
      <c r="C5902" s="60"/>
      <c r="D5902" s="81"/>
      <c r="E5902" s="62"/>
      <c r="F5902" s="60"/>
      <c r="G5902" s="62"/>
      <c r="H5902" s="60"/>
    </row>
    <row r="5903" spans="1:8">
      <c r="A5903" s="60"/>
      <c r="B5903" s="77"/>
      <c r="C5903" s="60"/>
      <c r="D5903" s="81"/>
      <c r="E5903" s="62"/>
      <c r="F5903" s="60"/>
      <c r="G5903" s="62"/>
      <c r="H5903" s="60"/>
    </row>
    <row r="5904" spans="1:8">
      <c r="A5904" s="60"/>
      <c r="B5904" s="77"/>
      <c r="C5904" s="60"/>
      <c r="D5904" s="81"/>
      <c r="E5904" s="62"/>
      <c r="F5904" s="60"/>
      <c r="G5904" s="62"/>
      <c r="H5904" s="60"/>
    </row>
    <row r="5905" spans="1:8">
      <c r="A5905" s="60"/>
      <c r="B5905" s="77"/>
      <c r="C5905" s="60"/>
      <c r="D5905" s="81"/>
      <c r="E5905" s="62"/>
      <c r="F5905" s="60"/>
      <c r="G5905" s="62"/>
      <c r="H5905" s="60"/>
    </row>
    <row r="5906" spans="1:8">
      <c r="A5906" s="60"/>
      <c r="B5906" s="77"/>
      <c r="C5906" s="60"/>
      <c r="D5906" s="81"/>
      <c r="E5906" s="62"/>
      <c r="F5906" s="60"/>
      <c r="G5906" s="62"/>
      <c r="H5906" s="60"/>
    </row>
    <row r="5907" spans="1:8">
      <c r="A5907" s="60"/>
      <c r="B5907" s="77"/>
      <c r="C5907" s="60"/>
      <c r="D5907" s="81"/>
      <c r="E5907" s="62"/>
      <c r="F5907" s="60"/>
      <c r="G5907" s="62"/>
      <c r="H5907" s="60"/>
    </row>
    <row r="5908" spans="1:8">
      <c r="A5908" s="60"/>
      <c r="B5908" s="77"/>
      <c r="C5908" s="60"/>
      <c r="D5908" s="81"/>
      <c r="E5908" s="62"/>
      <c r="F5908" s="60"/>
      <c r="G5908" s="62"/>
      <c r="H5908" s="60"/>
    </row>
    <row r="5909" spans="1:8">
      <c r="A5909" s="60"/>
      <c r="B5909" s="77"/>
      <c r="C5909" s="60"/>
      <c r="D5909" s="81"/>
      <c r="E5909" s="62"/>
      <c r="F5909" s="60"/>
      <c r="G5909" s="62"/>
      <c r="H5909" s="60"/>
    </row>
    <row r="5910" spans="1:8">
      <c r="A5910" s="60"/>
      <c r="B5910" s="77"/>
      <c r="C5910" s="60"/>
      <c r="D5910" s="81"/>
      <c r="E5910" s="62"/>
      <c r="F5910" s="60"/>
      <c r="G5910" s="62"/>
      <c r="H5910" s="60"/>
    </row>
    <row r="5911" spans="1:8">
      <c r="A5911" s="60"/>
      <c r="B5911" s="77"/>
      <c r="C5911" s="60"/>
      <c r="D5911" s="81"/>
      <c r="E5911" s="62"/>
      <c r="F5911" s="60"/>
      <c r="G5911" s="62"/>
      <c r="H5911" s="60"/>
    </row>
    <row r="5912" spans="1:8">
      <c r="A5912" s="60"/>
      <c r="B5912" s="77"/>
      <c r="C5912" s="60"/>
      <c r="D5912" s="81"/>
      <c r="E5912" s="62"/>
      <c r="F5912" s="60"/>
      <c r="G5912" s="62"/>
      <c r="H5912" s="60"/>
    </row>
    <row r="5913" spans="1:8">
      <c r="A5913" s="60"/>
      <c r="B5913" s="77"/>
      <c r="C5913" s="60"/>
      <c r="D5913" s="81"/>
      <c r="E5913" s="62"/>
      <c r="F5913" s="60"/>
      <c r="G5913" s="62"/>
      <c r="H5913" s="60"/>
    </row>
    <row r="5914" spans="1:8">
      <c r="A5914" s="60"/>
      <c r="B5914" s="77"/>
      <c r="C5914" s="60"/>
      <c r="D5914" s="81"/>
      <c r="E5914" s="62"/>
      <c r="F5914" s="60"/>
      <c r="G5914" s="62"/>
      <c r="H5914" s="60"/>
    </row>
    <row r="5915" spans="1:8">
      <c r="A5915" s="60"/>
      <c r="B5915" s="77"/>
      <c r="C5915" s="60"/>
      <c r="D5915" s="81"/>
      <c r="E5915" s="62"/>
      <c r="F5915" s="60"/>
      <c r="G5915" s="62"/>
      <c r="H5915" s="60"/>
    </row>
    <row r="5916" spans="1:8">
      <c r="A5916" s="60"/>
      <c r="B5916" s="77"/>
      <c r="C5916" s="60"/>
      <c r="D5916" s="81"/>
      <c r="E5916" s="62"/>
      <c r="F5916" s="60"/>
      <c r="G5916" s="62"/>
      <c r="H5916" s="60"/>
    </row>
    <row r="5917" spans="1:8">
      <c r="A5917" s="60"/>
      <c r="B5917" s="77"/>
      <c r="C5917" s="60"/>
      <c r="D5917" s="81"/>
      <c r="E5917" s="62"/>
      <c r="F5917" s="60"/>
      <c r="G5917" s="62"/>
      <c r="H5917" s="60"/>
    </row>
    <row r="5918" spans="1:8">
      <c r="A5918" s="60"/>
      <c r="B5918" s="77"/>
      <c r="C5918" s="60"/>
      <c r="D5918" s="81"/>
      <c r="E5918" s="62"/>
      <c r="F5918" s="60"/>
      <c r="G5918" s="62"/>
      <c r="H5918" s="60"/>
    </row>
    <row r="5919" spans="1:8">
      <c r="A5919" s="60"/>
      <c r="B5919" s="77"/>
      <c r="C5919" s="60"/>
      <c r="D5919" s="81"/>
      <c r="E5919" s="62"/>
      <c r="F5919" s="60"/>
      <c r="G5919" s="62"/>
      <c r="H5919" s="60"/>
    </row>
    <row r="5920" spans="1:8">
      <c r="A5920" s="60"/>
      <c r="B5920" s="77"/>
      <c r="C5920" s="60"/>
      <c r="D5920" s="81"/>
      <c r="E5920" s="62"/>
      <c r="F5920" s="60"/>
      <c r="G5920" s="62"/>
      <c r="H5920" s="60"/>
    </row>
    <row r="5921" spans="1:8">
      <c r="A5921" s="60"/>
      <c r="B5921" s="77"/>
      <c r="C5921" s="60"/>
      <c r="D5921" s="81"/>
      <c r="E5921" s="62"/>
      <c r="F5921" s="60"/>
      <c r="G5921" s="62"/>
      <c r="H5921" s="60"/>
    </row>
    <row r="5922" spans="1:8">
      <c r="A5922" s="60"/>
      <c r="B5922" s="77"/>
      <c r="C5922" s="60"/>
      <c r="D5922" s="81"/>
      <c r="E5922" s="62"/>
      <c r="F5922" s="60"/>
      <c r="G5922" s="62"/>
      <c r="H5922" s="60"/>
    </row>
    <row r="5923" spans="1:8">
      <c r="A5923" s="60"/>
      <c r="B5923" s="77"/>
      <c r="C5923" s="60"/>
      <c r="D5923" s="81"/>
      <c r="E5923" s="62"/>
      <c r="F5923" s="60"/>
      <c r="G5923" s="62"/>
      <c r="H5923" s="60"/>
    </row>
    <row r="5924" spans="1:8">
      <c r="A5924" s="60"/>
      <c r="B5924" s="77"/>
      <c r="C5924" s="60"/>
      <c r="D5924" s="81"/>
      <c r="E5924" s="62"/>
      <c r="F5924" s="60"/>
      <c r="G5924" s="62"/>
      <c r="H5924" s="60"/>
    </row>
    <row r="5925" spans="1:8">
      <c r="A5925" s="60"/>
      <c r="B5925" s="77"/>
      <c r="C5925" s="60"/>
      <c r="D5925" s="81"/>
      <c r="E5925" s="62"/>
      <c r="F5925" s="60"/>
      <c r="G5925" s="62"/>
      <c r="H5925" s="60"/>
    </row>
    <row r="5926" spans="1:8">
      <c r="A5926" s="60"/>
      <c r="B5926" s="77"/>
      <c r="C5926" s="60"/>
      <c r="D5926" s="81"/>
      <c r="E5926" s="62"/>
      <c r="F5926" s="60"/>
      <c r="G5926" s="62"/>
      <c r="H5926" s="60"/>
    </row>
    <row r="5927" spans="1:8">
      <c r="A5927" s="60"/>
      <c r="B5927" s="77"/>
      <c r="C5927" s="60"/>
      <c r="D5927" s="81"/>
      <c r="E5927" s="62"/>
      <c r="F5927" s="60"/>
      <c r="G5927" s="62"/>
      <c r="H5927" s="60"/>
    </row>
    <row r="5928" spans="1:8">
      <c r="A5928" s="60"/>
      <c r="B5928" s="77"/>
      <c r="C5928" s="60"/>
      <c r="D5928" s="81"/>
      <c r="E5928" s="62"/>
      <c r="F5928" s="60"/>
      <c r="G5928" s="62"/>
      <c r="H5928" s="60"/>
    </row>
    <row r="5929" spans="1:8">
      <c r="A5929" s="60"/>
      <c r="B5929" s="77"/>
      <c r="C5929" s="60"/>
      <c r="D5929" s="81"/>
      <c r="E5929" s="62"/>
      <c r="F5929" s="60"/>
      <c r="G5929" s="62"/>
      <c r="H5929" s="60"/>
    </row>
    <row r="5930" spans="1:8">
      <c r="A5930" s="60"/>
      <c r="B5930" s="77"/>
      <c r="C5930" s="60"/>
      <c r="D5930" s="81"/>
      <c r="E5930" s="62"/>
      <c r="F5930" s="60"/>
      <c r="G5930" s="62"/>
      <c r="H5930" s="60"/>
    </row>
    <row r="5931" spans="1:8">
      <c r="A5931" s="60"/>
      <c r="B5931" s="77"/>
      <c r="C5931" s="60"/>
      <c r="D5931" s="81"/>
      <c r="E5931" s="62"/>
      <c r="F5931" s="60"/>
      <c r="G5931" s="62"/>
      <c r="H5931" s="60"/>
    </row>
    <row r="5932" spans="1:8">
      <c r="A5932" s="60"/>
      <c r="B5932" s="77"/>
      <c r="C5932" s="60"/>
      <c r="D5932" s="81"/>
      <c r="E5932" s="62"/>
      <c r="F5932" s="60"/>
      <c r="G5932" s="62"/>
      <c r="H5932" s="60"/>
    </row>
    <row r="5933" spans="1:8">
      <c r="A5933" s="60"/>
      <c r="B5933" s="77"/>
      <c r="C5933" s="60"/>
      <c r="D5933" s="81"/>
      <c r="E5933" s="62"/>
      <c r="F5933" s="60"/>
      <c r="G5933" s="62"/>
      <c r="H5933" s="60"/>
    </row>
    <row r="5934" spans="1:8">
      <c r="A5934" s="60"/>
      <c r="B5934" s="77"/>
      <c r="C5934" s="60"/>
      <c r="D5934" s="81"/>
      <c r="E5934" s="62"/>
      <c r="F5934" s="60"/>
      <c r="G5934" s="62"/>
      <c r="H5934" s="60"/>
    </row>
    <row r="5935" spans="1:8">
      <c r="A5935" s="60"/>
      <c r="B5935" s="77"/>
      <c r="C5935" s="60"/>
      <c r="D5935" s="81"/>
      <c r="E5935" s="62"/>
      <c r="F5935" s="60"/>
      <c r="G5935" s="62"/>
      <c r="H5935" s="60"/>
    </row>
    <row r="5936" spans="1:8">
      <c r="A5936" s="60"/>
      <c r="B5936" s="77"/>
      <c r="C5936" s="60"/>
      <c r="D5936" s="81"/>
      <c r="E5936" s="62"/>
      <c r="F5936" s="60"/>
      <c r="G5936" s="62"/>
      <c r="H5936" s="60"/>
    </row>
    <row r="5937" spans="1:8">
      <c r="A5937" s="60"/>
      <c r="B5937" s="77"/>
      <c r="C5937" s="60"/>
      <c r="D5937" s="81"/>
      <c r="E5937" s="62"/>
      <c r="F5937" s="60"/>
      <c r="G5937" s="62"/>
      <c r="H5937" s="60"/>
    </row>
    <row r="5938" spans="1:8">
      <c r="A5938" s="60"/>
      <c r="B5938" s="77"/>
      <c r="C5938" s="60"/>
      <c r="D5938" s="81"/>
      <c r="E5938" s="62"/>
      <c r="F5938" s="60"/>
      <c r="G5938" s="62"/>
      <c r="H5938" s="60"/>
    </row>
    <row r="5939" spans="1:8">
      <c r="A5939" s="60"/>
      <c r="B5939" s="77"/>
      <c r="C5939" s="60"/>
      <c r="D5939" s="81"/>
      <c r="E5939" s="62"/>
      <c r="F5939" s="60"/>
      <c r="G5939" s="62"/>
      <c r="H5939" s="60"/>
    </row>
    <row r="5940" spans="1:8">
      <c r="A5940" s="60"/>
      <c r="B5940" s="77"/>
      <c r="C5940" s="60"/>
      <c r="D5940" s="81"/>
      <c r="E5940" s="62"/>
      <c r="F5940" s="60"/>
      <c r="G5940" s="62"/>
      <c r="H5940" s="60"/>
    </row>
    <row r="5941" spans="1:8">
      <c r="A5941" s="60"/>
      <c r="B5941" s="77"/>
      <c r="C5941" s="60"/>
      <c r="D5941" s="81"/>
      <c r="E5941" s="62"/>
      <c r="F5941" s="60"/>
      <c r="G5941" s="62"/>
      <c r="H5941" s="60"/>
    </row>
    <row r="5942" spans="1:8">
      <c r="A5942" s="60"/>
      <c r="B5942" s="77"/>
      <c r="C5942" s="60"/>
      <c r="D5942" s="81"/>
      <c r="E5942" s="62"/>
      <c r="F5942" s="60"/>
      <c r="G5942" s="62"/>
      <c r="H5942" s="60"/>
    </row>
    <row r="5943" spans="1:8">
      <c r="A5943" s="60"/>
      <c r="B5943" s="77"/>
      <c r="C5943" s="60"/>
      <c r="D5943" s="81"/>
      <c r="E5943" s="62"/>
      <c r="F5943" s="60"/>
      <c r="G5943" s="62"/>
      <c r="H5943" s="60"/>
    </row>
    <row r="5944" spans="1:8">
      <c r="A5944" s="60"/>
      <c r="B5944" s="77"/>
      <c r="C5944" s="60"/>
      <c r="D5944" s="81"/>
      <c r="E5944" s="62"/>
      <c r="F5944" s="60"/>
      <c r="G5944" s="62"/>
      <c r="H5944" s="60"/>
    </row>
    <row r="5945" spans="1:8">
      <c r="A5945" s="60"/>
      <c r="B5945" s="77"/>
      <c r="C5945" s="60"/>
      <c r="D5945" s="81"/>
      <c r="E5945" s="62"/>
      <c r="F5945" s="60"/>
      <c r="G5945" s="62"/>
      <c r="H5945" s="60"/>
    </row>
    <row r="5946" spans="1:8">
      <c r="A5946" s="60"/>
      <c r="B5946" s="77"/>
      <c r="C5946" s="60"/>
      <c r="D5946" s="81"/>
      <c r="E5946" s="62"/>
      <c r="F5946" s="60"/>
      <c r="G5946" s="62"/>
      <c r="H5946" s="60"/>
    </row>
    <row r="5947" spans="1:8">
      <c r="A5947" s="60"/>
      <c r="B5947" s="77"/>
      <c r="C5947" s="60"/>
      <c r="D5947" s="81"/>
      <c r="E5947" s="62"/>
      <c r="F5947" s="60"/>
      <c r="G5947" s="62"/>
      <c r="H5947" s="60"/>
    </row>
    <row r="5948" spans="1:8">
      <c r="A5948" s="60"/>
      <c r="B5948" s="77"/>
      <c r="C5948" s="60"/>
      <c r="D5948" s="81"/>
      <c r="E5948" s="62"/>
      <c r="F5948" s="60"/>
      <c r="G5948" s="62"/>
      <c r="H5948" s="60"/>
    </row>
    <row r="5949" spans="1:8">
      <c r="A5949" s="60"/>
      <c r="B5949" s="77"/>
      <c r="C5949" s="60"/>
      <c r="D5949" s="81"/>
      <c r="E5949" s="62"/>
      <c r="F5949" s="60"/>
      <c r="G5949" s="62"/>
      <c r="H5949" s="60"/>
    </row>
    <row r="5950" spans="1:8">
      <c r="A5950" s="60"/>
      <c r="B5950" s="77"/>
      <c r="C5950" s="60"/>
      <c r="D5950" s="81"/>
      <c r="E5950" s="62"/>
      <c r="F5950" s="60"/>
      <c r="G5950" s="62"/>
      <c r="H5950" s="60"/>
    </row>
    <row r="5951" spans="1:8">
      <c r="A5951" s="60"/>
      <c r="B5951" s="77"/>
      <c r="C5951" s="60"/>
      <c r="D5951" s="81"/>
      <c r="E5951" s="62"/>
      <c r="F5951" s="60"/>
      <c r="G5951" s="62"/>
      <c r="H5951" s="60"/>
    </row>
    <row r="5952" spans="1:8">
      <c r="A5952" s="60"/>
      <c r="B5952" s="77"/>
      <c r="C5952" s="60"/>
      <c r="D5952" s="81"/>
      <c r="E5952" s="62"/>
      <c r="F5952" s="60"/>
      <c r="G5952" s="62"/>
      <c r="H5952" s="60"/>
    </row>
    <row r="5953" spans="1:8">
      <c r="A5953" s="60"/>
      <c r="B5953" s="77"/>
      <c r="C5953" s="60"/>
      <c r="D5953" s="81"/>
      <c r="E5953" s="62"/>
      <c r="F5953" s="60"/>
      <c r="G5953" s="62"/>
      <c r="H5953" s="60"/>
    </row>
    <row r="5954" spans="1:8">
      <c r="A5954" s="60"/>
      <c r="B5954" s="77"/>
      <c r="C5954" s="60"/>
      <c r="D5954" s="81"/>
      <c r="E5954" s="62"/>
      <c r="F5954" s="60"/>
      <c r="G5954" s="62"/>
      <c r="H5954" s="60"/>
    </row>
    <row r="5955" spans="1:8">
      <c r="A5955" s="60"/>
      <c r="B5955" s="77"/>
      <c r="C5955" s="60"/>
      <c r="D5955" s="81"/>
      <c r="E5955" s="62"/>
      <c r="F5955" s="60"/>
      <c r="G5955" s="62"/>
      <c r="H5955" s="60"/>
    </row>
    <row r="5956" spans="1:8">
      <c r="A5956" s="60"/>
      <c r="B5956" s="77"/>
      <c r="C5956" s="60"/>
      <c r="D5956" s="81"/>
      <c r="E5956" s="62"/>
      <c r="F5956" s="60"/>
      <c r="G5956" s="62"/>
      <c r="H5956" s="60"/>
    </row>
    <row r="5957" spans="1:8">
      <c r="A5957" s="60"/>
      <c r="B5957" s="77"/>
      <c r="C5957" s="60"/>
      <c r="D5957" s="81"/>
      <c r="E5957" s="62"/>
      <c r="F5957" s="60"/>
      <c r="G5957" s="62"/>
      <c r="H5957" s="60"/>
    </row>
    <row r="5958" spans="1:8">
      <c r="A5958" s="60"/>
      <c r="B5958" s="77"/>
      <c r="C5958" s="60"/>
      <c r="D5958" s="81"/>
      <c r="E5958" s="62"/>
      <c r="F5958" s="60"/>
      <c r="G5958" s="62"/>
      <c r="H5958" s="60"/>
    </row>
    <row r="5959" spans="1:8">
      <c r="A5959" s="60"/>
      <c r="B5959" s="77"/>
      <c r="C5959" s="60"/>
      <c r="D5959" s="81"/>
      <c r="E5959" s="62"/>
      <c r="F5959" s="60"/>
      <c r="G5959" s="62"/>
      <c r="H5959" s="60"/>
    </row>
    <row r="5960" spans="1:8">
      <c r="A5960" s="60"/>
      <c r="B5960" s="77"/>
      <c r="C5960" s="60"/>
      <c r="D5960" s="81"/>
      <c r="E5960" s="62"/>
      <c r="F5960" s="60"/>
      <c r="G5960" s="62"/>
      <c r="H5960" s="60"/>
    </row>
    <row r="5961" spans="1:8">
      <c r="A5961" s="60"/>
      <c r="B5961" s="77"/>
      <c r="C5961" s="60"/>
      <c r="D5961" s="81"/>
      <c r="E5961" s="62"/>
      <c r="F5961" s="60"/>
      <c r="G5961" s="62"/>
      <c r="H5961" s="60"/>
    </row>
    <row r="5962" spans="1:8">
      <c r="A5962" s="60"/>
      <c r="B5962" s="77"/>
      <c r="C5962" s="60"/>
      <c r="D5962" s="81"/>
      <c r="E5962" s="62"/>
      <c r="F5962" s="60"/>
      <c r="G5962" s="62"/>
      <c r="H5962" s="60"/>
    </row>
    <row r="5963" spans="1:8">
      <c r="A5963" s="60"/>
      <c r="B5963" s="77"/>
      <c r="C5963" s="60"/>
      <c r="D5963" s="81"/>
      <c r="E5963" s="62"/>
      <c r="F5963" s="60"/>
      <c r="G5963" s="62"/>
      <c r="H5963" s="60"/>
    </row>
    <row r="5964" spans="1:8">
      <c r="A5964" s="60"/>
      <c r="B5964" s="77"/>
      <c r="C5964" s="60"/>
      <c r="D5964" s="81"/>
      <c r="E5964" s="62"/>
      <c r="F5964" s="60"/>
      <c r="G5964" s="62"/>
      <c r="H5964" s="60"/>
    </row>
    <row r="5965" spans="1:8">
      <c r="A5965" s="60"/>
      <c r="B5965" s="77"/>
      <c r="C5965" s="60"/>
      <c r="D5965" s="81"/>
      <c r="E5965" s="62"/>
      <c r="F5965" s="60"/>
      <c r="G5965" s="62"/>
      <c r="H5965" s="60"/>
    </row>
    <row r="5966" spans="1:8">
      <c r="A5966" s="60"/>
      <c r="B5966" s="77"/>
      <c r="C5966" s="60"/>
      <c r="D5966" s="81"/>
      <c r="E5966" s="62"/>
      <c r="F5966" s="60"/>
      <c r="G5966" s="62"/>
      <c r="H5966" s="60"/>
    </row>
    <row r="5967" spans="1:8">
      <c r="A5967" s="60"/>
      <c r="B5967" s="77"/>
      <c r="C5967" s="60"/>
      <c r="D5967" s="81"/>
      <c r="E5967" s="62"/>
      <c r="F5967" s="60"/>
      <c r="G5967" s="62"/>
      <c r="H5967" s="60"/>
    </row>
    <row r="5968" spans="1:8">
      <c r="A5968" s="60"/>
      <c r="B5968" s="77"/>
      <c r="C5968" s="60"/>
      <c r="D5968" s="81"/>
      <c r="E5968" s="62"/>
      <c r="F5968" s="60"/>
      <c r="G5968" s="62"/>
      <c r="H5968" s="60"/>
    </row>
    <row r="5969" spans="1:8">
      <c r="A5969" s="60"/>
      <c r="B5969" s="77"/>
      <c r="C5969" s="60"/>
      <c r="D5969" s="81"/>
      <c r="E5969" s="62"/>
      <c r="F5969" s="60"/>
      <c r="G5969" s="62"/>
      <c r="H5969" s="60"/>
    </row>
    <row r="5970" spans="1:8">
      <c r="A5970" s="60"/>
      <c r="B5970" s="77"/>
      <c r="C5970" s="60"/>
      <c r="D5970" s="81"/>
      <c r="E5970" s="62"/>
      <c r="F5970" s="60"/>
      <c r="G5970" s="62"/>
      <c r="H5970" s="60"/>
    </row>
    <row r="5971" spans="1:8">
      <c r="A5971" s="60"/>
      <c r="B5971" s="77"/>
      <c r="C5971" s="60"/>
      <c r="D5971" s="81"/>
      <c r="E5971" s="62"/>
      <c r="F5971" s="60"/>
      <c r="G5971" s="62"/>
      <c r="H5971" s="60"/>
    </row>
    <row r="5972" spans="1:8">
      <c r="A5972" s="60"/>
      <c r="B5972" s="77"/>
      <c r="C5972" s="60"/>
      <c r="D5972" s="81"/>
      <c r="E5972" s="62"/>
      <c r="F5972" s="60"/>
      <c r="G5972" s="62"/>
      <c r="H5972" s="60"/>
    </row>
    <row r="5973" spans="1:8">
      <c r="A5973" s="60"/>
      <c r="B5973" s="77"/>
      <c r="C5973" s="60"/>
      <c r="D5973" s="81"/>
      <c r="E5973" s="62"/>
      <c r="F5973" s="60"/>
      <c r="G5973" s="62"/>
      <c r="H5973" s="60"/>
    </row>
    <row r="5974" spans="1:8">
      <c r="A5974" s="60"/>
      <c r="B5974" s="77"/>
      <c r="C5974" s="60"/>
      <c r="D5974" s="81"/>
      <c r="E5974" s="62"/>
      <c r="F5974" s="60"/>
      <c r="G5974" s="62"/>
      <c r="H5974" s="60"/>
    </row>
    <row r="5975" spans="1:8">
      <c r="A5975" s="60"/>
      <c r="B5975" s="77"/>
      <c r="C5975" s="60"/>
      <c r="D5975" s="81"/>
      <c r="E5975" s="62"/>
      <c r="F5975" s="60"/>
      <c r="G5975" s="62"/>
      <c r="H5975" s="60"/>
    </row>
    <row r="5976" spans="1:8">
      <c r="A5976" s="60"/>
      <c r="B5976" s="77"/>
      <c r="C5976" s="60"/>
      <c r="D5976" s="81"/>
      <c r="E5976" s="62"/>
      <c r="F5976" s="60"/>
      <c r="G5976" s="62"/>
      <c r="H5976" s="60"/>
    </row>
    <row r="5977" spans="1:8">
      <c r="A5977" s="60"/>
      <c r="B5977" s="77"/>
      <c r="C5977" s="60"/>
      <c r="D5977" s="81"/>
      <c r="E5977" s="62"/>
      <c r="F5977" s="60"/>
      <c r="G5977" s="62"/>
      <c r="H5977" s="60"/>
    </row>
    <row r="5978" spans="1:8">
      <c r="A5978" s="60"/>
      <c r="B5978" s="77"/>
      <c r="C5978" s="60"/>
      <c r="D5978" s="81"/>
      <c r="E5978" s="62"/>
      <c r="F5978" s="60"/>
      <c r="G5978" s="62"/>
      <c r="H5978" s="60"/>
    </row>
    <row r="5979" spans="1:8">
      <c r="A5979" s="60"/>
      <c r="B5979" s="77"/>
      <c r="C5979" s="60"/>
      <c r="D5979" s="81"/>
      <c r="E5979" s="62"/>
      <c r="F5979" s="60"/>
      <c r="G5979" s="62"/>
      <c r="H5979" s="60"/>
    </row>
    <row r="5980" spans="1:8">
      <c r="A5980" s="60"/>
      <c r="B5980" s="77"/>
      <c r="C5980" s="60"/>
      <c r="D5980" s="81"/>
      <c r="E5980" s="62"/>
      <c r="F5980" s="60"/>
      <c r="G5980" s="62"/>
      <c r="H5980" s="60"/>
    </row>
    <row r="5981" spans="1:8">
      <c r="A5981" s="60"/>
      <c r="B5981" s="77"/>
      <c r="C5981" s="60"/>
      <c r="D5981" s="81"/>
      <c r="E5981" s="62"/>
      <c r="F5981" s="60"/>
      <c r="G5981" s="62"/>
      <c r="H5981" s="60"/>
    </row>
    <row r="5982" spans="1:8">
      <c r="A5982" s="60"/>
      <c r="B5982" s="77"/>
      <c r="C5982" s="60"/>
      <c r="D5982" s="81"/>
      <c r="E5982" s="62"/>
      <c r="F5982" s="60"/>
      <c r="G5982" s="62"/>
      <c r="H5982" s="60"/>
    </row>
    <row r="5983" spans="1:8">
      <c r="A5983" s="60"/>
      <c r="B5983" s="77"/>
      <c r="C5983" s="60"/>
      <c r="D5983" s="81"/>
      <c r="E5983" s="62"/>
      <c r="F5983" s="60"/>
      <c r="G5983" s="62"/>
      <c r="H5983" s="60"/>
    </row>
    <row r="5984" spans="1:8">
      <c r="A5984" s="60"/>
      <c r="B5984" s="77"/>
      <c r="C5984" s="60"/>
      <c r="D5984" s="81"/>
      <c r="E5984" s="62"/>
      <c r="F5984" s="60"/>
      <c r="G5984" s="62"/>
      <c r="H5984" s="60"/>
    </row>
    <row r="5985" spans="1:8">
      <c r="A5985" s="60"/>
      <c r="B5985" s="77"/>
      <c r="C5985" s="60"/>
      <c r="D5985" s="81"/>
      <c r="E5985" s="62"/>
      <c r="F5985" s="60"/>
      <c r="G5985" s="62"/>
      <c r="H5985" s="60"/>
    </row>
    <row r="5986" spans="1:8">
      <c r="A5986" s="60"/>
      <c r="B5986" s="77"/>
      <c r="C5986" s="60"/>
      <c r="D5986" s="81"/>
      <c r="E5986" s="62"/>
      <c r="F5986" s="60"/>
      <c r="G5986" s="62"/>
      <c r="H5986" s="60"/>
    </row>
    <row r="5987" spans="1:8">
      <c r="A5987" s="60"/>
      <c r="B5987" s="77"/>
      <c r="C5987" s="60"/>
      <c r="D5987" s="81"/>
      <c r="E5987" s="62"/>
      <c r="F5987" s="60"/>
      <c r="G5987" s="62"/>
      <c r="H5987" s="60"/>
    </row>
    <row r="5988" spans="1:8">
      <c r="A5988" s="60"/>
      <c r="B5988" s="77"/>
      <c r="C5988" s="60"/>
      <c r="D5988" s="81"/>
      <c r="E5988" s="62"/>
      <c r="F5988" s="60"/>
      <c r="G5988" s="62"/>
      <c r="H5988" s="60"/>
    </row>
    <row r="5989" spans="1:8">
      <c r="A5989" s="60"/>
      <c r="B5989" s="77"/>
      <c r="C5989" s="60"/>
      <c r="D5989" s="81"/>
      <c r="E5989" s="62"/>
      <c r="F5989" s="60"/>
      <c r="G5989" s="62"/>
      <c r="H5989" s="60"/>
    </row>
    <row r="5990" spans="1:8">
      <c r="A5990" s="60"/>
      <c r="B5990" s="77"/>
      <c r="C5990" s="60"/>
      <c r="D5990" s="81"/>
      <c r="E5990" s="62"/>
      <c r="F5990" s="60"/>
      <c r="G5990" s="62"/>
      <c r="H5990" s="60"/>
    </row>
    <row r="5991" spans="1:8">
      <c r="A5991" s="60"/>
      <c r="B5991" s="77"/>
      <c r="C5991" s="60"/>
      <c r="D5991" s="81"/>
      <c r="E5991" s="62"/>
      <c r="F5991" s="60"/>
      <c r="G5991" s="62"/>
      <c r="H5991" s="60"/>
    </row>
    <row r="5992" spans="1:8">
      <c r="A5992" s="60"/>
      <c r="B5992" s="77"/>
      <c r="C5992" s="60"/>
      <c r="D5992" s="81"/>
      <c r="E5992" s="62"/>
      <c r="F5992" s="60"/>
      <c r="G5992" s="62"/>
      <c r="H5992" s="60"/>
    </row>
    <row r="5993" spans="1:8">
      <c r="A5993" s="60"/>
      <c r="B5993" s="77"/>
      <c r="C5993" s="60"/>
      <c r="D5993" s="81"/>
      <c r="E5993" s="62"/>
      <c r="F5993" s="60"/>
      <c r="G5993" s="62"/>
      <c r="H5993" s="60"/>
    </row>
    <row r="5994" spans="1:8">
      <c r="A5994" s="60"/>
      <c r="B5994" s="77"/>
      <c r="C5994" s="60"/>
      <c r="D5994" s="81"/>
      <c r="E5994" s="62"/>
      <c r="F5994" s="60"/>
      <c r="G5994" s="62"/>
      <c r="H5994" s="60"/>
    </row>
    <row r="5995" spans="1:8">
      <c r="A5995" s="60"/>
      <c r="B5995" s="77"/>
      <c r="C5995" s="60"/>
      <c r="D5995" s="81"/>
      <c r="E5995" s="62"/>
      <c r="F5995" s="60"/>
      <c r="G5995" s="62"/>
      <c r="H5995" s="60"/>
    </row>
    <row r="5996" spans="1:8">
      <c r="A5996" s="60"/>
      <c r="B5996" s="77"/>
      <c r="C5996" s="60"/>
      <c r="D5996" s="81"/>
      <c r="E5996" s="62"/>
      <c r="F5996" s="60"/>
      <c r="G5996" s="62"/>
      <c r="H5996" s="60"/>
    </row>
    <row r="5997" spans="1:8">
      <c r="A5997" s="60"/>
      <c r="B5997" s="77"/>
      <c r="C5997" s="60"/>
      <c r="D5997" s="81"/>
      <c r="E5997" s="62"/>
      <c r="F5997" s="60"/>
      <c r="G5997" s="62"/>
      <c r="H5997" s="60"/>
    </row>
    <row r="5998" spans="1:8">
      <c r="A5998" s="60"/>
      <c r="B5998" s="77"/>
      <c r="C5998" s="60"/>
      <c r="D5998" s="81"/>
      <c r="E5998" s="62"/>
      <c r="F5998" s="60"/>
      <c r="G5998" s="62"/>
      <c r="H5998" s="60"/>
    </row>
    <row r="5999" spans="1:8">
      <c r="A5999" s="60"/>
      <c r="B5999" s="77"/>
      <c r="C5999" s="60"/>
      <c r="D5999" s="81"/>
      <c r="E5999" s="62"/>
      <c r="F5999" s="60"/>
      <c r="G5999" s="62"/>
      <c r="H5999" s="60"/>
    </row>
    <row r="6000" spans="1:8">
      <c r="A6000" s="60"/>
      <c r="B6000" s="77"/>
      <c r="C6000" s="60"/>
      <c r="D6000" s="81"/>
      <c r="E6000" s="62"/>
      <c r="F6000" s="60"/>
      <c r="G6000" s="62"/>
      <c r="H6000" s="60"/>
    </row>
    <row r="6001" spans="1:8">
      <c r="A6001" s="60"/>
      <c r="B6001" s="77"/>
      <c r="C6001" s="60"/>
      <c r="D6001" s="81"/>
      <c r="E6001" s="62"/>
      <c r="F6001" s="60"/>
      <c r="G6001" s="62"/>
      <c r="H6001" s="60"/>
    </row>
    <row r="6002" spans="1:8">
      <c r="A6002" s="60"/>
      <c r="B6002" s="77"/>
      <c r="C6002" s="60"/>
      <c r="D6002" s="81"/>
      <c r="E6002" s="62"/>
      <c r="F6002" s="60"/>
      <c r="G6002" s="62"/>
      <c r="H6002" s="60"/>
    </row>
    <row r="6003" spans="1:8">
      <c r="A6003" s="60"/>
      <c r="B6003" s="77"/>
      <c r="C6003" s="60"/>
      <c r="D6003" s="81"/>
      <c r="E6003" s="62"/>
      <c r="F6003" s="60"/>
      <c r="G6003" s="62"/>
      <c r="H6003" s="60"/>
    </row>
    <row r="6004" spans="1:8">
      <c r="A6004" s="60"/>
      <c r="B6004" s="77"/>
      <c r="C6004" s="60"/>
      <c r="D6004" s="81"/>
      <c r="E6004" s="62"/>
      <c r="F6004" s="60"/>
      <c r="G6004" s="62"/>
      <c r="H6004" s="60"/>
    </row>
    <row r="6005" spans="1:8">
      <c r="A6005" s="60"/>
      <c r="B6005" s="77"/>
      <c r="C6005" s="60"/>
      <c r="D6005" s="81"/>
      <c r="E6005" s="62"/>
      <c r="F6005" s="60"/>
      <c r="G6005" s="62"/>
      <c r="H6005" s="60"/>
    </row>
    <row r="6006" spans="1:8">
      <c r="A6006" s="60"/>
      <c r="B6006" s="77"/>
      <c r="C6006" s="60"/>
      <c r="D6006" s="81"/>
      <c r="E6006" s="62"/>
      <c r="F6006" s="60"/>
      <c r="G6006" s="62"/>
      <c r="H6006" s="60"/>
    </row>
    <row r="6007" spans="1:8">
      <c r="A6007" s="60"/>
      <c r="B6007" s="77"/>
      <c r="C6007" s="60"/>
      <c r="D6007" s="81"/>
      <c r="E6007" s="62"/>
      <c r="F6007" s="60"/>
      <c r="G6007" s="62"/>
      <c r="H6007" s="60"/>
    </row>
    <row r="6008" spans="1:8">
      <c r="A6008" s="60"/>
      <c r="B6008" s="77"/>
      <c r="C6008" s="60"/>
      <c r="D6008" s="81"/>
      <c r="E6008" s="62"/>
      <c r="F6008" s="60"/>
      <c r="G6008" s="62"/>
      <c r="H6008" s="60"/>
    </row>
    <row r="6009" spans="1:8">
      <c r="A6009" s="60"/>
      <c r="B6009" s="77"/>
      <c r="C6009" s="60"/>
      <c r="D6009" s="81"/>
      <c r="E6009" s="62"/>
      <c r="F6009" s="60"/>
      <c r="G6009" s="62"/>
      <c r="H6009" s="60"/>
    </row>
    <row r="6010" spans="1:8">
      <c r="A6010" s="60"/>
      <c r="B6010" s="77"/>
      <c r="C6010" s="60"/>
      <c r="D6010" s="81"/>
      <c r="E6010" s="62"/>
      <c r="F6010" s="60"/>
      <c r="G6010" s="62"/>
      <c r="H6010" s="60"/>
    </row>
    <row r="6011" spans="1:8">
      <c r="A6011" s="60"/>
      <c r="B6011" s="77"/>
      <c r="C6011" s="60"/>
      <c r="D6011" s="81"/>
      <c r="E6011" s="62"/>
      <c r="F6011" s="60"/>
      <c r="G6011" s="62"/>
      <c r="H6011" s="60"/>
    </row>
    <row r="6012" spans="1:8">
      <c r="A6012" s="60"/>
      <c r="B6012" s="77"/>
      <c r="C6012" s="60"/>
      <c r="D6012" s="81"/>
      <c r="E6012" s="62"/>
      <c r="F6012" s="60"/>
      <c r="G6012" s="62"/>
      <c r="H6012" s="60"/>
    </row>
    <row r="6013" spans="1:8">
      <c r="A6013" s="60"/>
      <c r="B6013" s="77"/>
      <c r="C6013" s="60"/>
      <c r="D6013" s="81"/>
      <c r="E6013" s="62"/>
      <c r="F6013" s="60"/>
      <c r="G6013" s="62"/>
      <c r="H6013" s="60"/>
    </row>
    <row r="6014" spans="1:8">
      <c r="A6014" s="60"/>
      <c r="B6014" s="77"/>
      <c r="C6014" s="60"/>
      <c r="D6014" s="81"/>
      <c r="E6014" s="62"/>
      <c r="F6014" s="60"/>
      <c r="G6014" s="62"/>
      <c r="H6014" s="60"/>
    </row>
    <row r="6015" spans="1:8">
      <c r="A6015" s="60"/>
      <c r="B6015" s="77"/>
      <c r="C6015" s="60"/>
      <c r="D6015" s="81"/>
      <c r="E6015" s="62"/>
      <c r="F6015" s="60"/>
      <c r="G6015" s="62"/>
      <c r="H6015" s="60"/>
    </row>
    <row r="6016" spans="1:8">
      <c r="A6016" s="60"/>
      <c r="B6016" s="77"/>
      <c r="C6016" s="60"/>
      <c r="D6016" s="81"/>
      <c r="E6016" s="62"/>
      <c r="F6016" s="60"/>
      <c r="G6016" s="62"/>
      <c r="H6016" s="60"/>
    </row>
    <row r="6017" spans="1:8">
      <c r="A6017" s="60"/>
      <c r="B6017" s="77"/>
      <c r="C6017" s="60"/>
      <c r="D6017" s="81"/>
      <c r="E6017" s="62"/>
      <c r="F6017" s="60"/>
      <c r="G6017" s="62"/>
      <c r="H6017" s="60"/>
    </row>
    <row r="6018" spans="1:8">
      <c r="A6018" s="60"/>
      <c r="B6018" s="77"/>
      <c r="C6018" s="60"/>
      <c r="D6018" s="81"/>
      <c r="E6018" s="62"/>
      <c r="F6018" s="60"/>
      <c r="G6018" s="62"/>
      <c r="H6018" s="60"/>
    </row>
    <row r="6019" spans="1:8">
      <c r="A6019" s="60"/>
      <c r="B6019" s="77"/>
      <c r="C6019" s="60"/>
      <c r="D6019" s="81"/>
      <c r="E6019" s="62"/>
      <c r="F6019" s="60"/>
      <c r="G6019" s="62"/>
      <c r="H6019" s="60"/>
    </row>
    <row r="6020" spans="1:8">
      <c r="A6020" s="60"/>
      <c r="B6020" s="77"/>
      <c r="C6020" s="60"/>
      <c r="D6020" s="81"/>
      <c r="E6020" s="62"/>
      <c r="F6020" s="60"/>
      <c r="G6020" s="62"/>
      <c r="H6020" s="60"/>
    </row>
    <row r="6021" spans="1:8">
      <c r="A6021" s="60"/>
      <c r="B6021" s="77"/>
      <c r="C6021" s="60"/>
      <c r="D6021" s="81"/>
      <c r="E6021" s="62"/>
      <c r="F6021" s="60"/>
      <c r="G6021" s="62"/>
      <c r="H6021" s="60"/>
    </row>
    <row r="6022" spans="1:8">
      <c r="A6022" s="60"/>
      <c r="B6022" s="77"/>
      <c r="C6022" s="60"/>
      <c r="D6022" s="81"/>
      <c r="E6022" s="62"/>
      <c r="F6022" s="60"/>
      <c r="G6022" s="62"/>
      <c r="H6022" s="60"/>
    </row>
    <row r="6023" spans="1:8">
      <c r="A6023" s="60"/>
      <c r="B6023" s="77"/>
      <c r="C6023" s="60"/>
      <c r="D6023" s="81"/>
      <c r="E6023" s="62"/>
      <c r="F6023" s="60"/>
      <c r="G6023" s="62"/>
      <c r="H6023" s="60"/>
    </row>
    <row r="6024" spans="1:8">
      <c r="A6024" s="60"/>
      <c r="B6024" s="77"/>
      <c r="C6024" s="60"/>
      <c r="D6024" s="81"/>
      <c r="E6024" s="62"/>
      <c r="F6024" s="60"/>
      <c r="G6024" s="62"/>
      <c r="H6024" s="60"/>
    </row>
    <row r="6025" spans="1:8">
      <c r="A6025" s="60"/>
      <c r="B6025" s="77"/>
      <c r="C6025" s="60"/>
      <c r="D6025" s="81"/>
      <c r="E6025" s="62"/>
      <c r="F6025" s="60"/>
      <c r="G6025" s="62"/>
      <c r="H6025" s="60"/>
    </row>
    <row r="6026" spans="1:8">
      <c r="A6026" s="60"/>
      <c r="B6026" s="77"/>
      <c r="C6026" s="60"/>
      <c r="D6026" s="81"/>
      <c r="E6026" s="62"/>
      <c r="F6026" s="60"/>
      <c r="G6026" s="62"/>
      <c r="H6026" s="60"/>
    </row>
    <row r="6027" spans="1:8">
      <c r="A6027" s="60"/>
      <c r="B6027" s="77"/>
      <c r="C6027" s="60"/>
      <c r="D6027" s="81"/>
      <c r="E6027" s="62"/>
      <c r="F6027" s="60"/>
      <c r="G6027" s="62"/>
      <c r="H6027" s="60"/>
    </row>
    <row r="6028" spans="1:8">
      <c r="A6028" s="60"/>
      <c r="B6028" s="77"/>
      <c r="C6028" s="60"/>
      <c r="D6028" s="81"/>
      <c r="E6028" s="62"/>
      <c r="F6028" s="60"/>
      <c r="G6028" s="62"/>
      <c r="H6028" s="60"/>
    </row>
    <row r="6029" spans="1:8">
      <c r="A6029" s="60"/>
      <c r="B6029" s="77"/>
      <c r="C6029" s="60"/>
      <c r="D6029" s="81"/>
      <c r="E6029" s="62"/>
      <c r="F6029" s="60"/>
      <c r="G6029" s="62"/>
      <c r="H6029" s="60"/>
    </row>
    <row r="6030" spans="1:8">
      <c r="A6030" s="60"/>
      <c r="B6030" s="77"/>
      <c r="C6030" s="60"/>
      <c r="D6030" s="81"/>
      <c r="E6030" s="62"/>
      <c r="F6030" s="60"/>
      <c r="G6030" s="62"/>
      <c r="H6030" s="60"/>
    </row>
    <row r="6031" spans="1:8">
      <c r="A6031" s="60"/>
      <c r="B6031" s="77"/>
      <c r="C6031" s="60"/>
      <c r="D6031" s="81"/>
      <c r="E6031" s="62"/>
      <c r="F6031" s="60"/>
      <c r="G6031" s="62"/>
      <c r="H6031" s="60"/>
    </row>
    <row r="6032" spans="1:8">
      <c r="A6032" s="60"/>
      <c r="B6032" s="77"/>
      <c r="C6032" s="60"/>
      <c r="D6032" s="81"/>
      <c r="E6032" s="62"/>
      <c r="F6032" s="60"/>
      <c r="G6032" s="62"/>
      <c r="H6032" s="60"/>
    </row>
    <row r="6033" spans="1:8">
      <c r="A6033" s="60"/>
      <c r="B6033" s="77"/>
      <c r="C6033" s="60"/>
      <c r="D6033" s="81"/>
      <c r="E6033" s="62"/>
      <c r="F6033" s="60"/>
      <c r="G6033" s="62"/>
      <c r="H6033" s="60"/>
    </row>
    <row r="6034" spans="1:8">
      <c r="A6034" s="60"/>
      <c r="B6034" s="77"/>
      <c r="C6034" s="60"/>
      <c r="D6034" s="81"/>
      <c r="E6034" s="62"/>
      <c r="F6034" s="60"/>
      <c r="G6034" s="62"/>
      <c r="H6034" s="60"/>
    </row>
    <row r="6035" spans="1:8">
      <c r="A6035" s="60"/>
      <c r="B6035" s="77"/>
      <c r="C6035" s="60"/>
      <c r="D6035" s="81"/>
      <c r="E6035" s="62"/>
      <c r="F6035" s="60"/>
      <c r="G6035" s="62"/>
      <c r="H6035" s="60"/>
    </row>
    <row r="6036" spans="1:8">
      <c r="A6036" s="60"/>
      <c r="B6036" s="77"/>
      <c r="C6036" s="60"/>
      <c r="D6036" s="81"/>
      <c r="E6036" s="62"/>
      <c r="F6036" s="60"/>
      <c r="G6036" s="62"/>
      <c r="H6036" s="60"/>
    </row>
    <row r="6037" spans="1:8">
      <c r="A6037" s="60"/>
      <c r="B6037" s="77"/>
      <c r="C6037" s="60"/>
      <c r="D6037" s="81"/>
      <c r="E6037" s="62"/>
      <c r="F6037" s="60"/>
      <c r="G6037" s="62"/>
      <c r="H6037" s="60"/>
    </row>
    <row r="6038" spans="1:8">
      <c r="A6038" s="60"/>
      <c r="B6038" s="77"/>
      <c r="C6038" s="60"/>
      <c r="D6038" s="81"/>
      <c r="E6038" s="62"/>
      <c r="F6038" s="60"/>
      <c r="G6038" s="62"/>
      <c r="H6038" s="60"/>
    </row>
    <row r="6039" spans="1:8">
      <c r="A6039" s="60"/>
      <c r="B6039" s="77"/>
      <c r="C6039" s="60"/>
      <c r="D6039" s="81"/>
      <c r="E6039" s="62"/>
      <c r="F6039" s="60"/>
      <c r="G6039" s="62"/>
      <c r="H6039" s="60"/>
    </row>
    <row r="6040" spans="1:8">
      <c r="A6040" s="60"/>
      <c r="B6040" s="77"/>
      <c r="C6040" s="60"/>
      <c r="D6040" s="81"/>
      <c r="E6040" s="62"/>
      <c r="F6040" s="60"/>
      <c r="G6040" s="62"/>
      <c r="H6040" s="60"/>
    </row>
    <row r="6041" spans="1:8">
      <c r="A6041" s="60"/>
      <c r="B6041" s="77"/>
      <c r="C6041" s="60"/>
      <c r="D6041" s="81"/>
      <c r="E6041" s="62"/>
      <c r="F6041" s="60"/>
      <c r="G6041" s="62"/>
      <c r="H6041" s="60"/>
    </row>
    <row r="6042" spans="1:8">
      <c r="A6042" s="60"/>
      <c r="B6042" s="77"/>
      <c r="C6042" s="60"/>
      <c r="D6042" s="81"/>
      <c r="E6042" s="62"/>
      <c r="F6042" s="60"/>
      <c r="G6042" s="62"/>
      <c r="H6042" s="60"/>
    </row>
    <row r="6043" spans="1:8">
      <c r="A6043" s="60"/>
      <c r="B6043" s="77"/>
      <c r="C6043" s="60"/>
      <c r="D6043" s="81"/>
      <c r="E6043" s="62"/>
      <c r="F6043" s="60"/>
      <c r="G6043" s="62"/>
      <c r="H6043" s="60"/>
    </row>
    <row r="6044" spans="1:8">
      <c r="A6044" s="60"/>
      <c r="B6044" s="77"/>
      <c r="C6044" s="60"/>
      <c r="D6044" s="81"/>
      <c r="E6044" s="62"/>
      <c r="F6044" s="60"/>
      <c r="G6044" s="62"/>
      <c r="H6044" s="60"/>
    </row>
    <row r="6045" spans="1:8">
      <c r="A6045" s="60"/>
      <c r="B6045" s="77"/>
      <c r="C6045" s="60"/>
      <c r="D6045" s="81"/>
      <c r="E6045" s="62"/>
      <c r="F6045" s="60"/>
      <c r="G6045" s="62"/>
      <c r="H6045" s="60"/>
    </row>
    <row r="6046" spans="1:8">
      <c r="A6046" s="60"/>
      <c r="B6046" s="77"/>
      <c r="C6046" s="60"/>
      <c r="D6046" s="81"/>
      <c r="E6046" s="62"/>
      <c r="F6046" s="60"/>
      <c r="G6046" s="62"/>
      <c r="H6046" s="60"/>
    </row>
    <row r="6047" spans="1:8">
      <c r="A6047" s="60"/>
      <c r="B6047" s="77"/>
      <c r="C6047" s="60"/>
      <c r="D6047" s="81"/>
      <c r="E6047" s="62"/>
      <c r="F6047" s="60"/>
      <c r="G6047" s="62"/>
      <c r="H6047" s="60"/>
    </row>
    <row r="6048" spans="1:8">
      <c r="A6048" s="60"/>
      <c r="B6048" s="77"/>
      <c r="C6048" s="60"/>
      <c r="D6048" s="81"/>
      <c r="E6048" s="62"/>
      <c r="F6048" s="60"/>
      <c r="G6048" s="62"/>
      <c r="H6048" s="60"/>
    </row>
    <row r="6049" spans="1:8">
      <c r="A6049" s="60"/>
      <c r="B6049" s="77"/>
      <c r="C6049" s="60"/>
      <c r="D6049" s="81"/>
      <c r="E6049" s="62"/>
      <c r="F6049" s="60"/>
      <c r="G6049" s="62"/>
      <c r="H6049" s="60"/>
    </row>
    <row r="6050" spans="1:8">
      <c r="A6050" s="60"/>
      <c r="B6050" s="77"/>
      <c r="C6050" s="60"/>
      <c r="D6050" s="81"/>
      <c r="E6050" s="62"/>
      <c r="F6050" s="60"/>
      <c r="G6050" s="62"/>
      <c r="H6050" s="60"/>
    </row>
    <row r="6051" spans="1:8">
      <c r="A6051" s="60"/>
      <c r="B6051" s="77"/>
      <c r="C6051" s="60"/>
      <c r="D6051" s="81"/>
      <c r="E6051" s="62"/>
      <c r="F6051" s="60"/>
      <c r="G6051" s="62"/>
      <c r="H6051" s="60"/>
    </row>
    <row r="6052" spans="1:8">
      <c r="A6052" s="60"/>
      <c r="B6052" s="77"/>
      <c r="C6052" s="60"/>
      <c r="D6052" s="81"/>
      <c r="E6052" s="62"/>
      <c r="F6052" s="60"/>
      <c r="G6052" s="62"/>
      <c r="H6052" s="60"/>
    </row>
    <row r="6053" spans="1:8">
      <c r="A6053" s="60"/>
      <c r="B6053" s="77"/>
      <c r="C6053" s="60"/>
      <c r="D6053" s="81"/>
      <c r="E6053" s="62"/>
      <c r="F6053" s="60"/>
      <c r="G6053" s="62"/>
      <c r="H6053" s="60"/>
    </row>
    <row r="6054" spans="1:8">
      <c r="A6054" s="60"/>
      <c r="B6054" s="77"/>
      <c r="C6054" s="60"/>
      <c r="D6054" s="81"/>
      <c r="E6054" s="62"/>
      <c r="F6054" s="60"/>
      <c r="G6054" s="62"/>
      <c r="H6054" s="60"/>
    </row>
    <row r="6055" spans="1:8">
      <c r="A6055" s="60"/>
      <c r="B6055" s="77"/>
      <c r="C6055" s="60"/>
      <c r="D6055" s="81"/>
      <c r="E6055" s="62"/>
      <c r="F6055" s="60"/>
      <c r="G6055" s="62"/>
      <c r="H6055" s="60"/>
    </row>
    <row r="6056" spans="1:8">
      <c r="A6056" s="60"/>
      <c r="B6056" s="77"/>
      <c r="C6056" s="60"/>
      <c r="D6056" s="81"/>
      <c r="E6056" s="62"/>
      <c r="F6056" s="60"/>
      <c r="G6056" s="62"/>
      <c r="H6056" s="60"/>
    </row>
    <row r="6057" spans="1:8">
      <c r="A6057" s="60"/>
      <c r="B6057" s="77"/>
      <c r="C6057" s="60"/>
      <c r="D6057" s="81"/>
      <c r="E6057" s="62"/>
      <c r="F6057" s="60"/>
      <c r="G6057" s="62"/>
      <c r="H6057" s="60"/>
    </row>
    <row r="6058" spans="1:8">
      <c r="A6058" s="60"/>
      <c r="B6058" s="77"/>
      <c r="C6058" s="60"/>
      <c r="D6058" s="81"/>
      <c r="E6058" s="62"/>
      <c r="F6058" s="60"/>
      <c r="G6058" s="62"/>
      <c r="H6058" s="60"/>
    </row>
    <row r="6059" spans="1:8">
      <c r="A6059" s="60"/>
      <c r="B6059" s="77"/>
      <c r="C6059" s="60"/>
      <c r="D6059" s="81"/>
      <c r="E6059" s="62"/>
      <c r="F6059" s="60"/>
      <c r="G6059" s="62"/>
      <c r="H6059" s="60"/>
    </row>
    <row r="6060" spans="1:8">
      <c r="A6060" s="60"/>
      <c r="B6060" s="77"/>
      <c r="C6060" s="60"/>
      <c r="D6060" s="81"/>
      <c r="E6060" s="62"/>
      <c r="F6060" s="60"/>
      <c r="G6060" s="62"/>
      <c r="H6060" s="60"/>
    </row>
    <row r="6061" spans="1:8">
      <c r="A6061" s="60"/>
      <c r="B6061" s="77"/>
      <c r="C6061" s="60"/>
      <c r="D6061" s="81"/>
      <c r="E6061" s="62"/>
      <c r="F6061" s="60"/>
      <c r="G6061" s="62"/>
      <c r="H6061" s="60"/>
    </row>
    <row r="6062" spans="1:8">
      <c r="A6062" s="60"/>
      <c r="B6062" s="77"/>
      <c r="C6062" s="60"/>
      <c r="D6062" s="81"/>
      <c r="E6062" s="62"/>
      <c r="F6062" s="60"/>
      <c r="G6062" s="62"/>
      <c r="H6062" s="60"/>
    </row>
    <row r="6063" spans="1:8">
      <c r="A6063" s="60"/>
      <c r="B6063" s="77"/>
      <c r="C6063" s="60"/>
      <c r="D6063" s="81"/>
      <c r="E6063" s="62"/>
      <c r="F6063" s="60"/>
      <c r="G6063" s="62"/>
      <c r="H6063" s="60"/>
    </row>
    <row r="6064" spans="1:8">
      <c r="A6064" s="60"/>
      <c r="B6064" s="77"/>
      <c r="C6064" s="60"/>
      <c r="D6064" s="81"/>
      <c r="E6064" s="62"/>
      <c r="F6064" s="60"/>
      <c r="G6064" s="62"/>
      <c r="H6064" s="60"/>
    </row>
    <row r="6065" spans="1:8">
      <c r="A6065" s="60"/>
      <c r="B6065" s="77"/>
      <c r="C6065" s="60"/>
      <c r="D6065" s="81"/>
      <c r="E6065" s="62"/>
      <c r="F6065" s="60"/>
      <c r="G6065" s="62"/>
      <c r="H6065" s="60"/>
    </row>
    <row r="6066" spans="1:8">
      <c r="A6066" s="60"/>
      <c r="B6066" s="77"/>
      <c r="C6066" s="60"/>
      <c r="D6066" s="81"/>
      <c r="E6066" s="62"/>
      <c r="F6066" s="60"/>
      <c r="G6066" s="62"/>
      <c r="H6066" s="60"/>
    </row>
    <row r="6067" spans="1:8">
      <c r="A6067" s="60"/>
      <c r="B6067" s="77"/>
      <c r="C6067" s="60"/>
      <c r="D6067" s="81"/>
      <c r="E6067" s="62"/>
      <c r="F6067" s="60"/>
      <c r="G6067" s="62"/>
      <c r="H6067" s="60"/>
    </row>
    <row r="6068" spans="1:8">
      <c r="A6068" s="60"/>
      <c r="B6068" s="77"/>
      <c r="C6068" s="60"/>
      <c r="D6068" s="81"/>
      <c r="E6068" s="62"/>
      <c r="F6068" s="60"/>
      <c r="G6068" s="62"/>
      <c r="H6068" s="60"/>
    </row>
    <row r="6069" spans="1:8">
      <c r="A6069" s="60"/>
      <c r="B6069" s="77"/>
      <c r="C6069" s="60"/>
      <c r="D6069" s="81"/>
      <c r="E6069" s="62"/>
      <c r="F6069" s="60"/>
      <c r="G6069" s="62"/>
      <c r="H6069" s="60"/>
    </row>
    <row r="6070" spans="1:8">
      <c r="A6070" s="60"/>
      <c r="B6070" s="77"/>
      <c r="C6070" s="60"/>
      <c r="D6070" s="81"/>
      <c r="E6070" s="62"/>
      <c r="F6070" s="60"/>
      <c r="G6070" s="62"/>
      <c r="H6070" s="60"/>
    </row>
    <row r="6071" spans="1:8">
      <c r="A6071" s="60"/>
      <c r="B6071" s="77"/>
      <c r="C6071" s="60"/>
      <c r="D6071" s="81"/>
      <c r="E6071" s="62"/>
      <c r="F6071" s="60"/>
      <c r="G6071" s="62"/>
      <c r="H6071" s="60"/>
    </row>
    <row r="6072" spans="1:8">
      <c r="A6072" s="60"/>
      <c r="B6072" s="77"/>
      <c r="C6072" s="60"/>
      <c r="D6072" s="81"/>
      <c r="E6072" s="62"/>
      <c r="F6072" s="60"/>
      <c r="G6072" s="62"/>
      <c r="H6072" s="60"/>
    </row>
    <row r="6073" spans="1:8">
      <c r="A6073" s="60"/>
      <c r="B6073" s="77"/>
      <c r="C6073" s="60"/>
      <c r="D6073" s="81"/>
      <c r="E6073" s="62"/>
      <c r="F6073" s="60"/>
      <c r="G6073" s="62"/>
      <c r="H6073" s="60"/>
    </row>
    <row r="6074" spans="1:8">
      <c r="A6074" s="60"/>
      <c r="B6074" s="77"/>
      <c r="C6074" s="60"/>
      <c r="D6074" s="81"/>
      <c r="E6074" s="62"/>
      <c r="F6074" s="60"/>
      <c r="G6074" s="62"/>
      <c r="H6074" s="60"/>
    </row>
    <row r="6075" spans="1:8">
      <c r="A6075" s="60"/>
      <c r="B6075" s="77"/>
      <c r="C6075" s="60"/>
      <c r="D6075" s="81"/>
      <c r="E6075" s="62"/>
      <c r="F6075" s="60"/>
      <c r="G6075" s="62"/>
      <c r="H6075" s="60"/>
    </row>
    <row r="6076" spans="1:8">
      <c r="A6076" s="60"/>
      <c r="B6076" s="77"/>
      <c r="C6076" s="60"/>
      <c r="D6076" s="81"/>
      <c r="E6076" s="62"/>
      <c r="F6076" s="60"/>
      <c r="G6076" s="62"/>
      <c r="H6076" s="60"/>
    </row>
    <row r="6077" spans="1:8">
      <c r="A6077" s="60"/>
      <c r="B6077" s="77"/>
      <c r="C6077" s="60"/>
      <c r="D6077" s="81"/>
      <c r="E6077" s="62"/>
      <c r="F6077" s="60"/>
      <c r="G6077" s="62"/>
      <c r="H6077" s="60"/>
    </row>
    <row r="6078" spans="1:8">
      <c r="A6078" s="60"/>
      <c r="B6078" s="77"/>
      <c r="C6078" s="60"/>
      <c r="D6078" s="81"/>
      <c r="E6078" s="62"/>
      <c r="F6078" s="60"/>
      <c r="G6078" s="62"/>
      <c r="H6078" s="60"/>
    </row>
    <row r="6079" spans="1:8">
      <c r="A6079" s="60"/>
      <c r="B6079" s="77"/>
      <c r="C6079" s="60"/>
      <c r="D6079" s="81"/>
      <c r="E6079" s="62"/>
      <c r="F6079" s="60"/>
      <c r="G6079" s="62"/>
      <c r="H6079" s="60"/>
    </row>
    <row r="6080" spans="1:8">
      <c r="A6080" s="60"/>
      <c r="B6080" s="77"/>
      <c r="C6080" s="60"/>
      <c r="D6080" s="81"/>
      <c r="E6080" s="62"/>
      <c r="F6080" s="60"/>
      <c r="G6080" s="62"/>
      <c r="H6080" s="60"/>
    </row>
    <row r="6081" spans="1:8">
      <c r="A6081" s="60"/>
      <c r="B6081" s="77"/>
      <c r="C6081" s="60"/>
      <c r="D6081" s="81"/>
      <c r="E6081" s="62"/>
      <c r="F6081" s="60"/>
      <c r="G6081" s="62"/>
      <c r="H6081" s="60"/>
    </row>
    <row r="6082" spans="1:8">
      <c r="A6082" s="60"/>
      <c r="B6082" s="77"/>
      <c r="C6082" s="60"/>
      <c r="D6082" s="81"/>
      <c r="E6082" s="62"/>
      <c r="F6082" s="60"/>
      <c r="G6082" s="62"/>
      <c r="H6082" s="60"/>
    </row>
    <row r="6083" spans="1:8">
      <c r="A6083" s="60"/>
      <c r="B6083" s="77"/>
      <c r="C6083" s="60"/>
      <c r="D6083" s="81"/>
      <c r="E6083" s="62"/>
      <c r="F6083" s="60"/>
      <c r="G6083" s="62"/>
      <c r="H6083" s="60"/>
    </row>
    <row r="6084" spans="1:8">
      <c r="A6084" s="60"/>
      <c r="B6084" s="77"/>
      <c r="C6084" s="60"/>
      <c r="D6084" s="81"/>
      <c r="E6084" s="62"/>
      <c r="F6084" s="60"/>
      <c r="G6084" s="62"/>
      <c r="H6084" s="60"/>
    </row>
    <row r="6085" spans="1:8">
      <c r="A6085" s="60"/>
      <c r="B6085" s="77"/>
      <c r="C6085" s="60"/>
      <c r="D6085" s="81"/>
      <c r="E6085" s="62"/>
      <c r="F6085" s="60"/>
      <c r="G6085" s="62"/>
      <c r="H6085" s="60"/>
    </row>
    <row r="6086" spans="1:8">
      <c r="A6086" s="60"/>
      <c r="B6086" s="77"/>
      <c r="C6086" s="60"/>
      <c r="D6086" s="81"/>
      <c r="E6086" s="62"/>
      <c r="F6086" s="60"/>
      <c r="G6086" s="62"/>
      <c r="H6086" s="60"/>
    </row>
    <row r="6087" spans="1:8">
      <c r="A6087" s="60"/>
      <c r="B6087" s="77"/>
      <c r="C6087" s="60"/>
      <c r="D6087" s="81"/>
      <c r="E6087" s="62"/>
      <c r="F6087" s="60"/>
      <c r="G6087" s="62"/>
      <c r="H6087" s="60"/>
    </row>
    <row r="6088" spans="1:8">
      <c r="A6088" s="60"/>
      <c r="B6088" s="77"/>
      <c r="C6088" s="60"/>
      <c r="D6088" s="81"/>
      <c r="E6088" s="62"/>
      <c r="F6088" s="60"/>
      <c r="G6088" s="62"/>
      <c r="H6088" s="60"/>
    </row>
    <row r="6089" spans="1:8">
      <c r="A6089" s="60"/>
      <c r="B6089" s="77"/>
      <c r="C6089" s="60"/>
      <c r="D6089" s="81"/>
      <c r="E6089" s="62"/>
      <c r="F6089" s="60"/>
      <c r="G6089" s="62"/>
      <c r="H6089" s="60"/>
    </row>
    <row r="6090" spans="1:8">
      <c r="A6090" s="60"/>
      <c r="B6090" s="77"/>
      <c r="C6090" s="60"/>
      <c r="D6090" s="81"/>
      <c r="E6090" s="62"/>
      <c r="F6090" s="60"/>
      <c r="G6090" s="62"/>
      <c r="H6090" s="60"/>
    </row>
    <row r="6091" spans="1:8">
      <c r="A6091" s="60"/>
      <c r="B6091" s="77"/>
      <c r="C6091" s="60"/>
      <c r="D6091" s="81"/>
      <c r="E6091" s="62"/>
      <c r="F6091" s="60"/>
      <c r="G6091" s="62"/>
      <c r="H6091" s="60"/>
    </row>
    <row r="6092" spans="1:8">
      <c r="A6092" s="60"/>
      <c r="B6092" s="77"/>
      <c r="C6092" s="60"/>
      <c r="D6092" s="81"/>
      <c r="E6092" s="62"/>
      <c r="F6092" s="60"/>
      <c r="G6092" s="62"/>
      <c r="H6092" s="60"/>
    </row>
    <row r="6093" spans="1:8">
      <c r="A6093" s="60"/>
      <c r="B6093" s="77"/>
      <c r="C6093" s="60"/>
      <c r="D6093" s="81"/>
      <c r="E6093" s="62"/>
      <c r="F6093" s="60"/>
      <c r="G6093" s="62"/>
      <c r="H6093" s="60"/>
    </row>
    <row r="6094" spans="1:8">
      <c r="A6094" s="60"/>
      <c r="B6094" s="77"/>
      <c r="C6094" s="60"/>
      <c r="D6094" s="81"/>
      <c r="E6094" s="62"/>
      <c r="F6094" s="60"/>
      <c r="G6094" s="62"/>
      <c r="H6094" s="60"/>
    </row>
    <row r="6095" spans="1:8">
      <c r="A6095" s="60"/>
      <c r="B6095" s="77"/>
      <c r="C6095" s="60"/>
      <c r="D6095" s="81"/>
      <c r="E6095" s="62"/>
      <c r="F6095" s="60"/>
      <c r="G6095" s="62"/>
      <c r="H6095" s="60"/>
    </row>
    <row r="6096" spans="1:8">
      <c r="A6096" s="60"/>
      <c r="B6096" s="77"/>
      <c r="C6096" s="60"/>
      <c r="D6096" s="81"/>
      <c r="E6096" s="62"/>
      <c r="F6096" s="60"/>
      <c r="G6096" s="62"/>
      <c r="H6096" s="60"/>
    </row>
    <row r="6097" spans="1:8">
      <c r="A6097" s="60"/>
      <c r="B6097" s="77"/>
      <c r="C6097" s="60"/>
      <c r="D6097" s="81"/>
      <c r="E6097" s="62"/>
      <c r="F6097" s="60"/>
      <c r="G6097" s="62"/>
      <c r="H6097" s="60"/>
    </row>
    <row r="6098" spans="1:8">
      <c r="A6098" s="60"/>
      <c r="B6098" s="77"/>
      <c r="C6098" s="60"/>
      <c r="D6098" s="81"/>
      <c r="E6098" s="62"/>
      <c r="F6098" s="60"/>
      <c r="G6098" s="62"/>
      <c r="H6098" s="60"/>
    </row>
    <row r="6099" spans="1:8">
      <c r="A6099" s="60"/>
      <c r="B6099" s="77"/>
      <c r="C6099" s="60"/>
      <c r="D6099" s="81"/>
      <c r="E6099" s="62"/>
      <c r="F6099" s="60"/>
      <c r="G6099" s="62"/>
      <c r="H6099" s="60"/>
    </row>
    <row r="6100" spans="1:8">
      <c r="A6100" s="60"/>
      <c r="B6100" s="77"/>
      <c r="C6100" s="60"/>
      <c r="D6100" s="81"/>
      <c r="E6100" s="62"/>
      <c r="F6100" s="60"/>
      <c r="G6100" s="62"/>
      <c r="H6100" s="60"/>
    </row>
    <row r="6101" spans="1:8">
      <c r="A6101" s="60"/>
      <c r="B6101" s="77"/>
      <c r="C6101" s="60"/>
      <c r="D6101" s="81"/>
      <c r="E6101" s="62"/>
      <c r="F6101" s="60"/>
      <c r="G6101" s="62"/>
      <c r="H6101" s="60"/>
    </row>
    <row r="6102" spans="1:8">
      <c r="A6102" s="60"/>
      <c r="B6102" s="77"/>
      <c r="C6102" s="60"/>
      <c r="D6102" s="81"/>
      <c r="E6102" s="62"/>
      <c r="F6102" s="60"/>
      <c r="G6102" s="62"/>
      <c r="H6102" s="60"/>
    </row>
    <row r="6103" spans="1:8">
      <c r="A6103" s="60"/>
      <c r="B6103" s="77"/>
      <c r="C6103" s="60"/>
      <c r="D6103" s="81"/>
      <c r="E6103" s="62"/>
      <c r="F6103" s="60"/>
      <c r="G6103" s="62"/>
      <c r="H6103" s="60"/>
    </row>
    <row r="6104" spans="1:8">
      <c r="A6104" s="60"/>
      <c r="B6104" s="77"/>
      <c r="C6104" s="60"/>
      <c r="D6104" s="81"/>
      <c r="E6104" s="62"/>
      <c r="F6104" s="60"/>
      <c r="G6104" s="62"/>
      <c r="H6104" s="60"/>
    </row>
    <row r="6105" spans="1:8">
      <c r="A6105" s="60"/>
      <c r="B6105" s="77"/>
      <c r="C6105" s="60"/>
      <c r="D6105" s="81"/>
      <c r="E6105" s="62"/>
      <c r="F6105" s="60"/>
      <c r="G6105" s="62"/>
      <c r="H6105" s="60"/>
    </row>
    <row r="6106" spans="1:8">
      <c r="A6106" s="60"/>
      <c r="B6106" s="77"/>
      <c r="C6106" s="60"/>
      <c r="D6106" s="81"/>
      <c r="E6106" s="62"/>
      <c r="F6106" s="60"/>
      <c r="G6106" s="62"/>
      <c r="H6106" s="60"/>
    </row>
    <row r="6107" spans="1:8">
      <c r="A6107" s="60"/>
      <c r="B6107" s="77"/>
      <c r="C6107" s="60"/>
      <c r="D6107" s="81"/>
      <c r="E6107" s="62"/>
      <c r="F6107" s="60"/>
      <c r="G6107" s="62"/>
      <c r="H6107" s="60"/>
    </row>
    <row r="6108" spans="1:8">
      <c r="A6108" s="60"/>
      <c r="B6108" s="77"/>
      <c r="C6108" s="60"/>
      <c r="D6108" s="81"/>
      <c r="E6108" s="62"/>
      <c r="F6108" s="60"/>
      <c r="G6108" s="62"/>
      <c r="H6108" s="60"/>
    </row>
    <row r="6109" spans="1:8">
      <c r="A6109" s="60"/>
      <c r="B6109" s="77"/>
      <c r="C6109" s="60"/>
      <c r="D6109" s="81"/>
      <c r="E6109" s="62"/>
      <c r="F6109" s="60"/>
      <c r="G6109" s="62"/>
      <c r="H6109" s="60"/>
    </row>
    <row r="6110" spans="1:8">
      <c r="A6110" s="60"/>
      <c r="B6110" s="77"/>
      <c r="C6110" s="60"/>
      <c r="D6110" s="81"/>
      <c r="E6110" s="62"/>
      <c r="F6110" s="60"/>
      <c r="G6110" s="62"/>
      <c r="H6110" s="60"/>
    </row>
    <row r="6111" spans="1:8">
      <c r="A6111" s="60"/>
      <c r="B6111" s="77"/>
      <c r="C6111" s="60"/>
      <c r="D6111" s="81"/>
      <c r="E6111" s="62"/>
      <c r="F6111" s="60"/>
      <c r="G6111" s="62"/>
      <c r="H6111" s="60"/>
    </row>
    <row r="6112" spans="1:8">
      <c r="A6112" s="60"/>
      <c r="B6112" s="77"/>
      <c r="C6112" s="60"/>
      <c r="D6112" s="81"/>
      <c r="E6112" s="62"/>
      <c r="F6112" s="60"/>
      <c r="G6112" s="62"/>
      <c r="H6112" s="60"/>
    </row>
    <row r="6113" spans="1:8">
      <c r="A6113" s="60"/>
      <c r="B6113" s="77"/>
      <c r="C6113" s="60"/>
      <c r="D6113" s="81"/>
      <c r="E6113" s="62"/>
      <c r="F6113" s="60"/>
      <c r="G6113" s="62"/>
      <c r="H6113" s="60"/>
    </row>
    <row r="6114" spans="1:8">
      <c r="A6114" s="60"/>
      <c r="B6114" s="77"/>
      <c r="C6114" s="60"/>
      <c r="D6114" s="81"/>
      <c r="E6114" s="62"/>
      <c r="F6114" s="60"/>
      <c r="G6114" s="62"/>
      <c r="H6114" s="60"/>
    </row>
    <row r="6115" spans="1:8">
      <c r="A6115" s="60"/>
      <c r="B6115" s="77"/>
      <c r="C6115" s="60"/>
      <c r="D6115" s="81"/>
      <c r="E6115" s="62"/>
      <c r="F6115" s="60"/>
      <c r="G6115" s="62"/>
      <c r="H6115" s="60"/>
    </row>
    <row r="6116" spans="1:8">
      <c r="A6116" s="60"/>
      <c r="B6116" s="77"/>
      <c r="C6116" s="60"/>
      <c r="D6116" s="81"/>
      <c r="E6116" s="62"/>
      <c r="F6116" s="60"/>
      <c r="G6116" s="62"/>
      <c r="H6116" s="60"/>
    </row>
    <row r="6117" spans="1:8">
      <c r="A6117" s="60"/>
      <c r="B6117" s="77"/>
      <c r="C6117" s="60"/>
      <c r="D6117" s="81"/>
      <c r="E6117" s="62"/>
      <c r="F6117" s="60"/>
      <c r="G6117" s="62"/>
      <c r="H6117" s="60"/>
    </row>
    <row r="6118" spans="1:8">
      <c r="A6118" s="60"/>
      <c r="B6118" s="77"/>
      <c r="C6118" s="60"/>
      <c r="D6118" s="81"/>
      <c r="E6118" s="62"/>
      <c r="F6118" s="60"/>
      <c r="G6118" s="62"/>
      <c r="H6118" s="60"/>
    </row>
    <row r="6119" spans="1:8">
      <c r="A6119" s="60"/>
      <c r="B6119" s="77"/>
      <c r="C6119" s="60"/>
      <c r="D6119" s="81"/>
      <c r="E6119" s="62"/>
      <c r="F6119" s="60"/>
      <c r="G6119" s="62"/>
      <c r="H6119" s="60"/>
    </row>
    <row r="6120" spans="1:8">
      <c r="A6120" s="60"/>
      <c r="B6120" s="77"/>
      <c r="C6120" s="60"/>
      <c r="D6120" s="81"/>
      <c r="E6120" s="62"/>
      <c r="F6120" s="60"/>
      <c r="G6120" s="62"/>
      <c r="H6120" s="60"/>
    </row>
    <row r="6121" spans="1:8">
      <c r="A6121" s="60"/>
      <c r="B6121" s="77"/>
      <c r="C6121" s="60"/>
      <c r="D6121" s="81"/>
      <c r="E6121" s="62"/>
      <c r="F6121" s="60"/>
      <c r="G6121" s="62"/>
      <c r="H6121" s="60"/>
    </row>
    <row r="6122" spans="1:8">
      <c r="A6122" s="60"/>
      <c r="B6122" s="77"/>
      <c r="C6122" s="60"/>
      <c r="D6122" s="81"/>
      <c r="E6122" s="62"/>
      <c r="F6122" s="60"/>
      <c r="G6122" s="62"/>
      <c r="H6122" s="60"/>
    </row>
    <row r="6123" spans="1:8">
      <c r="A6123" s="60"/>
      <c r="B6123" s="77"/>
      <c r="C6123" s="60"/>
      <c r="D6123" s="81"/>
      <c r="E6123" s="62"/>
      <c r="F6123" s="60"/>
      <c r="G6123" s="62"/>
      <c r="H6123" s="60"/>
    </row>
    <row r="6124" spans="1:8">
      <c r="A6124" s="60"/>
      <c r="B6124" s="77"/>
      <c r="C6124" s="60"/>
      <c r="D6124" s="81"/>
      <c r="E6124" s="62"/>
      <c r="F6124" s="60"/>
      <c r="G6124" s="62"/>
      <c r="H6124" s="60"/>
    </row>
    <row r="6125" spans="1:8">
      <c r="A6125" s="60"/>
      <c r="B6125" s="77"/>
      <c r="C6125" s="60"/>
      <c r="D6125" s="81"/>
      <c r="E6125" s="62"/>
      <c r="F6125" s="60"/>
      <c r="G6125" s="62"/>
      <c r="H6125" s="60"/>
    </row>
    <row r="6126" spans="1:8">
      <c r="A6126" s="60"/>
      <c r="B6126" s="77"/>
      <c r="C6126" s="60"/>
      <c r="D6126" s="81"/>
      <c r="E6126" s="62"/>
      <c r="F6126" s="60"/>
      <c r="G6126" s="62"/>
      <c r="H6126" s="60"/>
    </row>
    <row r="6127" spans="1:8">
      <c r="A6127" s="60"/>
      <c r="B6127" s="77"/>
      <c r="C6127" s="60"/>
      <c r="D6127" s="81"/>
      <c r="E6127" s="62"/>
      <c r="F6127" s="60"/>
      <c r="G6127" s="62"/>
      <c r="H6127" s="60"/>
    </row>
    <row r="6128" spans="1:8">
      <c r="A6128" s="60"/>
      <c r="B6128" s="77"/>
      <c r="C6128" s="60"/>
      <c r="D6128" s="81"/>
      <c r="E6128" s="62"/>
      <c r="F6128" s="60"/>
      <c r="G6128" s="62"/>
      <c r="H6128" s="60"/>
    </row>
    <row r="6129" spans="1:8">
      <c r="A6129" s="60"/>
      <c r="B6129" s="77"/>
      <c r="C6129" s="60"/>
      <c r="D6129" s="81"/>
      <c r="E6129" s="62"/>
      <c r="F6129" s="60"/>
      <c r="G6129" s="62"/>
      <c r="H6129" s="60"/>
    </row>
    <row r="6130" spans="1:8">
      <c r="A6130" s="60"/>
      <c r="B6130" s="77"/>
      <c r="C6130" s="60"/>
      <c r="D6130" s="81"/>
      <c r="E6130" s="62"/>
      <c r="F6130" s="60"/>
      <c r="G6130" s="62"/>
      <c r="H6130" s="60"/>
    </row>
    <row r="6131" spans="1:8">
      <c r="A6131" s="60"/>
      <c r="B6131" s="77"/>
      <c r="C6131" s="60"/>
      <c r="D6131" s="81"/>
      <c r="E6131" s="62"/>
      <c r="F6131" s="60"/>
      <c r="G6131" s="62"/>
      <c r="H6131" s="60"/>
    </row>
    <row r="6132" spans="1:8">
      <c r="A6132" s="60"/>
      <c r="B6132" s="77"/>
      <c r="C6132" s="60"/>
      <c r="D6132" s="81"/>
      <c r="E6132" s="62"/>
      <c r="F6132" s="60"/>
      <c r="G6132" s="62"/>
      <c r="H6132" s="60"/>
    </row>
    <row r="6133" spans="1:8">
      <c r="A6133" s="60"/>
      <c r="B6133" s="77"/>
      <c r="C6133" s="60"/>
      <c r="D6133" s="81"/>
      <c r="E6133" s="62"/>
      <c r="F6133" s="60"/>
      <c r="G6133" s="62"/>
      <c r="H6133" s="60"/>
    </row>
    <row r="6134" spans="1:8">
      <c r="A6134" s="60"/>
      <c r="B6134" s="77"/>
      <c r="C6134" s="60"/>
      <c r="D6134" s="81"/>
      <c r="E6134" s="62"/>
      <c r="F6134" s="60"/>
      <c r="G6134" s="62"/>
      <c r="H6134" s="60"/>
    </row>
    <row r="6135" spans="1:8">
      <c r="A6135" s="60"/>
      <c r="B6135" s="77"/>
      <c r="C6135" s="60"/>
      <c r="D6135" s="81"/>
      <c r="E6135" s="62"/>
      <c r="F6135" s="60"/>
      <c r="G6135" s="62"/>
      <c r="H6135" s="60"/>
    </row>
    <row r="6136" spans="1:8">
      <c r="A6136" s="60"/>
      <c r="B6136" s="77"/>
      <c r="C6136" s="60"/>
      <c r="D6136" s="81"/>
      <c r="E6136" s="62"/>
      <c r="F6136" s="60"/>
      <c r="G6136" s="62"/>
      <c r="H6136" s="60"/>
    </row>
    <row r="6137" spans="1:8">
      <c r="A6137" s="60"/>
      <c r="B6137" s="77"/>
      <c r="C6137" s="60"/>
      <c r="D6137" s="81"/>
      <c r="E6137" s="62"/>
      <c r="F6137" s="60"/>
      <c r="G6137" s="62"/>
      <c r="H6137" s="60"/>
    </row>
    <row r="6138" spans="1:8">
      <c r="A6138" s="60"/>
      <c r="B6138" s="77"/>
      <c r="C6138" s="60"/>
      <c r="D6138" s="81"/>
      <c r="E6138" s="62"/>
      <c r="F6138" s="60"/>
      <c r="G6138" s="62"/>
      <c r="H6138" s="60"/>
    </row>
    <row r="6139" spans="1:8">
      <c r="A6139" s="60"/>
      <c r="B6139" s="77"/>
      <c r="C6139" s="60"/>
      <c r="D6139" s="81"/>
      <c r="E6139" s="62"/>
      <c r="F6139" s="60"/>
      <c r="G6139" s="62"/>
      <c r="H6139" s="60"/>
    </row>
    <row r="6140" spans="1:8">
      <c r="A6140" s="60"/>
      <c r="B6140" s="77"/>
      <c r="C6140" s="60"/>
      <c r="D6140" s="81"/>
      <c r="E6140" s="62"/>
      <c r="F6140" s="60"/>
      <c r="G6140" s="62"/>
      <c r="H6140" s="60"/>
    </row>
    <row r="6141" spans="1:8">
      <c r="A6141" s="60"/>
      <c r="B6141" s="77"/>
      <c r="C6141" s="60"/>
      <c r="D6141" s="81"/>
      <c r="E6141" s="62"/>
      <c r="F6141" s="60"/>
      <c r="G6141" s="62"/>
      <c r="H6141" s="60"/>
    </row>
    <row r="6142" spans="1:8">
      <c r="A6142" s="60"/>
      <c r="B6142" s="77"/>
      <c r="C6142" s="60"/>
      <c r="D6142" s="81"/>
      <c r="E6142" s="62"/>
      <c r="F6142" s="60"/>
      <c r="G6142" s="62"/>
      <c r="H6142" s="60"/>
    </row>
    <row r="6143" spans="1:8">
      <c r="A6143" s="60"/>
      <c r="B6143" s="77"/>
      <c r="C6143" s="60"/>
      <c r="D6143" s="81"/>
      <c r="E6143" s="62"/>
      <c r="F6143" s="60"/>
      <c r="G6143" s="62"/>
      <c r="H6143" s="60"/>
    </row>
    <row r="6144" spans="1:8">
      <c r="A6144" s="60"/>
      <c r="B6144" s="77"/>
      <c r="C6144" s="60"/>
      <c r="D6144" s="81"/>
      <c r="E6144" s="62"/>
      <c r="F6144" s="60"/>
      <c r="G6144" s="62"/>
      <c r="H6144" s="60"/>
    </row>
    <row r="6145" spans="1:8">
      <c r="A6145" s="60"/>
      <c r="B6145" s="77"/>
      <c r="C6145" s="60"/>
      <c r="D6145" s="81"/>
      <c r="E6145" s="62"/>
      <c r="F6145" s="60"/>
      <c r="G6145" s="62"/>
      <c r="H6145" s="60"/>
    </row>
    <row r="6146" spans="1:8">
      <c r="A6146" s="60"/>
      <c r="B6146" s="77"/>
      <c r="C6146" s="60"/>
      <c r="D6146" s="81"/>
      <c r="E6146" s="62"/>
      <c r="F6146" s="60"/>
      <c r="G6146" s="62"/>
      <c r="H6146" s="60"/>
    </row>
    <row r="6147" spans="1:8">
      <c r="A6147" s="60"/>
      <c r="B6147" s="77"/>
      <c r="C6147" s="60"/>
      <c r="D6147" s="81"/>
      <c r="E6147" s="62"/>
      <c r="F6147" s="60"/>
      <c r="G6147" s="62"/>
      <c r="H6147" s="60"/>
    </row>
    <row r="6148" spans="1:8">
      <c r="A6148" s="60"/>
      <c r="B6148" s="77"/>
      <c r="C6148" s="60"/>
      <c r="D6148" s="81"/>
      <c r="E6148" s="62"/>
      <c r="F6148" s="60"/>
      <c r="G6148" s="62"/>
      <c r="H6148" s="60"/>
    </row>
    <row r="6149" spans="1:8">
      <c r="A6149" s="60"/>
      <c r="B6149" s="77"/>
      <c r="C6149" s="60"/>
      <c r="D6149" s="81"/>
      <c r="E6149" s="62"/>
      <c r="F6149" s="60"/>
      <c r="G6149" s="62"/>
      <c r="H6149" s="60"/>
    </row>
    <row r="6150" spans="1:8">
      <c r="A6150" s="60"/>
      <c r="B6150" s="77"/>
      <c r="C6150" s="60"/>
      <c r="D6150" s="81"/>
      <c r="E6150" s="62"/>
      <c r="F6150" s="60"/>
      <c r="G6150" s="62"/>
      <c r="H6150" s="60"/>
    </row>
    <row r="6151" spans="1:8">
      <c r="A6151" s="60"/>
      <c r="B6151" s="77"/>
      <c r="C6151" s="60"/>
      <c r="D6151" s="81"/>
      <c r="E6151" s="62"/>
      <c r="F6151" s="60"/>
      <c r="G6151" s="62"/>
      <c r="H6151" s="60"/>
    </row>
    <row r="6152" spans="1:8">
      <c r="A6152" s="60"/>
      <c r="B6152" s="77"/>
      <c r="C6152" s="60"/>
      <c r="D6152" s="81"/>
      <c r="E6152" s="62"/>
      <c r="F6152" s="60"/>
      <c r="G6152" s="62"/>
      <c r="H6152" s="60"/>
    </row>
    <row r="6153" spans="1:8">
      <c r="A6153" s="60"/>
      <c r="B6153" s="77"/>
      <c r="C6153" s="60"/>
      <c r="D6153" s="81"/>
      <c r="E6153" s="62"/>
      <c r="F6153" s="60"/>
      <c r="G6153" s="62"/>
      <c r="H6153" s="60"/>
    </row>
    <row r="6154" spans="1:8">
      <c r="A6154" s="60"/>
      <c r="B6154" s="77"/>
      <c r="C6154" s="60"/>
      <c r="D6154" s="81"/>
      <c r="E6154" s="62"/>
      <c r="F6154" s="60"/>
      <c r="G6154" s="62"/>
      <c r="H6154" s="60"/>
    </row>
    <row r="6155" spans="1:8">
      <c r="A6155" s="60"/>
      <c r="B6155" s="77"/>
      <c r="C6155" s="60"/>
      <c r="D6155" s="81"/>
      <c r="E6155" s="62"/>
      <c r="F6155" s="60"/>
      <c r="G6155" s="62"/>
      <c r="H6155" s="60"/>
    </row>
    <row r="6156" spans="1:8">
      <c r="A6156" s="60"/>
      <c r="B6156" s="77"/>
      <c r="C6156" s="60"/>
      <c r="D6156" s="81"/>
      <c r="E6156" s="62"/>
      <c r="F6156" s="60"/>
      <c r="G6156" s="62"/>
      <c r="H6156" s="60"/>
    </row>
    <row r="6157" spans="1:8">
      <c r="A6157" s="60"/>
      <c r="B6157" s="77"/>
      <c r="C6157" s="60"/>
      <c r="D6157" s="81"/>
      <c r="E6157" s="62"/>
      <c r="F6157" s="60"/>
      <c r="G6157" s="62"/>
      <c r="H6157" s="60"/>
    </row>
    <row r="6158" spans="1:8">
      <c r="A6158" s="60"/>
      <c r="B6158" s="77"/>
      <c r="C6158" s="60"/>
      <c r="D6158" s="81"/>
      <c r="E6158" s="62"/>
      <c r="F6158" s="60"/>
      <c r="G6158" s="62"/>
      <c r="H6158" s="60"/>
    </row>
    <row r="6159" spans="1:8">
      <c r="A6159" s="60"/>
      <c r="B6159" s="77"/>
      <c r="C6159" s="60"/>
      <c r="D6159" s="81"/>
      <c r="E6159" s="62"/>
      <c r="F6159" s="60"/>
      <c r="G6159" s="62"/>
      <c r="H6159" s="60"/>
    </row>
    <row r="6160" spans="1:8">
      <c r="A6160" s="60"/>
      <c r="B6160" s="77"/>
      <c r="C6160" s="60"/>
      <c r="D6160" s="81"/>
      <c r="E6160" s="62"/>
      <c r="F6160" s="60"/>
      <c r="G6160" s="62"/>
      <c r="H6160" s="60"/>
    </row>
    <row r="6161" spans="1:8">
      <c r="A6161" s="60"/>
      <c r="B6161" s="77"/>
      <c r="C6161" s="60"/>
      <c r="D6161" s="81"/>
      <c r="E6161" s="62"/>
      <c r="F6161" s="60"/>
      <c r="G6161" s="62"/>
      <c r="H6161" s="60"/>
    </row>
    <row r="6162" spans="1:8">
      <c r="A6162" s="60"/>
      <c r="B6162" s="77"/>
      <c r="C6162" s="60"/>
      <c r="D6162" s="81"/>
      <c r="E6162" s="62"/>
      <c r="F6162" s="60"/>
      <c r="G6162" s="62"/>
      <c r="H6162" s="60"/>
    </row>
    <row r="6163" spans="1:8">
      <c r="A6163" s="60"/>
      <c r="B6163" s="77"/>
      <c r="C6163" s="60"/>
      <c r="D6163" s="81"/>
      <c r="E6163" s="62"/>
      <c r="F6163" s="60"/>
      <c r="G6163" s="62"/>
      <c r="H6163" s="60"/>
    </row>
    <row r="6164" spans="1:8">
      <c r="A6164" s="60"/>
      <c r="B6164" s="77"/>
      <c r="C6164" s="60"/>
      <c r="D6164" s="81"/>
      <c r="E6164" s="62"/>
      <c r="F6164" s="60"/>
      <c r="G6164" s="62"/>
      <c r="H6164" s="60"/>
    </row>
    <row r="6165" spans="1:8">
      <c r="A6165" s="60"/>
      <c r="B6165" s="77"/>
      <c r="C6165" s="60"/>
      <c r="D6165" s="81"/>
      <c r="E6165" s="62"/>
      <c r="F6165" s="60"/>
      <c r="G6165" s="62"/>
      <c r="H6165" s="60"/>
    </row>
    <row r="6166" spans="1:8">
      <c r="A6166" s="60"/>
      <c r="B6166" s="77"/>
      <c r="C6166" s="60"/>
      <c r="D6166" s="81"/>
      <c r="E6166" s="62"/>
      <c r="F6166" s="60"/>
      <c r="G6166" s="62"/>
      <c r="H6166" s="60"/>
    </row>
    <row r="6167" spans="1:8">
      <c r="A6167" s="60"/>
      <c r="B6167" s="77"/>
      <c r="C6167" s="60"/>
      <c r="D6167" s="81"/>
      <c r="E6167" s="62"/>
      <c r="F6167" s="60"/>
      <c r="G6167" s="62"/>
      <c r="H6167" s="60"/>
    </row>
    <row r="6168" spans="1:8">
      <c r="A6168" s="60"/>
      <c r="B6168" s="77"/>
      <c r="C6168" s="60"/>
      <c r="D6168" s="81"/>
      <c r="E6168" s="62"/>
      <c r="F6168" s="60"/>
      <c r="G6168" s="62"/>
      <c r="H6168" s="60"/>
    </row>
    <row r="6169" spans="1:8">
      <c r="A6169" s="60"/>
      <c r="B6169" s="77"/>
      <c r="C6169" s="60"/>
      <c r="D6169" s="81"/>
      <c r="E6169" s="62"/>
      <c r="F6169" s="60"/>
      <c r="G6169" s="62"/>
      <c r="H6169" s="60"/>
    </row>
    <row r="6170" spans="1:8">
      <c r="A6170" s="60"/>
      <c r="B6170" s="77"/>
      <c r="C6170" s="60"/>
      <c r="D6170" s="81"/>
      <c r="E6170" s="62"/>
      <c r="F6170" s="60"/>
      <c r="G6170" s="62"/>
      <c r="H6170" s="60"/>
    </row>
    <row r="6171" spans="1:8">
      <c r="A6171" s="60"/>
      <c r="B6171" s="77"/>
      <c r="C6171" s="60"/>
      <c r="D6171" s="81"/>
      <c r="E6171" s="62"/>
      <c r="F6171" s="60"/>
      <c r="G6171" s="62"/>
      <c r="H6171" s="60"/>
    </row>
    <row r="6172" spans="1:8">
      <c r="A6172" s="60"/>
      <c r="B6172" s="77"/>
      <c r="C6172" s="60"/>
      <c r="D6172" s="81"/>
      <c r="E6172" s="62"/>
      <c r="F6172" s="60"/>
      <c r="G6172" s="62"/>
      <c r="H6172" s="60"/>
    </row>
    <row r="6173" spans="1:8">
      <c r="A6173" s="60"/>
      <c r="B6173" s="77"/>
      <c r="C6173" s="60"/>
      <c r="D6173" s="81"/>
      <c r="E6173" s="62"/>
      <c r="F6173" s="60"/>
      <c r="G6173" s="62"/>
      <c r="H6173" s="60"/>
    </row>
    <row r="6174" spans="1:8">
      <c r="A6174" s="60"/>
      <c r="B6174" s="77"/>
      <c r="C6174" s="60"/>
      <c r="D6174" s="81"/>
      <c r="E6174" s="62"/>
      <c r="F6174" s="60"/>
      <c r="G6174" s="62"/>
      <c r="H6174" s="60"/>
    </row>
    <row r="6175" spans="1:8">
      <c r="A6175" s="60"/>
      <c r="B6175" s="77"/>
      <c r="C6175" s="60"/>
      <c r="D6175" s="81"/>
      <c r="E6175" s="62"/>
      <c r="F6175" s="60"/>
      <c r="G6175" s="62"/>
      <c r="H6175" s="60"/>
    </row>
    <row r="6176" spans="1:8">
      <c r="A6176" s="60"/>
      <c r="B6176" s="77"/>
      <c r="C6176" s="60"/>
      <c r="D6176" s="81"/>
      <c r="E6176" s="62"/>
      <c r="F6176" s="60"/>
      <c r="G6176" s="62"/>
      <c r="H6176" s="60"/>
    </row>
    <row r="6177" spans="1:8">
      <c r="A6177" s="60"/>
      <c r="B6177" s="77"/>
      <c r="C6177" s="60"/>
      <c r="D6177" s="81"/>
      <c r="E6177" s="62"/>
      <c r="F6177" s="60"/>
      <c r="G6177" s="62"/>
      <c r="H6177" s="60"/>
    </row>
    <row r="6178" spans="1:8">
      <c r="A6178" s="60"/>
      <c r="B6178" s="77"/>
      <c r="C6178" s="60"/>
      <c r="D6178" s="81"/>
      <c r="E6178" s="62"/>
      <c r="F6178" s="60"/>
      <c r="G6178" s="62"/>
      <c r="H6178" s="60"/>
    </row>
    <row r="6179" spans="1:8">
      <c r="A6179" s="60"/>
      <c r="B6179" s="77"/>
      <c r="C6179" s="60"/>
      <c r="D6179" s="81"/>
      <c r="E6179" s="62"/>
      <c r="F6179" s="60"/>
      <c r="G6179" s="62"/>
      <c r="H6179" s="60"/>
    </row>
    <row r="6180" spans="1:8">
      <c r="A6180" s="60"/>
      <c r="B6180" s="77"/>
      <c r="C6180" s="60"/>
      <c r="D6180" s="81"/>
      <c r="E6180" s="62"/>
      <c r="F6180" s="60"/>
      <c r="G6180" s="62"/>
      <c r="H6180" s="60"/>
    </row>
    <row r="6181" spans="1:8">
      <c r="A6181" s="60"/>
      <c r="B6181" s="77"/>
      <c r="C6181" s="60"/>
      <c r="D6181" s="81"/>
      <c r="E6181" s="62"/>
      <c r="F6181" s="60"/>
      <c r="G6181" s="62"/>
      <c r="H6181" s="60"/>
    </row>
    <row r="6182" spans="1:8">
      <c r="A6182" s="60"/>
      <c r="B6182" s="77"/>
      <c r="C6182" s="60"/>
      <c r="D6182" s="81"/>
      <c r="E6182" s="62"/>
      <c r="F6182" s="60"/>
      <c r="G6182" s="62"/>
      <c r="H6182" s="60"/>
    </row>
    <row r="6183" spans="1:8">
      <c r="A6183" s="60"/>
      <c r="B6183" s="77"/>
      <c r="C6183" s="60"/>
      <c r="D6183" s="81"/>
      <c r="E6183" s="62"/>
      <c r="F6183" s="60"/>
      <c r="G6183" s="62"/>
      <c r="H6183" s="60"/>
    </row>
    <row r="6184" spans="1:8">
      <c r="A6184" s="60"/>
      <c r="B6184" s="77"/>
      <c r="C6184" s="60"/>
      <c r="D6184" s="81"/>
      <c r="E6184" s="62"/>
      <c r="F6184" s="60"/>
      <c r="G6184" s="62"/>
      <c r="H6184" s="60"/>
    </row>
    <row r="6185" spans="1:8">
      <c r="A6185" s="60"/>
      <c r="B6185" s="77"/>
      <c r="C6185" s="60"/>
      <c r="D6185" s="81"/>
      <c r="E6185" s="62"/>
      <c r="F6185" s="60"/>
      <c r="G6185" s="62"/>
      <c r="H6185" s="60"/>
    </row>
    <row r="6186" spans="1:8">
      <c r="A6186" s="60"/>
      <c r="B6186" s="77"/>
      <c r="C6186" s="60"/>
      <c r="D6186" s="81"/>
      <c r="E6186" s="62"/>
      <c r="F6186" s="60"/>
      <c r="G6186" s="62"/>
      <c r="H6186" s="60"/>
    </row>
    <row r="6187" spans="1:8">
      <c r="A6187" s="60"/>
      <c r="B6187" s="77"/>
      <c r="C6187" s="60"/>
      <c r="D6187" s="81"/>
      <c r="E6187" s="62"/>
      <c r="F6187" s="60"/>
      <c r="G6187" s="62"/>
      <c r="H6187" s="60"/>
    </row>
    <row r="6188" spans="1:8">
      <c r="A6188" s="60"/>
      <c r="B6188" s="77"/>
      <c r="C6188" s="60"/>
      <c r="D6188" s="81"/>
      <c r="E6188" s="62"/>
      <c r="F6188" s="60"/>
      <c r="G6188" s="62"/>
      <c r="H6188" s="60"/>
    </row>
    <row r="6189" spans="1:8">
      <c r="A6189" s="60"/>
      <c r="B6189" s="77"/>
      <c r="C6189" s="60"/>
      <c r="D6189" s="81"/>
      <c r="E6189" s="62"/>
      <c r="F6189" s="60"/>
      <c r="G6189" s="62"/>
      <c r="H6189" s="60"/>
    </row>
    <row r="6190" spans="1:8">
      <c r="A6190" s="60"/>
      <c r="B6190" s="77"/>
      <c r="C6190" s="60"/>
      <c r="D6190" s="81"/>
      <c r="E6190" s="62"/>
      <c r="F6190" s="60"/>
      <c r="G6190" s="62"/>
      <c r="H6190" s="60"/>
    </row>
    <row r="6191" spans="1:8">
      <c r="A6191" s="60"/>
      <c r="B6191" s="77"/>
      <c r="C6191" s="60"/>
      <c r="D6191" s="81"/>
      <c r="E6191" s="62"/>
      <c r="F6191" s="60"/>
      <c r="G6191" s="62"/>
      <c r="H6191" s="60"/>
    </row>
    <row r="6192" spans="1:8">
      <c r="A6192" s="60"/>
      <c r="B6192" s="77"/>
      <c r="C6192" s="60"/>
      <c r="D6192" s="81"/>
      <c r="E6192" s="62"/>
      <c r="F6192" s="60"/>
      <c r="G6192" s="62"/>
      <c r="H6192" s="60"/>
    </row>
    <row r="6193" spans="1:8">
      <c r="A6193" s="60"/>
      <c r="B6193" s="77"/>
      <c r="C6193" s="60"/>
      <c r="D6193" s="81"/>
      <c r="E6193" s="62"/>
      <c r="F6193" s="60"/>
      <c r="G6193" s="62"/>
      <c r="H6193" s="60"/>
    </row>
    <row r="6194" spans="1:8">
      <c r="A6194" s="60"/>
      <c r="B6194" s="77"/>
      <c r="C6194" s="60"/>
      <c r="D6194" s="81"/>
      <c r="E6194" s="62"/>
      <c r="F6194" s="60"/>
      <c r="G6194" s="62"/>
      <c r="H6194" s="60"/>
    </row>
    <row r="6195" spans="1:8">
      <c r="A6195" s="60"/>
      <c r="B6195" s="77"/>
      <c r="C6195" s="60"/>
      <c r="D6195" s="81"/>
      <c r="E6195" s="62"/>
      <c r="F6195" s="60"/>
      <c r="G6195" s="62"/>
      <c r="H6195" s="60"/>
    </row>
    <row r="6196" spans="1:8">
      <c r="A6196" s="60"/>
      <c r="B6196" s="77"/>
      <c r="C6196" s="60"/>
      <c r="D6196" s="81"/>
      <c r="E6196" s="62"/>
      <c r="F6196" s="60"/>
      <c r="G6196" s="62"/>
      <c r="H6196" s="60"/>
    </row>
    <row r="6197" spans="1:8">
      <c r="A6197" s="60"/>
      <c r="B6197" s="77"/>
      <c r="C6197" s="60"/>
      <c r="D6197" s="81"/>
      <c r="E6197" s="62"/>
      <c r="F6197" s="60"/>
      <c r="G6197" s="62"/>
      <c r="H6197" s="60"/>
    </row>
    <row r="6198" spans="1:8">
      <c r="A6198" s="60"/>
      <c r="B6198" s="77"/>
      <c r="C6198" s="60"/>
      <c r="D6198" s="81"/>
      <c r="E6198" s="62"/>
      <c r="F6198" s="60"/>
      <c r="G6198" s="62"/>
      <c r="H6198" s="60"/>
    </row>
    <row r="6199" spans="1:8">
      <c r="A6199" s="60"/>
      <c r="B6199" s="77"/>
      <c r="C6199" s="60"/>
      <c r="D6199" s="81"/>
      <c r="E6199" s="62"/>
      <c r="F6199" s="60"/>
      <c r="G6199" s="62"/>
      <c r="H6199" s="60"/>
    </row>
    <row r="6200" spans="1:8">
      <c r="A6200" s="60"/>
      <c r="B6200" s="77"/>
      <c r="C6200" s="60"/>
      <c r="D6200" s="81"/>
      <c r="E6200" s="62"/>
      <c r="F6200" s="60"/>
      <c r="G6200" s="62"/>
      <c r="H6200" s="60"/>
    </row>
    <row r="6201" spans="1:8">
      <c r="A6201" s="60"/>
      <c r="B6201" s="77"/>
      <c r="C6201" s="60"/>
      <c r="D6201" s="81"/>
      <c r="E6201" s="62"/>
      <c r="F6201" s="60"/>
      <c r="G6201" s="62"/>
      <c r="H6201" s="60"/>
    </row>
    <row r="6202" spans="1:8">
      <c r="A6202" s="60"/>
      <c r="B6202" s="77"/>
      <c r="C6202" s="60"/>
      <c r="D6202" s="81"/>
      <c r="E6202" s="62"/>
      <c r="F6202" s="60"/>
      <c r="G6202" s="62"/>
      <c r="H6202" s="60"/>
    </row>
    <row r="6203" spans="1:8">
      <c r="A6203" s="60"/>
      <c r="B6203" s="77"/>
      <c r="C6203" s="60"/>
      <c r="D6203" s="81"/>
      <c r="E6203" s="62"/>
      <c r="F6203" s="60"/>
      <c r="G6203" s="62"/>
      <c r="H6203" s="60"/>
    </row>
    <row r="6204" spans="1:8">
      <c r="A6204" s="60"/>
      <c r="B6204" s="77"/>
      <c r="C6204" s="60"/>
      <c r="D6204" s="81"/>
      <c r="E6204" s="62"/>
      <c r="F6204" s="60"/>
      <c r="G6204" s="62"/>
      <c r="H6204" s="60"/>
    </row>
    <row r="6205" spans="1:8">
      <c r="A6205" s="60"/>
      <c r="B6205" s="77"/>
      <c r="C6205" s="60"/>
      <c r="D6205" s="81"/>
      <c r="E6205" s="62"/>
      <c r="F6205" s="60"/>
      <c r="G6205" s="62"/>
      <c r="H6205" s="60"/>
    </row>
    <row r="6206" spans="1:8">
      <c r="A6206" s="60"/>
      <c r="B6206" s="77"/>
      <c r="C6206" s="60"/>
      <c r="D6206" s="81"/>
      <c r="E6206" s="62"/>
      <c r="F6206" s="60"/>
      <c r="G6206" s="62"/>
      <c r="H6206" s="60"/>
    </row>
    <row r="6207" spans="1:8">
      <c r="A6207" s="60"/>
      <c r="B6207" s="77"/>
      <c r="C6207" s="60"/>
      <c r="D6207" s="81"/>
      <c r="E6207" s="62"/>
      <c r="F6207" s="60"/>
      <c r="G6207" s="62"/>
      <c r="H6207" s="60"/>
    </row>
    <row r="6208" spans="1:8">
      <c r="A6208" s="60"/>
      <c r="B6208" s="77"/>
      <c r="C6208" s="60"/>
      <c r="D6208" s="81"/>
      <c r="E6208" s="62"/>
      <c r="F6208" s="60"/>
      <c r="G6208" s="62"/>
      <c r="H6208" s="60"/>
    </row>
    <row r="6209" spans="1:8">
      <c r="A6209" s="60"/>
      <c r="B6209" s="77"/>
      <c r="C6209" s="60"/>
      <c r="D6209" s="81"/>
      <c r="E6209" s="62"/>
      <c r="F6209" s="60"/>
      <c r="G6209" s="62"/>
      <c r="H6209" s="60"/>
    </row>
    <row r="6210" spans="1:8">
      <c r="A6210" s="60"/>
      <c r="B6210" s="77"/>
      <c r="C6210" s="60"/>
      <c r="D6210" s="81"/>
      <c r="E6210" s="62"/>
      <c r="F6210" s="60"/>
      <c r="G6210" s="62"/>
      <c r="H6210" s="60"/>
    </row>
    <row r="6211" spans="1:8">
      <c r="A6211" s="60"/>
      <c r="B6211" s="77"/>
      <c r="C6211" s="60"/>
      <c r="D6211" s="81"/>
      <c r="E6211" s="62"/>
      <c r="F6211" s="60"/>
      <c r="G6211" s="62"/>
      <c r="H6211" s="60"/>
    </row>
    <row r="6212" spans="1:8">
      <c r="A6212" s="60"/>
      <c r="B6212" s="77"/>
      <c r="C6212" s="60"/>
      <c r="D6212" s="81"/>
      <c r="E6212" s="62"/>
      <c r="F6212" s="60"/>
      <c r="G6212" s="62"/>
      <c r="H6212" s="60"/>
    </row>
    <row r="6213" spans="1:8">
      <c r="A6213" s="60"/>
      <c r="B6213" s="77"/>
      <c r="C6213" s="60"/>
      <c r="D6213" s="81"/>
      <c r="E6213" s="62"/>
      <c r="F6213" s="60"/>
      <c r="G6213" s="62"/>
      <c r="H6213" s="60"/>
    </row>
    <row r="6214" spans="1:8">
      <c r="A6214" s="60"/>
      <c r="B6214" s="77"/>
      <c r="C6214" s="60"/>
      <c r="D6214" s="81"/>
      <c r="E6214" s="62"/>
      <c r="F6214" s="60"/>
      <c r="G6214" s="62"/>
      <c r="H6214" s="60"/>
    </row>
    <row r="6215" spans="1:8">
      <c r="A6215" s="60"/>
      <c r="B6215" s="77"/>
      <c r="C6215" s="60"/>
      <c r="D6215" s="81"/>
      <c r="E6215" s="62"/>
      <c r="F6215" s="60"/>
      <c r="G6215" s="62"/>
      <c r="H6215" s="60"/>
    </row>
    <row r="6216" spans="1:8">
      <c r="A6216" s="60"/>
      <c r="B6216" s="77"/>
      <c r="C6216" s="60"/>
      <c r="D6216" s="81"/>
      <c r="E6216" s="62"/>
      <c r="F6216" s="60"/>
      <c r="G6216" s="62"/>
      <c r="H6216" s="60"/>
    </row>
    <row r="6217" spans="1:8">
      <c r="A6217" s="60"/>
      <c r="B6217" s="77"/>
      <c r="C6217" s="60"/>
      <c r="D6217" s="81"/>
      <c r="E6217" s="62"/>
      <c r="F6217" s="60"/>
      <c r="G6217" s="62"/>
      <c r="H6217" s="60"/>
    </row>
    <row r="6218" spans="1:8">
      <c r="A6218" s="60"/>
      <c r="B6218" s="77"/>
      <c r="C6218" s="60"/>
      <c r="D6218" s="81"/>
      <c r="E6218" s="62"/>
      <c r="F6218" s="60"/>
      <c r="G6218" s="62"/>
      <c r="H6218" s="60"/>
    </row>
    <row r="6219" spans="1:8">
      <c r="A6219" s="60"/>
      <c r="B6219" s="77"/>
      <c r="C6219" s="60"/>
      <c r="D6219" s="81"/>
      <c r="E6219" s="62"/>
      <c r="F6219" s="60"/>
      <c r="G6219" s="62"/>
      <c r="H6219" s="60"/>
    </row>
    <row r="6220" spans="1:8">
      <c r="A6220" s="60"/>
      <c r="B6220" s="77"/>
      <c r="C6220" s="60"/>
      <c r="D6220" s="81"/>
      <c r="E6220" s="62"/>
      <c r="F6220" s="60"/>
      <c r="G6220" s="62"/>
      <c r="H6220" s="60"/>
    </row>
    <row r="6221" spans="1:8">
      <c r="A6221" s="60"/>
      <c r="B6221" s="77"/>
      <c r="C6221" s="60"/>
      <c r="D6221" s="81"/>
      <c r="E6221" s="62"/>
      <c r="F6221" s="60"/>
      <c r="G6221" s="62"/>
      <c r="H6221" s="60"/>
    </row>
    <row r="6222" spans="1:8">
      <c r="A6222" s="60"/>
      <c r="B6222" s="77"/>
      <c r="C6222" s="60"/>
      <c r="D6222" s="81"/>
      <c r="E6222" s="62"/>
      <c r="F6222" s="60"/>
      <c r="G6222" s="62"/>
      <c r="H6222" s="60"/>
    </row>
    <row r="6223" spans="1:8">
      <c r="A6223" s="60"/>
      <c r="B6223" s="77"/>
      <c r="C6223" s="60"/>
      <c r="D6223" s="81"/>
      <c r="E6223" s="62"/>
      <c r="F6223" s="60"/>
      <c r="G6223" s="62"/>
      <c r="H6223" s="60"/>
    </row>
    <row r="6224" spans="1:8">
      <c r="A6224" s="60"/>
      <c r="B6224" s="77"/>
      <c r="C6224" s="60"/>
      <c r="D6224" s="81"/>
      <c r="E6224" s="62"/>
      <c r="F6224" s="60"/>
      <c r="G6224" s="62"/>
      <c r="H6224" s="60"/>
    </row>
    <row r="6225" spans="1:8">
      <c r="A6225" s="60"/>
      <c r="B6225" s="77"/>
      <c r="C6225" s="60"/>
      <c r="D6225" s="81"/>
      <c r="E6225" s="62"/>
      <c r="F6225" s="60"/>
      <c r="G6225" s="62"/>
      <c r="H6225" s="60"/>
    </row>
    <row r="6226" spans="1:8">
      <c r="A6226" s="60"/>
      <c r="B6226" s="77"/>
      <c r="C6226" s="60"/>
      <c r="D6226" s="81"/>
      <c r="E6226" s="62"/>
      <c r="F6226" s="60"/>
      <c r="G6226" s="62"/>
      <c r="H6226" s="60"/>
    </row>
    <row r="6227" spans="1:8">
      <c r="A6227" s="60"/>
      <c r="B6227" s="77"/>
      <c r="C6227" s="60"/>
      <c r="D6227" s="81"/>
      <c r="E6227" s="62"/>
      <c r="F6227" s="60"/>
      <c r="G6227" s="62"/>
      <c r="H6227" s="60"/>
    </row>
    <row r="6228" spans="1:8">
      <c r="A6228" s="60"/>
      <c r="B6228" s="77"/>
      <c r="C6228" s="60"/>
      <c r="D6228" s="81"/>
      <c r="E6228" s="62"/>
      <c r="F6228" s="60"/>
      <c r="G6228" s="62"/>
      <c r="H6228" s="60"/>
    </row>
    <row r="6229" spans="1:8">
      <c r="A6229" s="60"/>
      <c r="B6229" s="77"/>
      <c r="C6229" s="60"/>
      <c r="D6229" s="81"/>
      <c r="E6229" s="62"/>
      <c r="F6229" s="60"/>
      <c r="G6229" s="62"/>
      <c r="H6229" s="60"/>
    </row>
    <row r="6230" spans="1:8">
      <c r="A6230" s="60"/>
      <c r="B6230" s="77"/>
      <c r="C6230" s="60"/>
      <c r="D6230" s="81"/>
      <c r="E6230" s="62"/>
      <c r="F6230" s="60"/>
      <c r="G6230" s="62"/>
      <c r="H6230" s="60"/>
    </row>
    <row r="6231" spans="1:8">
      <c r="A6231" s="60"/>
      <c r="B6231" s="77"/>
      <c r="C6231" s="60"/>
      <c r="D6231" s="81"/>
      <c r="E6231" s="62"/>
      <c r="F6231" s="60"/>
      <c r="G6231" s="62"/>
      <c r="H6231" s="60"/>
    </row>
    <row r="6232" spans="1:8">
      <c r="A6232" s="60"/>
      <c r="B6232" s="77"/>
      <c r="C6232" s="60"/>
      <c r="D6232" s="81"/>
      <c r="E6232" s="62"/>
      <c r="F6232" s="60"/>
      <c r="G6232" s="62"/>
      <c r="H6232" s="60"/>
    </row>
    <row r="6233" spans="1:8">
      <c r="A6233" s="60"/>
      <c r="B6233" s="77"/>
      <c r="C6233" s="60"/>
      <c r="D6233" s="81"/>
      <c r="E6233" s="62"/>
      <c r="F6233" s="60"/>
      <c r="G6233" s="62"/>
      <c r="H6233" s="60"/>
    </row>
    <row r="6234" spans="1:8">
      <c r="A6234" s="60"/>
      <c r="B6234" s="77"/>
      <c r="C6234" s="60"/>
      <c r="D6234" s="81"/>
      <c r="E6234" s="62"/>
      <c r="F6234" s="60"/>
      <c r="G6234" s="62"/>
      <c r="H6234" s="60"/>
    </row>
    <row r="6235" spans="1:8">
      <c r="A6235" s="60"/>
      <c r="B6235" s="77"/>
      <c r="C6235" s="60"/>
      <c r="D6235" s="81"/>
      <c r="E6235" s="62"/>
      <c r="F6235" s="60"/>
      <c r="G6235" s="62"/>
      <c r="H6235" s="60"/>
    </row>
    <row r="6236" spans="1:8">
      <c r="A6236" s="60"/>
      <c r="B6236" s="77"/>
      <c r="C6236" s="60"/>
      <c r="D6236" s="81"/>
      <c r="E6236" s="62"/>
      <c r="F6236" s="60"/>
      <c r="G6236" s="62"/>
      <c r="H6236" s="60"/>
    </row>
    <row r="6237" spans="1:8">
      <c r="A6237" s="60"/>
      <c r="B6237" s="77"/>
      <c r="C6237" s="60"/>
      <c r="D6237" s="81"/>
      <c r="E6237" s="62"/>
      <c r="F6237" s="60"/>
      <c r="G6237" s="62"/>
      <c r="H6237" s="60"/>
    </row>
    <row r="6238" spans="1:8">
      <c r="A6238" s="60"/>
      <c r="B6238" s="77"/>
      <c r="C6238" s="60"/>
      <c r="D6238" s="81"/>
      <c r="E6238" s="62"/>
      <c r="F6238" s="60"/>
      <c r="G6238" s="62"/>
      <c r="H6238" s="60"/>
    </row>
    <row r="6239" spans="1:8">
      <c r="A6239" s="60"/>
      <c r="B6239" s="77"/>
      <c r="C6239" s="60"/>
      <c r="D6239" s="81"/>
      <c r="E6239" s="62"/>
      <c r="F6239" s="60"/>
      <c r="G6239" s="62"/>
      <c r="H6239" s="60"/>
    </row>
    <row r="6240" spans="1:8">
      <c r="A6240" s="60"/>
      <c r="B6240" s="77"/>
      <c r="C6240" s="60"/>
      <c r="D6240" s="81"/>
      <c r="E6240" s="62"/>
      <c r="F6240" s="60"/>
      <c r="G6240" s="62"/>
      <c r="H6240" s="60"/>
    </row>
    <row r="6241" spans="1:8">
      <c r="A6241" s="60"/>
      <c r="B6241" s="77"/>
      <c r="C6241" s="60"/>
      <c r="D6241" s="81"/>
      <c r="E6241" s="62"/>
      <c r="F6241" s="60"/>
      <c r="G6241" s="62"/>
      <c r="H6241" s="60"/>
    </row>
    <row r="6242" spans="1:8">
      <c r="A6242" s="60"/>
      <c r="B6242" s="77"/>
      <c r="C6242" s="60"/>
      <c r="D6242" s="81"/>
      <c r="E6242" s="62"/>
      <c r="F6242" s="60"/>
      <c r="G6242" s="62"/>
      <c r="H6242" s="60"/>
    </row>
    <row r="6243" spans="1:8">
      <c r="A6243" s="60"/>
      <c r="B6243" s="77"/>
      <c r="C6243" s="60"/>
      <c r="D6243" s="81"/>
      <c r="E6243" s="62"/>
      <c r="F6243" s="60"/>
      <c r="G6243" s="62"/>
      <c r="H6243" s="60"/>
    </row>
    <row r="6244" spans="1:8">
      <c r="A6244" s="60"/>
      <c r="B6244" s="77"/>
      <c r="C6244" s="60"/>
      <c r="D6244" s="81"/>
      <c r="E6244" s="62"/>
      <c r="F6244" s="60"/>
      <c r="G6244" s="62"/>
      <c r="H6244" s="60"/>
    </row>
    <row r="6245" spans="1:8">
      <c r="A6245" s="60"/>
      <c r="B6245" s="77"/>
      <c r="C6245" s="60"/>
      <c r="D6245" s="81"/>
      <c r="E6245" s="62"/>
      <c r="F6245" s="60"/>
      <c r="G6245" s="62"/>
      <c r="H6245" s="60"/>
    </row>
    <row r="6246" spans="1:8">
      <c r="A6246" s="60"/>
      <c r="B6246" s="77"/>
      <c r="C6246" s="60"/>
      <c r="D6246" s="81"/>
      <c r="E6246" s="62"/>
      <c r="F6246" s="60"/>
      <c r="G6246" s="62"/>
      <c r="H6246" s="60"/>
    </row>
    <row r="6247" spans="1:8">
      <c r="A6247" s="60"/>
      <c r="B6247" s="77"/>
      <c r="C6247" s="60"/>
      <c r="D6247" s="81"/>
      <c r="E6247" s="62"/>
      <c r="F6247" s="60"/>
      <c r="G6247" s="62"/>
      <c r="H6247" s="60"/>
    </row>
    <row r="6248" spans="1:8">
      <c r="A6248" s="60"/>
      <c r="B6248" s="77"/>
      <c r="C6248" s="60"/>
      <c r="D6248" s="81"/>
      <c r="E6248" s="62"/>
      <c r="F6248" s="60"/>
      <c r="G6248" s="62"/>
      <c r="H6248" s="60"/>
    </row>
    <row r="6249" spans="1:8">
      <c r="A6249" s="60"/>
      <c r="B6249" s="77"/>
      <c r="C6249" s="60"/>
      <c r="D6249" s="81"/>
      <c r="E6249" s="62"/>
      <c r="F6249" s="60"/>
      <c r="G6249" s="62"/>
      <c r="H6249" s="60"/>
    </row>
    <row r="6250" spans="1:8">
      <c r="A6250" s="60"/>
      <c r="B6250" s="77"/>
      <c r="C6250" s="60"/>
      <c r="D6250" s="81"/>
      <c r="E6250" s="62"/>
      <c r="F6250" s="60"/>
      <c r="G6250" s="62"/>
      <c r="H6250" s="60"/>
    </row>
    <row r="6251" spans="1:8">
      <c r="A6251" s="60"/>
      <c r="B6251" s="77"/>
      <c r="C6251" s="60"/>
      <c r="D6251" s="81"/>
      <c r="E6251" s="62"/>
      <c r="F6251" s="60"/>
      <c r="G6251" s="62"/>
      <c r="H6251" s="60"/>
    </row>
    <row r="6252" spans="1:8">
      <c r="A6252" s="60"/>
      <c r="B6252" s="77"/>
      <c r="C6252" s="60"/>
      <c r="D6252" s="81"/>
      <c r="E6252" s="62"/>
      <c r="F6252" s="60"/>
      <c r="G6252" s="62"/>
      <c r="H6252" s="60"/>
    </row>
    <row r="6253" spans="1:8">
      <c r="A6253" s="60"/>
      <c r="B6253" s="77"/>
      <c r="C6253" s="60"/>
      <c r="D6253" s="81"/>
      <c r="E6253" s="62"/>
      <c r="F6253" s="60"/>
      <c r="G6253" s="62"/>
      <c r="H6253" s="60"/>
    </row>
    <row r="6254" spans="1:8">
      <c r="A6254" s="60"/>
      <c r="B6254" s="77"/>
      <c r="C6254" s="60"/>
      <c r="D6254" s="81"/>
      <c r="E6254" s="62"/>
      <c r="F6254" s="60"/>
      <c r="G6254" s="62"/>
      <c r="H6254" s="60"/>
    </row>
    <row r="6255" spans="1:8">
      <c r="A6255" s="60"/>
      <c r="B6255" s="77"/>
      <c r="C6255" s="60"/>
      <c r="D6255" s="81"/>
      <c r="E6255" s="62"/>
      <c r="F6255" s="60"/>
      <c r="G6255" s="62"/>
      <c r="H6255" s="60"/>
    </row>
    <row r="6256" spans="1:8">
      <c r="A6256" s="60"/>
      <c r="B6256" s="77"/>
      <c r="C6256" s="60"/>
      <c r="D6256" s="81"/>
      <c r="E6256" s="62"/>
      <c r="F6256" s="60"/>
      <c r="G6256" s="62"/>
      <c r="H6256" s="60"/>
    </row>
    <row r="6257" spans="1:8">
      <c r="A6257" s="60"/>
      <c r="B6257" s="77"/>
      <c r="C6257" s="60"/>
      <c r="D6257" s="81"/>
      <c r="E6257" s="62"/>
      <c r="F6257" s="60"/>
      <c r="G6257" s="62"/>
      <c r="H6257" s="60"/>
    </row>
    <row r="6258" spans="1:8">
      <c r="A6258" s="60"/>
      <c r="B6258" s="77"/>
      <c r="C6258" s="60"/>
      <c r="D6258" s="81"/>
      <c r="E6258" s="62"/>
      <c r="F6258" s="60"/>
      <c r="G6258" s="62"/>
      <c r="H6258" s="60"/>
    </row>
    <row r="6259" spans="1:8">
      <c r="A6259" s="60"/>
      <c r="B6259" s="77"/>
      <c r="C6259" s="60"/>
      <c r="D6259" s="81"/>
      <c r="E6259" s="62"/>
      <c r="F6259" s="60"/>
      <c r="G6259" s="62"/>
      <c r="H6259" s="60"/>
    </row>
    <row r="6260" spans="1:8">
      <c r="A6260" s="60"/>
      <c r="B6260" s="77"/>
      <c r="C6260" s="60"/>
      <c r="D6260" s="81"/>
      <c r="E6260" s="62"/>
      <c r="F6260" s="60"/>
      <c r="G6260" s="62"/>
      <c r="H6260" s="60"/>
    </row>
    <row r="6261" spans="1:8">
      <c r="A6261" s="60"/>
      <c r="B6261" s="77"/>
      <c r="C6261" s="60"/>
      <c r="D6261" s="81"/>
      <c r="E6261" s="62"/>
      <c r="F6261" s="60"/>
      <c r="G6261" s="62"/>
      <c r="H6261" s="60"/>
    </row>
    <row r="6262" spans="1:8">
      <c r="A6262" s="60"/>
      <c r="B6262" s="77"/>
      <c r="C6262" s="60"/>
      <c r="D6262" s="81"/>
      <c r="E6262" s="62"/>
      <c r="F6262" s="60"/>
      <c r="G6262" s="62"/>
      <c r="H6262" s="60"/>
    </row>
    <row r="6263" spans="1:8">
      <c r="A6263" s="60"/>
      <c r="B6263" s="77"/>
      <c r="C6263" s="60"/>
      <c r="D6263" s="81"/>
      <c r="E6263" s="62"/>
      <c r="F6263" s="60"/>
      <c r="G6263" s="62"/>
      <c r="H6263" s="60"/>
    </row>
    <row r="6264" spans="1:8">
      <c r="A6264" s="60"/>
      <c r="B6264" s="77"/>
      <c r="C6264" s="60"/>
      <c r="D6264" s="81"/>
      <c r="E6264" s="62"/>
      <c r="F6264" s="60"/>
      <c r="G6264" s="62"/>
      <c r="H6264" s="60"/>
    </row>
    <row r="6265" spans="1:8">
      <c r="A6265" s="60"/>
      <c r="B6265" s="77"/>
      <c r="C6265" s="60"/>
      <c r="D6265" s="81"/>
      <c r="E6265" s="62"/>
      <c r="F6265" s="60"/>
      <c r="G6265" s="62"/>
      <c r="H6265" s="60"/>
    </row>
    <row r="6266" spans="1:8">
      <c r="A6266" s="60"/>
      <c r="B6266" s="77"/>
      <c r="C6266" s="60"/>
      <c r="D6266" s="81"/>
      <c r="E6266" s="62"/>
      <c r="F6266" s="60"/>
      <c r="G6266" s="62"/>
      <c r="H6266" s="60"/>
    </row>
    <row r="6267" spans="1:8">
      <c r="A6267" s="60"/>
      <c r="B6267" s="77"/>
      <c r="C6267" s="60"/>
      <c r="D6267" s="81"/>
      <c r="E6267" s="62"/>
      <c r="F6267" s="60"/>
      <c r="G6267" s="62"/>
      <c r="H6267" s="60"/>
    </row>
    <row r="6268" spans="1:8">
      <c r="A6268" s="60"/>
      <c r="B6268" s="77"/>
      <c r="C6268" s="60"/>
      <c r="D6268" s="81"/>
      <c r="E6268" s="62"/>
      <c r="F6268" s="60"/>
      <c r="G6268" s="62"/>
      <c r="H6268" s="60"/>
    </row>
    <row r="6269" spans="1:8">
      <c r="A6269" s="60"/>
      <c r="B6269" s="77"/>
      <c r="C6269" s="60"/>
      <c r="D6269" s="81"/>
      <c r="E6269" s="62"/>
      <c r="F6269" s="60"/>
      <c r="G6269" s="62"/>
      <c r="H6269" s="60"/>
    </row>
    <row r="6270" spans="1:8">
      <c r="A6270" s="60"/>
      <c r="B6270" s="77"/>
      <c r="C6270" s="60"/>
      <c r="D6270" s="81"/>
      <c r="E6270" s="62"/>
      <c r="F6270" s="60"/>
      <c r="G6270" s="62"/>
      <c r="H6270" s="60"/>
    </row>
    <row r="6271" spans="1:8">
      <c r="A6271" s="60"/>
      <c r="B6271" s="77"/>
      <c r="C6271" s="60"/>
      <c r="D6271" s="81"/>
      <c r="E6271" s="62"/>
      <c r="F6271" s="60"/>
      <c r="G6271" s="62"/>
      <c r="H6271" s="60"/>
    </row>
    <row r="6272" spans="1:8">
      <c r="A6272" s="60"/>
      <c r="B6272" s="77"/>
      <c r="C6272" s="60"/>
      <c r="D6272" s="81"/>
      <c r="E6272" s="62"/>
      <c r="F6272" s="60"/>
      <c r="G6272" s="62"/>
      <c r="H6272" s="60"/>
    </row>
    <row r="6273" spans="1:8">
      <c r="A6273" s="60"/>
      <c r="B6273" s="77"/>
      <c r="C6273" s="60"/>
      <c r="D6273" s="81"/>
      <c r="E6273" s="62"/>
      <c r="F6273" s="60"/>
      <c r="G6273" s="62"/>
      <c r="H6273" s="60"/>
    </row>
    <row r="6274" spans="1:8">
      <c r="A6274" s="60"/>
      <c r="B6274" s="77"/>
      <c r="C6274" s="60"/>
      <c r="D6274" s="81"/>
      <c r="E6274" s="62"/>
      <c r="F6274" s="60"/>
      <c r="G6274" s="62"/>
      <c r="H6274" s="60"/>
    </row>
    <row r="6275" spans="1:8">
      <c r="A6275" s="60"/>
      <c r="B6275" s="77"/>
      <c r="C6275" s="60"/>
      <c r="D6275" s="81"/>
      <c r="E6275" s="62"/>
      <c r="F6275" s="60"/>
      <c r="G6275" s="62"/>
      <c r="H6275" s="60"/>
    </row>
    <row r="6276" spans="1:8">
      <c r="A6276" s="60"/>
      <c r="B6276" s="77"/>
      <c r="C6276" s="60"/>
      <c r="D6276" s="81"/>
      <c r="E6276" s="62"/>
      <c r="F6276" s="60"/>
      <c r="G6276" s="62"/>
      <c r="H6276" s="60"/>
    </row>
    <row r="6277" spans="1:8">
      <c r="A6277" s="60"/>
      <c r="B6277" s="77"/>
      <c r="C6277" s="60"/>
      <c r="D6277" s="81"/>
      <c r="E6277" s="62"/>
      <c r="F6277" s="60"/>
      <c r="G6277" s="62"/>
      <c r="H6277" s="60"/>
    </row>
    <row r="6278" spans="1:8">
      <c r="A6278" s="60"/>
      <c r="B6278" s="77"/>
      <c r="C6278" s="60"/>
      <c r="D6278" s="81"/>
      <c r="E6278" s="62"/>
      <c r="F6278" s="60"/>
      <c r="G6278" s="62"/>
      <c r="H6278" s="60"/>
    </row>
    <row r="6279" spans="1:8">
      <c r="A6279" s="60"/>
      <c r="B6279" s="77"/>
      <c r="C6279" s="60"/>
      <c r="D6279" s="81"/>
      <c r="E6279" s="62"/>
      <c r="F6279" s="60"/>
      <c r="G6279" s="62"/>
      <c r="H6279" s="60"/>
    </row>
    <row r="6280" spans="1:8">
      <c r="A6280" s="60"/>
      <c r="B6280" s="77"/>
      <c r="C6280" s="60"/>
      <c r="D6280" s="81"/>
      <c r="E6280" s="62"/>
      <c r="F6280" s="60"/>
      <c r="G6280" s="62"/>
      <c r="H6280" s="60"/>
    </row>
    <row r="6281" spans="1:8">
      <c r="A6281" s="60"/>
      <c r="B6281" s="77"/>
      <c r="C6281" s="60"/>
      <c r="D6281" s="81"/>
      <c r="E6281" s="62"/>
      <c r="F6281" s="60"/>
      <c r="G6281" s="62"/>
      <c r="H6281" s="60"/>
    </row>
    <row r="6282" spans="1:8">
      <c r="A6282" s="60"/>
      <c r="B6282" s="77"/>
      <c r="C6282" s="60"/>
      <c r="D6282" s="81"/>
      <c r="E6282" s="62"/>
      <c r="F6282" s="60"/>
      <c r="G6282" s="62"/>
      <c r="H6282" s="60"/>
    </row>
    <row r="6283" spans="1:8">
      <c r="A6283" s="60"/>
      <c r="B6283" s="77"/>
      <c r="C6283" s="60"/>
      <c r="D6283" s="81"/>
      <c r="E6283" s="62"/>
      <c r="F6283" s="60"/>
      <c r="G6283" s="62"/>
      <c r="H6283" s="60"/>
    </row>
    <row r="6284" spans="1:8">
      <c r="A6284" s="60"/>
      <c r="B6284" s="77"/>
      <c r="C6284" s="60"/>
      <c r="D6284" s="81"/>
      <c r="E6284" s="62"/>
      <c r="F6284" s="60"/>
      <c r="G6284" s="62"/>
      <c r="H6284" s="60"/>
    </row>
    <row r="6285" spans="1:8">
      <c r="A6285" s="60"/>
      <c r="B6285" s="77"/>
      <c r="C6285" s="60"/>
      <c r="D6285" s="81"/>
      <c r="E6285" s="62"/>
      <c r="F6285" s="60"/>
      <c r="G6285" s="62"/>
      <c r="H6285" s="60"/>
    </row>
    <row r="6286" spans="1:8">
      <c r="A6286" s="60"/>
      <c r="B6286" s="77"/>
      <c r="C6286" s="60"/>
      <c r="D6286" s="81"/>
      <c r="E6286" s="62"/>
      <c r="F6286" s="60"/>
      <c r="G6286" s="62"/>
      <c r="H6286" s="60"/>
    </row>
    <row r="6287" spans="1:8">
      <c r="A6287" s="60"/>
      <c r="B6287" s="77"/>
      <c r="C6287" s="60"/>
      <c r="D6287" s="81"/>
      <c r="E6287" s="62"/>
      <c r="F6287" s="60"/>
      <c r="G6287" s="62"/>
      <c r="H6287" s="60"/>
    </row>
    <row r="6288" spans="1:8">
      <c r="A6288" s="60"/>
      <c r="B6288" s="77"/>
      <c r="C6288" s="60"/>
      <c r="D6288" s="81"/>
      <c r="E6288" s="62"/>
      <c r="F6288" s="60"/>
      <c r="G6288" s="62"/>
      <c r="H6288" s="60"/>
    </row>
    <row r="6289" spans="1:8">
      <c r="A6289" s="60"/>
      <c r="B6289" s="77"/>
      <c r="C6289" s="60"/>
      <c r="D6289" s="81"/>
      <c r="E6289" s="62"/>
      <c r="F6289" s="60"/>
      <c r="G6289" s="62"/>
      <c r="H6289" s="60"/>
    </row>
    <row r="6290" spans="1:8">
      <c r="A6290" s="60"/>
      <c r="B6290" s="77"/>
      <c r="C6290" s="60"/>
      <c r="D6290" s="81"/>
      <c r="E6290" s="62"/>
      <c r="F6290" s="60"/>
      <c r="G6290" s="62"/>
      <c r="H6290" s="60"/>
    </row>
    <row r="6291" spans="1:8">
      <c r="A6291" s="60"/>
      <c r="B6291" s="77"/>
      <c r="C6291" s="60"/>
      <c r="D6291" s="81"/>
      <c r="E6291" s="62"/>
      <c r="F6291" s="60"/>
      <c r="G6291" s="62"/>
      <c r="H6291" s="60"/>
    </row>
    <row r="6292" spans="1:8">
      <c r="A6292" s="60"/>
      <c r="B6292" s="77"/>
      <c r="C6292" s="60"/>
      <c r="D6292" s="81"/>
      <c r="E6292" s="62"/>
      <c r="F6292" s="60"/>
      <c r="G6292" s="62"/>
      <c r="H6292" s="60"/>
    </row>
    <row r="6293" spans="1:8">
      <c r="A6293" s="60"/>
      <c r="B6293" s="77"/>
      <c r="C6293" s="60"/>
      <c r="D6293" s="81"/>
      <c r="E6293" s="62"/>
      <c r="F6293" s="60"/>
      <c r="G6293" s="62"/>
      <c r="H6293" s="60"/>
    </row>
    <row r="6294" spans="1:8">
      <c r="A6294" s="60"/>
      <c r="B6294" s="77"/>
      <c r="C6294" s="60"/>
      <c r="D6294" s="81"/>
      <c r="E6294" s="62"/>
      <c r="F6294" s="60"/>
      <c r="G6294" s="62"/>
      <c r="H6294" s="60"/>
    </row>
    <row r="6295" spans="1:8">
      <c r="A6295" s="60"/>
      <c r="B6295" s="77"/>
      <c r="C6295" s="60"/>
      <c r="D6295" s="81"/>
      <c r="E6295" s="62"/>
      <c r="F6295" s="60"/>
      <c r="G6295" s="62"/>
      <c r="H6295" s="60"/>
    </row>
    <row r="6296" spans="1:8">
      <c r="A6296" s="60"/>
      <c r="B6296" s="77"/>
      <c r="C6296" s="60"/>
      <c r="D6296" s="81"/>
      <c r="E6296" s="62"/>
      <c r="F6296" s="60"/>
      <c r="G6296" s="62"/>
      <c r="H6296" s="60"/>
    </row>
    <row r="6297" spans="1:8">
      <c r="A6297" s="60"/>
      <c r="B6297" s="77"/>
      <c r="C6297" s="60"/>
      <c r="D6297" s="81"/>
      <c r="E6297" s="62"/>
      <c r="F6297" s="60"/>
      <c r="G6297" s="62"/>
      <c r="H6297" s="60"/>
    </row>
    <row r="6298" spans="1:8">
      <c r="A6298" s="60"/>
      <c r="B6298" s="77"/>
      <c r="C6298" s="60"/>
      <c r="D6298" s="81"/>
      <c r="E6298" s="62"/>
      <c r="F6298" s="60"/>
      <c r="G6298" s="62"/>
      <c r="H6298" s="60"/>
    </row>
    <row r="6299" spans="1:8">
      <c r="A6299" s="60"/>
      <c r="B6299" s="77"/>
      <c r="C6299" s="60"/>
      <c r="D6299" s="81"/>
      <c r="E6299" s="62"/>
      <c r="F6299" s="60"/>
      <c r="G6299" s="62"/>
      <c r="H6299" s="60"/>
    </row>
    <row r="6300" spans="1:8">
      <c r="A6300" s="60"/>
      <c r="B6300" s="77"/>
      <c r="C6300" s="60"/>
      <c r="D6300" s="81"/>
      <c r="E6300" s="62"/>
      <c r="F6300" s="60"/>
      <c r="G6300" s="62"/>
      <c r="H6300" s="60"/>
    </row>
    <row r="6301" spans="1:8">
      <c r="A6301" s="60"/>
      <c r="B6301" s="77"/>
      <c r="C6301" s="60"/>
      <c r="D6301" s="81"/>
      <c r="E6301" s="62"/>
      <c r="F6301" s="60"/>
      <c r="G6301" s="62"/>
      <c r="H6301" s="60"/>
    </row>
    <row r="6302" spans="1:8">
      <c r="A6302" s="60"/>
      <c r="B6302" s="77"/>
      <c r="C6302" s="60"/>
      <c r="D6302" s="81"/>
      <c r="E6302" s="62"/>
      <c r="F6302" s="60"/>
      <c r="G6302" s="62"/>
      <c r="H6302" s="60"/>
    </row>
    <row r="6303" spans="1:8">
      <c r="A6303" s="60"/>
      <c r="B6303" s="77"/>
      <c r="C6303" s="60"/>
      <c r="D6303" s="81"/>
      <c r="E6303" s="62"/>
      <c r="F6303" s="60"/>
      <c r="G6303" s="62"/>
      <c r="H6303" s="60"/>
    </row>
    <row r="6304" spans="1:8">
      <c r="A6304" s="60"/>
      <c r="B6304" s="77"/>
      <c r="C6304" s="60"/>
      <c r="D6304" s="81"/>
      <c r="E6304" s="62"/>
      <c r="F6304" s="60"/>
      <c r="G6304" s="62"/>
      <c r="H6304" s="60"/>
    </row>
    <row r="6305" spans="1:8">
      <c r="A6305" s="60"/>
      <c r="B6305" s="77"/>
      <c r="C6305" s="60"/>
      <c r="D6305" s="81"/>
      <c r="E6305" s="62"/>
      <c r="F6305" s="60"/>
      <c r="G6305" s="62"/>
      <c r="H6305" s="60"/>
    </row>
    <row r="6306" spans="1:8">
      <c r="A6306" s="60"/>
      <c r="B6306" s="77"/>
      <c r="C6306" s="60"/>
      <c r="D6306" s="81"/>
      <c r="E6306" s="62"/>
      <c r="F6306" s="60"/>
      <c r="G6306" s="62"/>
      <c r="H6306" s="60"/>
    </row>
    <row r="6307" spans="1:8">
      <c r="A6307" s="60"/>
      <c r="B6307" s="77"/>
      <c r="C6307" s="60"/>
      <c r="D6307" s="81"/>
      <c r="E6307" s="62"/>
      <c r="F6307" s="60"/>
      <c r="G6307" s="62"/>
      <c r="H6307" s="60"/>
    </row>
    <row r="6308" spans="1:8">
      <c r="A6308" s="60"/>
      <c r="B6308" s="77"/>
      <c r="C6308" s="60"/>
      <c r="D6308" s="81"/>
      <c r="E6308" s="62"/>
      <c r="F6308" s="60"/>
      <c r="G6308" s="62"/>
      <c r="H6308" s="60"/>
    </row>
    <row r="6309" spans="1:8">
      <c r="A6309" s="60"/>
      <c r="B6309" s="77"/>
      <c r="C6309" s="60"/>
      <c r="D6309" s="81"/>
      <c r="E6309" s="62"/>
      <c r="F6309" s="60"/>
      <c r="G6309" s="62"/>
      <c r="H6309" s="60"/>
    </row>
    <row r="6310" spans="1:8">
      <c r="A6310" s="60"/>
      <c r="B6310" s="77"/>
      <c r="C6310" s="60"/>
      <c r="D6310" s="81"/>
      <c r="E6310" s="62"/>
      <c r="F6310" s="60"/>
      <c r="G6310" s="62"/>
      <c r="H6310" s="60"/>
    </row>
    <row r="6311" spans="1:8">
      <c r="A6311" s="60"/>
      <c r="B6311" s="77"/>
      <c r="C6311" s="60"/>
      <c r="D6311" s="81"/>
      <c r="E6311" s="62"/>
      <c r="F6311" s="60"/>
      <c r="G6311" s="62"/>
      <c r="H6311" s="60"/>
    </row>
    <row r="6312" spans="1:8">
      <c r="A6312" s="60"/>
      <c r="B6312" s="77"/>
      <c r="C6312" s="60"/>
      <c r="D6312" s="81"/>
      <c r="E6312" s="62"/>
      <c r="F6312" s="60"/>
      <c r="G6312" s="62"/>
      <c r="H6312" s="60"/>
    </row>
    <row r="6313" spans="1:8">
      <c r="A6313" s="60"/>
      <c r="B6313" s="77"/>
      <c r="C6313" s="60"/>
      <c r="D6313" s="81"/>
      <c r="E6313" s="62"/>
      <c r="F6313" s="60"/>
      <c r="G6313" s="62"/>
      <c r="H6313" s="60"/>
    </row>
    <row r="6314" spans="1:8">
      <c r="A6314" s="60"/>
      <c r="B6314" s="77"/>
      <c r="C6314" s="60"/>
      <c r="D6314" s="81"/>
      <c r="E6314" s="62"/>
      <c r="F6314" s="60"/>
      <c r="G6314" s="62"/>
      <c r="H6314" s="60"/>
    </row>
    <row r="6315" spans="1:8">
      <c r="A6315" s="60"/>
      <c r="B6315" s="77"/>
      <c r="C6315" s="60"/>
      <c r="D6315" s="81"/>
      <c r="E6315" s="62"/>
      <c r="F6315" s="60"/>
      <c r="G6315" s="62"/>
      <c r="H6315" s="60"/>
    </row>
    <row r="6316" spans="1:8">
      <c r="A6316" s="60"/>
      <c r="B6316" s="77"/>
      <c r="C6316" s="60"/>
      <c r="D6316" s="81"/>
      <c r="E6316" s="62"/>
      <c r="F6316" s="60"/>
      <c r="G6316" s="62"/>
      <c r="H6316" s="60"/>
    </row>
    <row r="6317" spans="1:8">
      <c r="A6317" s="60"/>
      <c r="B6317" s="77"/>
      <c r="C6317" s="60"/>
      <c r="D6317" s="81"/>
      <c r="E6317" s="62"/>
      <c r="F6317" s="60"/>
      <c r="G6317" s="62"/>
      <c r="H6317" s="60"/>
    </row>
    <row r="6318" spans="1:8">
      <c r="A6318" s="60"/>
      <c r="B6318" s="77"/>
      <c r="C6318" s="60"/>
      <c r="D6318" s="81"/>
      <c r="E6318" s="62"/>
      <c r="F6318" s="60"/>
      <c r="G6318" s="62"/>
      <c r="H6318" s="60"/>
    </row>
    <row r="6319" spans="1:8">
      <c r="A6319" s="60"/>
      <c r="B6319" s="77"/>
      <c r="C6319" s="60"/>
      <c r="D6319" s="81"/>
      <c r="E6319" s="62"/>
      <c r="F6319" s="60"/>
      <c r="G6319" s="62"/>
      <c r="H6319" s="60"/>
    </row>
    <row r="6320" spans="1:8">
      <c r="A6320" s="60"/>
      <c r="B6320" s="77"/>
      <c r="C6320" s="60"/>
      <c r="D6320" s="81"/>
      <c r="E6320" s="62"/>
      <c r="F6320" s="60"/>
      <c r="G6320" s="62"/>
      <c r="H6320" s="60"/>
    </row>
    <row r="6321" spans="1:8">
      <c r="A6321" s="60"/>
      <c r="B6321" s="77"/>
      <c r="C6321" s="60"/>
      <c r="D6321" s="81"/>
      <c r="E6321" s="62"/>
      <c r="F6321" s="60"/>
      <c r="G6321" s="62"/>
      <c r="H6321" s="60"/>
    </row>
    <row r="6322" spans="1:8">
      <c r="A6322" s="60"/>
      <c r="B6322" s="77"/>
      <c r="C6322" s="60"/>
      <c r="D6322" s="81"/>
      <c r="E6322" s="62"/>
      <c r="F6322" s="60"/>
      <c r="G6322" s="62"/>
      <c r="H6322" s="60"/>
    </row>
    <row r="6323" spans="1:8">
      <c r="A6323" s="60"/>
      <c r="B6323" s="77"/>
      <c r="C6323" s="60"/>
      <c r="D6323" s="81"/>
      <c r="E6323" s="62"/>
      <c r="F6323" s="60"/>
      <c r="G6323" s="62"/>
      <c r="H6323" s="60"/>
    </row>
    <row r="6324" spans="1:8">
      <c r="A6324" s="60"/>
      <c r="B6324" s="77"/>
      <c r="C6324" s="60"/>
      <c r="D6324" s="81"/>
      <c r="E6324" s="62"/>
      <c r="F6324" s="60"/>
      <c r="G6324" s="62"/>
      <c r="H6324" s="60"/>
    </row>
    <row r="6325" spans="1:8">
      <c r="A6325" s="60"/>
      <c r="B6325" s="77"/>
      <c r="C6325" s="60"/>
      <c r="D6325" s="81"/>
      <c r="E6325" s="62"/>
      <c r="F6325" s="60"/>
      <c r="G6325" s="62"/>
      <c r="H6325" s="60"/>
    </row>
    <row r="6326" spans="1:8">
      <c r="A6326" s="60"/>
      <c r="B6326" s="77"/>
      <c r="C6326" s="60"/>
      <c r="D6326" s="81"/>
      <c r="E6326" s="62"/>
      <c r="F6326" s="60"/>
      <c r="G6326" s="62"/>
      <c r="H6326" s="60"/>
    </row>
    <row r="6327" spans="1:8">
      <c r="A6327" s="60"/>
      <c r="B6327" s="77"/>
      <c r="C6327" s="60"/>
      <c r="D6327" s="81"/>
      <c r="E6327" s="62"/>
      <c r="F6327" s="60"/>
      <c r="G6327" s="62"/>
      <c r="H6327" s="60"/>
    </row>
    <row r="6328" spans="1:8">
      <c r="A6328" s="60"/>
      <c r="B6328" s="77"/>
      <c r="C6328" s="60"/>
      <c r="D6328" s="81"/>
      <c r="E6328" s="62"/>
      <c r="F6328" s="60"/>
      <c r="G6328" s="62"/>
      <c r="H6328" s="60"/>
    </row>
    <row r="6329" spans="1:8">
      <c r="A6329" s="60"/>
      <c r="B6329" s="77"/>
      <c r="C6329" s="60"/>
      <c r="D6329" s="81"/>
      <c r="E6329" s="62"/>
      <c r="F6329" s="60"/>
      <c r="G6329" s="62"/>
      <c r="H6329" s="60"/>
    </row>
    <row r="6330" spans="1:8">
      <c r="A6330" s="60"/>
      <c r="B6330" s="77"/>
      <c r="C6330" s="60"/>
      <c r="D6330" s="81"/>
      <c r="E6330" s="62"/>
      <c r="F6330" s="60"/>
      <c r="G6330" s="62"/>
      <c r="H6330" s="60"/>
    </row>
    <row r="6331" spans="1:8">
      <c r="A6331" s="60"/>
      <c r="B6331" s="77"/>
      <c r="C6331" s="60"/>
      <c r="D6331" s="81"/>
      <c r="E6331" s="62"/>
      <c r="F6331" s="60"/>
      <c r="G6331" s="62"/>
      <c r="H6331" s="60"/>
    </row>
    <row r="6332" spans="1:8">
      <c r="A6332" s="60"/>
      <c r="B6332" s="77"/>
      <c r="C6332" s="60"/>
      <c r="D6332" s="81"/>
      <c r="E6332" s="62"/>
      <c r="F6332" s="60"/>
      <c r="G6332" s="62"/>
      <c r="H6332" s="60"/>
    </row>
    <row r="6333" spans="1:8">
      <c r="A6333" s="60"/>
      <c r="B6333" s="77"/>
      <c r="C6333" s="60"/>
      <c r="D6333" s="81"/>
      <c r="E6333" s="62"/>
      <c r="F6333" s="60"/>
      <c r="G6333" s="62"/>
      <c r="H6333" s="60"/>
    </row>
    <row r="6334" spans="1:8">
      <c r="A6334" s="60"/>
      <c r="B6334" s="77"/>
      <c r="C6334" s="60"/>
      <c r="D6334" s="81"/>
      <c r="E6334" s="62"/>
      <c r="F6334" s="60"/>
      <c r="G6334" s="62"/>
      <c r="H6334" s="60"/>
    </row>
    <row r="6335" spans="1:8">
      <c r="A6335" s="60"/>
      <c r="B6335" s="77"/>
      <c r="C6335" s="60"/>
      <c r="D6335" s="81"/>
      <c r="E6335" s="62"/>
      <c r="F6335" s="60"/>
      <c r="G6335" s="62"/>
      <c r="H6335" s="60"/>
    </row>
    <row r="6336" spans="1:8">
      <c r="A6336" s="60"/>
      <c r="B6336" s="77"/>
      <c r="C6336" s="60"/>
      <c r="D6336" s="81"/>
      <c r="E6336" s="62"/>
      <c r="F6336" s="60"/>
      <c r="G6336" s="62"/>
      <c r="H6336" s="60"/>
    </row>
    <row r="6337" spans="1:8">
      <c r="A6337" s="60"/>
      <c r="B6337" s="77"/>
      <c r="C6337" s="60"/>
      <c r="D6337" s="81"/>
      <c r="E6337" s="62"/>
      <c r="F6337" s="60"/>
      <c r="G6337" s="62"/>
      <c r="H6337" s="60"/>
    </row>
    <row r="6338" spans="1:8">
      <c r="A6338" s="60"/>
      <c r="B6338" s="77"/>
      <c r="C6338" s="60"/>
      <c r="D6338" s="81"/>
      <c r="E6338" s="62"/>
      <c r="F6338" s="60"/>
      <c r="G6338" s="62"/>
      <c r="H6338" s="60"/>
    </row>
    <row r="6339" spans="1:8">
      <c r="A6339" s="60"/>
      <c r="B6339" s="77"/>
      <c r="C6339" s="60"/>
      <c r="D6339" s="81"/>
      <c r="E6339" s="62"/>
      <c r="F6339" s="60"/>
      <c r="G6339" s="62"/>
      <c r="H6339" s="60"/>
    </row>
    <row r="6340" spans="1:8">
      <c r="A6340" s="60"/>
      <c r="B6340" s="77"/>
      <c r="C6340" s="60"/>
      <c r="D6340" s="81"/>
      <c r="E6340" s="62"/>
      <c r="F6340" s="60"/>
      <c r="G6340" s="62"/>
      <c r="H6340" s="60"/>
    </row>
    <row r="6341" spans="1:8">
      <c r="A6341" s="60"/>
      <c r="B6341" s="77"/>
      <c r="C6341" s="60"/>
      <c r="D6341" s="81"/>
      <c r="E6341" s="62"/>
      <c r="F6341" s="60"/>
      <c r="G6341" s="62"/>
      <c r="H6341" s="60"/>
    </row>
    <row r="6342" spans="1:8">
      <c r="A6342" s="60"/>
      <c r="B6342" s="77"/>
      <c r="C6342" s="60"/>
      <c r="D6342" s="81"/>
      <c r="E6342" s="62"/>
      <c r="F6342" s="60"/>
      <c r="G6342" s="62"/>
      <c r="H6342" s="60"/>
    </row>
    <row r="6343" spans="1:8">
      <c r="A6343" s="60"/>
      <c r="B6343" s="77"/>
      <c r="C6343" s="60"/>
      <c r="D6343" s="81"/>
      <c r="E6343" s="62"/>
      <c r="F6343" s="60"/>
      <c r="G6343" s="62"/>
      <c r="H6343" s="60"/>
    </row>
    <row r="6344" spans="1:8">
      <c r="A6344" s="60"/>
      <c r="B6344" s="77"/>
      <c r="C6344" s="60"/>
      <c r="D6344" s="81"/>
      <c r="E6344" s="62"/>
      <c r="F6344" s="60"/>
      <c r="G6344" s="62"/>
      <c r="H6344" s="60"/>
    </row>
    <row r="6345" spans="1:8">
      <c r="A6345" s="60"/>
      <c r="B6345" s="77"/>
      <c r="C6345" s="60"/>
      <c r="D6345" s="81"/>
      <c r="E6345" s="62"/>
      <c r="F6345" s="60"/>
      <c r="G6345" s="62"/>
      <c r="H6345" s="60"/>
    </row>
    <row r="6346" spans="1:8">
      <c r="A6346" s="60"/>
      <c r="B6346" s="77"/>
      <c r="C6346" s="60"/>
      <c r="D6346" s="81"/>
      <c r="E6346" s="62"/>
      <c r="F6346" s="60"/>
      <c r="G6346" s="62"/>
      <c r="H6346" s="60"/>
    </row>
    <row r="6347" spans="1:8">
      <c r="A6347" s="60"/>
      <c r="B6347" s="77"/>
      <c r="C6347" s="60"/>
      <c r="D6347" s="81"/>
      <c r="E6347" s="62"/>
      <c r="F6347" s="60"/>
      <c r="G6347" s="62"/>
      <c r="H6347" s="60"/>
    </row>
    <row r="6348" spans="1:8">
      <c r="A6348" s="60"/>
      <c r="B6348" s="77"/>
      <c r="C6348" s="60"/>
      <c r="D6348" s="81"/>
      <c r="E6348" s="62"/>
      <c r="F6348" s="60"/>
      <c r="G6348" s="62"/>
      <c r="H6348" s="60"/>
    </row>
    <row r="6349" spans="1:8">
      <c r="A6349" s="60"/>
      <c r="B6349" s="77"/>
      <c r="C6349" s="60"/>
      <c r="D6349" s="81"/>
      <c r="E6349" s="62"/>
      <c r="F6349" s="60"/>
      <c r="G6349" s="62"/>
      <c r="H6349" s="60"/>
    </row>
    <row r="6350" spans="1:8">
      <c r="A6350" s="60"/>
      <c r="B6350" s="77"/>
      <c r="C6350" s="60"/>
      <c r="D6350" s="81"/>
      <c r="E6350" s="62"/>
      <c r="F6350" s="60"/>
      <c r="G6350" s="62"/>
      <c r="H6350" s="60"/>
    </row>
    <row r="6351" spans="1:8">
      <c r="A6351" s="60"/>
      <c r="B6351" s="77"/>
      <c r="C6351" s="60"/>
      <c r="D6351" s="81"/>
      <c r="E6351" s="62"/>
      <c r="F6351" s="60"/>
      <c r="G6351" s="62"/>
      <c r="H6351" s="60"/>
    </row>
    <row r="6352" spans="1:8">
      <c r="A6352" s="60"/>
      <c r="B6352" s="77"/>
      <c r="C6352" s="60"/>
      <c r="D6352" s="81"/>
      <c r="E6352" s="62"/>
      <c r="F6352" s="60"/>
      <c r="G6352" s="62"/>
      <c r="H6352" s="60"/>
    </row>
    <row r="6353" spans="1:8">
      <c r="A6353" s="60"/>
      <c r="B6353" s="77"/>
      <c r="C6353" s="60"/>
      <c r="D6353" s="81"/>
      <c r="E6353" s="62"/>
      <c r="F6353" s="60"/>
      <c r="G6353" s="62"/>
      <c r="H6353" s="60"/>
    </row>
    <row r="6354" spans="1:8">
      <c r="A6354" s="60"/>
      <c r="B6354" s="77"/>
      <c r="C6354" s="60"/>
      <c r="D6354" s="81"/>
      <c r="E6354" s="62"/>
      <c r="F6354" s="60"/>
      <c r="G6354" s="62"/>
      <c r="H6354" s="60"/>
    </row>
    <row r="6355" spans="1:8">
      <c r="A6355" s="60"/>
      <c r="B6355" s="77"/>
      <c r="C6355" s="60"/>
      <c r="D6355" s="81"/>
      <c r="E6355" s="62"/>
      <c r="F6355" s="60"/>
      <c r="G6355" s="62"/>
      <c r="H6355" s="60"/>
    </row>
    <row r="6356" spans="1:8">
      <c r="A6356" s="60"/>
      <c r="B6356" s="77"/>
      <c r="C6356" s="60"/>
      <c r="D6356" s="81"/>
      <c r="E6356" s="62"/>
      <c r="F6356" s="60"/>
      <c r="G6356" s="62"/>
      <c r="H6356" s="60"/>
    </row>
    <row r="6357" spans="1:8">
      <c r="A6357" s="60"/>
      <c r="B6357" s="77"/>
      <c r="C6357" s="60"/>
      <c r="D6357" s="81"/>
      <c r="E6357" s="62"/>
      <c r="F6357" s="60"/>
      <c r="G6357" s="62"/>
      <c r="H6357" s="60"/>
    </row>
    <row r="6358" spans="1:8">
      <c r="A6358" s="60"/>
      <c r="B6358" s="77"/>
      <c r="C6358" s="60"/>
      <c r="D6358" s="81"/>
      <c r="E6358" s="62"/>
      <c r="F6358" s="60"/>
      <c r="G6358" s="62"/>
      <c r="H6358" s="60"/>
    </row>
    <row r="6359" spans="1:8">
      <c r="A6359" s="60"/>
      <c r="B6359" s="77"/>
      <c r="C6359" s="60"/>
      <c r="D6359" s="81"/>
      <c r="E6359" s="62"/>
      <c r="F6359" s="60"/>
      <c r="G6359" s="62"/>
      <c r="H6359" s="60"/>
    </row>
    <row r="6360" spans="1:8">
      <c r="A6360" s="60"/>
      <c r="B6360" s="77"/>
      <c r="C6360" s="60"/>
      <c r="D6360" s="81"/>
      <c r="E6360" s="62"/>
      <c r="F6360" s="60"/>
      <c r="G6360" s="62"/>
      <c r="H6360" s="60"/>
    </row>
    <row r="6361" spans="1:8">
      <c r="A6361" s="60"/>
      <c r="B6361" s="77"/>
      <c r="C6361" s="60"/>
      <c r="D6361" s="81"/>
      <c r="E6361" s="62"/>
      <c r="F6361" s="60"/>
      <c r="G6361" s="62"/>
      <c r="H6361" s="60"/>
    </row>
    <row r="6362" spans="1:8">
      <c r="A6362" s="60"/>
      <c r="B6362" s="77"/>
      <c r="C6362" s="60"/>
      <c r="D6362" s="81"/>
      <c r="E6362" s="62"/>
      <c r="F6362" s="60"/>
      <c r="G6362" s="62"/>
      <c r="H6362" s="60"/>
    </row>
    <row r="6363" spans="1:8">
      <c r="A6363" s="60"/>
      <c r="B6363" s="77"/>
      <c r="C6363" s="60"/>
      <c r="D6363" s="81"/>
      <c r="E6363" s="62"/>
      <c r="F6363" s="60"/>
      <c r="G6363" s="62"/>
      <c r="H6363" s="60"/>
    </row>
    <row r="6364" spans="1:8">
      <c r="A6364" s="60"/>
      <c r="B6364" s="77"/>
      <c r="C6364" s="60"/>
      <c r="D6364" s="81"/>
      <c r="E6364" s="62"/>
      <c r="F6364" s="60"/>
      <c r="G6364" s="62"/>
      <c r="H6364" s="60"/>
    </row>
    <row r="6365" spans="1:8">
      <c r="A6365" s="60"/>
      <c r="B6365" s="77"/>
      <c r="C6365" s="60"/>
      <c r="D6365" s="81"/>
      <c r="E6365" s="62"/>
      <c r="F6365" s="60"/>
      <c r="G6365" s="62"/>
      <c r="H6365" s="60"/>
    </row>
    <row r="6366" spans="1:8">
      <c r="A6366" s="60"/>
      <c r="B6366" s="77"/>
      <c r="C6366" s="60"/>
      <c r="D6366" s="81"/>
      <c r="E6366" s="62"/>
      <c r="F6366" s="60"/>
      <c r="G6366" s="62"/>
      <c r="H6366" s="60"/>
    </row>
    <row r="6367" spans="1:8">
      <c r="A6367" s="60"/>
      <c r="B6367" s="77"/>
      <c r="C6367" s="60"/>
      <c r="D6367" s="81"/>
      <c r="E6367" s="62"/>
      <c r="F6367" s="60"/>
      <c r="G6367" s="62"/>
      <c r="H6367" s="60"/>
    </row>
    <row r="6368" spans="1:8">
      <c r="A6368" s="60"/>
      <c r="B6368" s="77"/>
      <c r="C6368" s="60"/>
      <c r="D6368" s="81"/>
      <c r="E6368" s="62"/>
      <c r="F6368" s="60"/>
      <c r="G6368" s="62"/>
      <c r="H6368" s="60"/>
    </row>
    <row r="6369" spans="1:8">
      <c r="A6369" s="60"/>
      <c r="B6369" s="77"/>
      <c r="C6369" s="60"/>
      <c r="D6369" s="81"/>
      <c r="E6369" s="62"/>
      <c r="F6369" s="60"/>
      <c r="G6369" s="62"/>
      <c r="H6369" s="60"/>
    </row>
    <row r="6370" spans="1:8">
      <c r="A6370" s="60"/>
      <c r="B6370" s="77"/>
      <c r="C6370" s="60"/>
      <c r="D6370" s="81"/>
      <c r="E6370" s="62"/>
      <c r="F6370" s="60"/>
      <c r="G6370" s="62"/>
      <c r="H6370" s="60"/>
    </row>
    <row r="6371" spans="1:8">
      <c r="A6371" s="60"/>
      <c r="B6371" s="77"/>
      <c r="C6371" s="60"/>
      <c r="D6371" s="81"/>
      <c r="E6371" s="62"/>
      <c r="F6371" s="60"/>
      <c r="G6371" s="62"/>
      <c r="H6371" s="60"/>
    </row>
    <row r="6372" spans="1:8">
      <c r="A6372" s="60"/>
      <c r="B6372" s="77"/>
      <c r="C6372" s="60"/>
      <c r="D6372" s="81"/>
      <c r="E6372" s="62"/>
      <c r="F6372" s="60"/>
      <c r="G6372" s="62"/>
      <c r="H6372" s="60"/>
    </row>
    <row r="6373" spans="1:8">
      <c r="A6373" s="60"/>
      <c r="B6373" s="77"/>
      <c r="C6373" s="60"/>
      <c r="D6373" s="81"/>
      <c r="E6373" s="62"/>
      <c r="F6373" s="60"/>
      <c r="G6373" s="62"/>
      <c r="H6373" s="60"/>
    </row>
    <row r="6374" spans="1:8">
      <c r="A6374" s="60"/>
      <c r="B6374" s="77"/>
      <c r="C6374" s="60"/>
      <c r="D6374" s="81"/>
      <c r="E6374" s="62"/>
      <c r="F6374" s="60"/>
      <c r="G6374" s="62"/>
      <c r="H6374" s="60"/>
    </row>
    <row r="6375" spans="1:8">
      <c r="A6375" s="60"/>
      <c r="B6375" s="77"/>
      <c r="C6375" s="60"/>
      <c r="D6375" s="81"/>
      <c r="E6375" s="62"/>
      <c r="F6375" s="60"/>
      <c r="G6375" s="62"/>
      <c r="H6375" s="60"/>
    </row>
    <row r="6376" spans="1:8">
      <c r="A6376" s="60"/>
      <c r="B6376" s="77"/>
      <c r="C6376" s="60"/>
      <c r="D6376" s="81"/>
      <c r="E6376" s="62"/>
      <c r="F6376" s="60"/>
      <c r="G6376" s="62"/>
      <c r="H6376" s="60"/>
    </row>
    <row r="6377" spans="1:8">
      <c r="A6377" s="60"/>
      <c r="B6377" s="77"/>
      <c r="C6377" s="60"/>
      <c r="D6377" s="81"/>
      <c r="E6377" s="62"/>
      <c r="F6377" s="60"/>
      <c r="G6377" s="62"/>
      <c r="H6377" s="60"/>
    </row>
    <row r="6378" spans="1:8">
      <c r="A6378" s="60"/>
      <c r="B6378" s="77"/>
      <c r="C6378" s="60"/>
      <c r="D6378" s="81"/>
      <c r="E6378" s="62"/>
      <c r="F6378" s="60"/>
      <c r="G6378" s="62"/>
      <c r="H6378" s="60"/>
    </row>
    <row r="6379" spans="1:8">
      <c r="A6379" s="60"/>
      <c r="B6379" s="77"/>
      <c r="C6379" s="60"/>
      <c r="D6379" s="81"/>
      <c r="E6379" s="62"/>
      <c r="F6379" s="60"/>
      <c r="G6379" s="62"/>
      <c r="H6379" s="60"/>
    </row>
    <row r="6380" spans="1:8">
      <c r="A6380" s="60"/>
      <c r="B6380" s="77"/>
      <c r="C6380" s="60"/>
      <c r="D6380" s="81"/>
      <c r="E6380" s="62"/>
      <c r="F6380" s="60"/>
      <c r="G6380" s="62"/>
      <c r="H6380" s="60"/>
    </row>
    <row r="6381" spans="1:8">
      <c r="A6381" s="60"/>
      <c r="B6381" s="77"/>
      <c r="C6381" s="60"/>
      <c r="D6381" s="81"/>
      <c r="E6381" s="62"/>
      <c r="F6381" s="60"/>
      <c r="G6381" s="62"/>
      <c r="H6381" s="60"/>
    </row>
    <row r="6382" spans="1:8">
      <c r="A6382" s="60"/>
      <c r="B6382" s="77"/>
      <c r="C6382" s="60"/>
      <c r="D6382" s="81"/>
      <c r="E6382" s="62"/>
      <c r="F6382" s="60"/>
      <c r="G6382" s="62"/>
      <c r="H6382" s="60"/>
    </row>
    <row r="6383" spans="1:8">
      <c r="A6383" s="60"/>
      <c r="B6383" s="77"/>
      <c r="C6383" s="60"/>
      <c r="D6383" s="81"/>
      <c r="E6383" s="62"/>
      <c r="F6383" s="60"/>
      <c r="G6383" s="62"/>
      <c r="H6383" s="60"/>
    </row>
    <row r="6384" spans="1:8">
      <c r="A6384" s="60"/>
      <c r="B6384" s="77"/>
      <c r="C6384" s="60"/>
      <c r="D6384" s="81"/>
      <c r="E6384" s="62"/>
      <c r="F6384" s="60"/>
      <c r="G6384" s="62"/>
      <c r="H6384" s="60"/>
    </row>
    <row r="6385" spans="1:8">
      <c r="A6385" s="60"/>
      <c r="B6385" s="77"/>
      <c r="C6385" s="60"/>
      <c r="D6385" s="81"/>
      <c r="E6385" s="62"/>
      <c r="F6385" s="60"/>
      <c r="G6385" s="62"/>
      <c r="H6385" s="60"/>
    </row>
    <row r="6386" spans="1:8">
      <c r="A6386" s="60"/>
      <c r="B6386" s="77"/>
      <c r="C6386" s="60"/>
      <c r="D6386" s="81"/>
      <c r="E6386" s="62"/>
      <c r="F6386" s="60"/>
      <c r="G6386" s="62"/>
      <c r="H6386" s="60"/>
    </row>
    <row r="6387" spans="1:8">
      <c r="A6387" s="60"/>
      <c r="B6387" s="77"/>
      <c r="C6387" s="60"/>
      <c r="D6387" s="81"/>
      <c r="E6387" s="62"/>
      <c r="F6387" s="60"/>
      <c r="G6387" s="62"/>
      <c r="H6387" s="60"/>
    </row>
    <row r="6388" spans="1:8">
      <c r="A6388" s="60"/>
      <c r="B6388" s="77"/>
      <c r="C6388" s="60"/>
      <c r="D6388" s="81"/>
      <c r="E6388" s="62"/>
      <c r="F6388" s="60"/>
      <c r="G6388" s="62"/>
      <c r="H6388" s="60"/>
    </row>
    <row r="6389" spans="1:8">
      <c r="A6389" s="60"/>
      <c r="B6389" s="77"/>
      <c r="C6389" s="60"/>
      <c r="D6389" s="81"/>
      <c r="E6389" s="62"/>
      <c r="F6389" s="60"/>
      <c r="G6389" s="62"/>
      <c r="H6389" s="60"/>
    </row>
    <row r="6390" spans="1:8">
      <c r="A6390" s="60"/>
      <c r="B6390" s="77"/>
      <c r="C6390" s="60"/>
      <c r="D6390" s="81"/>
      <c r="E6390" s="62"/>
      <c r="F6390" s="60"/>
      <c r="G6390" s="62"/>
      <c r="H6390" s="60"/>
    </row>
    <row r="6391" spans="1:8">
      <c r="A6391" s="60"/>
      <c r="B6391" s="77"/>
      <c r="C6391" s="60"/>
      <c r="D6391" s="81"/>
      <c r="E6391" s="62"/>
      <c r="F6391" s="60"/>
      <c r="G6391" s="62"/>
      <c r="H6391" s="60"/>
    </row>
    <row r="6392" spans="1:8">
      <c r="A6392" s="60"/>
      <c r="B6392" s="77"/>
      <c r="C6392" s="60"/>
      <c r="D6392" s="81"/>
      <c r="E6392" s="62"/>
      <c r="F6392" s="60"/>
      <c r="G6392" s="62"/>
      <c r="H6392" s="60"/>
    </row>
    <row r="6393" spans="1:8">
      <c r="A6393" s="60"/>
      <c r="B6393" s="77"/>
      <c r="C6393" s="60"/>
      <c r="D6393" s="81"/>
      <c r="E6393" s="62"/>
      <c r="F6393" s="60"/>
      <c r="G6393" s="62"/>
      <c r="H6393" s="60"/>
    </row>
    <row r="6394" spans="1:8">
      <c r="A6394" s="60"/>
      <c r="B6394" s="77"/>
      <c r="C6394" s="60"/>
      <c r="D6394" s="81"/>
      <c r="E6394" s="62"/>
      <c r="F6394" s="60"/>
      <c r="G6394" s="62"/>
      <c r="H6394" s="60"/>
    </row>
    <row r="6395" spans="1:8">
      <c r="A6395" s="60"/>
      <c r="B6395" s="77"/>
      <c r="C6395" s="60"/>
      <c r="D6395" s="81"/>
      <c r="E6395" s="62"/>
      <c r="F6395" s="60"/>
      <c r="G6395" s="62"/>
      <c r="H6395" s="60"/>
    </row>
    <row r="6396" spans="1:8">
      <c r="A6396" s="60"/>
      <c r="B6396" s="77"/>
      <c r="C6396" s="60"/>
      <c r="D6396" s="81"/>
      <c r="E6396" s="62"/>
      <c r="F6396" s="60"/>
      <c r="G6396" s="62"/>
      <c r="H6396" s="60"/>
    </row>
    <row r="6397" spans="1:8">
      <c r="A6397" s="60"/>
      <c r="B6397" s="77"/>
      <c r="C6397" s="60"/>
      <c r="D6397" s="81"/>
      <c r="E6397" s="62"/>
      <c r="F6397" s="60"/>
      <c r="G6397" s="62"/>
      <c r="H6397" s="60"/>
    </row>
    <row r="6398" spans="1:8">
      <c r="A6398" s="60"/>
      <c r="B6398" s="77"/>
      <c r="C6398" s="60"/>
      <c r="D6398" s="81"/>
      <c r="E6398" s="62"/>
      <c r="F6398" s="60"/>
      <c r="G6398" s="62"/>
      <c r="H6398" s="60"/>
    </row>
    <row r="6399" spans="1:8">
      <c r="A6399" s="60"/>
      <c r="B6399" s="77"/>
      <c r="C6399" s="60"/>
      <c r="D6399" s="81"/>
      <c r="E6399" s="62"/>
      <c r="F6399" s="60"/>
      <c r="G6399" s="62"/>
      <c r="H6399" s="60"/>
    </row>
    <row r="6400" spans="1:8">
      <c r="A6400" s="60"/>
      <c r="B6400" s="77"/>
      <c r="C6400" s="60"/>
      <c r="D6400" s="81"/>
      <c r="E6400" s="62"/>
      <c r="F6400" s="60"/>
      <c r="G6400" s="62"/>
      <c r="H6400" s="60"/>
    </row>
    <row r="6401" spans="1:8">
      <c r="A6401" s="60"/>
      <c r="B6401" s="77"/>
      <c r="C6401" s="60"/>
      <c r="D6401" s="81"/>
      <c r="E6401" s="62"/>
      <c r="F6401" s="60"/>
      <c r="G6401" s="62"/>
      <c r="H6401" s="60"/>
    </row>
    <row r="6402" spans="1:8">
      <c r="A6402" s="60"/>
      <c r="B6402" s="77"/>
      <c r="C6402" s="60"/>
      <c r="D6402" s="81"/>
      <c r="E6402" s="62"/>
      <c r="F6402" s="60"/>
      <c r="G6402" s="62"/>
      <c r="H6402" s="60"/>
    </row>
    <row r="6403" spans="1:8">
      <c r="A6403" s="60"/>
      <c r="B6403" s="77"/>
      <c r="C6403" s="60"/>
      <c r="D6403" s="81"/>
      <c r="E6403" s="62"/>
      <c r="F6403" s="60"/>
      <c r="G6403" s="62"/>
      <c r="H6403" s="60"/>
    </row>
    <row r="6404" spans="1:8">
      <c r="A6404" s="60"/>
      <c r="B6404" s="77"/>
      <c r="C6404" s="60"/>
      <c r="D6404" s="81"/>
      <c r="E6404" s="62"/>
      <c r="F6404" s="60"/>
      <c r="G6404" s="62"/>
      <c r="H6404" s="60"/>
    </row>
    <row r="6405" spans="1:8">
      <c r="A6405" s="60"/>
      <c r="B6405" s="77"/>
      <c r="C6405" s="60"/>
      <c r="D6405" s="81"/>
      <c r="E6405" s="62"/>
      <c r="F6405" s="60"/>
      <c r="G6405" s="62"/>
      <c r="H6405" s="60"/>
    </row>
    <row r="6406" spans="1:8">
      <c r="A6406" s="60"/>
      <c r="B6406" s="77"/>
      <c r="C6406" s="60"/>
      <c r="D6406" s="81"/>
      <c r="E6406" s="62"/>
      <c r="F6406" s="60"/>
      <c r="G6406" s="62"/>
      <c r="H6406" s="60"/>
    </row>
    <row r="6407" spans="1:8">
      <c r="A6407" s="60"/>
      <c r="B6407" s="77"/>
      <c r="C6407" s="60"/>
      <c r="D6407" s="81"/>
      <c r="E6407" s="62"/>
      <c r="F6407" s="60"/>
      <c r="G6407" s="62"/>
      <c r="H6407" s="60"/>
    </row>
    <row r="6408" spans="1:8">
      <c r="A6408" s="60"/>
      <c r="B6408" s="77"/>
      <c r="C6408" s="60"/>
      <c r="D6408" s="81"/>
      <c r="E6408" s="62"/>
      <c r="F6408" s="60"/>
      <c r="G6408" s="62"/>
      <c r="H6408" s="60"/>
    </row>
    <row r="6409" spans="1:8">
      <c r="A6409" s="60"/>
      <c r="B6409" s="77"/>
      <c r="C6409" s="60"/>
      <c r="D6409" s="81"/>
      <c r="E6409" s="62"/>
      <c r="F6409" s="60"/>
      <c r="G6409" s="62"/>
      <c r="H6409" s="60"/>
    </row>
    <row r="6410" spans="1:8">
      <c r="A6410" s="60"/>
      <c r="B6410" s="77"/>
      <c r="C6410" s="60"/>
      <c r="D6410" s="81"/>
      <c r="E6410" s="62"/>
      <c r="F6410" s="60"/>
      <c r="G6410" s="62"/>
      <c r="H6410" s="60"/>
    </row>
    <row r="6411" spans="1:8">
      <c r="A6411" s="60"/>
      <c r="B6411" s="77"/>
      <c r="C6411" s="60"/>
      <c r="D6411" s="81"/>
      <c r="E6411" s="62"/>
      <c r="F6411" s="60"/>
      <c r="G6411" s="62"/>
      <c r="H6411" s="60"/>
    </row>
    <row r="6412" spans="1:8">
      <c r="A6412" s="60"/>
      <c r="B6412" s="77"/>
      <c r="C6412" s="60"/>
      <c r="D6412" s="81"/>
      <c r="E6412" s="62"/>
      <c r="F6412" s="60"/>
      <c r="G6412" s="62"/>
      <c r="H6412" s="60"/>
    </row>
    <row r="6413" spans="1:8">
      <c r="A6413" s="60"/>
      <c r="B6413" s="77"/>
      <c r="C6413" s="60"/>
      <c r="D6413" s="81"/>
      <c r="E6413" s="62"/>
      <c r="F6413" s="60"/>
      <c r="G6413" s="62"/>
      <c r="H6413" s="60"/>
    </row>
    <row r="6414" spans="1:8">
      <c r="A6414" s="60"/>
      <c r="B6414" s="77"/>
      <c r="C6414" s="60"/>
      <c r="D6414" s="81"/>
      <c r="E6414" s="62"/>
      <c r="F6414" s="60"/>
      <c r="G6414" s="62"/>
      <c r="H6414" s="60"/>
    </row>
    <row r="6415" spans="1:8">
      <c r="A6415" s="60"/>
      <c r="B6415" s="77"/>
      <c r="C6415" s="60"/>
      <c r="D6415" s="81"/>
      <c r="E6415" s="62"/>
      <c r="F6415" s="60"/>
      <c r="G6415" s="62"/>
      <c r="H6415" s="60"/>
    </row>
    <row r="6416" spans="1:8">
      <c r="A6416" s="60"/>
      <c r="B6416" s="77"/>
      <c r="C6416" s="60"/>
      <c r="D6416" s="81"/>
      <c r="E6416" s="62"/>
      <c r="F6416" s="60"/>
      <c r="G6416" s="62"/>
      <c r="H6416" s="60"/>
    </row>
    <row r="6417" spans="1:8">
      <c r="A6417" s="60"/>
      <c r="B6417" s="77"/>
      <c r="C6417" s="60"/>
      <c r="D6417" s="81"/>
      <c r="E6417" s="62"/>
      <c r="F6417" s="60"/>
      <c r="G6417" s="62"/>
      <c r="H6417" s="60"/>
    </row>
    <row r="6418" spans="1:8">
      <c r="A6418" s="60"/>
      <c r="B6418" s="77"/>
      <c r="C6418" s="60"/>
      <c r="D6418" s="81"/>
      <c r="E6418" s="62"/>
      <c r="F6418" s="60"/>
      <c r="G6418" s="62"/>
      <c r="H6418" s="60"/>
    </row>
    <row r="6419" spans="1:8">
      <c r="A6419" s="60"/>
      <c r="B6419" s="77"/>
      <c r="C6419" s="60"/>
      <c r="D6419" s="81"/>
      <c r="E6419" s="62"/>
      <c r="F6419" s="60"/>
      <c r="G6419" s="62"/>
      <c r="H6419" s="60"/>
    </row>
    <row r="6420" spans="1:8">
      <c r="A6420" s="60"/>
      <c r="B6420" s="77"/>
      <c r="C6420" s="60"/>
      <c r="D6420" s="81"/>
      <c r="E6420" s="62"/>
      <c r="F6420" s="60"/>
      <c r="G6420" s="62"/>
      <c r="H6420" s="60"/>
    </row>
    <row r="6421" spans="1:8">
      <c r="A6421" s="60"/>
      <c r="B6421" s="77"/>
      <c r="C6421" s="60"/>
      <c r="D6421" s="81"/>
      <c r="E6421" s="62"/>
      <c r="F6421" s="60"/>
      <c r="G6421" s="62"/>
      <c r="H6421" s="60"/>
    </row>
    <row r="6422" spans="1:8">
      <c r="A6422" s="60"/>
      <c r="B6422" s="77"/>
      <c r="C6422" s="60"/>
      <c r="D6422" s="81"/>
      <c r="E6422" s="62"/>
      <c r="F6422" s="60"/>
      <c r="G6422" s="62"/>
      <c r="H6422" s="60"/>
    </row>
    <row r="6423" spans="1:8">
      <c r="A6423" s="60"/>
      <c r="B6423" s="77"/>
      <c r="C6423" s="60"/>
      <c r="D6423" s="81"/>
      <c r="E6423" s="62"/>
      <c r="F6423" s="60"/>
      <c r="G6423" s="62"/>
      <c r="H6423" s="60"/>
    </row>
    <row r="6424" spans="1:8">
      <c r="A6424" s="60"/>
      <c r="B6424" s="77"/>
      <c r="C6424" s="60"/>
      <c r="D6424" s="81"/>
      <c r="E6424" s="62"/>
      <c r="F6424" s="60"/>
      <c r="G6424" s="62"/>
      <c r="H6424" s="60"/>
    </row>
    <row r="6425" spans="1:8">
      <c r="A6425" s="60"/>
      <c r="B6425" s="77"/>
      <c r="C6425" s="60"/>
      <c r="D6425" s="81"/>
      <c r="E6425" s="62"/>
      <c r="F6425" s="60"/>
      <c r="G6425" s="62"/>
      <c r="H6425" s="60"/>
    </row>
    <row r="6426" spans="1:8">
      <c r="A6426" s="60"/>
      <c r="B6426" s="77"/>
      <c r="C6426" s="60"/>
      <c r="D6426" s="81"/>
      <c r="E6426" s="62"/>
      <c r="F6426" s="60"/>
      <c r="G6426" s="62"/>
      <c r="H6426" s="60"/>
    </row>
    <row r="6427" spans="1:8">
      <c r="A6427" s="60"/>
      <c r="B6427" s="77"/>
      <c r="C6427" s="60"/>
      <c r="D6427" s="81"/>
      <c r="E6427" s="62"/>
      <c r="F6427" s="60"/>
      <c r="G6427" s="62"/>
      <c r="H6427" s="60"/>
    </row>
    <row r="6428" spans="1:8">
      <c r="A6428" s="60"/>
      <c r="B6428" s="77"/>
      <c r="C6428" s="60"/>
      <c r="D6428" s="81"/>
      <c r="E6428" s="62"/>
      <c r="F6428" s="60"/>
      <c r="G6428" s="62"/>
      <c r="H6428" s="60"/>
    </row>
    <row r="6429" spans="1:8">
      <c r="A6429" s="60"/>
      <c r="B6429" s="77"/>
      <c r="C6429" s="60"/>
      <c r="D6429" s="81"/>
      <c r="E6429" s="62"/>
      <c r="F6429" s="60"/>
      <c r="G6429" s="62"/>
      <c r="H6429" s="60"/>
    </row>
    <row r="6430" spans="1:8">
      <c r="A6430" s="60"/>
      <c r="B6430" s="77"/>
      <c r="C6430" s="60"/>
      <c r="D6430" s="81"/>
      <c r="E6430" s="62"/>
      <c r="F6430" s="60"/>
      <c r="G6430" s="62"/>
      <c r="H6430" s="60"/>
    </row>
    <row r="6431" spans="1:8">
      <c r="A6431" s="60"/>
      <c r="B6431" s="77"/>
      <c r="C6431" s="60"/>
      <c r="D6431" s="81"/>
      <c r="E6431" s="62"/>
      <c r="F6431" s="60"/>
      <c r="G6431" s="62"/>
      <c r="H6431" s="60"/>
    </row>
    <row r="6432" spans="1:8">
      <c r="A6432" s="60"/>
      <c r="B6432" s="77"/>
      <c r="C6432" s="60"/>
      <c r="D6432" s="81"/>
      <c r="E6432" s="62"/>
      <c r="F6432" s="60"/>
      <c r="G6432" s="62"/>
      <c r="H6432" s="60"/>
    </row>
    <row r="6433" spans="1:8">
      <c r="A6433" s="60"/>
      <c r="B6433" s="77"/>
      <c r="C6433" s="60"/>
      <c r="D6433" s="81"/>
      <c r="E6433" s="62"/>
      <c r="F6433" s="60"/>
      <c r="G6433" s="62"/>
      <c r="H6433" s="60"/>
    </row>
    <row r="6434" spans="1:8">
      <c r="A6434" s="60"/>
      <c r="B6434" s="77"/>
      <c r="C6434" s="60"/>
      <c r="D6434" s="81"/>
      <c r="E6434" s="62"/>
      <c r="F6434" s="60"/>
      <c r="G6434" s="62"/>
      <c r="H6434" s="60"/>
    </row>
    <row r="6435" spans="1:8">
      <c r="A6435" s="60"/>
      <c r="B6435" s="77"/>
      <c r="C6435" s="60"/>
      <c r="D6435" s="81"/>
      <c r="E6435" s="62"/>
      <c r="F6435" s="60"/>
      <c r="G6435" s="62"/>
      <c r="H6435" s="60"/>
    </row>
    <row r="6436" spans="1:8">
      <c r="A6436" s="60"/>
      <c r="B6436" s="77"/>
      <c r="C6436" s="60"/>
      <c r="D6436" s="81"/>
      <c r="E6436" s="62"/>
      <c r="F6436" s="60"/>
      <c r="G6436" s="62"/>
      <c r="H6436" s="60"/>
    </row>
    <row r="6437" spans="1:8">
      <c r="A6437" s="60"/>
      <c r="B6437" s="77"/>
      <c r="C6437" s="60"/>
      <c r="D6437" s="81"/>
      <c r="E6437" s="62"/>
      <c r="F6437" s="60"/>
      <c r="G6437" s="62"/>
      <c r="H6437" s="60"/>
    </row>
    <row r="6438" spans="1:8">
      <c r="A6438" s="60"/>
      <c r="B6438" s="77"/>
      <c r="C6438" s="60"/>
      <c r="D6438" s="81"/>
      <c r="E6438" s="62"/>
      <c r="F6438" s="60"/>
      <c r="G6438" s="62"/>
      <c r="H6438" s="60"/>
    </row>
    <row r="6439" spans="1:8">
      <c r="A6439" s="60"/>
      <c r="B6439" s="77"/>
      <c r="C6439" s="60"/>
      <c r="D6439" s="81"/>
      <c r="E6439" s="62"/>
      <c r="F6439" s="60"/>
      <c r="G6439" s="62"/>
      <c r="H6439" s="60"/>
    </row>
    <row r="6440" spans="1:8">
      <c r="A6440" s="60"/>
      <c r="B6440" s="77"/>
      <c r="C6440" s="60"/>
      <c r="D6440" s="81"/>
      <c r="E6440" s="62"/>
      <c r="F6440" s="60"/>
      <c r="G6440" s="62"/>
      <c r="H6440" s="60"/>
    </row>
    <row r="6441" spans="1:8">
      <c r="A6441" s="60"/>
      <c r="B6441" s="77"/>
      <c r="C6441" s="60"/>
      <c r="D6441" s="81"/>
      <c r="E6441" s="62"/>
      <c r="F6441" s="60"/>
      <c r="G6441" s="62"/>
      <c r="H6441" s="60"/>
    </row>
    <row r="6442" spans="1:8">
      <c r="A6442" s="60"/>
      <c r="B6442" s="77"/>
      <c r="C6442" s="60"/>
      <c r="D6442" s="81"/>
      <c r="E6442" s="62"/>
      <c r="F6442" s="60"/>
      <c r="G6442" s="62"/>
      <c r="H6442" s="60"/>
    </row>
    <row r="6443" spans="1:8">
      <c r="A6443" s="60"/>
      <c r="B6443" s="77"/>
      <c r="C6443" s="60"/>
      <c r="D6443" s="81"/>
      <c r="E6443" s="62"/>
      <c r="F6443" s="60"/>
      <c r="G6443" s="62"/>
      <c r="H6443" s="60"/>
    </row>
    <row r="6444" spans="1:8">
      <c r="A6444" s="60"/>
      <c r="B6444" s="77"/>
      <c r="C6444" s="60"/>
      <c r="D6444" s="81"/>
      <c r="E6444" s="62"/>
      <c r="F6444" s="60"/>
      <c r="G6444" s="62"/>
      <c r="H6444" s="60"/>
    </row>
    <row r="6445" spans="1:8">
      <c r="A6445" s="60"/>
      <c r="B6445" s="77"/>
      <c r="C6445" s="60"/>
      <c r="D6445" s="81"/>
      <c r="E6445" s="62"/>
      <c r="F6445" s="60"/>
      <c r="G6445" s="62"/>
      <c r="H6445" s="60"/>
    </row>
    <row r="6446" spans="1:8">
      <c r="A6446" s="60"/>
      <c r="B6446" s="77"/>
      <c r="C6446" s="60"/>
      <c r="D6446" s="81"/>
      <c r="E6446" s="62"/>
      <c r="F6446" s="60"/>
      <c r="G6446" s="62"/>
      <c r="H6446" s="60"/>
    </row>
    <row r="6447" spans="1:8">
      <c r="A6447" s="60"/>
      <c r="B6447" s="77"/>
      <c r="C6447" s="60"/>
      <c r="D6447" s="81"/>
      <c r="E6447" s="62"/>
      <c r="F6447" s="60"/>
      <c r="G6447" s="62"/>
      <c r="H6447" s="60"/>
    </row>
    <row r="6448" spans="1:8">
      <c r="A6448" s="60"/>
      <c r="B6448" s="77"/>
      <c r="C6448" s="60"/>
      <c r="D6448" s="81"/>
      <c r="E6448" s="62"/>
      <c r="F6448" s="60"/>
      <c r="G6448" s="62"/>
      <c r="H6448" s="60"/>
    </row>
    <row r="6449" spans="1:8">
      <c r="A6449" s="60"/>
      <c r="B6449" s="77"/>
      <c r="C6449" s="60"/>
      <c r="D6449" s="81"/>
      <c r="E6449" s="62"/>
      <c r="F6449" s="60"/>
      <c r="G6449" s="62"/>
      <c r="H6449" s="60"/>
    </row>
    <row r="6450" spans="1:8">
      <c r="A6450" s="60"/>
      <c r="B6450" s="77"/>
      <c r="C6450" s="60"/>
      <c r="D6450" s="81"/>
      <c r="E6450" s="62"/>
      <c r="F6450" s="60"/>
      <c r="G6450" s="62"/>
      <c r="H6450" s="60"/>
    </row>
    <row r="6451" spans="1:8">
      <c r="A6451" s="60"/>
      <c r="B6451" s="77"/>
      <c r="C6451" s="60"/>
      <c r="D6451" s="81"/>
      <c r="E6451" s="62"/>
      <c r="F6451" s="60"/>
      <c r="G6451" s="62"/>
      <c r="H6451" s="60"/>
    </row>
    <row r="6452" spans="1:8">
      <c r="A6452" s="60"/>
      <c r="B6452" s="77"/>
      <c r="C6452" s="60"/>
      <c r="D6452" s="81"/>
      <c r="E6452" s="62"/>
      <c r="F6452" s="60"/>
      <c r="G6452" s="62"/>
      <c r="H6452" s="60"/>
    </row>
    <row r="6453" spans="1:8">
      <c r="A6453" s="60"/>
      <c r="B6453" s="77"/>
      <c r="C6453" s="60"/>
      <c r="D6453" s="81"/>
      <c r="E6453" s="62"/>
      <c r="F6453" s="60"/>
      <c r="G6453" s="62"/>
      <c r="H6453" s="60"/>
    </row>
    <row r="6454" spans="1:8">
      <c r="A6454" s="60"/>
      <c r="B6454" s="77"/>
      <c r="C6454" s="60"/>
      <c r="D6454" s="81"/>
      <c r="E6454" s="62"/>
      <c r="F6454" s="60"/>
      <c r="G6454" s="62"/>
      <c r="H6454" s="60"/>
    </row>
    <row r="6455" spans="1:8">
      <c r="A6455" s="60"/>
      <c r="B6455" s="77"/>
      <c r="C6455" s="60"/>
      <c r="D6455" s="81"/>
      <c r="E6455" s="62"/>
      <c r="F6455" s="60"/>
      <c r="G6455" s="62"/>
      <c r="H6455" s="60"/>
    </row>
    <row r="6456" spans="1:8">
      <c r="A6456" s="60"/>
      <c r="B6456" s="77"/>
      <c r="C6456" s="60"/>
      <c r="D6456" s="81"/>
      <c r="E6456" s="62"/>
      <c r="F6456" s="60"/>
      <c r="G6456" s="62"/>
      <c r="H6456" s="60"/>
    </row>
    <row r="6457" spans="1:8">
      <c r="A6457" s="60"/>
      <c r="B6457" s="77"/>
      <c r="C6457" s="60"/>
      <c r="D6457" s="81"/>
      <c r="E6457" s="62"/>
      <c r="F6457" s="60"/>
      <c r="G6457" s="62"/>
      <c r="H6457" s="60"/>
    </row>
    <row r="6458" spans="1:8">
      <c r="A6458" s="60"/>
      <c r="B6458" s="77"/>
      <c r="C6458" s="60"/>
      <c r="D6458" s="81"/>
      <c r="E6458" s="62"/>
      <c r="F6458" s="60"/>
      <c r="G6458" s="62"/>
      <c r="H6458" s="60"/>
    </row>
    <row r="6459" spans="1:8">
      <c r="A6459" s="60"/>
      <c r="B6459" s="77"/>
      <c r="C6459" s="60"/>
      <c r="D6459" s="81"/>
      <c r="E6459" s="62"/>
      <c r="F6459" s="60"/>
      <c r="G6459" s="62"/>
      <c r="H6459" s="60"/>
    </row>
    <row r="6460" spans="1:8">
      <c r="A6460" s="60"/>
      <c r="B6460" s="77"/>
      <c r="C6460" s="60"/>
      <c r="D6460" s="81"/>
      <c r="E6460" s="62"/>
      <c r="F6460" s="60"/>
      <c r="G6460" s="62"/>
      <c r="H6460" s="60"/>
    </row>
    <row r="6461" spans="1:8">
      <c r="A6461" s="60"/>
      <c r="B6461" s="77"/>
      <c r="C6461" s="60"/>
      <c r="D6461" s="81"/>
      <c r="E6461" s="62"/>
      <c r="F6461" s="60"/>
      <c r="G6461" s="62"/>
      <c r="H6461" s="60"/>
    </row>
    <row r="6462" spans="1:8">
      <c r="A6462" s="60"/>
      <c r="B6462" s="77"/>
      <c r="C6462" s="60"/>
      <c r="D6462" s="81"/>
      <c r="E6462" s="62"/>
      <c r="F6462" s="60"/>
      <c r="G6462" s="62"/>
      <c r="H6462" s="60"/>
    </row>
    <row r="6463" spans="1:8">
      <c r="A6463" s="60"/>
      <c r="B6463" s="77"/>
      <c r="C6463" s="60"/>
      <c r="D6463" s="81"/>
      <c r="E6463" s="62"/>
      <c r="F6463" s="60"/>
      <c r="G6463" s="62"/>
      <c r="H6463" s="60"/>
    </row>
    <row r="6464" spans="1:8">
      <c r="A6464" s="60"/>
      <c r="B6464" s="77"/>
      <c r="C6464" s="60"/>
      <c r="D6464" s="81"/>
      <c r="E6464" s="62"/>
      <c r="F6464" s="60"/>
      <c r="G6464" s="62"/>
      <c r="H6464" s="60"/>
    </row>
    <row r="6465" spans="1:8">
      <c r="A6465" s="60"/>
      <c r="B6465" s="77"/>
      <c r="C6465" s="60"/>
      <c r="D6465" s="81"/>
      <c r="E6465" s="62"/>
      <c r="F6465" s="60"/>
      <c r="G6465" s="62"/>
      <c r="H6465" s="60"/>
    </row>
    <row r="6466" spans="1:8">
      <c r="A6466" s="60"/>
      <c r="B6466" s="77"/>
      <c r="C6466" s="60"/>
      <c r="D6466" s="81"/>
      <c r="E6466" s="62"/>
      <c r="F6466" s="60"/>
      <c r="G6466" s="62"/>
      <c r="H6466" s="60"/>
    </row>
    <row r="6467" spans="1:8">
      <c r="A6467" s="60"/>
      <c r="B6467" s="77"/>
      <c r="C6467" s="60"/>
      <c r="D6467" s="81"/>
      <c r="E6467" s="62"/>
      <c r="F6467" s="60"/>
      <c r="G6467" s="62"/>
      <c r="H6467" s="60"/>
    </row>
    <row r="6468" spans="1:8">
      <c r="A6468" s="60"/>
      <c r="B6468" s="77"/>
      <c r="C6468" s="60"/>
      <c r="D6468" s="81"/>
      <c r="E6468" s="62"/>
      <c r="F6468" s="60"/>
      <c r="G6468" s="62"/>
      <c r="H6468" s="60"/>
    </row>
    <row r="6469" spans="1:8">
      <c r="A6469" s="60"/>
      <c r="B6469" s="77"/>
      <c r="C6469" s="60"/>
      <c r="D6469" s="81"/>
      <c r="E6469" s="62"/>
      <c r="F6469" s="60"/>
      <c r="G6469" s="62"/>
      <c r="H6469" s="60"/>
    </row>
    <row r="6470" spans="1:8">
      <c r="A6470" s="60"/>
      <c r="B6470" s="77"/>
      <c r="C6470" s="60"/>
      <c r="D6470" s="81"/>
      <c r="E6470" s="62"/>
      <c r="F6470" s="60"/>
      <c r="G6470" s="62"/>
      <c r="H6470" s="60"/>
    </row>
    <row r="6471" spans="1:8">
      <c r="A6471" s="60"/>
      <c r="B6471" s="77"/>
      <c r="C6471" s="60"/>
      <c r="D6471" s="81"/>
      <c r="E6471" s="62"/>
      <c r="F6471" s="60"/>
      <c r="G6471" s="62"/>
      <c r="H6471" s="60"/>
    </row>
    <row r="6472" spans="1:8">
      <c r="A6472" s="60"/>
      <c r="B6472" s="77"/>
      <c r="C6472" s="60"/>
      <c r="D6472" s="81"/>
      <c r="E6472" s="62"/>
      <c r="F6472" s="60"/>
      <c r="G6472" s="62"/>
      <c r="H6472" s="60"/>
    </row>
    <row r="6473" spans="1:8">
      <c r="A6473" s="60"/>
      <c r="B6473" s="77"/>
      <c r="C6473" s="60"/>
      <c r="D6473" s="81"/>
      <c r="E6473" s="62"/>
      <c r="F6473" s="60"/>
      <c r="G6473" s="62"/>
      <c r="H6473" s="60"/>
    </row>
    <row r="6474" spans="1:8">
      <c r="A6474" s="60"/>
      <c r="B6474" s="77"/>
      <c r="C6474" s="60"/>
      <c r="D6474" s="81"/>
      <c r="E6474" s="62"/>
      <c r="F6474" s="60"/>
      <c r="G6474" s="62"/>
      <c r="H6474" s="60"/>
    </row>
    <row r="6475" spans="1:8">
      <c r="A6475" s="60"/>
      <c r="B6475" s="77"/>
      <c r="C6475" s="60"/>
      <c r="D6475" s="81"/>
      <c r="E6475" s="62"/>
      <c r="F6475" s="60"/>
      <c r="G6475" s="62"/>
      <c r="H6475" s="60"/>
    </row>
    <row r="6476" spans="1:8">
      <c r="A6476" s="60"/>
      <c r="B6476" s="77"/>
      <c r="C6476" s="60"/>
      <c r="D6476" s="81"/>
      <c r="E6476" s="62"/>
      <c r="F6476" s="60"/>
      <c r="G6476" s="62"/>
      <c r="H6476" s="60"/>
    </row>
    <row r="6477" spans="1:8">
      <c r="A6477" s="60"/>
      <c r="B6477" s="77"/>
      <c r="C6477" s="60"/>
      <c r="D6477" s="81"/>
      <c r="E6477" s="62"/>
      <c r="F6477" s="60"/>
      <c r="G6477" s="62"/>
      <c r="H6477" s="60"/>
    </row>
    <row r="6478" spans="1:8">
      <c r="A6478" s="60"/>
      <c r="B6478" s="77"/>
      <c r="C6478" s="60"/>
      <c r="D6478" s="81"/>
      <c r="E6478" s="62"/>
      <c r="F6478" s="60"/>
      <c r="G6478" s="62"/>
      <c r="H6478" s="60"/>
    </row>
    <row r="6479" spans="1:8">
      <c r="A6479" s="60"/>
      <c r="B6479" s="77"/>
      <c r="C6479" s="60"/>
      <c r="D6479" s="81"/>
      <c r="E6479" s="62"/>
      <c r="F6479" s="60"/>
      <c r="G6479" s="62"/>
      <c r="H6479" s="60"/>
    </row>
    <row r="6480" spans="1:8">
      <c r="A6480" s="60"/>
      <c r="B6480" s="77"/>
      <c r="C6480" s="60"/>
      <c r="D6480" s="81"/>
      <c r="E6480" s="62"/>
      <c r="F6480" s="60"/>
      <c r="G6480" s="62"/>
      <c r="H6480" s="60"/>
    </row>
    <row r="6481" spans="1:8">
      <c r="A6481" s="60"/>
      <c r="B6481" s="77"/>
      <c r="C6481" s="60"/>
      <c r="D6481" s="81"/>
      <c r="E6481" s="62"/>
      <c r="F6481" s="60"/>
      <c r="G6481" s="62"/>
      <c r="H6481" s="60"/>
    </row>
    <row r="6482" spans="1:8">
      <c r="A6482" s="60"/>
      <c r="B6482" s="77"/>
      <c r="C6482" s="60"/>
      <c r="D6482" s="81"/>
      <c r="E6482" s="62"/>
      <c r="F6482" s="60"/>
      <c r="G6482" s="62"/>
      <c r="H6482" s="60"/>
    </row>
    <row r="6483" spans="1:8">
      <c r="A6483" s="60"/>
      <c r="B6483" s="77"/>
      <c r="C6483" s="60"/>
      <c r="D6483" s="81"/>
      <c r="E6483" s="62"/>
      <c r="F6483" s="60"/>
      <c r="G6483" s="62"/>
      <c r="H6483" s="60"/>
    </row>
    <row r="6484" spans="1:8">
      <c r="A6484" s="60"/>
      <c r="B6484" s="77"/>
      <c r="C6484" s="60"/>
      <c r="D6484" s="81"/>
      <c r="E6484" s="62"/>
      <c r="F6484" s="60"/>
      <c r="G6484" s="62"/>
      <c r="H6484" s="60"/>
    </row>
    <row r="6485" spans="1:8">
      <c r="A6485" s="60"/>
      <c r="B6485" s="77"/>
      <c r="C6485" s="60"/>
      <c r="D6485" s="81"/>
      <c r="E6485" s="62"/>
      <c r="F6485" s="60"/>
      <c r="G6485" s="62"/>
      <c r="H6485" s="60"/>
    </row>
    <row r="6486" spans="1:8">
      <c r="A6486" s="60"/>
      <c r="B6486" s="77"/>
      <c r="C6486" s="60"/>
      <c r="D6486" s="81"/>
      <c r="E6486" s="62"/>
      <c r="F6486" s="60"/>
      <c r="G6486" s="62"/>
      <c r="H6486" s="60"/>
    </row>
    <row r="6487" spans="1:8">
      <c r="A6487" s="60"/>
      <c r="B6487" s="77"/>
      <c r="C6487" s="60"/>
      <c r="D6487" s="81"/>
      <c r="E6487" s="62"/>
      <c r="F6487" s="60"/>
      <c r="G6487" s="62"/>
      <c r="H6487" s="60"/>
    </row>
    <row r="6488" spans="1:8">
      <c r="A6488" s="60"/>
      <c r="B6488" s="77"/>
      <c r="C6488" s="60"/>
      <c r="D6488" s="81"/>
      <c r="E6488" s="62"/>
      <c r="F6488" s="60"/>
      <c r="G6488" s="62"/>
      <c r="H6488" s="60"/>
    </row>
    <row r="6489" spans="1:8">
      <c r="A6489" s="60"/>
      <c r="B6489" s="77"/>
      <c r="C6489" s="60"/>
      <c r="D6489" s="81"/>
      <c r="E6489" s="62"/>
      <c r="F6489" s="60"/>
      <c r="G6489" s="62"/>
      <c r="H6489" s="60"/>
    </row>
    <row r="6490" spans="1:8">
      <c r="A6490" s="60"/>
      <c r="B6490" s="77"/>
      <c r="C6490" s="60"/>
      <c r="D6490" s="81"/>
      <c r="E6490" s="62"/>
      <c r="F6490" s="60"/>
      <c r="G6490" s="62"/>
      <c r="H6490" s="60"/>
    </row>
    <row r="6491" spans="1:8">
      <c r="A6491" s="60"/>
      <c r="B6491" s="77"/>
      <c r="C6491" s="60"/>
      <c r="D6491" s="81"/>
      <c r="E6491" s="62"/>
      <c r="F6491" s="60"/>
      <c r="G6491" s="62"/>
      <c r="H6491" s="60"/>
    </row>
    <row r="6492" spans="1:8">
      <c r="A6492" s="60"/>
      <c r="B6492" s="77"/>
      <c r="C6492" s="60"/>
      <c r="D6492" s="81"/>
      <c r="E6492" s="62"/>
      <c r="F6492" s="60"/>
      <c r="G6492" s="62"/>
      <c r="H6492" s="60"/>
    </row>
    <row r="6493" spans="1:8">
      <c r="A6493" s="60"/>
      <c r="B6493" s="77"/>
      <c r="C6493" s="60"/>
      <c r="D6493" s="81"/>
      <c r="E6493" s="62"/>
      <c r="F6493" s="60"/>
      <c r="G6493" s="62"/>
      <c r="H6493" s="60"/>
    </row>
    <row r="6494" spans="1:8">
      <c r="A6494" s="60"/>
      <c r="B6494" s="77"/>
      <c r="C6494" s="60"/>
      <c r="D6494" s="81"/>
      <c r="E6494" s="62"/>
      <c r="F6494" s="60"/>
      <c r="G6494" s="62"/>
      <c r="H6494" s="60"/>
    </row>
    <row r="6495" spans="1:8">
      <c r="A6495" s="60"/>
      <c r="B6495" s="77"/>
      <c r="C6495" s="60"/>
      <c r="D6495" s="81"/>
      <c r="E6495" s="62"/>
      <c r="F6495" s="60"/>
      <c r="G6495" s="62"/>
      <c r="H6495" s="60"/>
    </row>
    <row r="6496" spans="1:8">
      <c r="A6496" s="60"/>
      <c r="B6496" s="77"/>
      <c r="C6496" s="60"/>
      <c r="D6496" s="81"/>
      <c r="E6496" s="62"/>
      <c r="F6496" s="60"/>
      <c r="G6496" s="62"/>
      <c r="H6496" s="60"/>
    </row>
    <row r="6497" spans="1:8">
      <c r="A6497" s="60"/>
      <c r="B6497" s="77"/>
      <c r="C6497" s="60"/>
      <c r="D6497" s="81"/>
      <c r="E6497" s="62"/>
      <c r="F6497" s="60"/>
      <c r="G6497" s="62"/>
      <c r="H6497" s="60"/>
    </row>
    <row r="6498" spans="1:8">
      <c r="A6498" s="60"/>
      <c r="B6498" s="77"/>
      <c r="C6498" s="60"/>
      <c r="D6498" s="81"/>
      <c r="E6498" s="62"/>
      <c r="F6498" s="60"/>
      <c r="G6498" s="62"/>
      <c r="H6498" s="60"/>
    </row>
    <row r="6499" spans="1:8">
      <c r="A6499" s="60"/>
      <c r="B6499" s="77"/>
      <c r="C6499" s="60"/>
      <c r="D6499" s="81"/>
      <c r="E6499" s="62"/>
      <c r="F6499" s="60"/>
      <c r="G6499" s="62"/>
      <c r="H6499" s="60"/>
    </row>
    <row r="6500" spans="1:8">
      <c r="A6500" s="60"/>
      <c r="B6500" s="77"/>
      <c r="C6500" s="60"/>
      <c r="D6500" s="81"/>
      <c r="E6500" s="62"/>
      <c r="F6500" s="60"/>
      <c r="G6500" s="62"/>
      <c r="H6500" s="60"/>
    </row>
    <row r="6501" spans="1:8">
      <c r="A6501" s="60"/>
      <c r="B6501" s="77"/>
      <c r="C6501" s="60"/>
      <c r="D6501" s="81"/>
      <c r="E6501" s="62"/>
      <c r="F6501" s="60"/>
      <c r="G6501" s="62"/>
      <c r="H6501" s="60"/>
    </row>
    <row r="6502" spans="1:8">
      <c r="A6502" s="60"/>
      <c r="B6502" s="77"/>
      <c r="C6502" s="60"/>
      <c r="D6502" s="81"/>
      <c r="E6502" s="62"/>
      <c r="F6502" s="60"/>
      <c r="G6502" s="62"/>
      <c r="H6502" s="60"/>
    </row>
    <row r="6503" spans="1:8">
      <c r="A6503" s="60"/>
      <c r="B6503" s="77"/>
      <c r="C6503" s="60"/>
      <c r="D6503" s="81"/>
      <c r="E6503" s="62"/>
      <c r="F6503" s="60"/>
      <c r="G6503" s="62"/>
      <c r="H6503" s="60"/>
    </row>
    <row r="6504" spans="1:8">
      <c r="A6504" s="60"/>
      <c r="B6504" s="77"/>
      <c r="C6504" s="60"/>
      <c r="D6504" s="81"/>
      <c r="E6504" s="62"/>
      <c r="F6504" s="60"/>
      <c r="G6504" s="62"/>
      <c r="H6504" s="60"/>
    </row>
    <row r="6505" spans="1:8">
      <c r="A6505" s="60"/>
      <c r="B6505" s="77"/>
      <c r="C6505" s="60"/>
      <c r="D6505" s="81"/>
      <c r="E6505" s="62"/>
      <c r="F6505" s="60"/>
      <c r="G6505" s="62"/>
      <c r="H6505" s="60"/>
    </row>
    <row r="6506" spans="1:8">
      <c r="A6506" s="60"/>
      <c r="B6506" s="77"/>
      <c r="C6506" s="60"/>
      <c r="D6506" s="81"/>
      <c r="E6506" s="62"/>
      <c r="F6506" s="60"/>
      <c r="G6506" s="62"/>
      <c r="H6506" s="60"/>
    </row>
    <row r="6507" spans="1:8">
      <c r="A6507" s="60"/>
      <c r="B6507" s="77"/>
      <c r="C6507" s="60"/>
      <c r="D6507" s="81"/>
      <c r="E6507" s="62"/>
      <c r="F6507" s="60"/>
      <c r="G6507" s="62"/>
      <c r="H6507" s="60"/>
    </row>
    <row r="6508" spans="1:8">
      <c r="A6508" s="60"/>
      <c r="B6508" s="77"/>
      <c r="C6508" s="60"/>
      <c r="D6508" s="81"/>
      <c r="E6508" s="62"/>
      <c r="F6508" s="60"/>
      <c r="G6508" s="62"/>
      <c r="H6508" s="60"/>
    </row>
    <row r="6509" spans="1:8">
      <c r="A6509" s="60"/>
      <c r="B6509" s="77"/>
      <c r="C6509" s="60"/>
      <c r="D6509" s="81"/>
      <c r="E6509" s="62"/>
      <c r="F6509" s="60"/>
      <c r="G6509" s="62"/>
      <c r="H6509" s="60"/>
    </row>
    <row r="6510" spans="1:8">
      <c r="A6510" s="60"/>
      <c r="B6510" s="77"/>
      <c r="C6510" s="60"/>
      <c r="D6510" s="81"/>
      <c r="E6510" s="62"/>
      <c r="F6510" s="60"/>
      <c r="G6510" s="62"/>
      <c r="H6510" s="60"/>
    </row>
    <row r="6511" spans="1:8">
      <c r="A6511" s="60"/>
      <c r="B6511" s="77"/>
      <c r="C6511" s="60"/>
      <c r="D6511" s="81"/>
      <c r="E6511" s="62"/>
      <c r="F6511" s="60"/>
      <c r="G6511" s="62"/>
      <c r="H6511" s="60"/>
    </row>
    <row r="6512" spans="1:8">
      <c r="A6512" s="60"/>
      <c r="B6512" s="77"/>
      <c r="C6512" s="60"/>
      <c r="D6512" s="81"/>
      <c r="E6512" s="62"/>
      <c r="F6512" s="60"/>
      <c r="G6512" s="62"/>
      <c r="H6512" s="60"/>
    </row>
    <row r="6513" spans="1:8">
      <c r="A6513" s="60"/>
      <c r="B6513" s="77"/>
      <c r="C6513" s="60"/>
      <c r="D6513" s="81"/>
      <c r="E6513" s="62"/>
      <c r="F6513" s="60"/>
      <c r="G6513" s="62"/>
      <c r="H6513" s="60"/>
    </row>
    <row r="6514" spans="1:8">
      <c r="A6514" s="60"/>
      <c r="B6514" s="77"/>
      <c r="C6514" s="60"/>
      <c r="D6514" s="81"/>
      <c r="E6514" s="62"/>
      <c r="F6514" s="60"/>
      <c r="G6514" s="62"/>
      <c r="H6514" s="60"/>
    </row>
    <row r="6515" spans="1:8">
      <c r="A6515" s="60"/>
      <c r="B6515" s="77"/>
      <c r="C6515" s="60"/>
      <c r="D6515" s="81"/>
      <c r="E6515" s="62"/>
      <c r="F6515" s="60"/>
      <c r="G6515" s="62"/>
      <c r="H6515" s="60"/>
    </row>
    <row r="6516" spans="1:8">
      <c r="A6516" s="60"/>
      <c r="B6516" s="77"/>
      <c r="C6516" s="60"/>
      <c r="D6516" s="81"/>
      <c r="E6516" s="62"/>
      <c r="F6516" s="60"/>
      <c r="G6516" s="62"/>
      <c r="H6516" s="60"/>
    </row>
    <row r="6517" spans="1:8">
      <c r="A6517" s="60"/>
      <c r="B6517" s="77"/>
      <c r="C6517" s="60"/>
      <c r="D6517" s="81"/>
      <c r="E6517" s="62"/>
      <c r="F6517" s="60"/>
      <c r="G6517" s="62"/>
      <c r="H6517" s="60"/>
    </row>
    <row r="6518" spans="1:8">
      <c r="A6518" s="60"/>
      <c r="B6518" s="77"/>
      <c r="C6518" s="60"/>
      <c r="D6518" s="81"/>
      <c r="E6518" s="62"/>
      <c r="F6518" s="60"/>
      <c r="G6518" s="62"/>
      <c r="H6518" s="60"/>
    </row>
    <row r="6519" spans="1:8">
      <c r="A6519" s="60"/>
      <c r="B6519" s="77"/>
      <c r="C6519" s="60"/>
      <c r="D6519" s="81"/>
      <c r="E6519" s="62"/>
      <c r="F6519" s="60"/>
      <c r="G6519" s="62"/>
      <c r="H6519" s="60"/>
    </row>
    <row r="6520" spans="1:8">
      <c r="A6520" s="60"/>
      <c r="B6520" s="77"/>
      <c r="C6520" s="60"/>
      <c r="D6520" s="81"/>
      <c r="E6520" s="62"/>
      <c r="F6520" s="60"/>
      <c r="G6520" s="62"/>
      <c r="H6520" s="60"/>
    </row>
    <row r="6521" spans="1:8">
      <c r="A6521" s="60"/>
      <c r="B6521" s="77"/>
      <c r="C6521" s="60"/>
      <c r="D6521" s="81"/>
      <c r="E6521" s="62"/>
      <c r="F6521" s="60"/>
      <c r="G6521" s="62"/>
      <c r="H6521" s="60"/>
    </row>
    <row r="6522" spans="1:8">
      <c r="A6522" s="60"/>
      <c r="B6522" s="77"/>
      <c r="C6522" s="60"/>
      <c r="D6522" s="81"/>
      <c r="E6522" s="62"/>
      <c r="F6522" s="60"/>
      <c r="G6522" s="62"/>
      <c r="H6522" s="60"/>
    </row>
    <row r="6523" spans="1:8">
      <c r="A6523" s="60"/>
      <c r="B6523" s="77"/>
      <c r="C6523" s="60"/>
      <c r="D6523" s="81"/>
      <c r="E6523" s="62"/>
      <c r="F6523" s="60"/>
      <c r="G6523" s="62"/>
      <c r="H6523" s="60"/>
    </row>
    <row r="6524" spans="1:8">
      <c r="A6524" s="60"/>
      <c r="B6524" s="77"/>
      <c r="C6524" s="60"/>
      <c r="D6524" s="81"/>
      <c r="E6524" s="62"/>
      <c r="F6524" s="60"/>
      <c r="G6524" s="62"/>
      <c r="H6524" s="60"/>
    </row>
    <row r="6525" spans="1:8">
      <c r="A6525" s="60"/>
      <c r="B6525" s="77"/>
      <c r="C6525" s="60"/>
      <c r="D6525" s="81"/>
      <c r="E6525" s="62"/>
      <c r="F6525" s="60"/>
      <c r="G6525" s="62"/>
      <c r="H6525" s="60"/>
    </row>
    <row r="6526" spans="1:8">
      <c r="A6526" s="60"/>
      <c r="B6526" s="77"/>
      <c r="C6526" s="60"/>
      <c r="D6526" s="81"/>
      <c r="E6526" s="62"/>
      <c r="F6526" s="60"/>
      <c r="G6526" s="62"/>
      <c r="H6526" s="60"/>
    </row>
    <row r="6527" spans="1:8">
      <c r="A6527" s="60"/>
      <c r="B6527" s="77"/>
      <c r="C6527" s="60"/>
      <c r="D6527" s="81"/>
      <c r="E6527" s="62"/>
      <c r="F6527" s="60"/>
      <c r="G6527" s="62"/>
      <c r="H6527" s="60"/>
    </row>
    <row r="6528" spans="1:8">
      <c r="A6528" s="60"/>
      <c r="B6528" s="77"/>
      <c r="C6528" s="60"/>
      <c r="D6528" s="81"/>
      <c r="E6528" s="62"/>
      <c r="F6528" s="60"/>
      <c r="G6528" s="62"/>
      <c r="H6528" s="60"/>
    </row>
    <row r="6529" spans="1:8">
      <c r="A6529" s="60"/>
      <c r="B6529" s="77"/>
      <c r="C6529" s="60"/>
      <c r="D6529" s="81"/>
      <c r="E6529" s="62"/>
      <c r="F6529" s="60"/>
      <c r="G6529" s="62"/>
      <c r="H6529" s="60"/>
    </row>
    <row r="6530" spans="1:8">
      <c r="A6530" s="60"/>
      <c r="B6530" s="77"/>
      <c r="C6530" s="60"/>
      <c r="D6530" s="81"/>
      <c r="E6530" s="62"/>
      <c r="F6530" s="60"/>
      <c r="G6530" s="62"/>
      <c r="H6530" s="60"/>
    </row>
    <row r="6531" spans="1:8">
      <c r="A6531" s="60"/>
      <c r="B6531" s="77"/>
      <c r="C6531" s="60"/>
      <c r="D6531" s="81"/>
      <c r="E6531" s="62"/>
      <c r="F6531" s="60"/>
      <c r="G6531" s="62"/>
      <c r="H6531" s="60"/>
    </row>
    <row r="6532" spans="1:8">
      <c r="A6532" s="60"/>
      <c r="B6532" s="77"/>
      <c r="C6532" s="60"/>
      <c r="D6532" s="81"/>
      <c r="E6532" s="62"/>
      <c r="F6532" s="60"/>
      <c r="G6532" s="62"/>
      <c r="H6532" s="60"/>
    </row>
    <row r="6533" spans="1:8">
      <c r="A6533" s="60"/>
      <c r="B6533" s="77"/>
      <c r="C6533" s="60"/>
      <c r="D6533" s="81"/>
      <c r="E6533" s="62"/>
      <c r="F6533" s="60"/>
      <c r="G6533" s="62"/>
      <c r="H6533" s="60"/>
    </row>
    <row r="6534" spans="1:8">
      <c r="A6534" s="60"/>
      <c r="B6534" s="77"/>
      <c r="C6534" s="60"/>
      <c r="D6534" s="81"/>
      <c r="E6534" s="62"/>
      <c r="F6534" s="60"/>
      <c r="G6534" s="62"/>
      <c r="H6534" s="60"/>
    </row>
    <row r="6535" spans="1:8">
      <c r="A6535" s="60"/>
      <c r="B6535" s="77"/>
      <c r="C6535" s="60"/>
      <c r="D6535" s="81"/>
      <c r="E6535" s="62"/>
      <c r="F6535" s="60"/>
      <c r="G6535" s="62"/>
      <c r="H6535" s="60"/>
    </row>
    <row r="6536" spans="1:8">
      <c r="A6536" s="60"/>
      <c r="B6536" s="77"/>
      <c r="C6536" s="60"/>
      <c r="D6536" s="81"/>
      <c r="E6536" s="62"/>
      <c r="F6536" s="60"/>
      <c r="G6536" s="62"/>
      <c r="H6536" s="60"/>
    </row>
    <row r="6537" spans="1:8">
      <c r="A6537" s="60"/>
      <c r="B6537" s="77"/>
      <c r="C6537" s="60"/>
      <c r="D6537" s="81"/>
      <c r="E6537" s="62"/>
      <c r="F6537" s="60"/>
      <c r="G6537" s="62"/>
      <c r="H6537" s="60"/>
    </row>
    <row r="6538" spans="1:8">
      <c r="A6538" s="60"/>
      <c r="B6538" s="77"/>
      <c r="C6538" s="60"/>
      <c r="D6538" s="81"/>
      <c r="E6538" s="62"/>
      <c r="F6538" s="60"/>
      <c r="G6538" s="62"/>
      <c r="H6538" s="60"/>
    </row>
    <row r="6539" spans="1:8">
      <c r="A6539" s="60"/>
      <c r="B6539" s="77"/>
      <c r="C6539" s="60"/>
      <c r="D6539" s="81"/>
      <c r="E6539" s="62"/>
      <c r="F6539" s="60"/>
      <c r="G6539" s="62"/>
      <c r="H6539" s="60"/>
    </row>
    <row r="6540" spans="1:8">
      <c r="A6540" s="60"/>
      <c r="B6540" s="77"/>
      <c r="C6540" s="60"/>
      <c r="D6540" s="81"/>
      <c r="E6540" s="62"/>
      <c r="F6540" s="60"/>
      <c r="G6540" s="62"/>
      <c r="H6540" s="60"/>
    </row>
    <row r="6541" spans="1:8">
      <c r="A6541" s="60"/>
      <c r="B6541" s="77"/>
      <c r="C6541" s="60"/>
      <c r="D6541" s="81"/>
      <c r="E6541" s="62"/>
      <c r="F6541" s="60"/>
      <c r="G6541" s="62"/>
      <c r="H6541" s="60"/>
    </row>
    <row r="6542" spans="1:8">
      <c r="A6542" s="60"/>
      <c r="B6542" s="77"/>
      <c r="C6542" s="60"/>
      <c r="D6542" s="81"/>
      <c r="E6542" s="62"/>
      <c r="F6542" s="60"/>
      <c r="G6542" s="62"/>
      <c r="H6542" s="60"/>
    </row>
    <row r="6543" spans="1:8">
      <c r="A6543" s="60"/>
      <c r="B6543" s="77"/>
      <c r="C6543" s="60"/>
      <c r="D6543" s="81"/>
      <c r="E6543" s="62"/>
      <c r="F6543" s="60"/>
      <c r="G6543" s="62"/>
      <c r="H6543" s="60"/>
    </row>
    <row r="6544" spans="1:8">
      <c r="A6544" s="60"/>
      <c r="B6544" s="77"/>
      <c r="C6544" s="60"/>
      <c r="D6544" s="81"/>
      <c r="E6544" s="62"/>
      <c r="F6544" s="60"/>
      <c r="G6544" s="62"/>
      <c r="H6544" s="60"/>
    </row>
    <row r="6545" spans="1:8">
      <c r="A6545" s="60"/>
      <c r="B6545" s="77"/>
      <c r="C6545" s="60"/>
      <c r="D6545" s="81"/>
      <c r="E6545" s="62"/>
      <c r="F6545" s="60"/>
      <c r="G6545" s="62"/>
      <c r="H6545" s="60"/>
    </row>
    <row r="6546" spans="1:8">
      <c r="A6546" s="60"/>
      <c r="B6546" s="77"/>
      <c r="C6546" s="60"/>
      <c r="D6546" s="81"/>
      <c r="E6546" s="62"/>
      <c r="F6546" s="60"/>
      <c r="G6546" s="62"/>
      <c r="H6546" s="60"/>
    </row>
    <row r="6547" spans="1:8">
      <c r="A6547" s="60"/>
      <c r="B6547" s="77"/>
      <c r="C6547" s="60"/>
      <c r="D6547" s="81"/>
      <c r="E6547" s="62"/>
      <c r="F6547" s="60"/>
      <c r="G6547" s="62"/>
      <c r="H6547" s="60"/>
    </row>
    <row r="6548" spans="1:8">
      <c r="A6548" s="60"/>
      <c r="B6548" s="77"/>
      <c r="C6548" s="60"/>
      <c r="D6548" s="81"/>
      <c r="E6548" s="62"/>
      <c r="F6548" s="60"/>
      <c r="G6548" s="62"/>
      <c r="H6548" s="60"/>
    </row>
    <row r="6549" spans="1:8">
      <c r="A6549" s="60"/>
      <c r="B6549" s="77"/>
      <c r="C6549" s="60"/>
      <c r="D6549" s="81"/>
      <c r="E6549" s="62"/>
      <c r="F6549" s="60"/>
      <c r="G6549" s="62"/>
      <c r="H6549" s="60"/>
    </row>
    <row r="6550" spans="1:8">
      <c r="A6550" s="60"/>
      <c r="B6550" s="77"/>
      <c r="C6550" s="60"/>
      <c r="D6550" s="81"/>
      <c r="E6550" s="62"/>
      <c r="F6550" s="60"/>
      <c r="G6550" s="62"/>
      <c r="H6550" s="60"/>
    </row>
    <row r="6551" spans="1:8">
      <c r="A6551" s="60"/>
      <c r="B6551" s="77"/>
      <c r="C6551" s="60"/>
      <c r="D6551" s="81"/>
      <c r="E6551" s="62"/>
      <c r="F6551" s="60"/>
      <c r="G6551" s="62"/>
      <c r="H6551" s="60"/>
    </row>
    <row r="6552" spans="1:8">
      <c r="A6552" s="60"/>
      <c r="B6552" s="77"/>
      <c r="C6552" s="60"/>
      <c r="D6552" s="81"/>
      <c r="E6552" s="62"/>
      <c r="F6552" s="60"/>
      <c r="G6552" s="62"/>
      <c r="H6552" s="60"/>
    </row>
    <row r="6553" spans="1:8">
      <c r="A6553" s="60"/>
      <c r="B6553" s="77"/>
      <c r="C6553" s="60"/>
      <c r="D6553" s="81"/>
      <c r="E6553" s="62"/>
      <c r="F6553" s="60"/>
      <c r="G6553" s="62"/>
      <c r="H6553" s="60"/>
    </row>
    <row r="6554" spans="1:8">
      <c r="A6554" s="60"/>
      <c r="B6554" s="77"/>
      <c r="C6554" s="60"/>
      <c r="D6554" s="81"/>
      <c r="E6554" s="62"/>
      <c r="F6554" s="60"/>
      <c r="G6554" s="62"/>
      <c r="H6554" s="60"/>
    </row>
    <row r="6555" spans="1:8">
      <c r="A6555" s="60"/>
      <c r="B6555" s="77"/>
      <c r="C6555" s="60"/>
      <c r="D6555" s="81"/>
      <c r="E6555" s="62"/>
      <c r="F6555" s="60"/>
      <c r="G6555" s="62"/>
      <c r="H6555" s="60"/>
    </row>
    <row r="6556" spans="1:8">
      <c r="A6556" s="60"/>
      <c r="B6556" s="77"/>
      <c r="C6556" s="60"/>
      <c r="D6556" s="81"/>
      <c r="E6556" s="62"/>
      <c r="F6556" s="60"/>
      <c r="G6556" s="62"/>
      <c r="H6556" s="60"/>
    </row>
    <row r="6557" spans="1:8">
      <c r="A6557" s="60"/>
      <c r="B6557" s="77"/>
      <c r="C6557" s="60"/>
      <c r="D6557" s="81"/>
      <c r="E6557" s="62"/>
      <c r="F6557" s="60"/>
      <c r="G6557" s="62"/>
      <c r="H6557" s="60"/>
    </row>
    <row r="6558" spans="1:8">
      <c r="A6558" s="60"/>
      <c r="B6558" s="77"/>
      <c r="C6558" s="60"/>
      <c r="D6558" s="81"/>
      <c r="E6558" s="62"/>
      <c r="F6558" s="60"/>
      <c r="G6558" s="62"/>
      <c r="H6558" s="60"/>
    </row>
    <row r="6559" spans="1:8">
      <c r="A6559" s="60"/>
      <c r="B6559" s="77"/>
      <c r="C6559" s="60"/>
      <c r="D6559" s="81"/>
      <c r="E6559" s="62"/>
      <c r="F6559" s="60"/>
      <c r="G6559" s="62"/>
      <c r="H6559" s="60"/>
    </row>
    <row r="6560" spans="1:8">
      <c r="A6560" s="60"/>
      <c r="B6560" s="77"/>
      <c r="C6560" s="60"/>
      <c r="D6560" s="81"/>
      <c r="E6560" s="62"/>
      <c r="F6560" s="60"/>
      <c r="G6560" s="62"/>
      <c r="H6560" s="60"/>
    </row>
    <row r="6561" spans="1:8">
      <c r="A6561" s="60"/>
      <c r="B6561" s="77"/>
      <c r="C6561" s="60"/>
      <c r="D6561" s="81"/>
      <c r="E6561" s="62"/>
      <c r="F6561" s="60"/>
      <c r="G6561" s="62"/>
      <c r="H6561" s="60"/>
    </row>
    <row r="6562" spans="1:8">
      <c r="A6562" s="60"/>
      <c r="B6562" s="77"/>
      <c r="C6562" s="60"/>
      <c r="D6562" s="81"/>
      <c r="E6562" s="62"/>
      <c r="F6562" s="60"/>
      <c r="G6562" s="62"/>
      <c r="H6562" s="60"/>
    </row>
    <row r="6563" spans="1:8">
      <c r="A6563" s="60"/>
      <c r="B6563" s="77"/>
      <c r="C6563" s="60"/>
      <c r="D6563" s="81"/>
      <c r="E6563" s="62"/>
      <c r="F6563" s="60"/>
      <c r="G6563" s="62"/>
      <c r="H6563" s="60"/>
    </row>
    <row r="6564" spans="1:8">
      <c r="A6564" s="60"/>
      <c r="B6564" s="77"/>
      <c r="C6564" s="60"/>
      <c r="D6564" s="81"/>
      <c r="E6564" s="62"/>
      <c r="F6564" s="60"/>
      <c r="G6564" s="62"/>
      <c r="H6564" s="60"/>
    </row>
    <row r="6565" spans="1:8">
      <c r="A6565" s="60"/>
      <c r="B6565" s="77"/>
      <c r="C6565" s="60"/>
      <c r="D6565" s="81"/>
      <c r="E6565" s="62"/>
      <c r="F6565" s="60"/>
      <c r="G6565" s="62"/>
      <c r="H6565" s="60"/>
    </row>
    <row r="6566" spans="1:8">
      <c r="A6566" s="60"/>
      <c r="B6566" s="77"/>
      <c r="C6566" s="60"/>
      <c r="D6566" s="81"/>
      <c r="E6566" s="62"/>
      <c r="F6566" s="60"/>
      <c r="G6566" s="62"/>
      <c r="H6566" s="60"/>
    </row>
    <row r="6567" spans="1:8">
      <c r="A6567" s="60"/>
      <c r="B6567" s="77"/>
      <c r="C6567" s="60"/>
      <c r="D6567" s="81"/>
      <c r="E6567" s="62"/>
      <c r="F6567" s="60"/>
      <c r="G6567" s="62"/>
      <c r="H6567" s="60"/>
    </row>
    <row r="6568" spans="1:8">
      <c r="A6568" s="60"/>
      <c r="B6568" s="77"/>
      <c r="C6568" s="60"/>
      <c r="D6568" s="81"/>
      <c r="E6568" s="62"/>
      <c r="F6568" s="60"/>
      <c r="G6568" s="62"/>
      <c r="H6568" s="60"/>
    </row>
    <row r="6569" spans="1:8">
      <c r="A6569" s="60"/>
      <c r="B6569" s="77"/>
      <c r="C6569" s="60"/>
      <c r="D6569" s="81"/>
      <c r="E6569" s="62"/>
      <c r="F6569" s="60"/>
      <c r="G6569" s="62"/>
      <c r="H6569" s="60"/>
    </row>
    <row r="6570" spans="1:8">
      <c r="A6570" s="60"/>
      <c r="B6570" s="77"/>
      <c r="C6570" s="60"/>
      <c r="D6570" s="81"/>
      <c r="E6570" s="62"/>
      <c r="F6570" s="60"/>
      <c r="G6570" s="62"/>
      <c r="H6570" s="60"/>
    </row>
    <row r="6571" spans="1:8">
      <c r="A6571" s="60"/>
      <c r="B6571" s="77"/>
      <c r="C6571" s="60"/>
      <c r="D6571" s="81"/>
      <c r="E6571" s="62"/>
      <c r="F6571" s="60"/>
      <c r="G6571" s="62"/>
      <c r="H6571" s="60"/>
    </row>
    <row r="6572" spans="1:8">
      <c r="A6572" s="60"/>
      <c r="B6572" s="77"/>
      <c r="C6572" s="60"/>
      <c r="D6572" s="81"/>
      <c r="E6572" s="62"/>
      <c r="F6572" s="60"/>
      <c r="G6572" s="62"/>
      <c r="H6572" s="60"/>
    </row>
    <row r="6573" spans="1:8">
      <c r="A6573" s="60"/>
      <c r="B6573" s="77"/>
      <c r="C6573" s="60"/>
      <c r="D6573" s="81"/>
      <c r="E6573" s="62"/>
      <c r="F6573" s="60"/>
      <c r="G6573" s="62"/>
      <c r="H6573" s="60"/>
    </row>
    <row r="6574" spans="1:8">
      <c r="A6574" s="60"/>
      <c r="B6574" s="77"/>
      <c r="C6574" s="60"/>
      <c r="D6574" s="81"/>
      <c r="E6574" s="62"/>
      <c r="F6574" s="60"/>
      <c r="G6574" s="62"/>
      <c r="H6574" s="60"/>
    </row>
    <row r="6575" spans="1:8">
      <c r="A6575" s="60"/>
      <c r="B6575" s="77"/>
      <c r="C6575" s="60"/>
      <c r="D6575" s="81"/>
      <c r="E6575" s="62"/>
      <c r="F6575" s="60"/>
      <c r="G6575" s="62"/>
      <c r="H6575" s="60"/>
    </row>
    <row r="6576" spans="1:8">
      <c r="A6576" s="60"/>
      <c r="B6576" s="77"/>
      <c r="C6576" s="60"/>
      <c r="D6576" s="81"/>
      <c r="E6576" s="62"/>
      <c r="F6576" s="60"/>
      <c r="G6576" s="62"/>
      <c r="H6576" s="60"/>
    </row>
    <row r="6577" spans="1:8">
      <c r="A6577" s="60"/>
      <c r="B6577" s="77"/>
      <c r="C6577" s="60"/>
      <c r="D6577" s="81"/>
      <c r="E6577" s="62"/>
      <c r="F6577" s="60"/>
      <c r="G6577" s="62"/>
      <c r="H6577" s="60"/>
    </row>
    <row r="6578" spans="1:8">
      <c r="A6578" s="60"/>
      <c r="B6578" s="77"/>
      <c r="C6578" s="60"/>
      <c r="D6578" s="81"/>
      <c r="E6578" s="62"/>
      <c r="F6578" s="60"/>
      <c r="G6578" s="62"/>
      <c r="H6578" s="60"/>
    </row>
    <row r="6579" spans="1:8">
      <c r="A6579" s="60"/>
      <c r="B6579" s="77"/>
      <c r="C6579" s="60"/>
      <c r="D6579" s="81"/>
      <c r="E6579" s="62"/>
      <c r="F6579" s="60"/>
      <c r="G6579" s="62"/>
      <c r="H6579" s="60"/>
    </row>
    <row r="6580" spans="1:8">
      <c r="A6580" s="60"/>
      <c r="B6580" s="77"/>
      <c r="C6580" s="60"/>
      <c r="D6580" s="81"/>
      <c r="E6580" s="62"/>
      <c r="F6580" s="60"/>
      <c r="G6580" s="62"/>
      <c r="H6580" s="60"/>
    </row>
    <row r="6581" spans="1:8">
      <c r="A6581" s="60"/>
      <c r="B6581" s="77"/>
      <c r="C6581" s="60"/>
      <c r="D6581" s="81"/>
      <c r="E6581" s="62"/>
      <c r="F6581" s="60"/>
      <c r="G6581" s="62"/>
      <c r="H6581" s="60"/>
    </row>
    <row r="6582" spans="1:8">
      <c r="A6582" s="60"/>
      <c r="B6582" s="77"/>
      <c r="C6582" s="60"/>
      <c r="D6582" s="81"/>
      <c r="E6582" s="62"/>
      <c r="F6582" s="60"/>
      <c r="G6582" s="62"/>
      <c r="H6582" s="60"/>
    </row>
    <row r="6583" spans="1:8">
      <c r="A6583" s="60"/>
      <c r="B6583" s="77"/>
      <c r="C6583" s="60"/>
      <c r="D6583" s="81"/>
      <c r="E6583" s="62"/>
      <c r="F6583" s="60"/>
      <c r="G6583" s="62"/>
      <c r="H6583" s="60"/>
    </row>
    <row r="6584" spans="1:8">
      <c r="A6584" s="60"/>
      <c r="B6584" s="77"/>
      <c r="C6584" s="60"/>
      <c r="D6584" s="81"/>
      <c r="E6584" s="62"/>
      <c r="F6584" s="60"/>
      <c r="G6584" s="62"/>
      <c r="H6584" s="60"/>
    </row>
    <row r="6585" spans="1:8">
      <c r="A6585" s="60"/>
      <c r="B6585" s="77"/>
      <c r="C6585" s="60"/>
      <c r="D6585" s="81"/>
      <c r="E6585" s="62"/>
      <c r="F6585" s="60"/>
      <c r="G6585" s="62"/>
      <c r="H6585" s="60"/>
    </row>
    <row r="6586" spans="1:8">
      <c r="A6586" s="60"/>
      <c r="B6586" s="77"/>
      <c r="C6586" s="60"/>
      <c r="D6586" s="81"/>
      <c r="E6586" s="62"/>
      <c r="F6586" s="60"/>
      <c r="G6586" s="62"/>
      <c r="H6586" s="60"/>
    </row>
    <row r="6587" spans="1:8">
      <c r="A6587" s="60"/>
      <c r="B6587" s="77"/>
      <c r="C6587" s="60"/>
      <c r="D6587" s="81"/>
      <c r="E6587" s="62"/>
      <c r="F6587" s="60"/>
      <c r="G6587" s="62"/>
      <c r="H6587" s="60"/>
    </row>
    <row r="6588" spans="1:8">
      <c r="A6588" s="60"/>
      <c r="B6588" s="77"/>
      <c r="C6588" s="60"/>
      <c r="D6588" s="81"/>
      <c r="E6588" s="62"/>
      <c r="F6588" s="60"/>
      <c r="G6588" s="62"/>
      <c r="H6588" s="60"/>
    </row>
    <row r="6589" spans="1:8">
      <c r="A6589" s="60"/>
      <c r="B6589" s="77"/>
      <c r="C6589" s="60"/>
      <c r="D6589" s="81"/>
      <c r="E6589" s="62"/>
      <c r="F6589" s="60"/>
      <c r="G6589" s="62"/>
      <c r="H6589" s="60"/>
    </row>
    <row r="6590" spans="1:8">
      <c r="A6590" s="60"/>
      <c r="B6590" s="77"/>
      <c r="C6590" s="60"/>
      <c r="D6590" s="81"/>
      <c r="E6590" s="62"/>
      <c r="F6590" s="60"/>
      <c r="G6590" s="62"/>
      <c r="H6590" s="60"/>
    </row>
    <row r="6591" spans="1:8">
      <c r="A6591" s="60"/>
      <c r="B6591" s="77"/>
      <c r="C6591" s="60"/>
      <c r="D6591" s="81"/>
      <c r="E6591" s="62"/>
      <c r="F6591" s="60"/>
      <c r="G6591" s="62"/>
      <c r="H6591" s="60"/>
    </row>
    <row r="6592" spans="1:8">
      <c r="A6592" s="60"/>
      <c r="B6592" s="77"/>
      <c r="C6592" s="60"/>
      <c r="D6592" s="81"/>
      <c r="E6592" s="62"/>
      <c r="F6592" s="60"/>
      <c r="G6592" s="62"/>
      <c r="H6592" s="60"/>
    </row>
    <row r="6593" spans="1:8">
      <c r="A6593" s="60"/>
      <c r="B6593" s="77"/>
      <c r="C6593" s="60"/>
      <c r="D6593" s="81"/>
      <c r="E6593" s="62"/>
      <c r="F6593" s="60"/>
      <c r="G6593" s="62"/>
      <c r="H6593" s="60"/>
    </row>
    <row r="6594" spans="1:8">
      <c r="A6594" s="60"/>
      <c r="B6594" s="77"/>
      <c r="C6594" s="60"/>
      <c r="D6594" s="81"/>
      <c r="E6594" s="62"/>
      <c r="F6594" s="60"/>
      <c r="G6594" s="62"/>
      <c r="H6594" s="60"/>
    </row>
    <row r="6595" spans="1:8">
      <c r="A6595" s="60"/>
      <c r="B6595" s="77"/>
      <c r="C6595" s="60"/>
      <c r="D6595" s="81"/>
      <c r="E6595" s="62"/>
      <c r="F6595" s="60"/>
      <c r="G6595" s="62"/>
      <c r="H6595" s="60"/>
    </row>
    <row r="6596" spans="1:8">
      <c r="A6596" s="60"/>
      <c r="B6596" s="77"/>
      <c r="C6596" s="60"/>
      <c r="D6596" s="81"/>
      <c r="E6596" s="62"/>
      <c r="F6596" s="60"/>
      <c r="G6596" s="62"/>
      <c r="H6596" s="60"/>
    </row>
    <row r="6597" spans="1:8">
      <c r="A6597" s="60"/>
      <c r="B6597" s="77"/>
      <c r="C6597" s="60"/>
      <c r="D6597" s="81"/>
      <c r="E6597" s="62"/>
      <c r="F6597" s="60"/>
      <c r="G6597" s="62"/>
      <c r="H6597" s="60"/>
    </row>
    <row r="6598" spans="1:8">
      <c r="A6598" s="60"/>
      <c r="B6598" s="77"/>
      <c r="C6598" s="60"/>
      <c r="D6598" s="81"/>
      <c r="E6598" s="62"/>
      <c r="F6598" s="60"/>
      <c r="G6598" s="62"/>
      <c r="H6598" s="60"/>
    </row>
    <row r="6599" spans="1:8">
      <c r="A6599" s="60"/>
      <c r="B6599" s="77"/>
      <c r="C6599" s="60"/>
      <c r="D6599" s="81"/>
      <c r="E6599" s="62"/>
      <c r="F6599" s="60"/>
      <c r="G6599" s="62"/>
      <c r="H6599" s="60"/>
    </row>
    <row r="6600" spans="1:8">
      <c r="A6600" s="60"/>
      <c r="B6600" s="77"/>
      <c r="C6600" s="60"/>
      <c r="D6600" s="81"/>
      <c r="E6600" s="62"/>
      <c r="F6600" s="60"/>
      <c r="G6600" s="62"/>
      <c r="H6600" s="60"/>
    </row>
    <row r="6601" spans="1:8">
      <c r="A6601" s="60"/>
      <c r="B6601" s="77"/>
      <c r="C6601" s="60"/>
      <c r="D6601" s="81"/>
      <c r="E6601" s="62"/>
      <c r="F6601" s="60"/>
      <c r="G6601" s="62"/>
      <c r="H6601" s="60"/>
    </row>
    <row r="6602" spans="1:8">
      <c r="A6602" s="60"/>
      <c r="B6602" s="77"/>
      <c r="C6602" s="60"/>
      <c r="D6602" s="81"/>
      <c r="E6602" s="62"/>
      <c r="F6602" s="60"/>
      <c r="G6602" s="62"/>
      <c r="H6602" s="60"/>
    </row>
    <row r="6603" spans="1:8">
      <c r="A6603" s="60"/>
      <c r="B6603" s="77"/>
      <c r="C6603" s="60"/>
      <c r="D6603" s="81"/>
      <c r="E6603" s="62"/>
      <c r="F6603" s="60"/>
      <c r="G6603" s="62"/>
      <c r="H6603" s="60"/>
    </row>
    <row r="6604" spans="1:8">
      <c r="A6604" s="60"/>
      <c r="B6604" s="77"/>
      <c r="C6604" s="60"/>
      <c r="D6604" s="81"/>
      <c r="E6604" s="62"/>
      <c r="F6604" s="60"/>
      <c r="G6604" s="62"/>
      <c r="H6604" s="60"/>
    </row>
    <row r="6605" spans="1:8">
      <c r="A6605" s="60"/>
      <c r="B6605" s="77"/>
      <c r="C6605" s="60"/>
      <c r="D6605" s="81"/>
      <c r="E6605" s="62"/>
      <c r="F6605" s="60"/>
      <c r="G6605" s="62"/>
      <c r="H6605" s="60"/>
    </row>
    <row r="6606" spans="1:8">
      <c r="A6606" s="60"/>
      <c r="B6606" s="77"/>
      <c r="C6606" s="60"/>
      <c r="D6606" s="81"/>
      <c r="E6606" s="62"/>
      <c r="F6606" s="60"/>
      <c r="G6606" s="62"/>
      <c r="H6606" s="60"/>
    </row>
    <row r="6607" spans="1:8">
      <c r="A6607" s="60"/>
      <c r="B6607" s="77"/>
      <c r="C6607" s="60"/>
      <c r="D6607" s="81"/>
      <c r="E6607" s="62"/>
      <c r="F6607" s="60"/>
      <c r="G6607" s="62"/>
      <c r="H6607" s="60"/>
    </row>
    <row r="6608" spans="1:8">
      <c r="A6608" s="60"/>
      <c r="B6608" s="77"/>
      <c r="C6608" s="60"/>
      <c r="D6608" s="81"/>
      <c r="E6608" s="62"/>
      <c r="F6608" s="60"/>
      <c r="G6608" s="62"/>
      <c r="H6608" s="60"/>
    </row>
    <row r="6609" spans="1:8">
      <c r="A6609" s="60"/>
      <c r="B6609" s="77"/>
      <c r="C6609" s="60"/>
      <c r="D6609" s="81"/>
      <c r="E6609" s="62"/>
      <c r="F6609" s="60"/>
      <c r="G6609" s="62"/>
      <c r="H6609" s="60"/>
    </row>
    <row r="6610" spans="1:8">
      <c r="A6610" s="60"/>
      <c r="B6610" s="77"/>
      <c r="C6610" s="60"/>
      <c r="D6610" s="81"/>
      <c r="E6610" s="62"/>
      <c r="F6610" s="60"/>
      <c r="G6610" s="62"/>
      <c r="H6610" s="60"/>
    </row>
    <row r="6611" spans="1:8">
      <c r="A6611" s="60"/>
      <c r="B6611" s="77"/>
      <c r="C6611" s="60"/>
      <c r="D6611" s="81"/>
      <c r="E6611" s="62"/>
      <c r="F6611" s="60"/>
      <c r="G6611" s="62"/>
      <c r="H6611" s="60"/>
    </row>
    <row r="6612" spans="1:8">
      <c r="A6612" s="60"/>
      <c r="B6612" s="77"/>
      <c r="C6612" s="60"/>
      <c r="D6612" s="81"/>
      <c r="E6612" s="62"/>
      <c r="F6612" s="60"/>
      <c r="G6612" s="62"/>
      <c r="H6612" s="60"/>
    </row>
    <row r="6613" spans="1:8">
      <c r="A6613" s="60"/>
      <c r="B6613" s="77"/>
      <c r="C6613" s="60"/>
      <c r="D6613" s="81"/>
      <c r="E6613" s="62"/>
      <c r="F6613" s="60"/>
      <c r="G6613" s="62"/>
      <c r="H6613" s="60"/>
    </row>
    <row r="6614" spans="1:8">
      <c r="A6614" s="60"/>
      <c r="B6614" s="77"/>
      <c r="C6614" s="60"/>
      <c r="D6614" s="81"/>
      <c r="E6614" s="62"/>
      <c r="F6614" s="60"/>
      <c r="G6614" s="62"/>
      <c r="H6614" s="60"/>
    </row>
    <row r="6615" spans="1:8">
      <c r="A6615" s="60"/>
      <c r="B6615" s="77"/>
      <c r="C6615" s="60"/>
      <c r="D6615" s="81"/>
      <c r="E6615" s="62"/>
      <c r="F6615" s="60"/>
      <c r="G6615" s="62"/>
      <c r="H6615" s="60"/>
    </row>
    <row r="6616" spans="1:8">
      <c r="A6616" s="60"/>
      <c r="B6616" s="77"/>
      <c r="C6616" s="60"/>
      <c r="D6616" s="81"/>
      <c r="E6616" s="62"/>
      <c r="F6616" s="60"/>
      <c r="G6616" s="62"/>
      <c r="H6616" s="60"/>
    </row>
    <row r="6617" spans="1:8">
      <c r="A6617" s="60"/>
      <c r="B6617" s="77"/>
      <c r="C6617" s="60"/>
      <c r="D6617" s="81"/>
      <c r="E6617" s="62"/>
      <c r="F6617" s="60"/>
      <c r="G6617" s="62"/>
      <c r="H6617" s="60"/>
    </row>
    <row r="6618" spans="1:8">
      <c r="A6618" s="60"/>
      <c r="B6618" s="77"/>
      <c r="C6618" s="60"/>
      <c r="D6618" s="81"/>
      <c r="E6618" s="62"/>
      <c r="F6618" s="60"/>
      <c r="G6618" s="62"/>
      <c r="H6618" s="60"/>
    </row>
    <row r="6619" spans="1:8">
      <c r="A6619" s="60"/>
      <c r="B6619" s="77"/>
      <c r="C6619" s="60"/>
      <c r="D6619" s="81"/>
      <c r="E6619" s="62"/>
      <c r="F6619" s="60"/>
      <c r="G6619" s="62"/>
      <c r="H6619" s="60"/>
    </row>
    <row r="6620" spans="1:8">
      <c r="A6620" s="60"/>
      <c r="B6620" s="77"/>
      <c r="C6620" s="60"/>
      <c r="D6620" s="81"/>
      <c r="E6620" s="62"/>
      <c r="F6620" s="60"/>
      <c r="G6620" s="62"/>
      <c r="H6620" s="60"/>
    </row>
    <row r="6621" spans="1:8">
      <c r="A6621" s="60"/>
      <c r="B6621" s="77"/>
      <c r="C6621" s="60"/>
      <c r="D6621" s="81"/>
      <c r="E6621" s="62"/>
      <c r="F6621" s="60"/>
      <c r="G6621" s="62"/>
      <c r="H6621" s="60"/>
    </row>
    <row r="6622" spans="1:8">
      <c r="A6622" s="60"/>
      <c r="B6622" s="77"/>
      <c r="C6622" s="60"/>
      <c r="D6622" s="81"/>
      <c r="E6622" s="62"/>
      <c r="F6622" s="60"/>
      <c r="G6622" s="62"/>
      <c r="H6622" s="60"/>
    </row>
    <row r="6623" spans="1:8">
      <c r="A6623" s="60"/>
      <c r="B6623" s="77"/>
      <c r="C6623" s="60"/>
      <c r="D6623" s="81"/>
      <c r="E6623" s="62"/>
      <c r="F6623" s="60"/>
      <c r="G6623" s="62"/>
      <c r="H6623" s="60"/>
    </row>
    <row r="6624" spans="1:8">
      <c r="A6624" s="60"/>
      <c r="B6624" s="77"/>
      <c r="C6624" s="60"/>
      <c r="D6624" s="81"/>
      <c r="E6624" s="62"/>
      <c r="F6624" s="60"/>
      <c r="G6624" s="62"/>
      <c r="H6624" s="60"/>
    </row>
    <row r="6625" spans="1:8">
      <c r="A6625" s="60"/>
      <c r="B6625" s="77"/>
      <c r="C6625" s="60"/>
      <c r="D6625" s="81"/>
      <c r="E6625" s="62"/>
      <c r="F6625" s="60"/>
      <c r="G6625" s="62"/>
      <c r="H6625" s="60"/>
    </row>
    <row r="6626" spans="1:8">
      <c r="A6626" s="60"/>
      <c r="B6626" s="77"/>
      <c r="C6626" s="60"/>
      <c r="D6626" s="81"/>
      <c r="E6626" s="62"/>
      <c r="F6626" s="60"/>
      <c r="G6626" s="62"/>
      <c r="H6626" s="60"/>
    </row>
    <row r="6627" spans="1:8">
      <c r="A6627" s="60"/>
      <c r="B6627" s="77"/>
      <c r="C6627" s="60"/>
      <c r="D6627" s="81"/>
      <c r="E6627" s="62"/>
      <c r="F6627" s="60"/>
      <c r="G6627" s="62"/>
      <c r="H6627" s="60"/>
    </row>
    <row r="6628" spans="1:8">
      <c r="A6628" s="60"/>
      <c r="B6628" s="77"/>
      <c r="C6628" s="60"/>
      <c r="D6628" s="81"/>
      <c r="E6628" s="62"/>
      <c r="F6628" s="60"/>
      <c r="G6628" s="62"/>
      <c r="H6628" s="60"/>
    </row>
    <row r="6629" spans="1:8">
      <c r="A6629" s="60"/>
      <c r="B6629" s="77"/>
      <c r="C6629" s="60"/>
      <c r="D6629" s="81"/>
      <c r="E6629" s="62"/>
      <c r="F6629" s="60"/>
      <c r="G6629" s="62"/>
      <c r="H6629" s="60"/>
    </row>
    <row r="6630" spans="1:8">
      <c r="A6630" s="60"/>
      <c r="B6630" s="77"/>
      <c r="C6630" s="60"/>
      <c r="D6630" s="81"/>
      <c r="E6630" s="62"/>
      <c r="F6630" s="60"/>
      <c r="G6630" s="62"/>
      <c r="H6630" s="60"/>
    </row>
    <row r="6631" spans="1:8">
      <c r="A6631" s="60"/>
      <c r="B6631" s="77"/>
      <c r="C6631" s="60"/>
      <c r="D6631" s="81"/>
      <c r="E6631" s="62"/>
      <c r="F6631" s="60"/>
      <c r="G6631" s="62"/>
      <c r="H6631" s="60"/>
    </row>
    <row r="6632" spans="1:8">
      <c r="A6632" s="60"/>
      <c r="B6632" s="77"/>
      <c r="C6632" s="60"/>
      <c r="D6632" s="81"/>
      <c r="E6632" s="62"/>
      <c r="F6632" s="60"/>
      <c r="G6632" s="62"/>
      <c r="H6632" s="60"/>
    </row>
    <row r="6633" spans="1:8">
      <c r="A6633" s="60"/>
      <c r="B6633" s="77"/>
      <c r="C6633" s="60"/>
      <c r="D6633" s="81"/>
      <c r="E6633" s="62"/>
      <c r="F6633" s="60"/>
      <c r="G6633" s="62"/>
      <c r="H6633" s="60"/>
    </row>
    <row r="6634" spans="1:8">
      <c r="A6634" s="60"/>
      <c r="B6634" s="77"/>
      <c r="C6634" s="60"/>
      <c r="D6634" s="81"/>
      <c r="E6634" s="62"/>
      <c r="F6634" s="60"/>
      <c r="G6634" s="62"/>
      <c r="H6634" s="60"/>
    </row>
    <row r="6635" spans="1:8">
      <c r="A6635" s="60"/>
      <c r="B6635" s="77"/>
      <c r="C6635" s="60"/>
      <c r="D6635" s="81"/>
      <c r="E6635" s="62"/>
      <c r="F6635" s="60"/>
      <c r="G6635" s="62"/>
      <c r="H6635" s="60"/>
    </row>
    <row r="6636" spans="1:8">
      <c r="A6636" s="60"/>
      <c r="B6636" s="77"/>
      <c r="C6636" s="60"/>
      <c r="D6636" s="81"/>
      <c r="E6636" s="62"/>
      <c r="F6636" s="60"/>
      <c r="G6636" s="62"/>
      <c r="H6636" s="60"/>
    </row>
    <row r="6637" spans="1:8">
      <c r="A6637" s="60"/>
      <c r="B6637" s="77"/>
      <c r="C6637" s="60"/>
      <c r="D6637" s="81"/>
      <c r="E6637" s="62"/>
      <c r="F6637" s="60"/>
      <c r="G6637" s="62"/>
      <c r="H6637" s="60"/>
    </row>
    <row r="6638" spans="1:8">
      <c r="A6638" s="60"/>
      <c r="B6638" s="77"/>
      <c r="C6638" s="60"/>
      <c r="D6638" s="81"/>
      <c r="E6638" s="62"/>
      <c r="F6638" s="60"/>
      <c r="G6638" s="62"/>
      <c r="H6638" s="60"/>
    </row>
    <row r="6639" spans="1:8">
      <c r="A6639" s="60"/>
      <c r="B6639" s="77"/>
      <c r="C6639" s="60"/>
      <c r="D6639" s="81"/>
      <c r="E6639" s="62"/>
      <c r="F6639" s="60"/>
      <c r="G6639" s="62"/>
      <c r="H6639" s="60"/>
    </row>
    <row r="6640" spans="1:8">
      <c r="A6640" s="60"/>
      <c r="B6640" s="77"/>
      <c r="C6640" s="60"/>
      <c r="D6640" s="81"/>
      <c r="E6640" s="62"/>
      <c r="F6640" s="60"/>
      <c r="G6640" s="62"/>
      <c r="H6640" s="60"/>
    </row>
    <row r="6641" spans="1:8">
      <c r="A6641" s="60"/>
      <c r="B6641" s="77"/>
      <c r="C6641" s="60"/>
      <c r="D6641" s="81"/>
      <c r="E6641" s="62"/>
      <c r="F6641" s="60"/>
      <c r="G6641" s="62"/>
      <c r="H6641" s="60"/>
    </row>
    <row r="6642" spans="1:8">
      <c r="A6642" s="60"/>
      <c r="B6642" s="77"/>
      <c r="C6642" s="60"/>
      <c r="D6642" s="81"/>
      <c r="E6642" s="62"/>
      <c r="F6642" s="60"/>
      <c r="G6642" s="62"/>
      <c r="H6642" s="60"/>
    </row>
    <row r="6643" spans="1:8">
      <c r="A6643" s="60"/>
      <c r="B6643" s="77"/>
      <c r="C6643" s="60"/>
      <c r="D6643" s="81"/>
      <c r="E6643" s="62"/>
      <c r="F6643" s="60"/>
      <c r="G6643" s="62"/>
      <c r="H6643" s="60"/>
    </row>
    <row r="6644" spans="1:8">
      <c r="A6644" s="60"/>
      <c r="B6644" s="77"/>
      <c r="C6644" s="60"/>
      <c r="D6644" s="81"/>
      <c r="E6644" s="62"/>
      <c r="F6644" s="60"/>
      <c r="G6644" s="62"/>
      <c r="H6644" s="60"/>
    </row>
    <row r="6645" spans="1:8">
      <c r="A6645" s="60"/>
      <c r="B6645" s="77"/>
      <c r="C6645" s="60"/>
      <c r="D6645" s="81"/>
      <c r="E6645" s="62"/>
      <c r="F6645" s="60"/>
      <c r="G6645" s="62"/>
      <c r="H6645" s="60"/>
    </row>
    <row r="6646" spans="1:8">
      <c r="A6646" s="60"/>
      <c r="B6646" s="77"/>
      <c r="C6646" s="60"/>
      <c r="D6646" s="81"/>
      <c r="E6646" s="62"/>
      <c r="F6646" s="60"/>
      <c r="G6646" s="62"/>
      <c r="H6646" s="60"/>
    </row>
    <row r="6647" spans="1:8">
      <c r="A6647" s="60"/>
      <c r="B6647" s="77"/>
      <c r="C6647" s="60"/>
      <c r="D6647" s="81"/>
      <c r="E6647" s="62"/>
      <c r="F6647" s="60"/>
      <c r="G6647" s="62"/>
      <c r="H6647" s="60"/>
    </row>
    <row r="6648" spans="1:8">
      <c r="A6648" s="60"/>
      <c r="B6648" s="77"/>
      <c r="C6648" s="60"/>
      <c r="D6648" s="81"/>
      <c r="E6648" s="62"/>
      <c r="F6648" s="60"/>
      <c r="G6648" s="62"/>
      <c r="H6648" s="60"/>
    </row>
    <row r="6649" spans="1:8">
      <c r="A6649" s="60"/>
      <c r="B6649" s="77"/>
      <c r="C6649" s="60"/>
      <c r="D6649" s="81"/>
      <c r="E6649" s="62"/>
      <c r="F6649" s="60"/>
      <c r="G6649" s="62"/>
      <c r="H6649" s="60"/>
    </row>
    <row r="6650" spans="1:8">
      <c r="A6650" s="60"/>
      <c r="B6650" s="77"/>
      <c r="C6650" s="60"/>
      <c r="D6650" s="81"/>
      <c r="E6650" s="62"/>
      <c r="F6650" s="60"/>
      <c r="G6650" s="62"/>
      <c r="H6650" s="60"/>
    </row>
    <row r="6651" spans="1:8">
      <c r="A6651" s="60"/>
      <c r="B6651" s="77"/>
      <c r="C6651" s="60"/>
      <c r="D6651" s="81"/>
      <c r="E6651" s="62"/>
      <c r="F6651" s="60"/>
      <c r="G6651" s="62"/>
      <c r="H6651" s="60"/>
    </row>
    <row r="6652" spans="1:8">
      <c r="A6652" s="60"/>
      <c r="B6652" s="77"/>
      <c r="C6652" s="60"/>
      <c r="D6652" s="81"/>
      <c r="E6652" s="62"/>
      <c r="F6652" s="60"/>
      <c r="G6652" s="62"/>
      <c r="H6652" s="60"/>
    </row>
    <row r="6653" spans="1:8">
      <c r="A6653" s="60"/>
      <c r="B6653" s="77"/>
      <c r="C6653" s="60"/>
      <c r="D6653" s="81"/>
      <c r="E6653" s="62"/>
      <c r="F6653" s="60"/>
      <c r="G6653" s="62"/>
      <c r="H6653" s="60"/>
    </row>
    <row r="6654" spans="1:8">
      <c r="A6654" s="60"/>
      <c r="B6654" s="77"/>
      <c r="C6654" s="60"/>
      <c r="D6654" s="81"/>
      <c r="E6654" s="62"/>
      <c r="F6654" s="60"/>
      <c r="G6654" s="62"/>
      <c r="H6654" s="60"/>
    </row>
    <row r="6655" spans="1:8">
      <c r="A6655" s="60"/>
      <c r="B6655" s="77"/>
      <c r="C6655" s="60"/>
      <c r="D6655" s="81"/>
      <c r="E6655" s="62"/>
      <c r="F6655" s="60"/>
      <c r="G6655" s="62"/>
      <c r="H6655" s="60"/>
    </row>
    <row r="6656" spans="1:8">
      <c r="A6656" s="60"/>
      <c r="B6656" s="77"/>
      <c r="C6656" s="60"/>
      <c r="D6656" s="81"/>
      <c r="E6656" s="62"/>
      <c r="F6656" s="60"/>
      <c r="G6656" s="62"/>
      <c r="H6656" s="60"/>
    </row>
    <row r="6657" spans="1:8">
      <c r="A6657" s="60"/>
      <c r="B6657" s="77"/>
      <c r="C6657" s="60"/>
      <c r="D6657" s="81"/>
      <c r="E6657" s="62"/>
      <c r="F6657" s="60"/>
      <c r="G6657" s="62"/>
      <c r="H6657" s="60"/>
    </row>
    <row r="6658" spans="1:8">
      <c r="A6658" s="60"/>
      <c r="B6658" s="77"/>
      <c r="C6658" s="60"/>
      <c r="D6658" s="81"/>
      <c r="E6658" s="62"/>
      <c r="F6658" s="60"/>
      <c r="G6658" s="62"/>
      <c r="H6658" s="60"/>
    </row>
    <row r="6659" spans="1:8">
      <c r="A6659" s="60"/>
      <c r="B6659" s="77"/>
      <c r="C6659" s="60"/>
      <c r="D6659" s="81"/>
      <c r="E6659" s="62"/>
      <c r="F6659" s="60"/>
      <c r="G6659" s="62"/>
      <c r="H6659" s="60"/>
    </row>
    <row r="6660" spans="1:8">
      <c r="A6660" s="60"/>
      <c r="B6660" s="77"/>
      <c r="C6660" s="60"/>
      <c r="D6660" s="81"/>
      <c r="E6660" s="62"/>
      <c r="F6660" s="60"/>
      <c r="G6660" s="62"/>
      <c r="H6660" s="60"/>
    </row>
    <row r="6661" spans="1:8">
      <c r="A6661" s="60"/>
      <c r="B6661" s="77"/>
      <c r="C6661" s="60"/>
      <c r="D6661" s="81"/>
      <c r="E6661" s="62"/>
      <c r="F6661" s="60"/>
      <c r="G6661" s="62"/>
      <c r="H6661" s="60"/>
    </row>
    <row r="6662" spans="1:8">
      <c r="A6662" s="60"/>
      <c r="B6662" s="77"/>
      <c r="C6662" s="60"/>
      <c r="D6662" s="81"/>
      <c r="E6662" s="62"/>
      <c r="F6662" s="60"/>
      <c r="G6662" s="62"/>
      <c r="H6662" s="60"/>
    </row>
    <row r="6663" spans="1:8">
      <c r="A6663" s="60"/>
      <c r="B6663" s="77"/>
      <c r="C6663" s="60"/>
      <c r="D6663" s="81"/>
      <c r="E6663" s="62"/>
      <c r="F6663" s="60"/>
      <c r="G6663" s="62"/>
      <c r="H6663" s="60"/>
    </row>
    <row r="6664" spans="1:8">
      <c r="A6664" s="60"/>
      <c r="B6664" s="77"/>
      <c r="C6664" s="60"/>
      <c r="D6664" s="81"/>
      <c r="E6664" s="62"/>
      <c r="F6664" s="60"/>
      <c r="G6664" s="62"/>
      <c r="H6664" s="60"/>
    </row>
    <row r="6665" spans="1:8">
      <c r="A6665" s="60"/>
      <c r="B6665" s="77"/>
      <c r="C6665" s="60"/>
      <c r="D6665" s="81"/>
      <c r="E6665" s="62"/>
      <c r="F6665" s="60"/>
      <c r="G6665" s="62"/>
      <c r="H6665" s="60"/>
    </row>
    <row r="6666" spans="1:8">
      <c r="A6666" s="60"/>
      <c r="B6666" s="77"/>
      <c r="C6666" s="60"/>
      <c r="D6666" s="81"/>
      <c r="E6666" s="62"/>
      <c r="F6666" s="60"/>
      <c r="G6666" s="62"/>
      <c r="H6666" s="60"/>
    </row>
    <row r="6667" spans="1:8">
      <c r="A6667" s="60"/>
      <c r="B6667" s="77"/>
      <c r="C6667" s="60"/>
      <c r="D6667" s="81"/>
      <c r="E6667" s="62"/>
      <c r="F6667" s="60"/>
      <c r="G6667" s="62"/>
      <c r="H6667" s="60"/>
    </row>
    <row r="6668" spans="1:8">
      <c r="A6668" s="60"/>
      <c r="B6668" s="77"/>
      <c r="C6668" s="60"/>
      <c r="D6668" s="81"/>
      <c r="E6668" s="62"/>
      <c r="F6668" s="60"/>
      <c r="G6668" s="62"/>
      <c r="H6668" s="60"/>
    </row>
    <row r="6669" spans="1:8">
      <c r="A6669" s="60"/>
      <c r="B6669" s="77"/>
      <c r="C6669" s="60"/>
      <c r="D6669" s="81"/>
      <c r="E6669" s="62"/>
      <c r="F6669" s="60"/>
      <c r="G6669" s="62"/>
      <c r="H6669" s="60"/>
    </row>
    <row r="6670" spans="1:8">
      <c r="A6670" s="60"/>
      <c r="B6670" s="77"/>
      <c r="C6670" s="60"/>
      <c r="D6670" s="81"/>
      <c r="E6670" s="62"/>
      <c r="F6670" s="60"/>
      <c r="G6670" s="62"/>
      <c r="H6670" s="60"/>
    </row>
    <row r="6671" spans="1:8">
      <c r="A6671" s="60"/>
      <c r="B6671" s="77"/>
      <c r="C6671" s="60"/>
      <c r="D6671" s="81"/>
      <c r="E6671" s="62"/>
      <c r="F6671" s="60"/>
      <c r="G6671" s="62"/>
      <c r="H6671" s="60"/>
    </row>
    <row r="6672" spans="1:8">
      <c r="A6672" s="60"/>
      <c r="B6672" s="77"/>
      <c r="C6672" s="60"/>
      <c r="D6672" s="81"/>
      <c r="E6672" s="62"/>
      <c r="F6672" s="60"/>
      <c r="G6672" s="62"/>
      <c r="H6672" s="60"/>
    </row>
    <row r="6673" spans="1:8">
      <c r="A6673" s="60"/>
      <c r="B6673" s="77"/>
      <c r="C6673" s="60"/>
      <c r="D6673" s="81"/>
      <c r="E6673" s="62"/>
      <c r="F6673" s="60"/>
      <c r="G6673" s="62"/>
      <c r="H6673" s="60"/>
    </row>
    <row r="6674" spans="1:8">
      <c r="A6674" s="60"/>
      <c r="B6674" s="77"/>
      <c r="C6674" s="60"/>
      <c r="D6674" s="81"/>
      <c r="E6674" s="62"/>
      <c r="F6674" s="60"/>
      <c r="G6674" s="62"/>
      <c r="H6674" s="60"/>
    </row>
    <row r="6675" spans="1:8">
      <c r="A6675" s="60"/>
      <c r="B6675" s="77"/>
      <c r="C6675" s="60"/>
      <c r="D6675" s="81"/>
      <c r="E6675" s="62"/>
      <c r="F6675" s="60"/>
      <c r="G6675" s="62"/>
      <c r="H6675" s="60"/>
    </row>
    <row r="6676" spans="1:8">
      <c r="A6676" s="60"/>
      <c r="B6676" s="77"/>
      <c r="C6676" s="60"/>
      <c r="D6676" s="81"/>
      <c r="E6676" s="62"/>
      <c r="F6676" s="60"/>
      <c r="G6676" s="62"/>
      <c r="H6676" s="60"/>
    </row>
    <row r="6677" spans="1:8">
      <c r="A6677" s="60"/>
      <c r="B6677" s="77"/>
      <c r="C6677" s="60"/>
      <c r="D6677" s="81"/>
      <c r="E6677" s="62"/>
      <c r="F6677" s="60"/>
      <c r="G6677" s="62"/>
      <c r="H6677" s="60"/>
    </row>
    <row r="6678" spans="1:8">
      <c r="A6678" s="60"/>
      <c r="B6678" s="77"/>
      <c r="C6678" s="60"/>
      <c r="D6678" s="81"/>
      <c r="E6678" s="62"/>
      <c r="F6678" s="60"/>
      <c r="G6678" s="62"/>
      <c r="H6678" s="60"/>
    </row>
    <row r="6679" spans="1:8">
      <c r="A6679" s="60"/>
      <c r="B6679" s="77"/>
      <c r="C6679" s="60"/>
      <c r="D6679" s="81"/>
      <c r="E6679" s="62"/>
      <c r="F6679" s="60"/>
      <c r="G6679" s="62"/>
      <c r="H6679" s="60"/>
    </row>
    <row r="6680" spans="1:8">
      <c r="A6680" s="60"/>
      <c r="B6680" s="77"/>
      <c r="C6680" s="60"/>
      <c r="D6680" s="81"/>
      <c r="E6680" s="62"/>
      <c r="F6680" s="60"/>
      <c r="G6680" s="62"/>
      <c r="H6680" s="60"/>
    </row>
    <row r="6681" spans="1:8">
      <c r="A6681" s="60"/>
      <c r="B6681" s="77"/>
      <c r="C6681" s="60"/>
      <c r="D6681" s="81"/>
      <c r="E6681" s="62"/>
      <c r="F6681" s="60"/>
      <c r="G6681" s="62"/>
      <c r="H6681" s="60"/>
    </row>
    <row r="6682" spans="1:8">
      <c r="A6682" s="60"/>
      <c r="B6682" s="77"/>
      <c r="C6682" s="60"/>
      <c r="D6682" s="81"/>
      <c r="E6682" s="62"/>
      <c r="F6682" s="60"/>
      <c r="G6682" s="62"/>
      <c r="H6682" s="60"/>
    </row>
    <row r="6683" spans="1:8">
      <c r="A6683" s="60"/>
      <c r="B6683" s="77"/>
      <c r="C6683" s="60"/>
      <c r="D6683" s="81"/>
      <c r="E6683" s="62"/>
      <c r="F6683" s="60"/>
      <c r="G6683" s="62"/>
      <c r="H6683" s="60"/>
    </row>
    <row r="6684" spans="1:8">
      <c r="A6684" s="60"/>
      <c r="B6684" s="77"/>
      <c r="C6684" s="60"/>
      <c r="D6684" s="81"/>
      <c r="E6684" s="62"/>
      <c r="F6684" s="60"/>
      <c r="G6684" s="62"/>
      <c r="H6684" s="60"/>
    </row>
    <row r="6685" spans="1:8">
      <c r="A6685" s="60"/>
      <c r="B6685" s="77"/>
      <c r="C6685" s="60"/>
      <c r="D6685" s="81"/>
      <c r="E6685" s="62"/>
      <c r="F6685" s="60"/>
      <c r="G6685" s="62"/>
      <c r="H6685" s="60"/>
    </row>
    <row r="6686" spans="1:8">
      <c r="A6686" s="60"/>
      <c r="B6686" s="77"/>
      <c r="C6686" s="60"/>
      <c r="D6686" s="81"/>
      <c r="E6686" s="62"/>
      <c r="F6686" s="60"/>
      <c r="G6686" s="62"/>
      <c r="H6686" s="60"/>
    </row>
    <row r="6687" spans="1:8">
      <c r="A6687" s="60"/>
      <c r="B6687" s="77"/>
      <c r="C6687" s="60"/>
      <c r="D6687" s="81"/>
      <c r="E6687" s="62"/>
      <c r="F6687" s="60"/>
      <c r="G6687" s="62"/>
      <c r="H6687" s="60"/>
    </row>
    <row r="6688" spans="1:8">
      <c r="A6688" s="60"/>
      <c r="B6688" s="77"/>
      <c r="C6688" s="60"/>
      <c r="D6688" s="81"/>
      <c r="E6688" s="62"/>
      <c r="F6688" s="60"/>
      <c r="G6688" s="62"/>
      <c r="H6688" s="60"/>
    </row>
    <row r="6689" spans="1:8">
      <c r="A6689" s="60"/>
      <c r="B6689" s="77"/>
      <c r="C6689" s="60"/>
      <c r="D6689" s="81"/>
      <c r="E6689" s="62"/>
      <c r="F6689" s="60"/>
      <c r="G6689" s="62"/>
      <c r="H6689" s="60"/>
    </row>
    <row r="6690" spans="1:8">
      <c r="A6690" s="60"/>
      <c r="B6690" s="77"/>
      <c r="C6690" s="60"/>
      <c r="D6690" s="81"/>
      <c r="E6690" s="62"/>
      <c r="F6690" s="60"/>
      <c r="G6690" s="62"/>
      <c r="H6690" s="60"/>
    </row>
    <row r="6691" spans="1:8">
      <c r="A6691" s="60"/>
      <c r="B6691" s="77"/>
      <c r="C6691" s="60"/>
      <c r="D6691" s="81"/>
      <c r="E6691" s="62"/>
      <c r="F6691" s="60"/>
      <c r="G6691" s="62"/>
      <c r="H6691" s="60"/>
    </row>
    <row r="6692" spans="1:8">
      <c r="A6692" s="60"/>
      <c r="B6692" s="77"/>
      <c r="C6692" s="60"/>
      <c r="D6692" s="81"/>
      <c r="E6692" s="62"/>
      <c r="F6692" s="60"/>
      <c r="G6692" s="62"/>
      <c r="H6692" s="60"/>
    </row>
    <row r="6693" spans="1:8">
      <c r="A6693" s="60"/>
      <c r="B6693" s="77"/>
      <c r="C6693" s="60"/>
      <c r="D6693" s="81"/>
      <c r="E6693" s="62"/>
      <c r="F6693" s="60"/>
      <c r="G6693" s="62"/>
      <c r="H6693" s="60"/>
    </row>
    <row r="6694" spans="1:8">
      <c r="A6694" s="60"/>
      <c r="B6694" s="77"/>
      <c r="C6694" s="60"/>
      <c r="D6694" s="81"/>
      <c r="E6694" s="62"/>
      <c r="F6694" s="60"/>
      <c r="G6694" s="62"/>
      <c r="H6694" s="60"/>
    </row>
    <row r="6695" spans="1:8">
      <c r="A6695" s="60"/>
      <c r="B6695" s="77"/>
      <c r="C6695" s="60"/>
      <c r="D6695" s="81"/>
      <c r="E6695" s="62"/>
      <c r="F6695" s="60"/>
      <c r="G6695" s="62"/>
      <c r="H6695" s="60"/>
    </row>
    <row r="6696" spans="1:8">
      <c r="A6696" s="60"/>
      <c r="B6696" s="77"/>
      <c r="C6696" s="60"/>
      <c r="D6696" s="81"/>
      <c r="E6696" s="62"/>
      <c r="F6696" s="60"/>
      <c r="G6696" s="62"/>
      <c r="H6696" s="60"/>
    </row>
    <row r="6697" spans="1:8">
      <c r="A6697" s="60"/>
      <c r="B6697" s="77"/>
      <c r="C6697" s="60"/>
      <c r="D6697" s="81"/>
      <c r="E6697" s="62"/>
      <c r="F6697" s="60"/>
      <c r="G6697" s="62"/>
      <c r="H6697" s="60"/>
    </row>
    <row r="6698" spans="1:8">
      <c r="A6698" s="60"/>
      <c r="B6698" s="77"/>
      <c r="C6698" s="60"/>
      <c r="D6698" s="81"/>
      <c r="E6698" s="62"/>
      <c r="F6698" s="60"/>
      <c r="G6698" s="62"/>
      <c r="H6698" s="60"/>
    </row>
    <row r="6699" spans="1:8">
      <c r="A6699" s="60"/>
      <c r="B6699" s="77"/>
      <c r="C6699" s="60"/>
      <c r="D6699" s="81"/>
      <c r="E6699" s="62"/>
      <c r="F6699" s="60"/>
      <c r="G6699" s="62"/>
      <c r="H6699" s="60"/>
    </row>
    <row r="6700" spans="1:8">
      <c r="A6700" s="60"/>
      <c r="B6700" s="77"/>
      <c r="C6700" s="60"/>
      <c r="D6700" s="81"/>
      <c r="E6700" s="62"/>
      <c r="F6700" s="60"/>
      <c r="G6700" s="62"/>
      <c r="H6700" s="60"/>
    </row>
    <row r="6701" spans="1:8">
      <c r="A6701" s="60"/>
      <c r="B6701" s="77"/>
      <c r="C6701" s="60"/>
      <c r="D6701" s="81"/>
      <c r="E6701" s="62"/>
      <c r="F6701" s="60"/>
      <c r="G6701" s="62"/>
      <c r="H6701" s="60"/>
    </row>
    <row r="6702" spans="1:8">
      <c r="A6702" s="60"/>
      <c r="B6702" s="77"/>
      <c r="C6702" s="60"/>
      <c r="D6702" s="81"/>
      <c r="E6702" s="62"/>
      <c r="F6702" s="60"/>
      <c r="G6702" s="62"/>
      <c r="H6702" s="60"/>
    </row>
    <row r="6703" spans="1:8">
      <c r="A6703" s="60"/>
      <c r="B6703" s="77"/>
      <c r="C6703" s="60"/>
      <c r="D6703" s="81"/>
      <c r="E6703" s="62"/>
      <c r="F6703" s="60"/>
      <c r="G6703" s="62"/>
      <c r="H6703" s="60"/>
    </row>
    <row r="6704" spans="1:8">
      <c r="A6704" s="60"/>
      <c r="B6704" s="77"/>
      <c r="C6704" s="60"/>
      <c r="D6704" s="81"/>
      <c r="E6704" s="62"/>
      <c r="F6704" s="60"/>
      <c r="G6704" s="62"/>
      <c r="H6704" s="60"/>
    </row>
    <row r="6705" spans="1:8">
      <c r="A6705" s="60"/>
      <c r="B6705" s="77"/>
      <c r="C6705" s="60"/>
      <c r="D6705" s="81"/>
      <c r="E6705" s="62"/>
      <c r="F6705" s="60"/>
      <c r="G6705" s="62"/>
      <c r="H6705" s="60"/>
    </row>
    <row r="6706" spans="1:8">
      <c r="A6706" s="60"/>
      <c r="B6706" s="77"/>
      <c r="C6706" s="60"/>
      <c r="D6706" s="81"/>
      <c r="E6706" s="62"/>
      <c r="F6706" s="60"/>
      <c r="G6706" s="62"/>
      <c r="H6706" s="60"/>
    </row>
    <row r="6707" spans="1:8">
      <c r="A6707" s="60"/>
      <c r="B6707" s="77"/>
      <c r="C6707" s="60"/>
      <c r="D6707" s="81"/>
      <c r="E6707" s="62"/>
      <c r="F6707" s="60"/>
      <c r="G6707" s="62"/>
      <c r="H6707" s="60"/>
    </row>
    <row r="6708" spans="1:8">
      <c r="A6708" s="60"/>
      <c r="B6708" s="77"/>
      <c r="C6708" s="60"/>
      <c r="D6708" s="81"/>
      <c r="E6708" s="62"/>
      <c r="F6708" s="60"/>
      <c r="G6708" s="62"/>
      <c r="H6708" s="60"/>
    </row>
    <row r="6709" spans="1:8">
      <c r="A6709" s="60"/>
      <c r="B6709" s="77"/>
      <c r="C6709" s="60"/>
      <c r="D6709" s="81"/>
      <c r="E6709" s="62"/>
      <c r="F6709" s="60"/>
      <c r="G6709" s="62"/>
      <c r="H6709" s="60"/>
    </row>
    <row r="6710" spans="1:8">
      <c r="A6710" s="60"/>
      <c r="B6710" s="77"/>
      <c r="C6710" s="60"/>
      <c r="D6710" s="81"/>
      <c r="E6710" s="62"/>
      <c r="F6710" s="60"/>
      <c r="G6710" s="62"/>
      <c r="H6710" s="60"/>
    </row>
    <row r="6711" spans="1:8">
      <c r="A6711" s="60"/>
      <c r="B6711" s="77"/>
      <c r="C6711" s="60"/>
      <c r="D6711" s="81"/>
      <c r="E6711" s="62"/>
      <c r="F6711" s="60"/>
      <c r="G6711" s="62"/>
      <c r="H6711" s="60"/>
    </row>
    <row r="6712" spans="1:8">
      <c r="A6712" s="60"/>
      <c r="B6712" s="77"/>
      <c r="C6712" s="60"/>
      <c r="D6712" s="81"/>
      <c r="E6712" s="62"/>
      <c r="F6712" s="60"/>
      <c r="G6712" s="62"/>
      <c r="H6712" s="60"/>
    </row>
    <row r="6713" spans="1:8">
      <c r="A6713" s="60"/>
      <c r="B6713" s="77"/>
      <c r="C6713" s="60"/>
      <c r="D6713" s="81"/>
      <c r="E6713" s="62"/>
      <c r="F6713" s="60"/>
      <c r="G6713" s="62"/>
      <c r="H6713" s="60"/>
    </row>
    <row r="6714" spans="1:8">
      <c r="A6714" s="60"/>
      <c r="B6714" s="77"/>
      <c r="C6714" s="60"/>
      <c r="D6714" s="81"/>
      <c r="E6714" s="62"/>
      <c r="F6714" s="60"/>
      <c r="G6714" s="62"/>
      <c r="H6714" s="60"/>
    </row>
    <row r="6715" spans="1:8">
      <c r="A6715" s="60"/>
      <c r="B6715" s="77"/>
      <c r="C6715" s="60"/>
      <c r="D6715" s="81"/>
      <c r="E6715" s="62"/>
      <c r="F6715" s="60"/>
      <c r="G6715" s="62"/>
      <c r="H6715" s="60"/>
    </row>
    <row r="6716" spans="1:8">
      <c r="A6716" s="60"/>
      <c r="B6716" s="77"/>
      <c r="C6716" s="60"/>
      <c r="D6716" s="81"/>
      <c r="E6716" s="62"/>
      <c r="F6716" s="60"/>
      <c r="G6716" s="62"/>
      <c r="H6716" s="60"/>
    </row>
    <row r="6717" spans="1:8">
      <c r="A6717" s="60"/>
      <c r="B6717" s="77"/>
      <c r="C6717" s="60"/>
      <c r="D6717" s="81"/>
      <c r="E6717" s="62"/>
      <c r="F6717" s="60"/>
      <c r="G6717" s="62"/>
      <c r="H6717" s="60"/>
    </row>
    <row r="6718" spans="1:8">
      <c r="A6718" s="60"/>
      <c r="B6718" s="77"/>
      <c r="C6718" s="60"/>
      <c r="D6718" s="81"/>
      <c r="E6718" s="62"/>
      <c r="F6718" s="60"/>
      <c r="G6718" s="62"/>
      <c r="H6718" s="60"/>
    </row>
    <row r="6719" spans="1:8">
      <c r="A6719" s="60"/>
      <c r="B6719" s="77"/>
      <c r="C6719" s="60"/>
      <c r="D6719" s="81"/>
      <c r="E6719" s="62"/>
      <c r="F6719" s="60"/>
      <c r="G6719" s="62"/>
      <c r="H6719" s="60"/>
    </row>
    <row r="6720" spans="1:8">
      <c r="A6720" s="60"/>
      <c r="B6720" s="77"/>
      <c r="C6720" s="60"/>
      <c r="D6720" s="81"/>
      <c r="E6720" s="62"/>
      <c r="F6720" s="60"/>
      <c r="G6720" s="62"/>
      <c r="H6720" s="60"/>
    </row>
    <row r="6721" spans="1:8">
      <c r="A6721" s="60"/>
      <c r="B6721" s="77"/>
      <c r="C6721" s="60"/>
      <c r="D6721" s="81"/>
      <c r="E6721" s="62"/>
      <c r="F6721" s="60"/>
      <c r="G6721" s="62"/>
      <c r="H6721" s="60"/>
    </row>
    <row r="6722" spans="1:8">
      <c r="A6722" s="60"/>
      <c r="B6722" s="77"/>
      <c r="C6722" s="60"/>
      <c r="D6722" s="81"/>
      <c r="E6722" s="62"/>
      <c r="F6722" s="60"/>
      <c r="G6722" s="62"/>
      <c r="H6722" s="60"/>
    </row>
    <row r="6723" spans="1:8">
      <c r="A6723" s="60"/>
      <c r="B6723" s="77"/>
      <c r="C6723" s="60"/>
      <c r="D6723" s="81"/>
      <c r="E6723" s="62"/>
      <c r="F6723" s="60"/>
      <c r="G6723" s="62"/>
      <c r="H6723" s="60"/>
    </row>
    <row r="6724" spans="1:8">
      <c r="A6724" s="60"/>
      <c r="B6724" s="77"/>
      <c r="C6724" s="60"/>
      <c r="D6724" s="81"/>
      <c r="E6724" s="62"/>
      <c r="F6724" s="60"/>
      <c r="G6724" s="62"/>
      <c r="H6724" s="60"/>
    </row>
    <row r="6725" spans="1:8">
      <c r="A6725" s="60"/>
      <c r="B6725" s="77"/>
      <c r="C6725" s="60"/>
      <c r="D6725" s="81"/>
      <c r="E6725" s="62"/>
      <c r="F6725" s="60"/>
      <c r="G6725" s="62"/>
      <c r="H6725" s="60"/>
    </row>
    <row r="6726" spans="1:8">
      <c r="A6726" s="60"/>
      <c r="B6726" s="77"/>
      <c r="C6726" s="60"/>
      <c r="D6726" s="81"/>
      <c r="E6726" s="62"/>
      <c r="F6726" s="60"/>
      <c r="G6726" s="62"/>
      <c r="H6726" s="60"/>
    </row>
    <row r="6727" spans="1:8">
      <c r="A6727" s="60"/>
      <c r="B6727" s="77"/>
      <c r="C6727" s="60"/>
      <c r="D6727" s="81"/>
      <c r="E6727" s="62"/>
      <c r="F6727" s="60"/>
      <c r="G6727" s="62"/>
      <c r="H6727" s="60"/>
    </row>
    <row r="6728" spans="1:8">
      <c r="A6728" s="60"/>
      <c r="B6728" s="77"/>
      <c r="C6728" s="60"/>
      <c r="D6728" s="81"/>
      <c r="E6728" s="62"/>
      <c r="F6728" s="60"/>
      <c r="G6728" s="62"/>
      <c r="H6728" s="60"/>
    </row>
    <row r="6729" spans="1:8">
      <c r="A6729" s="60"/>
      <c r="B6729" s="77"/>
      <c r="C6729" s="60"/>
      <c r="D6729" s="81"/>
      <c r="E6729" s="62"/>
      <c r="F6729" s="60"/>
      <c r="G6729" s="62"/>
      <c r="H6729" s="60"/>
    </row>
    <row r="6730" spans="1:8">
      <c r="A6730" s="60"/>
      <c r="B6730" s="77"/>
      <c r="C6730" s="60"/>
      <c r="D6730" s="81"/>
      <c r="E6730" s="62"/>
      <c r="F6730" s="60"/>
      <c r="G6730" s="62"/>
      <c r="H6730" s="60"/>
    </row>
    <row r="6731" spans="1:8">
      <c r="A6731" s="60"/>
      <c r="B6731" s="77"/>
      <c r="C6731" s="60"/>
      <c r="D6731" s="81"/>
      <c r="E6731" s="62"/>
      <c r="F6731" s="60"/>
      <c r="G6731" s="62"/>
      <c r="H6731" s="60"/>
    </row>
    <row r="6732" spans="1:8">
      <c r="A6732" s="60"/>
      <c r="B6732" s="77"/>
      <c r="C6732" s="60"/>
      <c r="D6732" s="81"/>
      <c r="E6732" s="62"/>
      <c r="F6732" s="60"/>
      <c r="G6732" s="62"/>
      <c r="H6732" s="60"/>
    </row>
    <row r="6733" spans="1:8">
      <c r="A6733" s="60"/>
      <c r="B6733" s="77"/>
      <c r="C6733" s="60"/>
      <c r="D6733" s="81"/>
      <c r="E6733" s="62"/>
      <c r="F6733" s="60"/>
      <c r="G6733" s="62"/>
      <c r="H6733" s="60"/>
    </row>
    <row r="6734" spans="1:8">
      <c r="A6734" s="60"/>
      <c r="B6734" s="77"/>
      <c r="C6734" s="60"/>
      <c r="D6734" s="81"/>
      <c r="E6734" s="62"/>
      <c r="F6734" s="60"/>
      <c r="G6734" s="62"/>
      <c r="H6734" s="60"/>
    </row>
    <row r="6735" spans="1:8">
      <c r="A6735" s="60"/>
      <c r="B6735" s="77"/>
      <c r="C6735" s="60"/>
      <c r="D6735" s="81"/>
      <c r="E6735" s="62"/>
      <c r="F6735" s="60"/>
      <c r="G6735" s="62"/>
      <c r="H6735" s="60"/>
    </row>
    <row r="6736" spans="1:8">
      <c r="A6736" s="60"/>
      <c r="B6736" s="77"/>
      <c r="C6736" s="60"/>
      <c r="D6736" s="81"/>
      <c r="E6736" s="62"/>
      <c r="F6736" s="60"/>
      <c r="G6736" s="62"/>
      <c r="H6736" s="60"/>
    </row>
    <row r="6737" spans="1:8">
      <c r="A6737" s="60"/>
      <c r="B6737" s="77"/>
      <c r="C6737" s="60"/>
      <c r="D6737" s="81"/>
      <c r="E6737" s="62"/>
      <c r="F6737" s="60"/>
      <c r="G6737" s="62"/>
      <c r="H6737" s="60"/>
    </row>
    <row r="6738" spans="1:8">
      <c r="A6738" s="60"/>
      <c r="B6738" s="77"/>
      <c r="C6738" s="60"/>
      <c r="D6738" s="81"/>
      <c r="E6738" s="62"/>
      <c r="F6738" s="60"/>
      <c r="G6738" s="62"/>
      <c r="H6738" s="60"/>
    </row>
    <row r="6739" spans="1:8">
      <c r="A6739" s="60"/>
      <c r="B6739" s="77"/>
      <c r="C6739" s="60"/>
      <c r="D6739" s="81"/>
      <c r="E6739" s="62"/>
      <c r="F6739" s="60"/>
      <c r="G6739" s="62"/>
      <c r="H6739" s="60"/>
    </row>
    <row r="6740" spans="1:8">
      <c r="A6740" s="60"/>
      <c r="B6740" s="77"/>
      <c r="C6740" s="60"/>
      <c r="D6740" s="81"/>
      <c r="E6740" s="62"/>
      <c r="F6740" s="60"/>
      <c r="G6740" s="62"/>
      <c r="H6740" s="60"/>
    </row>
    <row r="6741" spans="1:8">
      <c r="A6741" s="60"/>
      <c r="B6741" s="77"/>
      <c r="C6741" s="60"/>
      <c r="D6741" s="81"/>
      <c r="E6741" s="62"/>
      <c r="F6741" s="60"/>
      <c r="G6741" s="62"/>
      <c r="H6741" s="60"/>
    </row>
    <row r="6742" spans="1:8">
      <c r="A6742" s="60"/>
      <c r="B6742" s="77"/>
      <c r="C6742" s="60"/>
      <c r="D6742" s="81"/>
      <c r="E6742" s="62"/>
      <c r="F6742" s="60"/>
      <c r="G6742" s="62"/>
      <c r="H6742" s="60"/>
    </row>
    <row r="6743" spans="1:8">
      <c r="A6743" s="60"/>
      <c r="B6743" s="77"/>
      <c r="C6743" s="60"/>
      <c r="D6743" s="81"/>
      <c r="E6743" s="62"/>
      <c r="F6743" s="60"/>
      <c r="G6743" s="62"/>
      <c r="H6743" s="60"/>
    </row>
    <row r="6744" spans="1:8">
      <c r="A6744" s="60"/>
      <c r="B6744" s="77"/>
      <c r="C6744" s="60"/>
      <c r="D6744" s="81"/>
      <c r="E6744" s="62"/>
      <c r="F6744" s="60"/>
      <c r="G6744" s="62"/>
      <c r="H6744" s="60"/>
    </row>
    <row r="6745" spans="1:8">
      <c r="A6745" s="60"/>
      <c r="B6745" s="77"/>
      <c r="C6745" s="60"/>
      <c r="D6745" s="81"/>
      <c r="E6745" s="62"/>
      <c r="F6745" s="60"/>
      <c r="G6745" s="62"/>
      <c r="H6745" s="60"/>
    </row>
    <row r="6746" spans="1:8">
      <c r="A6746" s="60"/>
      <c r="B6746" s="77"/>
      <c r="C6746" s="60"/>
      <c r="D6746" s="81"/>
      <c r="E6746" s="62"/>
      <c r="F6746" s="60"/>
      <c r="G6746" s="62"/>
      <c r="H6746" s="60"/>
    </row>
    <row r="6747" spans="1:8">
      <c r="A6747" s="60"/>
      <c r="B6747" s="77"/>
      <c r="C6747" s="60"/>
      <c r="D6747" s="81"/>
      <c r="E6747" s="62"/>
      <c r="F6747" s="60"/>
      <c r="G6747" s="62"/>
      <c r="H6747" s="60"/>
    </row>
    <row r="6748" spans="1:8">
      <c r="A6748" s="60"/>
      <c r="B6748" s="77"/>
      <c r="C6748" s="60"/>
      <c r="D6748" s="81"/>
      <c r="E6748" s="62"/>
      <c r="F6748" s="60"/>
      <c r="G6748" s="62"/>
      <c r="H6748" s="60"/>
    </row>
    <row r="6749" spans="1:8">
      <c r="A6749" s="60"/>
      <c r="B6749" s="77"/>
      <c r="C6749" s="60"/>
      <c r="D6749" s="81"/>
      <c r="E6749" s="62"/>
      <c r="F6749" s="60"/>
      <c r="G6749" s="62"/>
      <c r="H6749" s="60"/>
    </row>
    <row r="6750" spans="1:8">
      <c r="A6750" s="60"/>
      <c r="B6750" s="77"/>
      <c r="C6750" s="60"/>
      <c r="D6750" s="81"/>
      <c r="E6750" s="62"/>
      <c r="F6750" s="60"/>
      <c r="G6750" s="62"/>
      <c r="H6750" s="60"/>
    </row>
    <row r="6751" spans="1:8">
      <c r="A6751" s="60"/>
      <c r="B6751" s="77"/>
      <c r="C6751" s="60"/>
      <c r="D6751" s="81"/>
      <c r="E6751" s="62"/>
      <c r="F6751" s="60"/>
      <c r="G6751" s="62"/>
      <c r="H6751" s="60"/>
    </row>
    <row r="6752" spans="1:8">
      <c r="A6752" s="60"/>
      <c r="B6752" s="77"/>
      <c r="C6752" s="60"/>
      <c r="D6752" s="81"/>
      <c r="E6752" s="62"/>
      <c r="F6752" s="60"/>
      <c r="G6752" s="62"/>
      <c r="H6752" s="60"/>
    </row>
    <row r="6753" spans="1:8">
      <c r="A6753" s="60"/>
      <c r="B6753" s="77"/>
      <c r="C6753" s="60"/>
      <c r="D6753" s="81"/>
      <c r="E6753" s="62"/>
      <c r="F6753" s="60"/>
      <c r="G6753" s="62"/>
      <c r="H6753" s="60"/>
    </row>
    <row r="6754" spans="1:8">
      <c r="A6754" s="60"/>
      <c r="B6754" s="77"/>
      <c r="C6754" s="60"/>
      <c r="D6754" s="81"/>
      <c r="E6754" s="62"/>
      <c r="F6754" s="60"/>
      <c r="G6754" s="62"/>
      <c r="H6754" s="60"/>
    </row>
    <row r="6755" spans="1:8">
      <c r="A6755" s="60"/>
      <c r="B6755" s="77"/>
      <c r="C6755" s="60"/>
      <c r="D6755" s="81"/>
      <c r="E6755" s="62"/>
      <c r="F6755" s="60"/>
      <c r="G6755" s="62"/>
      <c r="H6755" s="60"/>
    </row>
    <row r="6756" spans="1:8">
      <c r="A6756" s="60"/>
      <c r="B6756" s="77"/>
      <c r="C6756" s="60"/>
      <c r="D6756" s="81"/>
      <c r="E6756" s="62"/>
      <c r="F6756" s="60"/>
      <c r="G6756" s="62"/>
      <c r="H6756" s="60"/>
    </row>
    <row r="6757" spans="1:8">
      <c r="A6757" s="60"/>
      <c r="B6757" s="77"/>
      <c r="C6757" s="60"/>
      <c r="D6757" s="81"/>
      <c r="E6757" s="62"/>
      <c r="F6757" s="60"/>
      <c r="G6757" s="62"/>
      <c r="H6757" s="60"/>
    </row>
    <row r="6758" spans="1:8">
      <c r="A6758" s="60"/>
      <c r="B6758" s="77"/>
      <c r="C6758" s="60"/>
      <c r="D6758" s="81"/>
      <c r="E6758" s="62"/>
      <c r="F6758" s="60"/>
      <c r="G6758" s="62"/>
      <c r="H6758" s="60"/>
    </row>
    <row r="6759" spans="1:8">
      <c r="A6759" s="60"/>
      <c r="B6759" s="77"/>
      <c r="C6759" s="60"/>
      <c r="D6759" s="81"/>
      <c r="E6759" s="62"/>
      <c r="F6759" s="60"/>
      <c r="G6759" s="62"/>
      <c r="H6759" s="60"/>
    </row>
    <row r="6760" spans="1:8">
      <c r="A6760" s="60"/>
      <c r="B6760" s="77"/>
      <c r="C6760" s="60"/>
      <c r="D6760" s="81"/>
      <c r="E6760" s="62"/>
      <c r="F6760" s="60"/>
      <c r="G6760" s="62"/>
      <c r="H6760" s="60"/>
    </row>
    <row r="6761" spans="1:8">
      <c r="A6761" s="60"/>
      <c r="B6761" s="77"/>
      <c r="C6761" s="60"/>
      <c r="D6761" s="81"/>
      <c r="E6761" s="62"/>
      <c r="F6761" s="60"/>
      <c r="G6761" s="62"/>
      <c r="H6761" s="60"/>
    </row>
    <row r="6762" spans="1:8">
      <c r="A6762" s="60"/>
      <c r="B6762" s="77"/>
      <c r="C6762" s="60"/>
      <c r="D6762" s="81"/>
      <c r="E6762" s="62"/>
      <c r="F6762" s="60"/>
      <c r="G6762" s="62"/>
      <c r="H6762" s="60"/>
    </row>
    <row r="6763" spans="1:8">
      <c r="A6763" s="60"/>
      <c r="B6763" s="77"/>
      <c r="C6763" s="60"/>
      <c r="D6763" s="81"/>
      <c r="E6763" s="62"/>
      <c r="F6763" s="60"/>
      <c r="G6763" s="62"/>
      <c r="H6763" s="60"/>
    </row>
    <row r="6764" spans="1:8">
      <c r="A6764" s="60"/>
      <c r="B6764" s="77"/>
      <c r="C6764" s="60"/>
      <c r="D6764" s="81"/>
      <c r="E6764" s="62"/>
      <c r="F6764" s="60"/>
      <c r="G6764" s="62"/>
      <c r="H6764" s="60"/>
    </row>
    <row r="6765" spans="1:8">
      <c r="A6765" s="60"/>
      <c r="B6765" s="77"/>
      <c r="C6765" s="60"/>
      <c r="D6765" s="81"/>
      <c r="E6765" s="62"/>
      <c r="F6765" s="60"/>
      <c r="G6765" s="62"/>
      <c r="H6765" s="60"/>
    </row>
    <row r="6766" spans="1:8">
      <c r="A6766" s="60"/>
      <c r="B6766" s="77"/>
      <c r="C6766" s="60"/>
      <c r="D6766" s="81"/>
      <c r="E6766" s="62"/>
      <c r="F6766" s="60"/>
      <c r="G6766" s="62"/>
      <c r="H6766" s="60"/>
    </row>
    <row r="6767" spans="1:8">
      <c r="A6767" s="60"/>
      <c r="B6767" s="77"/>
      <c r="C6767" s="60"/>
      <c r="D6767" s="81"/>
      <c r="E6767" s="62"/>
      <c r="F6767" s="60"/>
      <c r="G6767" s="62"/>
      <c r="H6767" s="60"/>
    </row>
    <row r="6768" spans="1:8">
      <c r="A6768" s="60"/>
      <c r="B6768" s="77"/>
      <c r="C6768" s="60"/>
      <c r="D6768" s="81"/>
      <c r="E6768" s="62"/>
      <c r="F6768" s="60"/>
      <c r="G6768" s="62"/>
      <c r="H6768" s="60"/>
    </row>
    <row r="6769" spans="1:8">
      <c r="A6769" s="60"/>
      <c r="B6769" s="77"/>
      <c r="C6769" s="60"/>
      <c r="D6769" s="81"/>
      <c r="E6769" s="62"/>
      <c r="F6769" s="60"/>
      <c r="G6769" s="62"/>
      <c r="H6769" s="60"/>
    </row>
    <row r="6770" spans="1:8">
      <c r="A6770" s="60"/>
      <c r="B6770" s="77"/>
      <c r="C6770" s="60"/>
      <c r="D6770" s="81"/>
      <c r="E6770" s="62"/>
      <c r="F6770" s="60"/>
      <c r="G6770" s="62"/>
      <c r="H6770" s="60"/>
    </row>
    <row r="6771" spans="1:8">
      <c r="A6771" s="60"/>
      <c r="B6771" s="77"/>
      <c r="C6771" s="60"/>
      <c r="D6771" s="81"/>
      <c r="E6771" s="62"/>
      <c r="F6771" s="60"/>
      <c r="G6771" s="62"/>
      <c r="H6771" s="60"/>
    </row>
    <row r="6772" spans="1:8">
      <c r="A6772" s="60"/>
      <c r="B6772" s="77"/>
      <c r="C6772" s="60"/>
      <c r="D6772" s="81"/>
      <c r="E6772" s="62"/>
      <c r="F6772" s="60"/>
      <c r="G6772" s="62"/>
      <c r="H6772" s="60"/>
    </row>
    <row r="6773" spans="1:8">
      <c r="A6773" s="60"/>
      <c r="B6773" s="77"/>
      <c r="C6773" s="60"/>
      <c r="D6773" s="81"/>
      <c r="E6773" s="62"/>
      <c r="F6773" s="60"/>
      <c r="G6773" s="62"/>
      <c r="H6773" s="60"/>
    </row>
    <row r="6774" spans="1:8">
      <c r="A6774" s="60"/>
      <c r="B6774" s="77"/>
      <c r="C6774" s="60"/>
      <c r="D6774" s="81"/>
      <c r="E6774" s="62"/>
      <c r="F6774" s="60"/>
      <c r="G6774" s="62"/>
      <c r="H6774" s="60"/>
    </row>
    <row r="6775" spans="1:8">
      <c r="A6775" s="60"/>
      <c r="B6775" s="77"/>
      <c r="C6775" s="60"/>
      <c r="D6775" s="81"/>
      <c r="E6775" s="62"/>
      <c r="F6775" s="60"/>
      <c r="G6775" s="62"/>
      <c r="H6775" s="60"/>
    </row>
    <row r="6776" spans="1:8">
      <c r="A6776" s="60"/>
      <c r="B6776" s="77"/>
      <c r="C6776" s="60"/>
      <c r="D6776" s="81"/>
      <c r="E6776" s="62"/>
      <c r="F6776" s="60"/>
      <c r="G6776" s="62"/>
      <c r="H6776" s="60"/>
    </row>
    <row r="6777" spans="1:8">
      <c r="A6777" s="60"/>
      <c r="B6777" s="77"/>
      <c r="C6777" s="60"/>
      <c r="D6777" s="81"/>
      <c r="E6777" s="62"/>
      <c r="F6777" s="60"/>
      <c r="G6777" s="62"/>
      <c r="H6777" s="60"/>
    </row>
    <row r="6778" spans="1:8">
      <c r="A6778" s="60"/>
      <c r="B6778" s="77"/>
      <c r="C6778" s="60"/>
      <c r="D6778" s="81"/>
      <c r="E6778" s="62"/>
      <c r="F6778" s="60"/>
      <c r="G6778" s="62"/>
      <c r="H6778" s="60"/>
    </row>
    <row r="6779" spans="1:8">
      <c r="A6779" s="60"/>
      <c r="B6779" s="77"/>
      <c r="C6779" s="60"/>
      <c r="D6779" s="81"/>
      <c r="E6779" s="62"/>
      <c r="F6779" s="60"/>
      <c r="G6779" s="62"/>
      <c r="H6779" s="60"/>
    </row>
    <row r="6780" spans="1:8">
      <c r="A6780" s="60"/>
      <c r="B6780" s="77"/>
      <c r="C6780" s="60"/>
      <c r="D6780" s="81"/>
      <c r="E6780" s="62"/>
      <c r="F6780" s="60"/>
      <c r="G6780" s="62"/>
      <c r="H6780" s="60"/>
    </row>
    <row r="6781" spans="1:8">
      <c r="A6781" s="60"/>
      <c r="B6781" s="77"/>
      <c r="C6781" s="60"/>
      <c r="D6781" s="81"/>
      <c r="E6781" s="62"/>
      <c r="F6781" s="60"/>
      <c r="G6781" s="62"/>
      <c r="H6781" s="60"/>
    </row>
    <row r="6782" spans="1:8">
      <c r="A6782" s="60"/>
      <c r="B6782" s="77"/>
      <c r="C6782" s="60"/>
      <c r="D6782" s="81"/>
      <c r="E6782" s="62"/>
      <c r="F6782" s="60"/>
      <c r="G6782" s="62"/>
      <c r="H6782" s="60"/>
    </row>
    <row r="6783" spans="1:8">
      <c r="A6783" s="60"/>
      <c r="B6783" s="77"/>
      <c r="C6783" s="60"/>
      <c r="D6783" s="81"/>
      <c r="E6783" s="62"/>
      <c r="F6783" s="60"/>
      <c r="G6783" s="62"/>
      <c r="H6783" s="60"/>
    </row>
    <row r="6784" spans="1:8">
      <c r="A6784" s="60"/>
      <c r="B6784" s="77"/>
      <c r="C6784" s="60"/>
      <c r="D6784" s="81"/>
      <c r="E6784" s="62"/>
      <c r="F6784" s="60"/>
      <c r="G6784" s="62"/>
      <c r="H6784" s="60"/>
    </row>
    <row r="6785" spans="1:8">
      <c r="A6785" s="60"/>
      <c r="B6785" s="77"/>
      <c r="C6785" s="60"/>
      <c r="D6785" s="81"/>
      <c r="E6785" s="62"/>
      <c r="F6785" s="60"/>
      <c r="G6785" s="62"/>
      <c r="H6785" s="60"/>
    </row>
    <row r="6786" spans="1:8">
      <c r="A6786" s="60"/>
      <c r="B6786" s="77"/>
      <c r="C6786" s="60"/>
      <c r="D6786" s="81"/>
      <c r="E6786" s="62"/>
      <c r="F6786" s="60"/>
      <c r="G6786" s="62"/>
      <c r="H6786" s="60"/>
    </row>
    <row r="6787" spans="1:8">
      <c r="A6787" s="60"/>
      <c r="B6787" s="77"/>
      <c r="C6787" s="60"/>
      <c r="D6787" s="81"/>
      <c r="E6787" s="62"/>
      <c r="F6787" s="60"/>
      <c r="G6787" s="62"/>
      <c r="H6787" s="60"/>
    </row>
    <row r="6788" spans="1:8">
      <c r="A6788" s="60"/>
      <c r="B6788" s="77"/>
      <c r="C6788" s="60"/>
      <c r="D6788" s="81"/>
      <c r="E6788" s="62"/>
      <c r="F6788" s="60"/>
      <c r="G6788" s="62"/>
      <c r="H6788" s="60"/>
    </row>
    <row r="6789" spans="1:8">
      <c r="A6789" s="60"/>
      <c r="B6789" s="77"/>
      <c r="C6789" s="60"/>
      <c r="D6789" s="81"/>
      <c r="E6789" s="62"/>
      <c r="F6789" s="60"/>
      <c r="G6789" s="62"/>
      <c r="H6789" s="60"/>
    </row>
    <row r="6790" spans="1:8">
      <c r="A6790" s="60"/>
      <c r="B6790" s="77"/>
      <c r="C6790" s="60"/>
      <c r="D6790" s="81"/>
      <c r="E6790" s="62"/>
      <c r="F6790" s="60"/>
      <c r="G6790" s="62"/>
      <c r="H6790" s="60"/>
    </row>
    <row r="6791" spans="1:8">
      <c r="A6791" s="60"/>
      <c r="B6791" s="77"/>
      <c r="C6791" s="60"/>
      <c r="D6791" s="81"/>
      <c r="E6791" s="62"/>
      <c r="F6791" s="60"/>
      <c r="G6791" s="62"/>
      <c r="H6791" s="60"/>
    </row>
    <row r="6792" spans="1:8">
      <c r="A6792" s="60"/>
      <c r="B6792" s="77"/>
      <c r="C6792" s="60"/>
      <c r="D6792" s="81"/>
      <c r="E6792" s="62"/>
      <c r="F6792" s="60"/>
      <c r="G6792" s="62"/>
      <c r="H6792" s="60"/>
    </row>
    <row r="6793" spans="1:8">
      <c r="A6793" s="60"/>
      <c r="B6793" s="77"/>
      <c r="C6793" s="60"/>
      <c r="D6793" s="81"/>
      <c r="E6793" s="62"/>
      <c r="F6793" s="60"/>
      <c r="G6793" s="62"/>
      <c r="H6793" s="60"/>
    </row>
    <row r="6794" spans="1:8">
      <c r="A6794" s="60"/>
      <c r="B6794" s="77"/>
      <c r="C6794" s="60"/>
      <c r="D6794" s="81"/>
      <c r="E6794" s="62"/>
      <c r="F6794" s="60"/>
      <c r="G6794" s="62"/>
      <c r="H6794" s="60"/>
    </row>
    <row r="6795" spans="1:8">
      <c r="A6795" s="60"/>
      <c r="B6795" s="77"/>
      <c r="C6795" s="60"/>
      <c r="D6795" s="81"/>
      <c r="E6795" s="62"/>
      <c r="F6795" s="60"/>
      <c r="G6795" s="62"/>
      <c r="H6795" s="60"/>
    </row>
    <row r="6796" spans="1:8">
      <c r="A6796" s="60"/>
      <c r="B6796" s="77"/>
      <c r="C6796" s="60"/>
      <c r="D6796" s="81"/>
      <c r="E6796" s="62"/>
      <c r="F6796" s="60"/>
      <c r="G6796" s="62"/>
      <c r="H6796" s="60"/>
    </row>
    <row r="6797" spans="1:8">
      <c r="A6797" s="60"/>
      <c r="B6797" s="77"/>
      <c r="C6797" s="60"/>
      <c r="D6797" s="81"/>
      <c r="E6797" s="62"/>
      <c r="F6797" s="60"/>
      <c r="G6797" s="62"/>
      <c r="H6797" s="60"/>
    </row>
    <row r="6798" spans="1:8">
      <c r="A6798" s="60"/>
      <c r="B6798" s="77"/>
      <c r="C6798" s="60"/>
      <c r="D6798" s="81"/>
      <c r="E6798" s="62"/>
      <c r="F6798" s="60"/>
      <c r="G6798" s="62"/>
      <c r="H6798" s="60"/>
    </row>
    <row r="6799" spans="1:8">
      <c r="A6799" s="60"/>
      <c r="B6799" s="77"/>
      <c r="C6799" s="60"/>
      <c r="D6799" s="81"/>
      <c r="E6799" s="62"/>
      <c r="F6799" s="60"/>
      <c r="G6799" s="62"/>
      <c r="H6799" s="60"/>
    </row>
    <row r="6800" spans="1:8">
      <c r="A6800" s="60"/>
      <c r="B6800" s="77"/>
      <c r="C6800" s="60"/>
      <c r="D6800" s="81"/>
      <c r="E6800" s="62"/>
      <c r="F6800" s="60"/>
      <c r="G6800" s="62"/>
      <c r="H6800" s="60"/>
    </row>
    <row r="6801" spans="1:8">
      <c r="A6801" s="60"/>
      <c r="B6801" s="77"/>
      <c r="C6801" s="60"/>
      <c r="D6801" s="81"/>
      <c r="E6801" s="62"/>
      <c r="F6801" s="60"/>
      <c r="G6801" s="62"/>
      <c r="H6801" s="60"/>
    </row>
    <row r="6802" spans="1:8">
      <c r="A6802" s="60"/>
      <c r="B6802" s="77"/>
      <c r="C6802" s="60"/>
      <c r="D6802" s="81"/>
      <c r="E6802" s="62"/>
      <c r="F6802" s="60"/>
      <c r="G6802" s="62"/>
      <c r="H6802" s="60"/>
    </row>
    <row r="6803" spans="1:8">
      <c r="A6803" s="60"/>
      <c r="B6803" s="77"/>
      <c r="C6803" s="60"/>
      <c r="D6803" s="81"/>
      <c r="E6803" s="62"/>
      <c r="F6803" s="60"/>
      <c r="G6803" s="62"/>
      <c r="H6803" s="60"/>
    </row>
    <row r="6804" spans="1:8">
      <c r="A6804" s="60"/>
      <c r="B6804" s="77"/>
      <c r="C6804" s="60"/>
      <c r="D6804" s="81"/>
      <c r="E6804" s="62"/>
      <c r="F6804" s="60"/>
      <c r="G6804" s="62"/>
      <c r="H6804" s="60"/>
    </row>
    <row r="6805" spans="1:8">
      <c r="A6805" s="60"/>
      <c r="B6805" s="77"/>
      <c r="C6805" s="60"/>
      <c r="D6805" s="81"/>
      <c r="E6805" s="62"/>
      <c r="F6805" s="60"/>
      <c r="G6805" s="62"/>
      <c r="H6805" s="60"/>
    </row>
    <row r="6806" spans="1:8">
      <c r="A6806" s="60"/>
      <c r="B6806" s="77"/>
      <c r="C6806" s="60"/>
      <c r="D6806" s="81"/>
      <c r="E6806" s="62"/>
      <c r="F6806" s="60"/>
      <c r="G6806" s="62"/>
      <c r="H6806" s="60"/>
    </row>
    <row r="6807" spans="1:8">
      <c r="A6807" s="60"/>
      <c r="B6807" s="77"/>
      <c r="C6807" s="60"/>
      <c r="D6807" s="81"/>
      <c r="E6807" s="62"/>
      <c r="F6807" s="60"/>
      <c r="G6807" s="62"/>
      <c r="H6807" s="60"/>
    </row>
    <row r="6808" spans="1:8">
      <c r="A6808" s="60"/>
      <c r="B6808" s="77"/>
      <c r="C6808" s="60"/>
      <c r="D6808" s="81"/>
      <c r="E6808" s="62"/>
      <c r="F6808" s="60"/>
      <c r="G6808" s="62"/>
      <c r="H6808" s="60"/>
    </row>
    <row r="6809" spans="1:8">
      <c r="A6809" s="60"/>
      <c r="B6809" s="77"/>
      <c r="C6809" s="60"/>
      <c r="D6809" s="81"/>
      <c r="E6809" s="62"/>
      <c r="F6809" s="60"/>
      <c r="G6809" s="62"/>
      <c r="H6809" s="60"/>
    </row>
    <row r="6810" spans="1:8">
      <c r="A6810" s="60"/>
      <c r="B6810" s="77"/>
      <c r="C6810" s="60"/>
      <c r="D6810" s="81"/>
      <c r="E6810" s="62"/>
      <c r="F6810" s="60"/>
      <c r="G6810" s="62"/>
      <c r="H6810" s="60"/>
    </row>
    <row r="6811" spans="1:8">
      <c r="A6811" s="60"/>
      <c r="B6811" s="77"/>
      <c r="C6811" s="60"/>
      <c r="D6811" s="81"/>
      <c r="E6811" s="62"/>
      <c r="F6811" s="60"/>
      <c r="G6811" s="62"/>
      <c r="H6811" s="60"/>
    </row>
    <row r="6812" spans="1:8">
      <c r="A6812" s="60"/>
      <c r="B6812" s="77"/>
      <c r="C6812" s="60"/>
      <c r="D6812" s="81"/>
      <c r="E6812" s="62"/>
      <c r="F6812" s="60"/>
      <c r="G6812" s="62"/>
      <c r="H6812" s="60"/>
    </row>
    <row r="6813" spans="1:8">
      <c r="A6813" s="60"/>
      <c r="B6813" s="77"/>
      <c r="C6813" s="60"/>
      <c r="D6813" s="81"/>
      <c r="E6813" s="62"/>
      <c r="F6813" s="60"/>
      <c r="G6813" s="62"/>
      <c r="H6813" s="60"/>
    </row>
    <row r="6814" spans="1:8">
      <c r="A6814" s="60"/>
      <c r="B6814" s="77"/>
      <c r="C6814" s="60"/>
      <c r="D6814" s="81"/>
      <c r="E6814" s="62"/>
      <c r="F6814" s="60"/>
      <c r="G6814" s="62"/>
      <c r="H6814" s="60"/>
    </row>
    <row r="6815" spans="1:8">
      <c r="A6815" s="60"/>
      <c r="B6815" s="77"/>
      <c r="C6815" s="60"/>
      <c r="D6815" s="81"/>
      <c r="E6815" s="62"/>
      <c r="F6815" s="60"/>
      <c r="G6815" s="62"/>
      <c r="H6815" s="60"/>
    </row>
    <row r="6816" spans="1:8">
      <c r="A6816" s="60"/>
      <c r="B6816" s="77"/>
      <c r="C6816" s="60"/>
      <c r="D6816" s="81"/>
      <c r="E6816" s="62"/>
      <c r="F6816" s="60"/>
      <c r="G6816" s="62"/>
      <c r="H6816" s="60"/>
    </row>
    <row r="6817" spans="1:8">
      <c r="A6817" s="60"/>
      <c r="B6817" s="77"/>
      <c r="C6817" s="60"/>
      <c r="D6817" s="81"/>
      <c r="E6817" s="62"/>
      <c r="F6817" s="60"/>
      <c r="G6817" s="62"/>
      <c r="H6817" s="60"/>
    </row>
    <row r="6818" spans="1:8">
      <c r="A6818" s="60"/>
      <c r="B6818" s="77"/>
      <c r="C6818" s="60"/>
      <c r="D6818" s="81"/>
      <c r="E6818" s="62"/>
      <c r="F6818" s="60"/>
      <c r="G6818" s="62"/>
      <c r="H6818" s="60"/>
    </row>
    <row r="6819" spans="1:8">
      <c r="A6819" s="60"/>
      <c r="B6819" s="77"/>
      <c r="C6819" s="60"/>
      <c r="D6819" s="81"/>
      <c r="E6819" s="62"/>
      <c r="F6819" s="60"/>
      <c r="G6819" s="62"/>
      <c r="H6819" s="60"/>
    </row>
    <row r="6820" spans="1:8">
      <c r="A6820" s="60"/>
      <c r="B6820" s="77"/>
      <c r="C6820" s="60"/>
      <c r="D6820" s="81"/>
      <c r="E6820" s="62"/>
      <c r="F6820" s="60"/>
      <c r="G6820" s="62"/>
      <c r="H6820" s="60"/>
    </row>
    <row r="6821" spans="1:8">
      <c r="A6821" s="60"/>
      <c r="B6821" s="77"/>
      <c r="C6821" s="60"/>
      <c r="D6821" s="81"/>
      <c r="E6821" s="62"/>
      <c r="F6821" s="60"/>
      <c r="G6821" s="62"/>
      <c r="H6821" s="60"/>
    </row>
    <row r="6822" spans="1:8">
      <c r="A6822" s="60"/>
      <c r="B6822" s="77"/>
      <c r="C6822" s="60"/>
      <c r="D6822" s="81"/>
      <c r="E6822" s="62"/>
      <c r="F6822" s="60"/>
      <c r="G6822" s="62"/>
      <c r="H6822" s="60"/>
    </row>
    <row r="6823" spans="1:8">
      <c r="A6823" s="60"/>
      <c r="B6823" s="77"/>
      <c r="C6823" s="60"/>
      <c r="D6823" s="81"/>
      <c r="E6823" s="62"/>
      <c r="F6823" s="60"/>
      <c r="G6823" s="62"/>
      <c r="H6823" s="60"/>
    </row>
    <row r="6824" spans="1:8">
      <c r="A6824" s="60"/>
      <c r="B6824" s="77"/>
      <c r="C6824" s="60"/>
      <c r="D6824" s="81"/>
      <c r="E6824" s="62"/>
      <c r="F6824" s="60"/>
      <c r="G6824" s="62"/>
      <c r="H6824" s="60"/>
    </row>
    <row r="6825" spans="1:8">
      <c r="A6825" s="60"/>
      <c r="B6825" s="77"/>
      <c r="C6825" s="60"/>
      <c r="D6825" s="81"/>
      <c r="E6825" s="62"/>
      <c r="F6825" s="60"/>
      <c r="G6825" s="62"/>
      <c r="H6825" s="60"/>
    </row>
    <row r="6826" spans="1:8">
      <c r="A6826" s="60"/>
      <c r="B6826" s="77"/>
      <c r="C6826" s="60"/>
      <c r="D6826" s="81"/>
      <c r="E6826" s="62"/>
      <c r="F6826" s="60"/>
      <c r="G6826" s="62"/>
      <c r="H6826" s="60"/>
    </row>
    <row r="6827" spans="1:8">
      <c r="A6827" s="60"/>
      <c r="B6827" s="77"/>
      <c r="C6827" s="60"/>
      <c r="D6827" s="81"/>
      <c r="E6827" s="62"/>
      <c r="F6827" s="60"/>
      <c r="G6827" s="62"/>
      <c r="H6827" s="60"/>
    </row>
    <row r="6828" spans="1:8">
      <c r="A6828" s="60"/>
      <c r="B6828" s="77"/>
      <c r="C6828" s="60"/>
      <c r="D6828" s="81"/>
      <c r="E6828" s="62"/>
      <c r="F6828" s="60"/>
      <c r="G6828" s="62"/>
      <c r="H6828" s="60"/>
    </row>
    <row r="6829" spans="1:8">
      <c r="A6829" s="60"/>
      <c r="B6829" s="77"/>
      <c r="C6829" s="60"/>
      <c r="D6829" s="81"/>
      <c r="E6829" s="62"/>
      <c r="F6829" s="60"/>
      <c r="G6829" s="62"/>
      <c r="H6829" s="60"/>
    </row>
    <row r="6830" spans="1:8">
      <c r="A6830" s="60"/>
      <c r="B6830" s="77"/>
      <c r="C6830" s="60"/>
      <c r="D6830" s="81"/>
      <c r="E6830" s="62"/>
      <c r="F6830" s="60"/>
      <c r="G6830" s="62"/>
      <c r="H6830" s="60"/>
    </row>
    <row r="6831" spans="1:8">
      <c r="A6831" s="60"/>
      <c r="B6831" s="77"/>
      <c r="C6831" s="60"/>
      <c r="D6831" s="81"/>
      <c r="E6831" s="62"/>
      <c r="F6831" s="60"/>
      <c r="G6831" s="62"/>
      <c r="H6831" s="60"/>
    </row>
    <row r="6832" spans="1:8">
      <c r="A6832" s="60"/>
      <c r="B6832" s="77"/>
      <c r="C6832" s="60"/>
      <c r="D6832" s="81"/>
      <c r="E6832" s="62"/>
      <c r="F6832" s="60"/>
      <c r="G6832" s="62"/>
      <c r="H6832" s="60"/>
    </row>
    <row r="6833" spans="1:8">
      <c r="A6833" s="60"/>
      <c r="B6833" s="77"/>
      <c r="C6833" s="60"/>
      <c r="D6833" s="81"/>
      <c r="E6833" s="62"/>
      <c r="F6833" s="60"/>
      <c r="G6833" s="62"/>
      <c r="H6833" s="60"/>
    </row>
    <row r="6834" spans="1:8">
      <c r="A6834" s="60"/>
      <c r="B6834" s="77"/>
      <c r="C6834" s="60"/>
      <c r="D6834" s="81"/>
      <c r="E6834" s="62"/>
      <c r="F6834" s="60"/>
      <c r="G6834" s="62"/>
      <c r="H6834" s="60"/>
    </row>
    <row r="6835" spans="1:8">
      <c r="A6835" s="60"/>
      <c r="B6835" s="77"/>
      <c r="C6835" s="60"/>
      <c r="D6835" s="81"/>
      <c r="E6835" s="62"/>
      <c r="F6835" s="60"/>
      <c r="G6835" s="62"/>
      <c r="H6835" s="60"/>
    </row>
    <row r="6836" spans="1:8">
      <c r="A6836" s="60"/>
      <c r="B6836" s="77"/>
      <c r="C6836" s="60"/>
      <c r="D6836" s="81"/>
      <c r="E6836" s="62"/>
      <c r="F6836" s="60"/>
      <c r="G6836" s="62"/>
      <c r="H6836" s="60"/>
    </row>
    <row r="6837" spans="1:8">
      <c r="A6837" s="60"/>
      <c r="B6837" s="77"/>
      <c r="C6837" s="60"/>
      <c r="D6837" s="81"/>
      <c r="E6837" s="62"/>
      <c r="F6837" s="60"/>
      <c r="G6837" s="62"/>
      <c r="H6837" s="60"/>
    </row>
    <row r="6838" spans="1:8">
      <c r="A6838" s="60"/>
      <c r="B6838" s="77"/>
      <c r="C6838" s="60"/>
      <c r="D6838" s="81"/>
      <c r="E6838" s="62"/>
      <c r="F6838" s="60"/>
      <c r="G6838" s="62"/>
      <c r="H6838" s="60"/>
    </row>
    <row r="6839" spans="1:8">
      <c r="A6839" s="60"/>
      <c r="B6839" s="77"/>
      <c r="C6839" s="60"/>
      <c r="D6839" s="81"/>
      <c r="E6839" s="62"/>
      <c r="F6839" s="60"/>
      <c r="G6839" s="62"/>
      <c r="H6839" s="60"/>
    </row>
    <row r="6840" spans="1:8">
      <c r="A6840" s="60"/>
      <c r="B6840" s="77"/>
      <c r="C6840" s="60"/>
      <c r="D6840" s="81"/>
      <c r="E6840" s="62"/>
      <c r="F6840" s="60"/>
      <c r="G6840" s="62"/>
      <c r="H6840" s="60"/>
    </row>
    <row r="6841" spans="1:8">
      <c r="A6841" s="60"/>
      <c r="B6841" s="77"/>
      <c r="C6841" s="60"/>
      <c r="D6841" s="81"/>
      <c r="E6841" s="62"/>
      <c r="F6841" s="60"/>
      <c r="G6841" s="62"/>
      <c r="H6841" s="60"/>
    </row>
    <row r="6842" spans="1:8">
      <c r="A6842" s="60"/>
      <c r="B6842" s="77"/>
      <c r="C6842" s="60"/>
      <c r="D6842" s="81"/>
      <c r="E6842" s="62"/>
      <c r="F6842" s="60"/>
      <c r="G6842" s="62"/>
      <c r="H6842" s="60"/>
    </row>
    <row r="6843" spans="1:8">
      <c r="A6843" s="60"/>
      <c r="B6843" s="77"/>
      <c r="C6843" s="60"/>
      <c r="D6843" s="81"/>
      <c r="E6843" s="62"/>
      <c r="F6843" s="60"/>
      <c r="G6843" s="62"/>
      <c r="H6843" s="60"/>
    </row>
    <row r="6844" spans="1:8">
      <c r="A6844" s="60"/>
      <c r="B6844" s="77"/>
      <c r="C6844" s="60"/>
      <c r="D6844" s="81"/>
      <c r="E6844" s="62"/>
      <c r="F6844" s="60"/>
      <c r="G6844" s="62"/>
      <c r="H6844" s="60"/>
    </row>
    <row r="6845" spans="1:8">
      <c r="A6845" s="60"/>
      <c r="B6845" s="77"/>
      <c r="C6845" s="60"/>
      <c r="D6845" s="81"/>
      <c r="E6845" s="62"/>
      <c r="F6845" s="60"/>
      <c r="G6845" s="62"/>
      <c r="H6845" s="60"/>
    </row>
    <row r="6846" spans="1:8">
      <c r="A6846" s="60"/>
      <c r="B6846" s="77"/>
      <c r="C6846" s="60"/>
      <c r="D6846" s="81"/>
      <c r="E6846" s="62"/>
      <c r="F6846" s="60"/>
      <c r="G6846" s="62"/>
      <c r="H6846" s="60"/>
    </row>
    <row r="6847" spans="1:8">
      <c r="A6847" s="60"/>
      <c r="B6847" s="77"/>
      <c r="C6847" s="60"/>
      <c r="D6847" s="81"/>
      <c r="E6847" s="62"/>
      <c r="F6847" s="60"/>
      <c r="G6847" s="62"/>
      <c r="H6847" s="60"/>
    </row>
    <row r="6848" spans="1:8">
      <c r="A6848" s="60"/>
      <c r="B6848" s="77"/>
      <c r="C6848" s="60"/>
      <c r="D6848" s="81"/>
      <c r="E6848" s="62"/>
      <c r="F6848" s="60"/>
      <c r="G6848" s="62"/>
      <c r="H6848" s="60"/>
    </row>
    <row r="6849" spans="1:8">
      <c r="A6849" s="60"/>
      <c r="B6849" s="77"/>
      <c r="C6849" s="60"/>
      <c r="D6849" s="81"/>
      <c r="E6849" s="62"/>
      <c r="F6849" s="60"/>
      <c r="G6849" s="62"/>
      <c r="H6849" s="60"/>
    </row>
    <row r="6850" spans="1:8">
      <c r="A6850" s="60"/>
      <c r="B6850" s="77"/>
      <c r="C6850" s="60"/>
      <c r="D6850" s="81"/>
      <c r="E6850" s="62"/>
      <c r="F6850" s="60"/>
      <c r="G6850" s="62"/>
      <c r="H6850" s="60"/>
    </row>
    <row r="6851" spans="1:8">
      <c r="A6851" s="60"/>
      <c r="B6851" s="77"/>
      <c r="C6851" s="60"/>
      <c r="D6851" s="81"/>
      <c r="E6851" s="62"/>
      <c r="F6851" s="60"/>
      <c r="G6851" s="62"/>
      <c r="H6851" s="60"/>
    </row>
    <row r="6852" spans="1:8">
      <c r="A6852" s="60"/>
      <c r="B6852" s="77"/>
      <c r="C6852" s="60"/>
      <c r="D6852" s="81"/>
      <c r="E6852" s="62"/>
      <c r="F6852" s="60"/>
      <c r="G6852" s="62"/>
      <c r="H6852" s="60"/>
    </row>
    <row r="6853" spans="1:8">
      <c r="A6853" s="60"/>
      <c r="B6853" s="77"/>
      <c r="C6853" s="60"/>
      <c r="D6853" s="81"/>
      <c r="E6853" s="62"/>
      <c r="F6853" s="60"/>
      <c r="G6853" s="62"/>
      <c r="H6853" s="60"/>
    </row>
    <row r="6854" spans="1:8">
      <c r="A6854" s="60"/>
      <c r="B6854" s="77"/>
      <c r="C6854" s="60"/>
      <c r="D6854" s="81"/>
      <c r="E6854" s="62"/>
      <c r="F6854" s="60"/>
      <c r="G6854" s="62"/>
      <c r="H6854" s="60"/>
    </row>
    <row r="6855" spans="1:8">
      <c r="A6855" s="60"/>
      <c r="B6855" s="77"/>
      <c r="C6855" s="60"/>
      <c r="D6855" s="81"/>
      <c r="E6855" s="62"/>
      <c r="F6855" s="60"/>
      <c r="G6855" s="62"/>
      <c r="H6855" s="60"/>
    </row>
    <row r="6856" spans="1:8">
      <c r="A6856" s="60"/>
      <c r="B6856" s="77"/>
      <c r="C6856" s="60"/>
      <c r="D6856" s="81"/>
      <c r="E6856" s="62"/>
      <c r="F6856" s="60"/>
      <c r="G6856" s="62"/>
      <c r="H6856" s="60"/>
    </row>
    <row r="6857" spans="1:8">
      <c r="A6857" s="60"/>
      <c r="B6857" s="77"/>
      <c r="C6857" s="60"/>
      <c r="D6857" s="81"/>
      <c r="E6857" s="62"/>
      <c r="F6857" s="60"/>
      <c r="G6857" s="62"/>
      <c r="H6857" s="60"/>
    </row>
    <row r="6858" spans="1:8">
      <c r="A6858" s="60"/>
      <c r="B6858" s="77"/>
      <c r="C6858" s="60"/>
      <c r="D6858" s="81"/>
      <c r="E6858" s="62"/>
      <c r="F6858" s="60"/>
      <c r="G6858" s="62"/>
      <c r="H6858" s="60"/>
    </row>
    <row r="6859" spans="1:8">
      <c r="A6859" s="60"/>
      <c r="B6859" s="77"/>
      <c r="C6859" s="60"/>
      <c r="D6859" s="81"/>
      <c r="E6859" s="62"/>
      <c r="F6859" s="60"/>
      <c r="G6859" s="62"/>
      <c r="H6859" s="60"/>
    </row>
    <row r="6860" spans="1:8">
      <c r="A6860" s="60"/>
      <c r="B6860" s="77"/>
      <c r="C6860" s="60"/>
      <c r="D6860" s="81"/>
      <c r="E6860" s="62"/>
      <c r="F6860" s="60"/>
      <c r="G6860" s="62"/>
      <c r="H6860" s="60"/>
    </row>
    <row r="6861" spans="1:8">
      <c r="A6861" s="60"/>
      <c r="B6861" s="77"/>
      <c r="C6861" s="60"/>
      <c r="D6861" s="81"/>
      <c r="E6861" s="62"/>
      <c r="F6861" s="60"/>
      <c r="G6861" s="62"/>
      <c r="H6861" s="60"/>
    </row>
    <row r="6862" spans="1:8">
      <c r="A6862" s="60"/>
      <c r="B6862" s="77"/>
      <c r="C6862" s="60"/>
      <c r="D6862" s="81"/>
      <c r="E6862" s="62"/>
      <c r="F6862" s="60"/>
      <c r="G6862" s="62"/>
      <c r="H6862" s="60"/>
    </row>
    <row r="6863" spans="1:8">
      <c r="A6863" s="60"/>
      <c r="B6863" s="77"/>
      <c r="C6863" s="60"/>
      <c r="D6863" s="81"/>
      <c r="E6863" s="62"/>
      <c r="F6863" s="60"/>
      <c r="G6863" s="62"/>
      <c r="H6863" s="60"/>
    </row>
    <row r="6864" spans="1:8">
      <c r="A6864" s="60"/>
      <c r="B6864" s="77"/>
      <c r="C6864" s="60"/>
      <c r="D6864" s="81"/>
      <c r="E6864" s="62"/>
      <c r="F6864" s="60"/>
      <c r="G6864" s="62"/>
      <c r="H6864" s="60"/>
    </row>
    <row r="6865" spans="1:8">
      <c r="A6865" s="60"/>
      <c r="B6865" s="77"/>
      <c r="C6865" s="60"/>
      <c r="D6865" s="81"/>
      <c r="E6865" s="62"/>
      <c r="F6865" s="60"/>
      <c r="G6865" s="62"/>
      <c r="H6865" s="60"/>
    </row>
    <row r="6866" spans="1:8">
      <c r="A6866" s="60"/>
      <c r="B6866" s="77"/>
      <c r="C6866" s="60"/>
      <c r="D6866" s="81"/>
      <c r="E6866" s="62"/>
      <c r="F6866" s="60"/>
      <c r="G6866" s="62"/>
      <c r="H6866" s="60"/>
    </row>
    <row r="6867" spans="1:8">
      <c r="A6867" s="60"/>
      <c r="B6867" s="77"/>
      <c r="C6867" s="60"/>
      <c r="D6867" s="81"/>
      <c r="E6867" s="62"/>
      <c r="F6867" s="60"/>
      <c r="G6867" s="62"/>
      <c r="H6867" s="60"/>
    </row>
    <row r="6868" spans="1:8">
      <c r="A6868" s="60"/>
      <c r="B6868" s="77"/>
      <c r="C6868" s="60"/>
      <c r="D6868" s="81"/>
      <c r="E6868" s="62"/>
      <c r="F6868" s="60"/>
      <c r="G6868" s="62"/>
      <c r="H6868" s="60"/>
    </row>
    <row r="6869" spans="1:8">
      <c r="A6869" s="60"/>
      <c r="B6869" s="77"/>
      <c r="C6869" s="60"/>
      <c r="D6869" s="81"/>
      <c r="E6869" s="62"/>
      <c r="F6869" s="60"/>
      <c r="G6869" s="62"/>
      <c r="H6869" s="60"/>
    </row>
    <row r="6870" spans="1:8">
      <c r="A6870" s="60"/>
      <c r="B6870" s="77"/>
      <c r="C6870" s="60"/>
      <c r="D6870" s="81"/>
      <c r="E6870" s="62"/>
      <c r="F6870" s="60"/>
      <c r="G6870" s="62"/>
      <c r="H6870" s="60"/>
    </row>
    <row r="6871" spans="1:8">
      <c r="A6871" s="60"/>
      <c r="B6871" s="77"/>
      <c r="C6871" s="60"/>
      <c r="D6871" s="81"/>
      <c r="E6871" s="62"/>
      <c r="F6871" s="60"/>
      <c r="G6871" s="62"/>
      <c r="H6871" s="60"/>
    </row>
    <row r="6872" spans="1:8">
      <c r="A6872" s="60"/>
      <c r="B6872" s="77"/>
      <c r="C6872" s="60"/>
      <c r="D6872" s="81"/>
      <c r="E6872" s="62"/>
      <c r="F6872" s="60"/>
      <c r="G6872" s="62"/>
      <c r="H6872" s="60"/>
    </row>
    <row r="6873" spans="1:8">
      <c r="A6873" s="60"/>
      <c r="B6873" s="77"/>
      <c r="C6873" s="60"/>
      <c r="D6873" s="81"/>
      <c r="E6873" s="62"/>
      <c r="F6873" s="60"/>
      <c r="G6873" s="62"/>
      <c r="H6873" s="60"/>
    </row>
    <row r="6874" spans="1:8">
      <c r="A6874" s="60"/>
      <c r="B6874" s="77"/>
      <c r="C6874" s="60"/>
      <c r="D6874" s="81"/>
      <c r="E6874" s="62"/>
      <c r="F6874" s="60"/>
      <c r="G6874" s="62"/>
      <c r="H6874" s="60"/>
    </row>
    <row r="6875" spans="1:8">
      <c r="A6875" s="60"/>
      <c r="B6875" s="77"/>
      <c r="C6875" s="60"/>
      <c r="D6875" s="81"/>
      <c r="E6875" s="62"/>
      <c r="F6875" s="60"/>
      <c r="G6875" s="62"/>
      <c r="H6875" s="60"/>
    </row>
    <row r="6876" spans="1:8">
      <c r="A6876" s="60"/>
      <c r="B6876" s="77"/>
      <c r="C6876" s="60"/>
      <c r="D6876" s="81"/>
      <c r="E6876" s="62"/>
      <c r="F6876" s="60"/>
      <c r="G6876" s="62"/>
      <c r="H6876" s="60"/>
    </row>
    <row r="6877" spans="1:8">
      <c r="A6877" s="60"/>
      <c r="B6877" s="77"/>
      <c r="C6877" s="60"/>
      <c r="D6877" s="81"/>
      <c r="E6877" s="62"/>
      <c r="F6877" s="60"/>
      <c r="G6877" s="62"/>
      <c r="H6877" s="60"/>
    </row>
    <row r="6878" spans="1:8">
      <c r="A6878" s="60"/>
      <c r="B6878" s="77"/>
      <c r="C6878" s="60"/>
      <c r="D6878" s="81"/>
      <c r="E6878" s="62"/>
      <c r="F6878" s="60"/>
      <c r="G6878" s="62"/>
      <c r="H6878" s="60"/>
    </row>
    <row r="6879" spans="1:8">
      <c r="A6879" s="60"/>
      <c r="B6879" s="77"/>
      <c r="C6879" s="60"/>
      <c r="D6879" s="81"/>
      <c r="E6879" s="62"/>
      <c r="F6879" s="60"/>
      <c r="G6879" s="62"/>
      <c r="H6879" s="60"/>
    </row>
    <row r="6880" spans="1:8">
      <c r="A6880" s="60"/>
      <c r="B6880" s="77"/>
      <c r="C6880" s="60"/>
      <c r="D6880" s="81"/>
      <c r="E6880" s="62"/>
      <c r="F6880" s="60"/>
      <c r="G6880" s="62"/>
      <c r="H6880" s="60"/>
    </row>
    <row r="6881" spans="1:8">
      <c r="A6881" s="60"/>
      <c r="B6881" s="77"/>
      <c r="C6881" s="60"/>
      <c r="D6881" s="81"/>
      <c r="E6881" s="62"/>
      <c r="F6881" s="60"/>
      <c r="G6881" s="62"/>
      <c r="H6881" s="60"/>
    </row>
    <row r="6882" spans="1:8">
      <c r="A6882" s="60"/>
      <c r="B6882" s="77"/>
      <c r="C6882" s="60"/>
      <c r="D6882" s="81"/>
      <c r="E6882" s="62"/>
      <c r="F6882" s="60"/>
      <c r="G6882" s="62"/>
      <c r="H6882" s="60"/>
    </row>
    <row r="6883" spans="1:8">
      <c r="A6883" s="60"/>
      <c r="B6883" s="77"/>
      <c r="C6883" s="60"/>
      <c r="D6883" s="81"/>
      <c r="E6883" s="62"/>
      <c r="F6883" s="60"/>
      <c r="G6883" s="62"/>
      <c r="H6883" s="60"/>
    </row>
    <row r="6884" spans="1:8">
      <c r="A6884" s="60"/>
      <c r="B6884" s="77"/>
      <c r="C6884" s="60"/>
      <c r="D6884" s="81"/>
      <c r="E6884" s="62"/>
      <c r="F6884" s="60"/>
      <c r="G6884" s="62"/>
      <c r="H6884" s="60"/>
    </row>
    <row r="6885" spans="1:8">
      <c r="A6885" s="60"/>
      <c r="B6885" s="77"/>
      <c r="C6885" s="60"/>
      <c r="D6885" s="81"/>
      <c r="E6885" s="62"/>
      <c r="F6885" s="60"/>
      <c r="G6885" s="62"/>
      <c r="H6885" s="60"/>
    </row>
    <row r="6886" spans="1:8">
      <c r="A6886" s="60"/>
      <c r="B6886" s="77"/>
      <c r="C6886" s="60"/>
      <c r="D6886" s="81"/>
      <c r="E6886" s="62"/>
      <c r="F6886" s="60"/>
      <c r="G6886" s="62"/>
      <c r="H6886" s="60"/>
    </row>
    <row r="6887" spans="1:8">
      <c r="A6887" s="60"/>
      <c r="B6887" s="77"/>
      <c r="C6887" s="60"/>
      <c r="D6887" s="81"/>
      <c r="E6887" s="62"/>
      <c r="F6887" s="60"/>
      <c r="G6887" s="62"/>
      <c r="H6887" s="60"/>
    </row>
    <row r="6888" spans="1:8">
      <c r="A6888" s="60"/>
      <c r="B6888" s="77"/>
      <c r="C6888" s="60"/>
      <c r="D6888" s="81"/>
      <c r="E6888" s="62"/>
      <c r="F6888" s="60"/>
      <c r="G6888" s="62"/>
      <c r="H6888" s="60"/>
    </row>
    <row r="6889" spans="1:8">
      <c r="A6889" s="60"/>
      <c r="B6889" s="77"/>
      <c r="C6889" s="60"/>
      <c r="D6889" s="81"/>
      <c r="E6889" s="62"/>
      <c r="F6889" s="60"/>
      <c r="G6889" s="62"/>
      <c r="H6889" s="60"/>
    </row>
    <row r="6890" spans="1:8">
      <c r="A6890" s="60"/>
      <c r="B6890" s="77"/>
      <c r="C6890" s="60"/>
      <c r="D6890" s="81"/>
      <c r="E6890" s="62"/>
      <c r="F6890" s="60"/>
      <c r="G6890" s="62"/>
      <c r="H6890" s="60"/>
    </row>
    <row r="6891" spans="1:8">
      <c r="A6891" s="60"/>
      <c r="B6891" s="77"/>
      <c r="C6891" s="60"/>
      <c r="D6891" s="81"/>
      <c r="E6891" s="62"/>
      <c r="F6891" s="60"/>
      <c r="G6891" s="62"/>
      <c r="H6891" s="60"/>
    </row>
    <row r="6892" spans="1:8">
      <c r="A6892" s="60"/>
      <c r="B6892" s="77"/>
      <c r="C6892" s="60"/>
      <c r="D6892" s="81"/>
      <c r="E6892" s="62"/>
      <c r="F6892" s="60"/>
      <c r="G6892" s="62"/>
      <c r="H6892" s="60"/>
    </row>
    <row r="6893" spans="1:8">
      <c r="A6893" s="60"/>
      <c r="B6893" s="77"/>
      <c r="C6893" s="60"/>
      <c r="D6893" s="81"/>
      <c r="E6893" s="62"/>
      <c r="F6893" s="60"/>
      <c r="G6893" s="62"/>
      <c r="H6893" s="60"/>
    </row>
    <row r="6894" spans="1:8">
      <c r="A6894" s="60"/>
      <c r="B6894" s="77"/>
      <c r="C6894" s="60"/>
      <c r="D6894" s="81"/>
      <c r="E6894" s="62"/>
      <c r="F6894" s="60"/>
      <c r="G6894" s="62"/>
      <c r="H6894" s="60"/>
    </row>
    <row r="6895" spans="1:8">
      <c r="A6895" s="60"/>
      <c r="B6895" s="77"/>
      <c r="C6895" s="60"/>
      <c r="D6895" s="81"/>
      <c r="E6895" s="62"/>
      <c r="F6895" s="60"/>
      <c r="G6895" s="62"/>
      <c r="H6895" s="60"/>
    </row>
    <row r="6896" spans="1:8">
      <c r="A6896" s="60"/>
      <c r="B6896" s="77"/>
      <c r="C6896" s="60"/>
      <c r="D6896" s="81"/>
      <c r="E6896" s="62"/>
      <c r="F6896" s="60"/>
      <c r="G6896" s="62"/>
      <c r="H6896" s="60"/>
    </row>
    <row r="6897" spans="1:8">
      <c r="A6897" s="60"/>
      <c r="B6897" s="77"/>
      <c r="C6897" s="60"/>
      <c r="D6897" s="81"/>
      <c r="E6897" s="62"/>
      <c r="F6897" s="60"/>
      <c r="G6897" s="62"/>
      <c r="H6897" s="60"/>
    </row>
    <row r="6898" spans="1:8">
      <c r="A6898" s="60"/>
      <c r="B6898" s="77"/>
      <c r="C6898" s="60"/>
      <c r="D6898" s="81"/>
      <c r="E6898" s="62"/>
      <c r="F6898" s="60"/>
      <c r="G6898" s="62"/>
      <c r="H6898" s="60"/>
    </row>
    <row r="6899" spans="1:8">
      <c r="A6899" s="60"/>
      <c r="B6899" s="77"/>
      <c r="C6899" s="60"/>
      <c r="D6899" s="81"/>
      <c r="E6899" s="62"/>
      <c r="F6899" s="60"/>
      <c r="G6899" s="62"/>
      <c r="H6899" s="60"/>
    </row>
    <row r="6900" spans="1:8">
      <c r="A6900" s="60"/>
      <c r="B6900" s="77"/>
      <c r="C6900" s="60"/>
      <c r="D6900" s="81"/>
      <c r="E6900" s="62"/>
      <c r="F6900" s="60"/>
      <c r="G6900" s="62"/>
      <c r="H6900" s="60"/>
    </row>
    <row r="6901" spans="1:8">
      <c r="A6901" s="60"/>
      <c r="B6901" s="77"/>
      <c r="C6901" s="60"/>
      <c r="D6901" s="81"/>
      <c r="E6901" s="62"/>
      <c r="F6901" s="60"/>
      <c r="G6901" s="62"/>
      <c r="H6901" s="60"/>
    </row>
    <row r="6902" spans="1:8">
      <c r="A6902" s="60"/>
      <c r="B6902" s="77"/>
      <c r="C6902" s="60"/>
      <c r="D6902" s="81"/>
      <c r="E6902" s="62"/>
      <c r="F6902" s="60"/>
      <c r="G6902" s="62"/>
      <c r="H6902" s="60"/>
    </row>
    <row r="6903" spans="1:8">
      <c r="A6903" s="60"/>
      <c r="B6903" s="77"/>
      <c r="C6903" s="60"/>
      <c r="D6903" s="81"/>
      <c r="E6903" s="62"/>
      <c r="F6903" s="60"/>
      <c r="G6903" s="62"/>
      <c r="H6903" s="60"/>
    </row>
    <row r="6904" spans="1:8">
      <c r="A6904" s="60"/>
      <c r="B6904" s="77"/>
      <c r="C6904" s="60"/>
      <c r="D6904" s="81"/>
      <c r="E6904" s="62"/>
      <c r="F6904" s="60"/>
      <c r="G6904" s="62"/>
      <c r="H6904" s="60"/>
    </row>
    <row r="6905" spans="1:8">
      <c r="A6905" s="60"/>
      <c r="B6905" s="77"/>
      <c r="C6905" s="60"/>
      <c r="D6905" s="81"/>
      <c r="E6905" s="62"/>
      <c r="F6905" s="60"/>
      <c r="G6905" s="62"/>
      <c r="H6905" s="60"/>
    </row>
    <row r="6906" spans="1:8">
      <c r="A6906" s="60"/>
      <c r="B6906" s="77"/>
      <c r="C6906" s="60"/>
      <c r="D6906" s="81"/>
      <c r="E6906" s="62"/>
      <c r="F6906" s="60"/>
      <c r="G6906" s="62"/>
      <c r="H6906" s="60"/>
    </row>
    <row r="6907" spans="1:8">
      <c r="A6907" s="60"/>
      <c r="B6907" s="77"/>
      <c r="C6907" s="60"/>
      <c r="D6907" s="81"/>
      <c r="E6907" s="62"/>
      <c r="F6907" s="60"/>
      <c r="G6907" s="62"/>
      <c r="H6907" s="60"/>
    </row>
    <row r="6908" spans="1:8">
      <c r="A6908" s="60"/>
      <c r="B6908" s="77"/>
      <c r="C6908" s="60"/>
      <c r="D6908" s="81"/>
      <c r="E6908" s="62"/>
      <c r="F6908" s="60"/>
      <c r="G6908" s="62"/>
      <c r="H6908" s="60"/>
    </row>
    <row r="6909" spans="1:8">
      <c r="A6909" s="60"/>
      <c r="B6909" s="77"/>
      <c r="C6909" s="60"/>
      <c r="D6909" s="81"/>
      <c r="E6909" s="62"/>
      <c r="F6909" s="60"/>
      <c r="G6909" s="62"/>
      <c r="H6909" s="60"/>
    </row>
    <row r="6910" spans="1:8">
      <c r="A6910" s="60"/>
      <c r="B6910" s="77"/>
      <c r="C6910" s="60"/>
      <c r="D6910" s="81"/>
      <c r="E6910" s="62"/>
      <c r="F6910" s="60"/>
      <c r="G6910" s="62"/>
      <c r="H6910" s="60"/>
    </row>
    <row r="6911" spans="1:8">
      <c r="A6911" s="60"/>
      <c r="B6911" s="77"/>
      <c r="C6911" s="60"/>
      <c r="D6911" s="81"/>
      <c r="E6911" s="62"/>
      <c r="F6911" s="60"/>
      <c r="G6911" s="62"/>
      <c r="H6911" s="60"/>
    </row>
    <row r="6912" spans="1:8">
      <c r="A6912" s="60"/>
      <c r="B6912" s="77"/>
      <c r="C6912" s="60"/>
      <c r="D6912" s="81"/>
      <c r="E6912" s="62"/>
      <c r="F6912" s="60"/>
      <c r="G6912" s="62"/>
      <c r="H6912" s="60"/>
    </row>
    <row r="6913" spans="1:8">
      <c r="A6913" s="60"/>
      <c r="B6913" s="77"/>
      <c r="C6913" s="60"/>
      <c r="D6913" s="81"/>
      <c r="E6913" s="62"/>
      <c r="F6913" s="60"/>
      <c r="G6913" s="62"/>
      <c r="H6913" s="60"/>
    </row>
    <row r="6914" spans="1:8">
      <c r="A6914" s="60"/>
      <c r="B6914" s="77"/>
      <c r="C6914" s="60"/>
      <c r="D6914" s="81"/>
      <c r="E6914" s="62"/>
      <c r="F6914" s="60"/>
      <c r="G6914" s="62"/>
      <c r="H6914" s="60"/>
    </row>
    <row r="6915" spans="1:8">
      <c r="A6915" s="60"/>
      <c r="B6915" s="77"/>
      <c r="C6915" s="60"/>
      <c r="D6915" s="81"/>
      <c r="E6915" s="62"/>
      <c r="F6915" s="60"/>
      <c r="G6915" s="62"/>
      <c r="H6915" s="60"/>
    </row>
    <row r="6916" spans="1:8">
      <c r="A6916" s="60"/>
      <c r="B6916" s="77"/>
      <c r="C6916" s="60"/>
      <c r="D6916" s="81"/>
      <c r="E6916" s="62"/>
      <c r="F6916" s="60"/>
      <c r="G6916" s="62"/>
      <c r="H6916" s="60"/>
    </row>
    <row r="6917" spans="1:8">
      <c r="A6917" s="60"/>
      <c r="B6917" s="77"/>
      <c r="C6917" s="60"/>
      <c r="D6917" s="81"/>
      <c r="E6917" s="62"/>
      <c r="F6917" s="60"/>
      <c r="G6917" s="62"/>
      <c r="H6917" s="60"/>
    </row>
    <row r="6918" spans="1:8">
      <c r="A6918" s="60"/>
      <c r="B6918" s="77"/>
      <c r="C6918" s="60"/>
      <c r="D6918" s="81"/>
      <c r="E6918" s="62"/>
      <c r="F6918" s="60"/>
      <c r="G6918" s="62"/>
      <c r="H6918" s="60"/>
    </row>
    <row r="6919" spans="1:8">
      <c r="A6919" s="60"/>
      <c r="B6919" s="77"/>
      <c r="C6919" s="60"/>
      <c r="D6919" s="81"/>
      <c r="E6919" s="62"/>
      <c r="F6919" s="60"/>
      <c r="G6919" s="62"/>
      <c r="H6919" s="60"/>
    </row>
    <row r="6920" spans="1:8">
      <c r="A6920" s="60"/>
      <c r="B6920" s="77"/>
      <c r="C6920" s="60"/>
      <c r="D6920" s="81"/>
      <c r="E6920" s="62"/>
      <c r="F6920" s="60"/>
      <c r="G6920" s="62"/>
      <c r="H6920" s="60"/>
    </row>
    <row r="6921" spans="1:8">
      <c r="A6921" s="60"/>
      <c r="B6921" s="77"/>
      <c r="C6921" s="60"/>
      <c r="D6921" s="81"/>
      <c r="E6921" s="62"/>
      <c r="F6921" s="60"/>
      <c r="G6921" s="62"/>
      <c r="H6921" s="60"/>
    </row>
    <row r="6922" spans="1:8">
      <c r="A6922" s="60"/>
      <c r="B6922" s="77"/>
      <c r="C6922" s="60"/>
      <c r="D6922" s="81"/>
      <c r="E6922" s="62"/>
      <c r="F6922" s="60"/>
      <c r="G6922" s="62"/>
      <c r="H6922" s="60"/>
    </row>
    <row r="6923" spans="1:8">
      <c r="A6923" s="60"/>
      <c r="B6923" s="77"/>
      <c r="C6923" s="60"/>
      <c r="D6923" s="81"/>
      <c r="E6923" s="62"/>
      <c r="F6923" s="60"/>
      <c r="G6923" s="62"/>
      <c r="H6923" s="60"/>
    </row>
    <row r="6924" spans="1:8">
      <c r="A6924" s="60"/>
      <c r="B6924" s="77"/>
      <c r="C6924" s="60"/>
      <c r="D6924" s="81"/>
      <c r="E6924" s="62"/>
      <c r="F6924" s="60"/>
      <c r="G6924" s="62"/>
      <c r="H6924" s="60"/>
    </row>
    <row r="6925" spans="1:8">
      <c r="A6925" s="60"/>
      <c r="B6925" s="77"/>
      <c r="C6925" s="60"/>
      <c r="D6925" s="81"/>
      <c r="E6925" s="62"/>
      <c r="F6925" s="60"/>
      <c r="G6925" s="62"/>
      <c r="H6925" s="60"/>
    </row>
    <row r="6926" spans="1:8">
      <c r="A6926" s="60"/>
      <c r="B6926" s="77"/>
      <c r="C6926" s="60"/>
      <c r="D6926" s="81"/>
      <c r="E6926" s="62"/>
      <c r="F6926" s="60"/>
      <c r="G6926" s="62"/>
      <c r="H6926" s="60"/>
    </row>
    <row r="6927" spans="1:8">
      <c r="A6927" s="60"/>
      <c r="B6927" s="77"/>
      <c r="C6927" s="60"/>
      <c r="D6927" s="81"/>
      <c r="E6927" s="62"/>
      <c r="F6927" s="60"/>
      <c r="G6927" s="62"/>
      <c r="H6927" s="60"/>
    </row>
    <row r="6928" spans="1:8">
      <c r="A6928" s="60"/>
      <c r="B6928" s="77"/>
      <c r="C6928" s="60"/>
      <c r="D6928" s="81"/>
      <c r="E6928" s="62"/>
      <c r="F6928" s="60"/>
      <c r="G6928" s="62"/>
      <c r="H6928" s="60"/>
    </row>
    <row r="6929" spans="1:8">
      <c r="A6929" s="60"/>
      <c r="B6929" s="77"/>
      <c r="C6929" s="60"/>
      <c r="D6929" s="81"/>
      <c r="E6929" s="62"/>
      <c r="F6929" s="60"/>
      <c r="G6929" s="62"/>
      <c r="H6929" s="60"/>
    </row>
    <row r="6930" spans="1:8">
      <c r="A6930" s="60"/>
      <c r="B6930" s="77"/>
      <c r="C6930" s="60"/>
      <c r="D6930" s="81"/>
      <c r="E6930" s="62"/>
      <c r="F6930" s="60"/>
      <c r="G6930" s="62"/>
      <c r="H6930" s="60"/>
    </row>
    <row r="6931" spans="1:8">
      <c r="A6931" s="60"/>
      <c r="B6931" s="77"/>
      <c r="C6931" s="60"/>
      <c r="D6931" s="81"/>
      <c r="E6931" s="62"/>
      <c r="F6931" s="60"/>
      <c r="G6931" s="62"/>
      <c r="H6931" s="60"/>
    </row>
    <row r="6932" spans="1:8">
      <c r="A6932" s="60"/>
      <c r="B6932" s="77"/>
      <c r="C6932" s="60"/>
      <c r="D6932" s="81"/>
      <c r="E6932" s="62"/>
      <c r="F6932" s="60"/>
      <c r="G6932" s="62"/>
      <c r="H6932" s="60"/>
    </row>
    <row r="6933" spans="1:8">
      <c r="A6933" s="60"/>
      <c r="B6933" s="77"/>
      <c r="C6933" s="60"/>
      <c r="D6933" s="81"/>
      <c r="E6933" s="62"/>
      <c r="F6933" s="60"/>
      <c r="G6933" s="62"/>
      <c r="H6933" s="60"/>
    </row>
    <row r="6934" spans="1:8">
      <c r="A6934" s="60"/>
      <c r="B6934" s="77"/>
      <c r="C6934" s="60"/>
      <c r="D6934" s="81"/>
      <c r="E6934" s="62"/>
      <c r="F6934" s="60"/>
      <c r="G6934" s="62"/>
      <c r="H6934" s="60"/>
    </row>
    <row r="6935" spans="1:8">
      <c r="A6935" s="60"/>
      <c r="B6935" s="77"/>
      <c r="C6935" s="60"/>
      <c r="D6935" s="81"/>
      <c r="E6935" s="62"/>
      <c r="F6935" s="60"/>
      <c r="G6935" s="62"/>
      <c r="H6935" s="60"/>
    </row>
    <row r="6936" spans="1:8">
      <c r="A6936" s="60"/>
      <c r="B6936" s="77"/>
      <c r="C6936" s="60"/>
      <c r="D6936" s="81"/>
      <c r="E6936" s="62"/>
      <c r="F6936" s="60"/>
      <c r="G6936" s="62"/>
      <c r="H6936" s="60"/>
    </row>
    <row r="6937" spans="1:8">
      <c r="A6937" s="60"/>
      <c r="B6937" s="77"/>
      <c r="C6937" s="60"/>
      <c r="D6937" s="81"/>
      <c r="E6937" s="62"/>
      <c r="F6937" s="60"/>
      <c r="G6937" s="62"/>
      <c r="H6937" s="60"/>
    </row>
    <row r="6938" spans="1:8">
      <c r="A6938" s="60"/>
      <c r="B6938" s="77"/>
      <c r="C6938" s="60"/>
      <c r="D6938" s="81"/>
      <c r="E6938" s="62"/>
      <c r="F6938" s="60"/>
      <c r="G6938" s="62"/>
      <c r="H6938" s="60"/>
    </row>
    <row r="6939" spans="1:8">
      <c r="A6939" s="60"/>
      <c r="B6939" s="77"/>
      <c r="C6939" s="60"/>
      <c r="D6939" s="81"/>
      <c r="E6939" s="62"/>
      <c r="F6939" s="60"/>
      <c r="G6939" s="62"/>
      <c r="H6939" s="60"/>
    </row>
    <row r="6940" spans="1:8">
      <c r="A6940" s="60"/>
      <c r="B6940" s="77"/>
      <c r="C6940" s="60"/>
      <c r="D6940" s="81"/>
      <c r="E6940" s="62"/>
      <c r="F6940" s="60"/>
      <c r="G6940" s="62"/>
      <c r="H6940" s="60"/>
    </row>
    <row r="6941" spans="1:8">
      <c r="A6941" s="60"/>
      <c r="B6941" s="77"/>
      <c r="C6941" s="60"/>
      <c r="D6941" s="81"/>
      <c r="E6941" s="62"/>
      <c r="F6941" s="60"/>
      <c r="G6941" s="62"/>
      <c r="H6941" s="60"/>
    </row>
    <row r="6942" spans="1:8">
      <c r="A6942" s="60"/>
      <c r="B6942" s="77"/>
      <c r="C6942" s="60"/>
      <c r="D6942" s="81"/>
      <c r="E6942" s="62"/>
      <c r="F6942" s="60"/>
      <c r="G6942" s="62"/>
      <c r="H6942" s="60"/>
    </row>
    <row r="6943" spans="1:8">
      <c r="A6943" s="60"/>
      <c r="B6943" s="77"/>
      <c r="C6943" s="60"/>
      <c r="D6943" s="81"/>
      <c r="E6943" s="62"/>
      <c r="F6943" s="60"/>
      <c r="G6943" s="62"/>
      <c r="H6943" s="60"/>
    </row>
    <row r="6944" spans="1:8">
      <c r="A6944" s="60"/>
      <c r="B6944" s="77"/>
      <c r="C6944" s="60"/>
      <c r="D6944" s="81"/>
      <c r="E6944" s="62"/>
      <c r="F6944" s="60"/>
      <c r="G6944" s="62"/>
      <c r="H6944" s="60"/>
    </row>
    <row r="6945" spans="1:8">
      <c r="A6945" s="60"/>
      <c r="B6945" s="77"/>
      <c r="C6945" s="60"/>
      <c r="D6945" s="81"/>
      <c r="E6945" s="62"/>
      <c r="F6945" s="60"/>
      <c r="G6945" s="62"/>
      <c r="H6945" s="60"/>
    </row>
    <row r="6946" spans="1:8">
      <c r="A6946" s="60"/>
      <c r="B6946" s="77"/>
      <c r="C6946" s="60"/>
      <c r="D6946" s="81"/>
      <c r="E6946" s="62"/>
      <c r="F6946" s="60"/>
      <c r="G6946" s="62"/>
      <c r="H6946" s="60"/>
    </row>
    <row r="6947" spans="1:8">
      <c r="A6947" s="60"/>
      <c r="B6947" s="77"/>
      <c r="C6947" s="60"/>
      <c r="D6947" s="81"/>
      <c r="E6947" s="62"/>
      <c r="F6947" s="60"/>
      <c r="G6947" s="62"/>
      <c r="H6947" s="60"/>
    </row>
    <row r="6948" spans="1:8">
      <c r="A6948" s="60"/>
      <c r="B6948" s="77"/>
      <c r="C6948" s="60"/>
      <c r="D6948" s="81"/>
      <c r="E6948" s="62"/>
      <c r="F6948" s="60"/>
      <c r="G6948" s="62"/>
      <c r="H6948" s="60"/>
    </row>
    <row r="6949" spans="1:8">
      <c r="A6949" s="60"/>
      <c r="B6949" s="77"/>
      <c r="C6949" s="60"/>
      <c r="D6949" s="81"/>
      <c r="E6949" s="62"/>
      <c r="F6949" s="60"/>
      <c r="G6949" s="62"/>
      <c r="H6949" s="60"/>
    </row>
    <row r="6950" spans="1:8">
      <c r="A6950" s="60"/>
      <c r="B6950" s="77"/>
      <c r="C6950" s="60"/>
      <c r="D6950" s="81"/>
      <c r="E6950" s="62"/>
      <c r="F6950" s="60"/>
      <c r="G6950" s="62"/>
      <c r="H6950" s="60"/>
    </row>
    <row r="6951" spans="1:8">
      <c r="A6951" s="60"/>
      <c r="B6951" s="77"/>
      <c r="C6951" s="60"/>
      <c r="D6951" s="81"/>
      <c r="E6951" s="62"/>
      <c r="F6951" s="60"/>
      <c r="G6951" s="62"/>
      <c r="H6951" s="60"/>
    </row>
    <row r="6952" spans="1:8">
      <c r="A6952" s="60"/>
      <c r="B6952" s="77"/>
      <c r="C6952" s="60"/>
      <c r="D6952" s="81"/>
      <c r="E6952" s="62"/>
      <c r="F6952" s="60"/>
      <c r="G6952" s="62"/>
      <c r="H6952" s="60"/>
    </row>
    <row r="6953" spans="1:8">
      <c r="A6953" s="60"/>
      <c r="B6953" s="77"/>
      <c r="C6953" s="60"/>
      <c r="D6953" s="81"/>
      <c r="E6953" s="62"/>
      <c r="F6953" s="60"/>
      <c r="G6953" s="62"/>
      <c r="H6953" s="60"/>
    </row>
    <row r="6954" spans="1:8">
      <c r="A6954" s="60"/>
      <c r="B6954" s="77"/>
      <c r="C6954" s="60"/>
      <c r="D6954" s="81"/>
      <c r="E6954" s="62"/>
      <c r="F6954" s="60"/>
      <c r="G6954" s="62"/>
      <c r="H6954" s="60"/>
    </row>
    <row r="6955" spans="1:8">
      <c r="A6955" s="60"/>
      <c r="B6955" s="77"/>
      <c r="C6955" s="60"/>
      <c r="D6955" s="81"/>
      <c r="E6955" s="62"/>
      <c r="F6955" s="60"/>
      <c r="G6955" s="62"/>
      <c r="H6955" s="60"/>
    </row>
    <row r="6956" spans="1:8">
      <c r="A6956" s="60"/>
      <c r="B6956" s="77"/>
      <c r="C6956" s="60"/>
      <c r="D6956" s="81"/>
      <c r="E6956" s="62"/>
      <c r="F6956" s="60"/>
      <c r="G6956" s="62"/>
      <c r="H6956" s="60"/>
    </row>
    <row r="6957" spans="1:8">
      <c r="A6957" s="60"/>
      <c r="B6957" s="77"/>
      <c r="C6957" s="60"/>
      <c r="D6957" s="81"/>
      <c r="E6957" s="62"/>
      <c r="F6957" s="60"/>
      <c r="G6957" s="62"/>
      <c r="H6957" s="60"/>
    </row>
    <row r="6958" spans="1:8">
      <c r="A6958" s="60"/>
      <c r="B6958" s="77"/>
      <c r="C6958" s="60"/>
      <c r="D6958" s="81"/>
      <c r="E6958" s="62"/>
      <c r="F6958" s="60"/>
      <c r="G6958" s="62"/>
      <c r="H6958" s="60"/>
    </row>
    <row r="6959" spans="1:8">
      <c r="A6959" s="60"/>
      <c r="B6959" s="77"/>
      <c r="C6959" s="60"/>
      <c r="D6959" s="81"/>
      <c r="E6959" s="62"/>
      <c r="F6959" s="60"/>
      <c r="G6959" s="62"/>
      <c r="H6959" s="60"/>
    </row>
    <row r="6960" spans="1:8">
      <c r="A6960" s="60"/>
      <c r="B6960" s="77"/>
      <c r="C6960" s="60"/>
      <c r="D6960" s="81"/>
      <c r="E6960" s="62"/>
      <c r="F6960" s="60"/>
      <c r="G6960" s="62"/>
      <c r="H6960" s="60"/>
    </row>
    <row r="6961" spans="1:8">
      <c r="A6961" s="60"/>
      <c r="B6961" s="77"/>
      <c r="C6961" s="60"/>
      <c r="D6961" s="81"/>
      <c r="E6961" s="62"/>
      <c r="F6961" s="60"/>
      <c r="G6961" s="62"/>
      <c r="H6961" s="60"/>
    </row>
    <row r="6962" spans="1:8">
      <c r="A6962" s="60"/>
      <c r="B6962" s="77"/>
      <c r="C6962" s="60"/>
      <c r="D6962" s="81"/>
      <c r="E6962" s="62"/>
      <c r="F6962" s="60"/>
      <c r="G6962" s="62"/>
      <c r="H6962" s="60"/>
    </row>
    <row r="6963" spans="1:8">
      <c r="A6963" s="60"/>
      <c r="B6963" s="77"/>
      <c r="C6963" s="60"/>
      <c r="D6963" s="81"/>
      <c r="E6963" s="62"/>
      <c r="F6963" s="60"/>
      <c r="G6963" s="62"/>
      <c r="H6963" s="60"/>
    </row>
    <row r="6964" spans="1:8">
      <c r="A6964" s="60"/>
      <c r="B6964" s="77"/>
      <c r="C6964" s="60"/>
      <c r="D6964" s="81"/>
      <c r="E6964" s="62"/>
      <c r="F6964" s="60"/>
      <c r="G6964" s="62"/>
      <c r="H6964" s="60"/>
    </row>
    <row r="6965" spans="1:8">
      <c r="A6965" s="60"/>
      <c r="B6965" s="77"/>
      <c r="C6965" s="60"/>
      <c r="D6965" s="81"/>
      <c r="E6965" s="62"/>
      <c r="F6965" s="60"/>
      <c r="G6965" s="62"/>
      <c r="H6965" s="60"/>
    </row>
    <row r="6966" spans="1:8">
      <c r="A6966" s="60"/>
      <c r="B6966" s="77"/>
      <c r="C6966" s="60"/>
      <c r="D6966" s="81"/>
      <c r="E6966" s="62"/>
      <c r="F6966" s="60"/>
      <c r="G6966" s="62"/>
      <c r="H6966" s="60"/>
    </row>
    <row r="6967" spans="1:8">
      <c r="A6967" s="60"/>
      <c r="B6967" s="77"/>
      <c r="C6967" s="60"/>
      <c r="D6967" s="81"/>
      <c r="E6967" s="62"/>
      <c r="F6967" s="60"/>
      <c r="G6967" s="62"/>
      <c r="H6967" s="60"/>
    </row>
    <row r="6968" spans="1:8">
      <c r="A6968" s="60"/>
      <c r="B6968" s="77"/>
      <c r="C6968" s="60"/>
      <c r="D6968" s="81"/>
      <c r="E6968" s="62"/>
      <c r="F6968" s="60"/>
      <c r="G6968" s="62"/>
      <c r="H6968" s="60"/>
    </row>
    <row r="6969" spans="1:8">
      <c r="A6969" s="60"/>
      <c r="B6969" s="77"/>
      <c r="C6969" s="60"/>
      <c r="D6969" s="81"/>
      <c r="E6969" s="62"/>
      <c r="F6969" s="60"/>
      <c r="G6969" s="62"/>
      <c r="H6969" s="60"/>
    </row>
    <row r="6970" spans="1:8">
      <c r="A6970" s="60"/>
      <c r="B6970" s="77"/>
      <c r="C6970" s="60"/>
      <c r="D6970" s="81"/>
      <c r="E6970" s="62"/>
      <c r="F6970" s="60"/>
      <c r="G6970" s="62"/>
      <c r="H6970" s="60"/>
    </row>
    <row r="6971" spans="1:8">
      <c r="A6971" s="60"/>
      <c r="B6971" s="77"/>
      <c r="C6971" s="60"/>
      <c r="D6971" s="81"/>
      <c r="E6971" s="62"/>
      <c r="F6971" s="60"/>
      <c r="G6971" s="62"/>
      <c r="H6971" s="60"/>
    </row>
    <row r="6972" spans="1:8">
      <c r="A6972" s="60"/>
      <c r="B6972" s="77"/>
      <c r="C6972" s="60"/>
      <c r="D6972" s="81"/>
      <c r="E6972" s="62"/>
      <c r="F6972" s="60"/>
      <c r="G6972" s="62"/>
      <c r="H6972" s="60"/>
    </row>
    <row r="6973" spans="1:8">
      <c r="A6973" s="60"/>
      <c r="B6973" s="77"/>
      <c r="C6973" s="60"/>
      <c r="D6973" s="81"/>
      <c r="E6973" s="62"/>
      <c r="F6973" s="60"/>
      <c r="G6973" s="62"/>
      <c r="H6973" s="60"/>
    </row>
    <row r="6974" spans="1:8">
      <c r="A6974" s="60"/>
      <c r="B6974" s="77"/>
      <c r="C6974" s="60"/>
      <c r="D6974" s="81"/>
      <c r="E6974" s="62"/>
      <c r="F6974" s="60"/>
      <c r="G6974" s="62"/>
      <c r="H6974" s="60"/>
    </row>
    <row r="6975" spans="1:8">
      <c r="A6975" s="60"/>
      <c r="B6975" s="77"/>
      <c r="C6975" s="60"/>
      <c r="D6975" s="81"/>
      <c r="E6975" s="62"/>
      <c r="F6975" s="60"/>
      <c r="G6975" s="62"/>
      <c r="H6975" s="60"/>
    </row>
    <row r="6976" spans="1:8">
      <c r="A6976" s="60"/>
      <c r="B6976" s="77"/>
      <c r="C6976" s="60"/>
      <c r="D6976" s="81"/>
      <c r="E6976" s="62"/>
      <c r="F6976" s="60"/>
      <c r="G6976" s="62"/>
      <c r="H6976" s="60"/>
    </row>
    <row r="6977" spans="1:8">
      <c r="A6977" s="60"/>
      <c r="B6977" s="77"/>
      <c r="C6977" s="60"/>
      <c r="D6977" s="81"/>
      <c r="E6977" s="62"/>
      <c r="F6977" s="60"/>
      <c r="G6977" s="62"/>
      <c r="H6977" s="60"/>
    </row>
    <row r="6978" spans="1:8">
      <c r="A6978" s="60"/>
      <c r="B6978" s="77"/>
      <c r="C6978" s="60"/>
      <c r="D6978" s="81"/>
      <c r="E6978" s="62"/>
      <c r="F6978" s="60"/>
      <c r="G6978" s="62"/>
      <c r="H6978" s="60"/>
    </row>
    <row r="6979" spans="1:8">
      <c r="A6979" s="60"/>
      <c r="B6979" s="77"/>
      <c r="C6979" s="60"/>
      <c r="D6979" s="81"/>
      <c r="E6979" s="62"/>
      <c r="F6979" s="60"/>
      <c r="G6979" s="62"/>
      <c r="H6979" s="60"/>
    </row>
    <row r="6980" spans="1:8">
      <c r="A6980" s="60"/>
      <c r="B6980" s="77"/>
      <c r="C6980" s="60"/>
      <c r="D6980" s="81"/>
      <c r="E6980" s="62"/>
      <c r="F6980" s="60"/>
      <c r="G6980" s="62"/>
      <c r="H6980" s="60"/>
    </row>
    <row r="6981" spans="1:8">
      <c r="A6981" s="60"/>
      <c r="B6981" s="77"/>
      <c r="C6981" s="60"/>
      <c r="D6981" s="81"/>
      <c r="E6981" s="62"/>
      <c r="F6981" s="60"/>
      <c r="G6981" s="62"/>
      <c r="H6981" s="60"/>
    </row>
    <row r="6982" spans="1:8">
      <c r="A6982" s="60"/>
      <c r="B6982" s="77"/>
      <c r="C6982" s="60"/>
      <c r="D6982" s="81"/>
      <c r="E6982" s="62"/>
      <c r="F6982" s="60"/>
      <c r="G6982" s="62"/>
      <c r="H6982" s="60"/>
    </row>
    <row r="6983" spans="1:8">
      <c r="A6983" s="60"/>
      <c r="B6983" s="77"/>
      <c r="C6983" s="60"/>
      <c r="D6983" s="81"/>
      <c r="E6983" s="62"/>
      <c r="F6983" s="60"/>
      <c r="G6983" s="62"/>
      <c r="H6983" s="60"/>
    </row>
    <row r="6984" spans="1:8">
      <c r="A6984" s="60"/>
      <c r="B6984" s="77"/>
      <c r="C6984" s="60"/>
      <c r="D6984" s="81"/>
      <c r="E6984" s="62"/>
      <c r="F6984" s="60"/>
      <c r="G6984" s="62"/>
      <c r="H6984" s="60"/>
    </row>
    <row r="6985" spans="1:8">
      <c r="A6985" s="60"/>
      <c r="B6985" s="77"/>
      <c r="C6985" s="60"/>
      <c r="D6985" s="81"/>
      <c r="E6985" s="62"/>
      <c r="F6985" s="60"/>
      <c r="G6985" s="62"/>
      <c r="H6985" s="60"/>
    </row>
    <row r="6986" spans="1:8">
      <c r="A6986" s="60"/>
      <c r="B6986" s="77"/>
      <c r="C6986" s="60"/>
      <c r="D6986" s="81"/>
      <c r="E6986" s="62"/>
      <c r="F6986" s="60"/>
      <c r="G6986" s="62"/>
      <c r="H6986" s="60"/>
    </row>
    <row r="6987" spans="1:8">
      <c r="A6987" s="60"/>
      <c r="B6987" s="77"/>
      <c r="C6987" s="60"/>
      <c r="D6987" s="81"/>
      <c r="E6987" s="62"/>
      <c r="F6987" s="60"/>
      <c r="G6987" s="62"/>
      <c r="H6987" s="60"/>
    </row>
    <row r="6988" spans="1:8">
      <c r="A6988" s="60"/>
      <c r="B6988" s="77"/>
      <c r="C6988" s="60"/>
      <c r="D6988" s="81"/>
      <c r="E6988" s="62"/>
      <c r="F6988" s="60"/>
      <c r="G6988" s="62"/>
      <c r="H6988" s="60"/>
    </row>
    <row r="6989" spans="1:8">
      <c r="A6989" s="60"/>
      <c r="B6989" s="77"/>
      <c r="C6989" s="60"/>
      <c r="D6989" s="81"/>
      <c r="E6989" s="62"/>
      <c r="F6989" s="60"/>
      <c r="G6989" s="62"/>
      <c r="H6989" s="60"/>
    </row>
    <row r="6990" spans="1:8">
      <c r="A6990" s="60"/>
      <c r="B6990" s="77"/>
      <c r="C6990" s="60"/>
      <c r="D6990" s="81"/>
      <c r="E6990" s="62"/>
      <c r="F6990" s="60"/>
      <c r="G6990" s="62"/>
      <c r="H6990" s="60"/>
    </row>
    <row r="6991" spans="1:8">
      <c r="A6991" s="60"/>
      <c r="B6991" s="77"/>
      <c r="C6991" s="60"/>
      <c r="D6991" s="81"/>
      <c r="E6991" s="62"/>
      <c r="F6991" s="60"/>
      <c r="G6991" s="62"/>
      <c r="H6991" s="60"/>
    </row>
    <row r="6992" spans="1:8">
      <c r="A6992" s="60"/>
      <c r="B6992" s="77"/>
      <c r="C6992" s="60"/>
      <c r="D6992" s="81"/>
      <c r="E6992" s="62"/>
      <c r="F6992" s="60"/>
      <c r="G6992" s="62"/>
      <c r="H6992" s="60"/>
    </row>
    <row r="6993" spans="1:8">
      <c r="A6993" s="60"/>
      <c r="B6993" s="77"/>
      <c r="C6993" s="60"/>
      <c r="D6993" s="81"/>
      <c r="E6993" s="62"/>
      <c r="F6993" s="60"/>
      <c r="G6993" s="62"/>
      <c r="H6993" s="60"/>
    </row>
    <row r="6994" spans="1:8">
      <c r="A6994" s="60"/>
      <c r="B6994" s="77"/>
      <c r="C6994" s="60"/>
      <c r="D6994" s="81"/>
      <c r="E6994" s="62"/>
      <c r="F6994" s="60"/>
      <c r="G6994" s="62"/>
      <c r="H6994" s="60"/>
    </row>
    <row r="6995" spans="1:8">
      <c r="A6995" s="60"/>
      <c r="B6995" s="77"/>
      <c r="C6995" s="60"/>
      <c r="D6995" s="81"/>
      <c r="E6995" s="62"/>
      <c r="F6995" s="60"/>
      <c r="G6995" s="62"/>
      <c r="H6995" s="60"/>
    </row>
    <row r="6996" spans="1:8">
      <c r="A6996" s="60"/>
      <c r="B6996" s="77"/>
      <c r="C6996" s="60"/>
      <c r="D6996" s="81"/>
      <c r="E6996" s="62"/>
      <c r="F6996" s="60"/>
      <c r="G6996" s="62"/>
      <c r="H6996" s="60"/>
    </row>
    <row r="6997" spans="1:8">
      <c r="A6997" s="60"/>
      <c r="B6997" s="77"/>
      <c r="C6997" s="60"/>
      <c r="D6997" s="81"/>
      <c r="E6997" s="62"/>
      <c r="F6997" s="60"/>
      <c r="G6997" s="62"/>
      <c r="H6997" s="60"/>
    </row>
    <row r="6998" spans="1:8">
      <c r="A6998" s="60"/>
      <c r="B6998" s="77"/>
      <c r="C6998" s="60"/>
      <c r="D6998" s="81"/>
      <c r="E6998" s="62"/>
      <c r="F6998" s="60"/>
      <c r="G6998" s="62"/>
      <c r="H6998" s="60"/>
    </row>
    <row r="6999" spans="1:8">
      <c r="A6999" s="60"/>
      <c r="B6999" s="77"/>
      <c r="C6999" s="60"/>
      <c r="D6999" s="81"/>
      <c r="E6999" s="62"/>
      <c r="F6999" s="60"/>
      <c r="G6999" s="62"/>
      <c r="H6999" s="60"/>
    </row>
    <row r="7000" spans="1:8">
      <c r="A7000" s="60"/>
      <c r="B7000" s="77"/>
      <c r="C7000" s="60"/>
      <c r="D7000" s="81"/>
      <c r="E7000" s="62"/>
      <c r="F7000" s="60"/>
      <c r="G7000" s="62"/>
      <c r="H7000" s="60"/>
    </row>
    <row r="7001" spans="1:8">
      <c r="A7001" s="60"/>
      <c r="B7001" s="77"/>
      <c r="C7001" s="60"/>
      <c r="D7001" s="81"/>
      <c r="E7001" s="62"/>
      <c r="F7001" s="60"/>
      <c r="G7001" s="62"/>
      <c r="H7001" s="60"/>
    </row>
    <row r="7002" spans="1:8">
      <c r="A7002" s="60"/>
      <c r="B7002" s="77"/>
      <c r="C7002" s="60"/>
      <c r="D7002" s="81"/>
      <c r="E7002" s="62"/>
      <c r="F7002" s="60"/>
      <c r="G7002" s="62"/>
      <c r="H7002" s="60"/>
    </row>
    <row r="7003" spans="1:8">
      <c r="A7003" s="60"/>
      <c r="B7003" s="77"/>
      <c r="C7003" s="60"/>
      <c r="D7003" s="81"/>
      <c r="E7003" s="62"/>
      <c r="F7003" s="60"/>
      <c r="G7003" s="62"/>
      <c r="H7003" s="60"/>
    </row>
    <row r="7004" spans="1:8">
      <c r="A7004" s="60"/>
      <c r="B7004" s="77"/>
      <c r="C7004" s="60"/>
      <c r="D7004" s="81"/>
      <c r="E7004" s="62"/>
      <c r="F7004" s="60"/>
      <c r="G7004" s="62"/>
      <c r="H7004" s="60"/>
    </row>
    <row r="7005" spans="1:8">
      <c r="A7005" s="60"/>
      <c r="B7005" s="77"/>
      <c r="C7005" s="60"/>
      <c r="D7005" s="81"/>
      <c r="E7005" s="62"/>
      <c r="F7005" s="60"/>
      <c r="G7005" s="62"/>
      <c r="H7005" s="60"/>
    </row>
    <row r="7006" spans="1:8">
      <c r="A7006" s="60"/>
      <c r="B7006" s="77"/>
      <c r="C7006" s="60"/>
      <c r="D7006" s="81"/>
      <c r="E7006" s="62"/>
      <c r="F7006" s="60"/>
      <c r="G7006" s="62"/>
      <c r="H7006" s="60"/>
    </row>
    <row r="7007" spans="1:8">
      <c r="A7007" s="60"/>
      <c r="B7007" s="77"/>
      <c r="C7007" s="60"/>
      <c r="D7007" s="81"/>
      <c r="E7007" s="62"/>
      <c r="F7007" s="60"/>
      <c r="G7007" s="62"/>
      <c r="H7007" s="60"/>
    </row>
    <row r="7008" spans="1:8">
      <c r="A7008" s="60"/>
      <c r="B7008" s="77"/>
      <c r="C7008" s="60"/>
      <c r="D7008" s="81"/>
      <c r="E7008" s="62"/>
      <c r="F7008" s="60"/>
      <c r="G7008" s="62"/>
      <c r="H7008" s="60"/>
    </row>
    <row r="7009" spans="1:8">
      <c r="A7009" s="60"/>
      <c r="B7009" s="77"/>
      <c r="C7009" s="60"/>
      <c r="D7009" s="81"/>
      <c r="E7009" s="62"/>
      <c r="F7009" s="60"/>
      <c r="G7009" s="62"/>
      <c r="H7009" s="60"/>
    </row>
    <row r="7010" spans="1:8">
      <c r="A7010" s="60"/>
      <c r="B7010" s="77"/>
      <c r="C7010" s="60"/>
      <c r="D7010" s="81"/>
      <c r="E7010" s="62"/>
      <c r="F7010" s="60"/>
      <c r="G7010" s="62"/>
      <c r="H7010" s="60"/>
    </row>
    <row r="7011" spans="1:8">
      <c r="A7011" s="60"/>
      <c r="B7011" s="77"/>
      <c r="C7011" s="60"/>
      <c r="D7011" s="81"/>
      <c r="E7011" s="62"/>
      <c r="F7011" s="60"/>
      <c r="G7011" s="62"/>
      <c r="H7011" s="60"/>
    </row>
    <row r="7012" spans="1:8">
      <c r="A7012" s="60"/>
      <c r="B7012" s="77"/>
      <c r="C7012" s="60"/>
      <c r="D7012" s="81"/>
      <c r="E7012" s="62"/>
      <c r="F7012" s="60"/>
      <c r="G7012" s="62"/>
      <c r="H7012" s="60"/>
    </row>
    <row r="7013" spans="1:8">
      <c r="A7013" s="60"/>
      <c r="B7013" s="77"/>
      <c r="C7013" s="60"/>
      <c r="D7013" s="81"/>
      <c r="E7013" s="62"/>
      <c r="F7013" s="60"/>
      <c r="G7013" s="62"/>
      <c r="H7013" s="60"/>
    </row>
    <row r="7014" spans="1:8">
      <c r="A7014" s="60"/>
      <c r="B7014" s="77"/>
      <c r="C7014" s="60"/>
      <c r="D7014" s="81"/>
      <c r="E7014" s="62"/>
      <c r="F7014" s="60"/>
      <c r="G7014" s="62"/>
      <c r="H7014" s="60"/>
    </row>
    <row r="7015" spans="1:8">
      <c r="A7015" s="60"/>
      <c r="B7015" s="77"/>
      <c r="C7015" s="60"/>
      <c r="D7015" s="81"/>
      <c r="E7015" s="62"/>
      <c r="F7015" s="60"/>
      <c r="G7015" s="62"/>
      <c r="H7015" s="60"/>
    </row>
    <row r="7016" spans="1:8">
      <c r="A7016" s="60"/>
      <c r="B7016" s="77"/>
      <c r="C7016" s="60"/>
      <c r="D7016" s="81"/>
      <c r="E7016" s="62"/>
      <c r="F7016" s="60"/>
      <c r="G7016" s="62"/>
      <c r="H7016" s="60"/>
    </row>
    <row r="7017" spans="1:8">
      <c r="A7017" s="60"/>
      <c r="B7017" s="77"/>
      <c r="C7017" s="60"/>
      <c r="D7017" s="81"/>
      <c r="E7017" s="62"/>
      <c r="F7017" s="60"/>
      <c r="G7017" s="62"/>
      <c r="H7017" s="60"/>
    </row>
    <row r="7018" spans="1:8">
      <c r="A7018" s="60"/>
      <c r="B7018" s="77"/>
      <c r="C7018" s="60"/>
      <c r="D7018" s="81"/>
      <c r="E7018" s="62"/>
      <c r="F7018" s="60"/>
      <c r="G7018" s="62"/>
      <c r="H7018" s="60"/>
    </row>
    <row r="7019" spans="1:8">
      <c r="A7019" s="60"/>
      <c r="B7019" s="77"/>
      <c r="C7019" s="60"/>
      <c r="D7019" s="81"/>
      <c r="E7019" s="62"/>
      <c r="F7019" s="60"/>
      <c r="G7019" s="62"/>
      <c r="H7019" s="60"/>
    </row>
    <row r="7020" spans="1:8">
      <c r="A7020" s="60"/>
      <c r="B7020" s="77"/>
      <c r="C7020" s="60"/>
      <c r="D7020" s="81"/>
      <c r="E7020" s="62"/>
      <c r="F7020" s="60"/>
      <c r="G7020" s="62"/>
      <c r="H7020" s="60"/>
    </row>
    <row r="7021" spans="1:8">
      <c r="A7021" s="60"/>
      <c r="B7021" s="77"/>
      <c r="C7021" s="60"/>
      <c r="D7021" s="81"/>
      <c r="E7021" s="62"/>
      <c r="F7021" s="60"/>
      <c r="G7021" s="62"/>
      <c r="H7021" s="60"/>
    </row>
    <row r="7022" spans="1:8">
      <c r="A7022" s="60"/>
      <c r="B7022" s="77"/>
      <c r="C7022" s="60"/>
      <c r="D7022" s="81"/>
      <c r="E7022" s="62"/>
      <c r="F7022" s="60"/>
      <c r="G7022" s="62"/>
      <c r="H7022" s="60"/>
    </row>
    <row r="7023" spans="1:8">
      <c r="A7023" s="60"/>
      <c r="B7023" s="77"/>
      <c r="C7023" s="60"/>
      <c r="D7023" s="81"/>
      <c r="E7023" s="62"/>
      <c r="F7023" s="60"/>
      <c r="G7023" s="62"/>
      <c r="H7023" s="60"/>
    </row>
    <row r="7024" spans="1:8">
      <c r="A7024" s="60"/>
      <c r="B7024" s="77"/>
      <c r="C7024" s="60"/>
      <c r="D7024" s="81"/>
      <c r="E7024" s="62"/>
      <c r="F7024" s="60"/>
      <c r="G7024" s="62"/>
      <c r="H7024" s="60"/>
    </row>
    <row r="7025" spans="1:8">
      <c r="A7025" s="60"/>
      <c r="B7025" s="77"/>
      <c r="C7025" s="60"/>
      <c r="D7025" s="81"/>
      <c r="E7025" s="62"/>
      <c r="F7025" s="60"/>
      <c r="G7025" s="62"/>
      <c r="H7025" s="60"/>
    </row>
    <row r="7026" spans="1:8">
      <c r="A7026" s="60"/>
      <c r="B7026" s="77"/>
      <c r="C7026" s="60"/>
      <c r="D7026" s="81"/>
      <c r="E7026" s="62"/>
      <c r="F7026" s="60"/>
      <c r="G7026" s="62"/>
      <c r="H7026" s="60"/>
    </row>
    <row r="7027" spans="1:8">
      <c r="A7027" s="60"/>
      <c r="B7027" s="77"/>
      <c r="C7027" s="60"/>
      <c r="D7027" s="81"/>
      <c r="E7027" s="62"/>
      <c r="F7027" s="60"/>
      <c r="G7027" s="62"/>
      <c r="H7027" s="60"/>
    </row>
    <row r="7028" spans="1:8">
      <c r="A7028" s="60"/>
      <c r="B7028" s="77"/>
      <c r="C7028" s="60"/>
      <c r="D7028" s="81"/>
      <c r="E7028" s="62"/>
      <c r="F7028" s="60"/>
      <c r="G7028" s="62"/>
      <c r="H7028" s="60"/>
    </row>
    <row r="7029" spans="1:8">
      <c r="A7029" s="60"/>
      <c r="B7029" s="77"/>
      <c r="C7029" s="60"/>
      <c r="D7029" s="81"/>
      <c r="E7029" s="62"/>
      <c r="F7029" s="60"/>
      <c r="G7029" s="62"/>
      <c r="H7029" s="60"/>
    </row>
    <row r="7030" spans="1:8">
      <c r="A7030" s="60"/>
      <c r="B7030" s="77"/>
      <c r="C7030" s="60"/>
      <c r="D7030" s="81"/>
      <c r="E7030" s="62"/>
      <c r="F7030" s="60"/>
      <c r="G7030" s="62"/>
      <c r="H7030" s="60"/>
    </row>
    <row r="7031" spans="1:8">
      <c r="A7031" s="60"/>
      <c r="B7031" s="77"/>
      <c r="C7031" s="60"/>
      <c r="D7031" s="81"/>
      <c r="E7031" s="62"/>
      <c r="F7031" s="60"/>
      <c r="G7031" s="62"/>
      <c r="H7031" s="60"/>
    </row>
    <row r="7032" spans="1:8">
      <c r="A7032" s="60"/>
      <c r="B7032" s="77"/>
      <c r="C7032" s="60"/>
      <c r="D7032" s="81"/>
      <c r="E7032" s="62"/>
      <c r="F7032" s="60"/>
      <c r="G7032" s="62"/>
      <c r="H7032" s="60"/>
    </row>
    <row r="7033" spans="1:8">
      <c r="A7033" s="60"/>
      <c r="B7033" s="77"/>
      <c r="C7033" s="60"/>
      <c r="D7033" s="81"/>
      <c r="E7033" s="62"/>
      <c r="F7033" s="60"/>
      <c r="G7033" s="62"/>
      <c r="H7033" s="60"/>
    </row>
    <row r="7034" spans="1:8">
      <c r="A7034" s="60"/>
      <c r="B7034" s="77"/>
      <c r="C7034" s="60"/>
      <c r="D7034" s="81"/>
      <c r="E7034" s="62"/>
      <c r="F7034" s="60"/>
      <c r="G7034" s="62"/>
      <c r="H7034" s="60"/>
    </row>
    <row r="7035" spans="1:8">
      <c r="A7035" s="60"/>
      <c r="B7035" s="77"/>
      <c r="C7035" s="60"/>
      <c r="D7035" s="81"/>
      <c r="E7035" s="62"/>
      <c r="F7035" s="60"/>
      <c r="G7035" s="62"/>
      <c r="H7035" s="60"/>
    </row>
    <row r="7036" spans="1:8">
      <c r="A7036" s="60"/>
      <c r="B7036" s="77"/>
      <c r="C7036" s="60"/>
      <c r="D7036" s="81"/>
      <c r="E7036" s="62"/>
      <c r="F7036" s="60"/>
      <c r="G7036" s="62"/>
      <c r="H7036" s="60"/>
    </row>
    <row r="7037" spans="1:8">
      <c r="A7037" s="60"/>
      <c r="B7037" s="77"/>
      <c r="C7037" s="60"/>
      <c r="D7037" s="81"/>
      <c r="E7037" s="62"/>
      <c r="F7037" s="60"/>
      <c r="G7037" s="62"/>
      <c r="H7037" s="60"/>
    </row>
    <row r="7038" spans="1:8">
      <c r="A7038" s="60"/>
      <c r="B7038" s="77"/>
      <c r="C7038" s="60"/>
      <c r="D7038" s="81"/>
      <c r="E7038" s="62"/>
      <c r="F7038" s="60"/>
      <c r="G7038" s="62"/>
      <c r="H7038" s="60"/>
    </row>
    <row r="7039" spans="1:8">
      <c r="A7039" s="60"/>
      <c r="B7039" s="77"/>
      <c r="C7039" s="60"/>
      <c r="D7039" s="81"/>
      <c r="E7039" s="62"/>
      <c r="F7039" s="60"/>
      <c r="G7039" s="62"/>
      <c r="H7039" s="60"/>
    </row>
    <row r="7040" spans="1:8">
      <c r="A7040" s="60"/>
      <c r="B7040" s="77"/>
      <c r="C7040" s="60"/>
      <c r="D7040" s="81"/>
      <c r="E7040" s="62"/>
      <c r="F7040" s="60"/>
      <c r="G7040" s="62"/>
      <c r="H7040" s="60"/>
    </row>
    <row r="7041" spans="1:8">
      <c r="A7041" s="60"/>
      <c r="B7041" s="77"/>
      <c r="C7041" s="60"/>
      <c r="D7041" s="81"/>
      <c r="E7041" s="62"/>
      <c r="F7041" s="60"/>
      <c r="G7041" s="62"/>
      <c r="H7041" s="60"/>
    </row>
    <row r="7042" spans="1:8">
      <c r="A7042" s="60"/>
      <c r="B7042" s="77"/>
      <c r="C7042" s="60"/>
      <c r="D7042" s="81"/>
      <c r="E7042" s="62"/>
      <c r="F7042" s="60"/>
      <c r="G7042" s="62"/>
      <c r="H7042" s="60"/>
    </row>
    <row r="7043" spans="1:8">
      <c r="A7043" s="60"/>
      <c r="B7043" s="77"/>
      <c r="C7043" s="60"/>
      <c r="D7043" s="81"/>
      <c r="E7043" s="62"/>
      <c r="F7043" s="60"/>
      <c r="G7043" s="62"/>
      <c r="H7043" s="60"/>
    </row>
    <row r="7044" spans="1:8">
      <c r="A7044" s="60"/>
      <c r="B7044" s="77"/>
      <c r="C7044" s="60"/>
      <c r="D7044" s="81"/>
      <c r="E7044" s="62"/>
      <c r="F7044" s="60"/>
      <c r="G7044" s="62"/>
      <c r="H7044" s="60"/>
    </row>
    <row r="7045" spans="1:8">
      <c r="A7045" s="60"/>
      <c r="B7045" s="77"/>
      <c r="C7045" s="60"/>
      <c r="D7045" s="81"/>
      <c r="E7045" s="62"/>
      <c r="F7045" s="60"/>
      <c r="G7045" s="62"/>
      <c r="H7045" s="60"/>
    </row>
    <row r="7046" spans="1:8">
      <c r="A7046" s="60"/>
      <c r="B7046" s="77"/>
      <c r="C7046" s="60"/>
      <c r="D7046" s="81"/>
      <c r="E7046" s="62"/>
      <c r="F7046" s="60"/>
      <c r="G7046" s="62"/>
      <c r="H7046" s="60"/>
    </row>
    <row r="7047" spans="1:8">
      <c r="A7047" s="60"/>
      <c r="B7047" s="77"/>
      <c r="C7047" s="60"/>
      <c r="D7047" s="81"/>
      <c r="E7047" s="62"/>
      <c r="F7047" s="60"/>
      <c r="G7047" s="62"/>
      <c r="H7047" s="60"/>
    </row>
    <row r="7048" spans="1:8">
      <c r="A7048" s="60"/>
      <c r="B7048" s="77"/>
      <c r="C7048" s="60"/>
      <c r="D7048" s="81"/>
      <c r="E7048" s="62"/>
      <c r="F7048" s="60"/>
      <c r="G7048" s="62"/>
      <c r="H7048" s="60"/>
    </row>
    <row r="7049" spans="1:8">
      <c r="A7049" s="60"/>
      <c r="B7049" s="77"/>
      <c r="C7049" s="60"/>
      <c r="D7049" s="81"/>
      <c r="E7049" s="62"/>
      <c r="F7049" s="60"/>
      <c r="G7049" s="62"/>
      <c r="H7049" s="60"/>
    </row>
    <row r="7050" spans="1:8">
      <c r="A7050" s="60"/>
      <c r="B7050" s="77"/>
      <c r="C7050" s="60"/>
      <c r="D7050" s="81"/>
      <c r="E7050" s="62"/>
      <c r="F7050" s="60"/>
      <c r="G7050" s="62"/>
      <c r="H7050" s="60"/>
    </row>
    <row r="7051" spans="1:8">
      <c r="A7051" s="60"/>
      <c r="B7051" s="77"/>
      <c r="C7051" s="60"/>
      <c r="D7051" s="81"/>
      <c r="E7051" s="62"/>
      <c r="F7051" s="60"/>
      <c r="G7051" s="62"/>
      <c r="H7051" s="60"/>
    </row>
    <row r="7052" spans="1:8">
      <c r="A7052" s="60"/>
      <c r="B7052" s="77"/>
      <c r="C7052" s="60"/>
      <c r="D7052" s="81"/>
      <c r="E7052" s="62"/>
      <c r="F7052" s="60"/>
      <c r="G7052" s="62"/>
      <c r="H7052" s="60"/>
    </row>
    <row r="7053" spans="1:8">
      <c r="A7053" s="60"/>
      <c r="B7053" s="77"/>
      <c r="C7053" s="60"/>
      <c r="D7053" s="81"/>
      <c r="E7053" s="62"/>
      <c r="F7053" s="60"/>
      <c r="G7053" s="62"/>
      <c r="H7053" s="60"/>
    </row>
    <row r="7054" spans="1:8">
      <c r="A7054" s="60"/>
      <c r="B7054" s="77"/>
      <c r="C7054" s="60"/>
      <c r="D7054" s="81"/>
      <c r="E7054" s="62"/>
      <c r="F7054" s="60"/>
      <c r="G7054" s="62"/>
      <c r="H7054" s="60"/>
    </row>
    <row r="7055" spans="1:8">
      <c r="A7055" s="60"/>
      <c r="B7055" s="77"/>
      <c r="C7055" s="60"/>
      <c r="D7055" s="81"/>
      <c r="E7055" s="62"/>
      <c r="F7055" s="60"/>
      <c r="G7055" s="62"/>
      <c r="H7055" s="60"/>
    </row>
    <row r="7056" spans="1:8">
      <c r="A7056" s="60"/>
      <c r="B7056" s="77"/>
      <c r="C7056" s="60"/>
      <c r="D7056" s="81"/>
      <c r="E7056" s="62"/>
      <c r="F7056" s="60"/>
      <c r="G7056" s="62"/>
      <c r="H7056" s="60"/>
    </row>
    <row r="7057" spans="1:8">
      <c r="A7057" s="60"/>
      <c r="B7057" s="77"/>
      <c r="C7057" s="60"/>
      <c r="D7057" s="81"/>
      <c r="E7057" s="62"/>
      <c r="F7057" s="60"/>
      <c r="G7057" s="62"/>
      <c r="H7057" s="60"/>
    </row>
    <row r="7058" spans="1:8">
      <c r="A7058" s="60"/>
      <c r="B7058" s="77"/>
      <c r="C7058" s="60"/>
      <c r="D7058" s="81"/>
      <c r="E7058" s="62"/>
      <c r="F7058" s="60"/>
      <c r="G7058" s="62"/>
      <c r="H7058" s="60"/>
    </row>
    <row r="7059" spans="1:8">
      <c r="A7059" s="60"/>
      <c r="B7059" s="77"/>
      <c r="C7059" s="60"/>
      <c r="D7059" s="81"/>
      <c r="E7059" s="62"/>
      <c r="F7059" s="60"/>
      <c r="G7059" s="62"/>
      <c r="H7059" s="60"/>
    </row>
    <row r="7060" spans="1:8">
      <c r="A7060" s="60"/>
      <c r="B7060" s="77"/>
      <c r="C7060" s="60"/>
      <c r="D7060" s="81"/>
      <c r="E7060" s="62"/>
      <c r="F7060" s="60"/>
      <c r="G7060" s="62"/>
      <c r="H7060" s="60"/>
    </row>
    <row r="7061" spans="1:8">
      <c r="A7061" s="60"/>
      <c r="B7061" s="77"/>
      <c r="C7061" s="60"/>
      <c r="D7061" s="81"/>
      <c r="E7061" s="62"/>
      <c r="F7061" s="60"/>
      <c r="G7061" s="62"/>
      <c r="H7061" s="60"/>
    </row>
    <row r="7062" spans="1:8">
      <c r="A7062" s="60"/>
      <c r="B7062" s="77"/>
      <c r="C7062" s="60"/>
      <c r="D7062" s="81"/>
      <c r="E7062" s="62"/>
      <c r="F7062" s="60"/>
      <c r="G7062" s="62"/>
      <c r="H7062" s="60"/>
    </row>
    <row r="7063" spans="1:8">
      <c r="A7063" s="60"/>
      <c r="B7063" s="77"/>
      <c r="C7063" s="60"/>
      <c r="D7063" s="81"/>
      <c r="E7063" s="62"/>
      <c r="F7063" s="60"/>
      <c r="G7063" s="62"/>
      <c r="H7063" s="60"/>
    </row>
    <row r="7064" spans="1:8">
      <c r="A7064" s="60"/>
      <c r="B7064" s="77"/>
      <c r="C7064" s="60"/>
      <c r="D7064" s="81"/>
      <c r="E7064" s="62"/>
      <c r="F7064" s="60"/>
      <c r="G7064" s="62"/>
      <c r="H7064" s="60"/>
    </row>
    <row r="7065" spans="1:8">
      <c r="A7065" s="60"/>
      <c r="B7065" s="77"/>
      <c r="C7065" s="60"/>
      <c r="D7065" s="81"/>
      <c r="E7065" s="62"/>
      <c r="F7065" s="60"/>
      <c r="G7065" s="62"/>
      <c r="H7065" s="60"/>
    </row>
    <row r="7066" spans="1:8">
      <c r="A7066" s="60"/>
      <c r="B7066" s="77"/>
      <c r="C7066" s="60"/>
      <c r="D7066" s="81"/>
      <c r="E7066" s="62"/>
      <c r="F7066" s="60"/>
      <c r="G7066" s="62"/>
      <c r="H7066" s="60"/>
    </row>
    <row r="7067" spans="1:8">
      <c r="A7067" s="60"/>
      <c r="B7067" s="77"/>
      <c r="C7067" s="60"/>
      <c r="D7067" s="81"/>
      <c r="E7067" s="62"/>
      <c r="F7067" s="60"/>
      <c r="G7067" s="62"/>
      <c r="H7067" s="60"/>
    </row>
    <row r="7068" spans="1:8">
      <c r="A7068" s="60"/>
      <c r="B7068" s="77"/>
      <c r="C7068" s="60"/>
      <c r="D7068" s="81"/>
      <c r="E7068" s="62"/>
      <c r="F7068" s="60"/>
      <c r="G7068" s="62"/>
      <c r="H7068" s="60"/>
    </row>
    <row r="7069" spans="1:8">
      <c r="A7069" s="60"/>
      <c r="B7069" s="77"/>
      <c r="C7069" s="60"/>
      <c r="D7069" s="81"/>
      <c r="E7069" s="62"/>
      <c r="F7069" s="60"/>
      <c r="G7069" s="62"/>
      <c r="H7069" s="60"/>
    </row>
    <row r="7070" spans="1:8">
      <c r="A7070" s="60"/>
      <c r="B7070" s="77"/>
      <c r="C7070" s="60"/>
      <c r="D7070" s="81"/>
      <c r="E7070" s="62"/>
      <c r="F7070" s="60"/>
      <c r="G7070" s="62"/>
      <c r="H7070" s="60"/>
    </row>
    <row r="7071" spans="1:8">
      <c r="A7071" s="60"/>
      <c r="B7071" s="77"/>
      <c r="C7071" s="60"/>
      <c r="D7071" s="81"/>
      <c r="E7071" s="62"/>
      <c r="F7071" s="60"/>
      <c r="G7071" s="62"/>
      <c r="H7071" s="60"/>
    </row>
    <row r="7072" spans="1:8">
      <c r="A7072" s="60"/>
      <c r="B7072" s="77"/>
      <c r="C7072" s="60"/>
      <c r="D7072" s="81"/>
      <c r="E7072" s="62"/>
      <c r="F7072" s="60"/>
      <c r="G7072" s="62"/>
      <c r="H7072" s="60"/>
    </row>
    <row r="7073" spans="1:8">
      <c r="A7073" s="60"/>
      <c r="B7073" s="77"/>
      <c r="C7073" s="60"/>
      <c r="D7073" s="81"/>
      <c r="E7073" s="62"/>
      <c r="F7073" s="60"/>
      <c r="G7073" s="62"/>
      <c r="H7073" s="60"/>
    </row>
    <row r="7074" spans="1:8">
      <c r="A7074" s="60"/>
      <c r="B7074" s="77"/>
      <c r="C7074" s="60"/>
      <c r="D7074" s="81"/>
      <c r="E7074" s="62"/>
      <c r="F7074" s="60"/>
      <c r="G7074" s="62"/>
      <c r="H7074" s="60"/>
    </row>
    <row r="7075" spans="1:8">
      <c r="A7075" s="60"/>
      <c r="B7075" s="77"/>
      <c r="C7075" s="60"/>
      <c r="D7075" s="81"/>
      <c r="E7075" s="62"/>
      <c r="F7075" s="60"/>
      <c r="G7075" s="62"/>
      <c r="H7075" s="60"/>
    </row>
    <row r="7076" spans="1:8">
      <c r="A7076" s="60"/>
      <c r="B7076" s="77"/>
      <c r="C7076" s="60"/>
      <c r="D7076" s="81"/>
      <c r="E7076" s="62"/>
      <c r="F7076" s="60"/>
      <c r="G7076" s="62"/>
      <c r="H7076" s="60"/>
    </row>
    <row r="7077" spans="1:8">
      <c r="A7077" s="60"/>
      <c r="B7077" s="77"/>
      <c r="C7077" s="60"/>
      <c r="D7077" s="81"/>
      <c r="E7077" s="62"/>
      <c r="F7077" s="60"/>
      <c r="G7077" s="62"/>
      <c r="H7077" s="60"/>
    </row>
    <row r="7078" spans="1:8">
      <c r="A7078" s="60"/>
      <c r="B7078" s="77"/>
      <c r="C7078" s="60"/>
      <c r="D7078" s="81"/>
      <c r="E7078" s="62"/>
      <c r="F7078" s="60"/>
      <c r="G7078" s="62"/>
      <c r="H7078" s="60"/>
    </row>
    <row r="7079" spans="1:8">
      <c r="A7079" s="60"/>
      <c r="B7079" s="77"/>
      <c r="C7079" s="60"/>
      <c r="D7079" s="81"/>
      <c r="E7079" s="62"/>
      <c r="F7079" s="60"/>
      <c r="G7079" s="62"/>
      <c r="H7079" s="60"/>
    </row>
    <row r="7080" spans="1:8">
      <c r="A7080" s="60"/>
      <c r="B7080" s="77"/>
      <c r="C7080" s="60"/>
      <c r="D7080" s="81"/>
      <c r="E7080" s="62"/>
      <c r="F7080" s="60"/>
      <c r="G7080" s="62"/>
      <c r="H7080" s="60"/>
    </row>
    <row r="7081" spans="1:8">
      <c r="A7081" s="60"/>
      <c r="B7081" s="77"/>
      <c r="C7081" s="60"/>
      <c r="D7081" s="81"/>
      <c r="E7081" s="62"/>
      <c r="F7081" s="60"/>
      <c r="G7081" s="62"/>
      <c r="H7081" s="60"/>
    </row>
    <row r="7082" spans="1:8">
      <c r="A7082" s="60"/>
      <c r="B7082" s="77"/>
      <c r="C7082" s="60"/>
      <c r="D7082" s="81"/>
      <c r="E7082" s="62"/>
      <c r="F7082" s="60"/>
      <c r="G7082" s="62"/>
      <c r="H7082" s="60"/>
    </row>
    <row r="7083" spans="1:8">
      <c r="A7083" s="60"/>
      <c r="B7083" s="77"/>
      <c r="C7083" s="60"/>
      <c r="D7083" s="81"/>
      <c r="E7083" s="62"/>
      <c r="F7083" s="60"/>
      <c r="G7083" s="62"/>
      <c r="H7083" s="60"/>
    </row>
    <row r="7084" spans="1:8">
      <c r="A7084" s="60"/>
      <c r="B7084" s="77"/>
      <c r="C7084" s="60"/>
      <c r="D7084" s="81"/>
      <c r="E7084" s="62"/>
      <c r="F7084" s="60"/>
      <c r="G7084" s="62"/>
      <c r="H7084" s="60"/>
    </row>
    <row r="7085" spans="1:8">
      <c r="A7085" s="60"/>
      <c r="B7085" s="77"/>
      <c r="C7085" s="60"/>
      <c r="D7085" s="81"/>
      <c r="E7085" s="62"/>
      <c r="F7085" s="60"/>
      <c r="G7085" s="62"/>
      <c r="H7085" s="60"/>
    </row>
    <row r="7086" spans="1:8">
      <c r="A7086" s="60"/>
      <c r="B7086" s="77"/>
      <c r="C7086" s="60"/>
      <c r="D7086" s="81"/>
      <c r="E7086" s="62"/>
      <c r="F7086" s="60"/>
      <c r="G7086" s="62"/>
      <c r="H7086" s="60"/>
    </row>
    <row r="7087" spans="1:8">
      <c r="A7087" s="60"/>
      <c r="B7087" s="77"/>
      <c r="C7087" s="60"/>
      <c r="D7087" s="81"/>
      <c r="E7087" s="62"/>
      <c r="F7087" s="60"/>
      <c r="G7087" s="62"/>
      <c r="H7087" s="60"/>
    </row>
    <row r="7088" spans="1:8">
      <c r="A7088" s="60"/>
      <c r="B7088" s="77"/>
      <c r="C7088" s="60"/>
      <c r="D7088" s="81"/>
      <c r="E7088" s="62"/>
      <c r="F7088" s="60"/>
      <c r="G7088" s="62"/>
      <c r="H7088" s="60"/>
    </row>
    <row r="7089" spans="1:8">
      <c r="A7089" s="60"/>
      <c r="B7089" s="77"/>
      <c r="C7089" s="60"/>
      <c r="D7089" s="81"/>
      <c r="E7089" s="62"/>
      <c r="F7089" s="60"/>
      <c r="G7089" s="62"/>
      <c r="H7089" s="60"/>
    </row>
    <row r="7090" spans="1:8">
      <c r="A7090" s="60"/>
      <c r="B7090" s="77"/>
      <c r="C7090" s="60"/>
      <c r="D7090" s="81"/>
      <c r="E7090" s="62"/>
      <c r="F7090" s="60"/>
      <c r="G7090" s="62"/>
      <c r="H7090" s="60"/>
    </row>
    <row r="7091" spans="1:8">
      <c r="A7091" s="60"/>
      <c r="B7091" s="77"/>
      <c r="C7091" s="60"/>
      <c r="D7091" s="81"/>
      <c r="E7091" s="62"/>
      <c r="F7091" s="60"/>
      <c r="G7091" s="62"/>
      <c r="H7091" s="60"/>
    </row>
    <row r="7092" spans="1:8">
      <c r="A7092" s="60"/>
      <c r="B7092" s="77"/>
      <c r="C7092" s="60"/>
      <c r="D7092" s="81"/>
      <c r="E7092" s="62"/>
      <c r="F7092" s="60"/>
      <c r="G7092" s="62"/>
      <c r="H7092" s="60"/>
    </row>
    <row r="7093" spans="1:8">
      <c r="A7093" s="60"/>
      <c r="B7093" s="77"/>
      <c r="C7093" s="60"/>
      <c r="D7093" s="81"/>
      <c r="E7093" s="62"/>
      <c r="F7093" s="60"/>
      <c r="G7093" s="62"/>
      <c r="H7093" s="60"/>
    </row>
    <row r="7094" spans="1:8">
      <c r="A7094" s="60"/>
      <c r="B7094" s="77"/>
      <c r="C7094" s="60"/>
      <c r="D7094" s="81"/>
      <c r="E7094" s="62"/>
      <c r="F7094" s="60"/>
      <c r="G7094" s="62"/>
      <c r="H7094" s="60"/>
    </row>
    <row r="7095" spans="1:8">
      <c r="A7095" s="60"/>
      <c r="B7095" s="77"/>
      <c r="C7095" s="60"/>
      <c r="D7095" s="81"/>
      <c r="E7095" s="62"/>
      <c r="F7095" s="60"/>
      <c r="G7095" s="62"/>
      <c r="H7095" s="60"/>
    </row>
    <row r="7096" spans="1:8">
      <c r="A7096" s="60"/>
      <c r="B7096" s="77"/>
      <c r="C7096" s="60"/>
      <c r="D7096" s="81"/>
      <c r="E7096" s="62"/>
      <c r="F7096" s="60"/>
      <c r="G7096" s="62"/>
      <c r="H7096" s="60"/>
    </row>
    <row r="7097" spans="1:8">
      <c r="A7097" s="60"/>
      <c r="B7097" s="77"/>
      <c r="C7097" s="60"/>
      <c r="D7097" s="81"/>
      <c r="E7097" s="62"/>
      <c r="F7097" s="60"/>
      <c r="G7097" s="62"/>
      <c r="H7097" s="60"/>
    </row>
    <row r="7098" spans="1:8">
      <c r="A7098" s="60"/>
      <c r="B7098" s="77"/>
      <c r="C7098" s="60"/>
      <c r="D7098" s="81"/>
      <c r="E7098" s="62"/>
      <c r="F7098" s="60"/>
      <c r="G7098" s="62"/>
      <c r="H7098" s="60"/>
    </row>
    <row r="7099" spans="1:8">
      <c r="A7099" s="60"/>
      <c r="B7099" s="77"/>
      <c r="C7099" s="60"/>
      <c r="D7099" s="81"/>
      <c r="E7099" s="62"/>
      <c r="F7099" s="60"/>
      <c r="G7099" s="62"/>
      <c r="H7099" s="60"/>
    </row>
    <row r="7100" spans="1:8">
      <c r="A7100" s="60"/>
      <c r="B7100" s="77"/>
      <c r="C7100" s="60"/>
      <c r="D7100" s="81"/>
      <c r="E7100" s="62"/>
      <c r="F7100" s="60"/>
      <c r="G7100" s="62"/>
      <c r="H7100" s="60"/>
    </row>
    <row r="7101" spans="1:8">
      <c r="A7101" s="60"/>
      <c r="B7101" s="77"/>
      <c r="C7101" s="60"/>
      <c r="D7101" s="81"/>
      <c r="E7101" s="62"/>
      <c r="F7101" s="60"/>
      <c r="G7101" s="62"/>
      <c r="H7101" s="60"/>
    </row>
    <row r="7102" spans="1:8">
      <c r="A7102" s="60"/>
      <c r="B7102" s="77"/>
      <c r="C7102" s="60"/>
      <c r="D7102" s="81"/>
      <c r="E7102" s="62"/>
      <c r="F7102" s="60"/>
      <c r="G7102" s="62"/>
      <c r="H7102" s="60"/>
    </row>
    <row r="7103" spans="1:8">
      <c r="A7103" s="60"/>
      <c r="B7103" s="77"/>
      <c r="C7103" s="60"/>
      <c r="D7103" s="81"/>
      <c r="E7103" s="62"/>
      <c r="F7103" s="60"/>
      <c r="G7103" s="62"/>
      <c r="H7103" s="60"/>
    </row>
    <row r="7104" spans="1:8">
      <c r="A7104" s="60"/>
      <c r="B7104" s="77"/>
      <c r="C7104" s="60"/>
      <c r="D7104" s="81"/>
      <c r="E7104" s="62"/>
      <c r="F7104" s="60"/>
      <c r="G7104" s="62"/>
      <c r="H7104" s="60"/>
    </row>
    <row r="7105" spans="1:8">
      <c r="A7105" s="60"/>
      <c r="B7105" s="77"/>
      <c r="C7105" s="60"/>
      <c r="D7105" s="81"/>
      <c r="E7105" s="62"/>
      <c r="F7105" s="60"/>
      <c r="G7105" s="62"/>
      <c r="H7105" s="60"/>
    </row>
    <row r="7106" spans="1:8">
      <c r="A7106" s="60"/>
      <c r="B7106" s="77"/>
      <c r="C7106" s="60"/>
      <c r="D7106" s="81"/>
      <c r="E7106" s="62"/>
      <c r="F7106" s="60"/>
      <c r="G7106" s="62"/>
      <c r="H7106" s="60"/>
    </row>
    <row r="7107" spans="1:8">
      <c r="A7107" s="60"/>
      <c r="B7107" s="77"/>
      <c r="C7107" s="60"/>
      <c r="D7107" s="81"/>
      <c r="E7107" s="62"/>
      <c r="F7107" s="60"/>
      <c r="G7107" s="62"/>
      <c r="H7107" s="60"/>
    </row>
    <row r="7108" spans="1:8">
      <c r="A7108" s="60"/>
      <c r="B7108" s="77"/>
      <c r="C7108" s="60"/>
      <c r="D7108" s="81"/>
      <c r="E7108" s="62"/>
      <c r="F7108" s="60"/>
      <c r="G7108" s="62"/>
      <c r="H7108" s="60"/>
    </row>
    <row r="7109" spans="1:8">
      <c r="A7109" s="60"/>
      <c r="B7109" s="77"/>
      <c r="C7109" s="60"/>
      <c r="D7109" s="81"/>
      <c r="E7109" s="62"/>
      <c r="F7109" s="60"/>
      <c r="G7109" s="62"/>
      <c r="H7109" s="60"/>
    </row>
    <row r="7110" spans="1:8">
      <c r="A7110" s="60"/>
      <c r="B7110" s="77"/>
      <c r="C7110" s="60"/>
      <c r="D7110" s="81"/>
      <c r="E7110" s="62"/>
      <c r="F7110" s="60"/>
      <c r="G7110" s="62"/>
      <c r="H7110" s="60"/>
    </row>
    <row r="7111" spans="1:8">
      <c r="A7111" s="60"/>
      <c r="B7111" s="77"/>
      <c r="C7111" s="60"/>
      <c r="D7111" s="81"/>
      <c r="E7111" s="62"/>
      <c r="F7111" s="60"/>
      <c r="G7111" s="62"/>
      <c r="H7111" s="60"/>
    </row>
    <row r="7112" spans="1:8">
      <c r="A7112" s="60"/>
      <c r="B7112" s="77"/>
      <c r="C7112" s="60"/>
      <c r="D7112" s="81"/>
      <c r="E7112" s="62"/>
      <c r="F7112" s="60"/>
      <c r="G7112" s="62"/>
      <c r="H7112" s="60"/>
    </row>
    <row r="7113" spans="1:8">
      <c r="A7113" s="60"/>
      <c r="B7113" s="77"/>
      <c r="C7113" s="60"/>
      <c r="D7113" s="81"/>
      <c r="E7113" s="62"/>
      <c r="F7113" s="60"/>
      <c r="G7113" s="62"/>
      <c r="H7113" s="60"/>
    </row>
    <row r="7114" spans="1:8">
      <c r="A7114" s="60"/>
      <c r="B7114" s="77"/>
      <c r="C7114" s="60"/>
      <c r="D7114" s="81"/>
      <c r="E7114" s="62"/>
      <c r="F7114" s="60"/>
      <c r="G7114" s="62"/>
      <c r="H7114" s="60"/>
    </row>
    <row r="7115" spans="1:8">
      <c r="A7115" s="60"/>
      <c r="B7115" s="77"/>
      <c r="C7115" s="60"/>
      <c r="D7115" s="81"/>
      <c r="E7115" s="62"/>
      <c r="F7115" s="60"/>
      <c r="G7115" s="62"/>
      <c r="H7115" s="60"/>
    </row>
    <row r="7116" spans="1:8">
      <c r="A7116" s="60"/>
      <c r="B7116" s="77"/>
      <c r="C7116" s="60"/>
      <c r="D7116" s="81"/>
      <c r="E7116" s="62"/>
      <c r="F7116" s="60"/>
      <c r="G7116" s="62"/>
      <c r="H7116" s="60"/>
    </row>
    <row r="7117" spans="1:8">
      <c r="A7117" s="60"/>
      <c r="B7117" s="77"/>
      <c r="C7117" s="60"/>
      <c r="D7117" s="81"/>
      <c r="E7117" s="62"/>
      <c r="F7117" s="60"/>
      <c r="G7117" s="62"/>
      <c r="H7117" s="60"/>
    </row>
    <row r="7118" spans="1:8">
      <c r="A7118" s="60"/>
      <c r="B7118" s="77"/>
      <c r="C7118" s="60"/>
      <c r="D7118" s="81"/>
      <c r="E7118" s="62"/>
      <c r="F7118" s="60"/>
      <c r="G7118" s="62"/>
      <c r="H7118" s="60"/>
    </row>
    <row r="7119" spans="1:8">
      <c r="A7119" s="60"/>
      <c r="B7119" s="77"/>
      <c r="C7119" s="60"/>
      <c r="D7119" s="81"/>
      <c r="E7119" s="62"/>
      <c r="F7119" s="60"/>
      <c r="G7119" s="62"/>
      <c r="H7119" s="60"/>
    </row>
    <row r="7120" spans="1:8">
      <c r="A7120" s="60"/>
      <c r="B7120" s="77"/>
      <c r="C7120" s="60"/>
      <c r="D7120" s="81"/>
      <c r="E7120" s="62"/>
      <c r="F7120" s="60"/>
      <c r="G7120" s="62"/>
      <c r="H7120" s="60"/>
    </row>
    <row r="7121" spans="1:8">
      <c r="A7121" s="60"/>
      <c r="B7121" s="77"/>
      <c r="C7121" s="60"/>
      <c r="D7121" s="81"/>
      <c r="E7121" s="62"/>
      <c r="F7121" s="60"/>
      <c r="G7121" s="62"/>
      <c r="H7121" s="60"/>
    </row>
    <row r="7122" spans="1:8">
      <c r="A7122" s="60"/>
      <c r="B7122" s="77"/>
      <c r="C7122" s="60"/>
      <c r="D7122" s="81"/>
      <c r="E7122" s="62"/>
      <c r="F7122" s="60"/>
      <c r="G7122" s="62"/>
      <c r="H7122" s="60"/>
    </row>
    <row r="7123" spans="1:8">
      <c r="A7123" s="60"/>
      <c r="B7123" s="77"/>
      <c r="C7123" s="60"/>
      <c r="D7123" s="81"/>
      <c r="E7123" s="62"/>
      <c r="F7123" s="60"/>
      <c r="G7123" s="62"/>
      <c r="H7123" s="60"/>
    </row>
    <row r="7124" spans="1:8">
      <c r="A7124" s="60"/>
      <c r="B7124" s="77"/>
      <c r="C7124" s="60"/>
      <c r="D7124" s="81"/>
      <c r="E7124" s="62"/>
      <c r="F7124" s="60"/>
      <c r="G7124" s="62"/>
      <c r="H7124" s="60"/>
    </row>
    <row r="7125" spans="1:8">
      <c r="A7125" s="60"/>
      <c r="B7125" s="77"/>
      <c r="C7125" s="60"/>
      <c r="D7125" s="81"/>
      <c r="E7125" s="62"/>
      <c r="F7125" s="60"/>
      <c r="G7125" s="62"/>
      <c r="H7125" s="60"/>
    </row>
    <row r="7126" spans="1:8">
      <c r="A7126" s="60"/>
      <c r="B7126" s="77"/>
      <c r="C7126" s="60"/>
      <c r="D7126" s="81"/>
      <c r="E7126" s="62"/>
      <c r="F7126" s="60"/>
      <c r="G7126" s="62"/>
      <c r="H7126" s="60"/>
    </row>
    <row r="7127" spans="1:8">
      <c r="A7127" s="60"/>
      <c r="B7127" s="77"/>
      <c r="C7127" s="60"/>
      <c r="D7127" s="81"/>
      <c r="E7127" s="62"/>
      <c r="F7127" s="60"/>
      <c r="G7127" s="62"/>
      <c r="H7127" s="60"/>
    </row>
    <row r="7128" spans="1:8">
      <c r="A7128" s="60"/>
      <c r="B7128" s="77"/>
      <c r="C7128" s="60"/>
      <c r="D7128" s="81"/>
      <c r="E7128" s="62"/>
      <c r="F7128" s="60"/>
      <c r="G7128" s="62"/>
      <c r="H7128" s="60"/>
    </row>
    <row r="7129" spans="1:8">
      <c r="A7129" s="60"/>
      <c r="B7129" s="77"/>
      <c r="C7129" s="60"/>
      <c r="D7129" s="81"/>
      <c r="E7129" s="62"/>
      <c r="F7129" s="60"/>
      <c r="G7129" s="62"/>
      <c r="H7129" s="60"/>
    </row>
    <row r="7130" spans="1:8">
      <c r="A7130" s="60"/>
      <c r="B7130" s="77"/>
      <c r="C7130" s="60"/>
      <c r="D7130" s="81"/>
      <c r="E7130" s="62"/>
      <c r="F7130" s="60"/>
      <c r="G7130" s="62"/>
      <c r="H7130" s="60"/>
    </row>
    <row r="7131" spans="1:8">
      <c r="A7131" s="60"/>
      <c r="B7131" s="77"/>
      <c r="C7131" s="60"/>
      <c r="D7131" s="81"/>
      <c r="E7131" s="62"/>
      <c r="F7131" s="60"/>
      <c r="G7131" s="62"/>
      <c r="H7131" s="60"/>
    </row>
    <row r="7132" spans="1:8">
      <c r="A7132" s="60"/>
      <c r="B7132" s="77"/>
      <c r="C7132" s="60"/>
      <c r="D7132" s="81"/>
      <c r="E7132" s="62"/>
      <c r="F7132" s="60"/>
      <c r="G7132" s="62"/>
      <c r="H7132" s="60"/>
    </row>
    <row r="7133" spans="1:8">
      <c r="A7133" s="60"/>
      <c r="B7133" s="77"/>
      <c r="C7133" s="60"/>
      <c r="D7133" s="81"/>
      <c r="E7133" s="62"/>
      <c r="F7133" s="60"/>
      <c r="G7133" s="62"/>
      <c r="H7133" s="60"/>
    </row>
    <row r="7134" spans="1:8">
      <c r="A7134" s="60"/>
      <c r="B7134" s="77"/>
      <c r="C7134" s="60"/>
      <c r="D7134" s="81"/>
      <c r="E7134" s="62"/>
      <c r="F7134" s="60"/>
      <c r="G7134" s="62"/>
      <c r="H7134" s="60"/>
    </row>
    <row r="7135" spans="1:8">
      <c r="A7135" s="60"/>
      <c r="B7135" s="77"/>
      <c r="C7135" s="60"/>
      <c r="D7135" s="81"/>
      <c r="E7135" s="62"/>
      <c r="F7135" s="60"/>
      <c r="G7135" s="62"/>
      <c r="H7135" s="60"/>
    </row>
    <row r="7136" spans="1:8">
      <c r="A7136" s="60"/>
      <c r="B7136" s="77"/>
      <c r="C7136" s="60"/>
      <c r="D7136" s="81"/>
      <c r="E7136" s="62"/>
      <c r="F7136" s="60"/>
      <c r="G7136" s="62"/>
      <c r="H7136" s="60"/>
    </row>
    <row r="7137" spans="1:8">
      <c r="A7137" s="60"/>
      <c r="B7137" s="77"/>
      <c r="C7137" s="60"/>
      <c r="D7137" s="81"/>
      <c r="E7137" s="62"/>
      <c r="F7137" s="60"/>
      <c r="G7137" s="62"/>
      <c r="H7137" s="60"/>
    </row>
    <row r="7138" spans="1:8">
      <c r="A7138" s="60"/>
      <c r="B7138" s="77"/>
      <c r="C7138" s="60"/>
      <c r="D7138" s="81"/>
      <c r="E7138" s="62"/>
      <c r="F7138" s="60"/>
      <c r="G7138" s="62"/>
      <c r="H7138" s="60"/>
    </row>
    <row r="7139" spans="1:8">
      <c r="A7139" s="60"/>
      <c r="B7139" s="77"/>
      <c r="C7139" s="60"/>
      <c r="D7139" s="81"/>
      <c r="E7139" s="62"/>
      <c r="F7139" s="60"/>
      <c r="G7139" s="62"/>
      <c r="H7139" s="60"/>
    </row>
    <row r="7140" spans="1:8">
      <c r="A7140" s="60"/>
      <c r="B7140" s="77"/>
      <c r="C7140" s="60"/>
      <c r="D7140" s="81"/>
      <c r="E7140" s="62"/>
      <c r="F7140" s="60"/>
      <c r="G7140" s="62"/>
      <c r="H7140" s="60"/>
    </row>
    <row r="7141" spans="1:8">
      <c r="A7141" s="60"/>
      <c r="B7141" s="77"/>
      <c r="C7141" s="60"/>
      <c r="D7141" s="81"/>
      <c r="E7141" s="62"/>
      <c r="F7141" s="60"/>
      <c r="G7141" s="62"/>
      <c r="H7141" s="60"/>
    </row>
    <row r="7142" spans="1:8">
      <c r="A7142" s="60"/>
      <c r="B7142" s="77"/>
      <c r="C7142" s="60"/>
      <c r="D7142" s="81"/>
      <c r="E7142" s="62"/>
      <c r="F7142" s="60"/>
      <c r="G7142" s="62"/>
      <c r="H7142" s="60"/>
    </row>
    <row r="7143" spans="1:8">
      <c r="A7143" s="60"/>
      <c r="B7143" s="77"/>
      <c r="C7143" s="60"/>
      <c r="D7143" s="81"/>
      <c r="E7143" s="62"/>
      <c r="F7143" s="60"/>
      <c r="G7143" s="62"/>
      <c r="H7143" s="60"/>
    </row>
    <row r="7144" spans="1:8">
      <c r="A7144" s="60"/>
      <c r="B7144" s="77"/>
      <c r="C7144" s="60"/>
      <c r="D7144" s="81"/>
      <c r="E7144" s="62"/>
      <c r="F7144" s="60"/>
      <c r="G7144" s="62"/>
      <c r="H7144" s="60"/>
    </row>
    <row r="7145" spans="1:8">
      <c r="A7145" s="60"/>
      <c r="B7145" s="77"/>
      <c r="C7145" s="60"/>
      <c r="D7145" s="81"/>
      <c r="E7145" s="62"/>
      <c r="F7145" s="60"/>
      <c r="G7145" s="62"/>
      <c r="H7145" s="60"/>
    </row>
    <row r="7146" spans="1:8">
      <c r="A7146" s="60"/>
      <c r="B7146" s="77"/>
      <c r="C7146" s="60"/>
      <c r="D7146" s="81"/>
      <c r="E7146" s="62"/>
      <c r="F7146" s="60"/>
      <c r="G7146" s="62"/>
      <c r="H7146" s="60"/>
    </row>
    <row r="7147" spans="1:8">
      <c r="A7147" s="60"/>
      <c r="B7147" s="77"/>
      <c r="C7147" s="60"/>
      <c r="D7147" s="81"/>
      <c r="E7147" s="62"/>
      <c r="F7147" s="60"/>
      <c r="G7147" s="62"/>
      <c r="H7147" s="60"/>
    </row>
    <row r="7148" spans="1:8">
      <c r="A7148" s="60"/>
      <c r="B7148" s="77"/>
      <c r="C7148" s="60"/>
      <c r="D7148" s="81"/>
      <c r="E7148" s="62"/>
      <c r="F7148" s="60"/>
      <c r="G7148" s="62"/>
      <c r="H7148" s="60"/>
    </row>
    <row r="7149" spans="1:8">
      <c r="A7149" s="60"/>
      <c r="B7149" s="77"/>
      <c r="C7149" s="60"/>
      <c r="D7149" s="81"/>
      <c r="E7149" s="62"/>
      <c r="F7149" s="60"/>
      <c r="G7149" s="62"/>
      <c r="H7149" s="60"/>
    </row>
    <row r="7150" spans="1:8">
      <c r="A7150" s="60"/>
      <c r="B7150" s="77"/>
      <c r="C7150" s="60"/>
      <c r="D7150" s="81"/>
      <c r="E7150" s="62"/>
      <c r="F7150" s="60"/>
      <c r="G7150" s="62"/>
      <c r="H7150" s="60"/>
    </row>
    <row r="7151" spans="1:8">
      <c r="A7151" s="60"/>
      <c r="B7151" s="77"/>
      <c r="C7151" s="60"/>
      <c r="D7151" s="81"/>
      <c r="E7151" s="62"/>
      <c r="F7151" s="60"/>
      <c r="G7151" s="62"/>
      <c r="H7151" s="60"/>
    </row>
    <row r="7152" spans="1:8">
      <c r="A7152" s="60"/>
      <c r="B7152" s="77"/>
      <c r="C7152" s="60"/>
      <c r="D7152" s="81"/>
      <c r="E7152" s="62"/>
      <c r="F7152" s="60"/>
      <c r="G7152" s="62"/>
      <c r="H7152" s="60"/>
    </row>
    <row r="7153" spans="1:8">
      <c r="A7153" s="60"/>
      <c r="B7153" s="77"/>
      <c r="C7153" s="60"/>
      <c r="D7153" s="81"/>
      <c r="E7153" s="62"/>
      <c r="F7153" s="60"/>
      <c r="G7153" s="62"/>
      <c r="H7153" s="60"/>
    </row>
    <row r="7154" spans="1:8">
      <c r="A7154" s="60"/>
      <c r="B7154" s="77"/>
      <c r="C7154" s="60"/>
      <c r="D7154" s="81"/>
      <c r="E7154" s="62"/>
      <c r="F7154" s="60"/>
      <c r="G7154" s="62"/>
      <c r="H7154" s="60"/>
    </row>
    <row r="7155" spans="1:8">
      <c r="A7155" s="60"/>
      <c r="B7155" s="77"/>
      <c r="C7155" s="60"/>
      <c r="D7155" s="81"/>
      <c r="E7155" s="62"/>
      <c r="F7155" s="60"/>
      <c r="G7155" s="62"/>
      <c r="H7155" s="60"/>
    </row>
    <row r="7156" spans="1:8">
      <c r="A7156" s="60"/>
      <c r="B7156" s="77"/>
      <c r="C7156" s="60"/>
      <c r="D7156" s="81"/>
      <c r="E7156" s="62"/>
      <c r="F7156" s="60"/>
      <c r="G7156" s="62"/>
      <c r="H7156" s="60"/>
    </row>
    <row r="7157" spans="1:8">
      <c r="A7157" s="60"/>
      <c r="B7157" s="77"/>
      <c r="C7157" s="60"/>
      <c r="D7157" s="81"/>
      <c r="E7157" s="62"/>
      <c r="F7157" s="60"/>
      <c r="G7157" s="62"/>
      <c r="H7157" s="60"/>
    </row>
    <row r="7158" spans="1:8">
      <c r="A7158" s="60"/>
      <c r="B7158" s="77"/>
      <c r="C7158" s="60"/>
      <c r="D7158" s="81"/>
      <c r="E7158" s="62"/>
      <c r="F7158" s="60"/>
      <c r="G7158" s="62"/>
      <c r="H7158" s="60"/>
    </row>
    <row r="7159" spans="1:8">
      <c r="A7159" s="60"/>
      <c r="B7159" s="77"/>
      <c r="C7159" s="60"/>
      <c r="D7159" s="81"/>
      <c r="E7159" s="62"/>
      <c r="F7159" s="60"/>
      <c r="G7159" s="62"/>
      <c r="H7159" s="60"/>
    </row>
    <row r="7160" spans="1:8">
      <c r="A7160" s="60"/>
      <c r="B7160" s="77"/>
      <c r="C7160" s="60"/>
      <c r="D7160" s="81"/>
      <c r="E7160" s="62"/>
      <c r="F7160" s="60"/>
      <c r="G7160" s="62"/>
      <c r="H7160" s="60"/>
    </row>
    <row r="7161" spans="1:8">
      <c r="A7161" s="60"/>
      <c r="B7161" s="77"/>
      <c r="C7161" s="60"/>
      <c r="D7161" s="81"/>
      <c r="E7161" s="62"/>
      <c r="F7161" s="60"/>
      <c r="G7161" s="62"/>
      <c r="H7161" s="60"/>
    </row>
    <row r="7162" spans="1:8">
      <c r="A7162" s="60"/>
      <c r="B7162" s="77"/>
      <c r="C7162" s="60"/>
      <c r="D7162" s="81"/>
      <c r="E7162" s="62"/>
      <c r="F7162" s="60"/>
      <c r="G7162" s="62"/>
      <c r="H7162" s="60"/>
    </row>
    <row r="7163" spans="1:8">
      <c r="A7163" s="60"/>
      <c r="B7163" s="77"/>
      <c r="C7163" s="60"/>
      <c r="D7163" s="81"/>
      <c r="E7163" s="62"/>
      <c r="F7163" s="60"/>
      <c r="G7163" s="62"/>
      <c r="H7163" s="60"/>
    </row>
    <row r="7164" spans="1:8">
      <c r="A7164" s="60"/>
      <c r="B7164" s="77"/>
      <c r="C7164" s="60"/>
      <c r="D7164" s="81"/>
      <c r="E7164" s="62"/>
      <c r="F7164" s="60"/>
      <c r="G7164" s="62"/>
      <c r="H7164" s="60"/>
    </row>
    <row r="7165" spans="1:8">
      <c r="A7165" s="60"/>
      <c r="B7165" s="77"/>
      <c r="C7165" s="60"/>
      <c r="D7165" s="81"/>
      <c r="E7165" s="62"/>
      <c r="F7165" s="60"/>
      <c r="G7165" s="62"/>
      <c r="H7165" s="60"/>
    </row>
    <row r="7166" spans="1:8">
      <c r="A7166" s="60"/>
      <c r="B7166" s="77"/>
      <c r="C7166" s="60"/>
      <c r="D7166" s="81"/>
      <c r="E7166" s="62"/>
      <c r="F7166" s="60"/>
      <c r="G7166" s="62"/>
      <c r="H7166" s="60"/>
    </row>
    <row r="7167" spans="1:8">
      <c r="A7167" s="60"/>
      <c r="B7167" s="77"/>
      <c r="C7167" s="60"/>
      <c r="D7167" s="81"/>
      <c r="E7167" s="62"/>
      <c r="F7167" s="60"/>
      <c r="G7167" s="62"/>
      <c r="H7167" s="60"/>
    </row>
    <row r="7168" spans="1:8">
      <c r="A7168" s="60"/>
      <c r="B7168" s="77"/>
      <c r="C7168" s="60"/>
      <c r="D7168" s="81"/>
      <c r="E7168" s="62"/>
      <c r="F7168" s="60"/>
      <c r="G7168" s="62"/>
      <c r="H7168" s="60"/>
    </row>
    <row r="7169" spans="1:8">
      <c r="A7169" s="60"/>
      <c r="B7169" s="77"/>
      <c r="C7169" s="60"/>
      <c r="D7169" s="81"/>
      <c r="E7169" s="62"/>
      <c r="F7169" s="60"/>
      <c r="G7169" s="62"/>
      <c r="H7169" s="60"/>
    </row>
    <row r="7170" spans="1:8">
      <c r="A7170" s="60"/>
      <c r="B7170" s="77"/>
      <c r="C7170" s="60"/>
      <c r="D7170" s="81"/>
      <c r="E7170" s="62"/>
      <c r="F7170" s="60"/>
      <c r="G7170" s="62"/>
      <c r="H7170" s="60"/>
    </row>
    <row r="7171" spans="1:8">
      <c r="A7171" s="60"/>
      <c r="B7171" s="77"/>
      <c r="C7171" s="60"/>
      <c r="D7171" s="81"/>
      <c r="E7171" s="62"/>
      <c r="F7171" s="60"/>
      <c r="G7171" s="62"/>
      <c r="H7171" s="60"/>
    </row>
    <row r="7172" spans="1:8">
      <c r="A7172" s="60"/>
      <c r="B7172" s="77"/>
      <c r="C7172" s="60"/>
      <c r="D7172" s="81"/>
      <c r="E7172" s="62"/>
      <c r="F7172" s="60"/>
      <c r="G7172" s="62"/>
      <c r="H7172" s="60"/>
    </row>
    <row r="7173" spans="1:8">
      <c r="A7173" s="60"/>
      <c r="B7173" s="77"/>
      <c r="C7173" s="60"/>
      <c r="D7173" s="81"/>
      <c r="E7173" s="62"/>
      <c r="F7173" s="60"/>
      <c r="G7173" s="62"/>
      <c r="H7173" s="60"/>
    </row>
    <row r="7174" spans="1:8">
      <c r="A7174" s="60"/>
      <c r="B7174" s="77"/>
      <c r="C7174" s="60"/>
      <c r="D7174" s="81"/>
      <c r="E7174" s="62"/>
      <c r="F7174" s="60"/>
      <c r="G7174" s="62"/>
      <c r="H7174" s="60"/>
    </row>
    <row r="7175" spans="1:8">
      <c r="A7175" s="60"/>
      <c r="B7175" s="77"/>
      <c r="C7175" s="60"/>
      <c r="D7175" s="81"/>
      <c r="E7175" s="62"/>
      <c r="F7175" s="60"/>
      <c r="G7175" s="62"/>
      <c r="H7175" s="60"/>
    </row>
    <row r="7176" spans="1:8">
      <c r="A7176" s="60"/>
      <c r="B7176" s="77"/>
      <c r="C7176" s="60"/>
      <c r="D7176" s="81"/>
      <c r="E7176" s="62"/>
      <c r="F7176" s="60"/>
      <c r="G7176" s="62"/>
      <c r="H7176" s="60"/>
    </row>
    <row r="7177" spans="1:8">
      <c r="A7177" s="60"/>
      <c r="B7177" s="77"/>
      <c r="C7177" s="60"/>
      <c r="D7177" s="81"/>
      <c r="E7177" s="62"/>
      <c r="F7177" s="60"/>
      <c r="G7177" s="62"/>
      <c r="H7177" s="60"/>
    </row>
    <row r="7178" spans="1:8">
      <c r="A7178" s="60"/>
      <c r="B7178" s="77"/>
      <c r="C7178" s="60"/>
      <c r="D7178" s="81"/>
      <c r="E7178" s="62"/>
      <c r="F7178" s="60"/>
      <c r="G7178" s="62"/>
      <c r="H7178" s="60"/>
    </row>
    <row r="7179" spans="1:8">
      <c r="A7179" s="60"/>
      <c r="B7179" s="77"/>
      <c r="C7179" s="60"/>
      <c r="D7179" s="81"/>
      <c r="E7179" s="62"/>
      <c r="F7179" s="60"/>
      <c r="G7179" s="62"/>
      <c r="H7179" s="60"/>
    </row>
    <row r="7180" spans="1:8">
      <c r="A7180" s="60"/>
      <c r="B7180" s="77"/>
      <c r="C7180" s="60"/>
      <c r="D7180" s="81"/>
      <c r="E7180" s="62"/>
      <c r="F7180" s="60"/>
      <c r="G7180" s="62"/>
      <c r="H7180" s="60"/>
    </row>
    <row r="7181" spans="1:8">
      <c r="A7181" s="60"/>
      <c r="B7181" s="77"/>
      <c r="C7181" s="60"/>
      <c r="D7181" s="81"/>
      <c r="E7181" s="62"/>
      <c r="F7181" s="60"/>
      <c r="G7181" s="62"/>
      <c r="H7181" s="60"/>
    </row>
    <row r="7182" spans="1:8">
      <c r="A7182" s="60"/>
      <c r="B7182" s="77"/>
      <c r="C7182" s="60"/>
      <c r="D7182" s="81"/>
      <c r="E7182" s="62"/>
      <c r="F7182" s="60"/>
      <c r="G7182" s="62"/>
      <c r="H7182" s="60"/>
    </row>
    <row r="7183" spans="1:8">
      <c r="A7183" s="60"/>
      <c r="B7183" s="77"/>
      <c r="C7183" s="60"/>
      <c r="D7183" s="81"/>
      <c r="E7183" s="62"/>
      <c r="F7183" s="60"/>
      <c r="G7183" s="62"/>
      <c r="H7183" s="60"/>
    </row>
    <row r="7184" spans="1:8">
      <c r="A7184" s="60"/>
      <c r="B7184" s="77"/>
      <c r="C7184" s="60"/>
      <c r="D7184" s="81"/>
      <c r="E7184" s="62"/>
      <c r="F7184" s="60"/>
      <c r="G7184" s="62"/>
      <c r="H7184" s="60"/>
    </row>
    <row r="7185" spans="1:8">
      <c r="A7185" s="60"/>
      <c r="B7185" s="77"/>
      <c r="C7185" s="60"/>
      <c r="D7185" s="81"/>
      <c r="E7185" s="62"/>
      <c r="F7185" s="60"/>
      <c r="G7185" s="62"/>
      <c r="H7185" s="60"/>
    </row>
    <row r="7186" spans="1:8">
      <c r="A7186" s="60"/>
      <c r="B7186" s="77"/>
      <c r="C7186" s="60"/>
      <c r="D7186" s="81"/>
      <c r="E7186" s="62"/>
      <c r="F7186" s="60"/>
      <c r="G7186" s="62"/>
      <c r="H7186" s="60"/>
    </row>
    <row r="7187" spans="1:8">
      <c r="A7187" s="60"/>
      <c r="B7187" s="77"/>
      <c r="C7187" s="60"/>
      <c r="D7187" s="81"/>
      <c r="E7187" s="62"/>
      <c r="F7187" s="60"/>
      <c r="G7187" s="62"/>
      <c r="H7187" s="60"/>
    </row>
    <row r="7188" spans="1:8">
      <c r="A7188" s="60"/>
      <c r="B7188" s="77"/>
      <c r="C7188" s="60"/>
      <c r="D7188" s="81"/>
      <c r="E7188" s="62"/>
      <c r="F7188" s="60"/>
      <c r="G7188" s="62"/>
      <c r="H7188" s="60"/>
    </row>
    <row r="7189" spans="1:8">
      <c r="A7189" s="60"/>
      <c r="B7189" s="77"/>
      <c r="C7189" s="60"/>
      <c r="D7189" s="81"/>
      <c r="E7189" s="62"/>
      <c r="F7189" s="60"/>
      <c r="G7189" s="62"/>
      <c r="H7189" s="60"/>
    </row>
    <row r="7190" spans="1:8">
      <c r="A7190" s="60"/>
      <c r="B7190" s="77"/>
      <c r="C7190" s="60"/>
      <c r="D7190" s="81"/>
      <c r="E7190" s="62"/>
      <c r="F7190" s="60"/>
      <c r="G7190" s="62"/>
      <c r="H7190" s="60"/>
    </row>
    <row r="7191" spans="1:8">
      <c r="A7191" s="60"/>
      <c r="B7191" s="77"/>
      <c r="C7191" s="60"/>
      <c r="D7191" s="81"/>
      <c r="E7191" s="62"/>
      <c r="F7191" s="60"/>
      <c r="G7191" s="62"/>
      <c r="H7191" s="60"/>
    </row>
    <row r="7192" spans="1:8">
      <c r="A7192" s="60"/>
      <c r="B7192" s="77"/>
      <c r="C7192" s="60"/>
      <c r="D7192" s="81"/>
      <c r="E7192" s="62"/>
      <c r="F7192" s="60"/>
      <c r="G7192" s="62"/>
      <c r="H7192" s="60"/>
    </row>
    <row r="7193" spans="1:8">
      <c r="A7193" s="60"/>
      <c r="B7193" s="77"/>
      <c r="C7193" s="60"/>
      <c r="D7193" s="81"/>
      <c r="E7193" s="62"/>
      <c r="F7193" s="60"/>
      <c r="G7193" s="62"/>
      <c r="H7193" s="60"/>
    </row>
    <row r="7194" spans="1:8">
      <c r="A7194" s="60"/>
      <c r="B7194" s="77"/>
      <c r="C7194" s="60"/>
      <c r="D7194" s="81"/>
      <c r="E7194" s="62"/>
      <c r="F7194" s="60"/>
      <c r="G7194" s="62"/>
      <c r="H7194" s="60"/>
    </row>
    <row r="7195" spans="1:8">
      <c r="A7195" s="60"/>
      <c r="B7195" s="77"/>
      <c r="C7195" s="60"/>
      <c r="D7195" s="81"/>
      <c r="E7195" s="62"/>
      <c r="F7195" s="60"/>
      <c r="G7195" s="62"/>
      <c r="H7195" s="60"/>
    </row>
    <row r="7196" spans="1:8">
      <c r="A7196" s="60"/>
      <c r="B7196" s="77"/>
      <c r="C7196" s="60"/>
      <c r="D7196" s="81"/>
      <c r="E7196" s="62"/>
      <c r="F7196" s="60"/>
      <c r="G7196" s="62"/>
      <c r="H7196" s="60"/>
    </row>
    <row r="7197" spans="1:8">
      <c r="A7197" s="60"/>
      <c r="B7197" s="77"/>
      <c r="C7197" s="60"/>
      <c r="D7197" s="81"/>
      <c r="E7197" s="62"/>
      <c r="F7197" s="60"/>
      <c r="G7197" s="62"/>
      <c r="H7197" s="60"/>
    </row>
    <row r="7198" spans="1:8">
      <c r="A7198" s="60"/>
      <c r="B7198" s="77"/>
      <c r="C7198" s="60"/>
      <c r="D7198" s="81"/>
      <c r="E7198" s="62"/>
      <c r="F7198" s="60"/>
      <c r="G7198" s="62"/>
      <c r="H7198" s="60"/>
    </row>
    <row r="7199" spans="1:8">
      <c r="A7199" s="60"/>
      <c r="B7199" s="77"/>
      <c r="C7199" s="60"/>
      <c r="D7199" s="81"/>
      <c r="E7199" s="62"/>
      <c r="F7199" s="60"/>
      <c r="G7199" s="62"/>
      <c r="H7199" s="60"/>
    </row>
    <row r="7200" spans="1:8">
      <c r="A7200" s="60"/>
      <c r="B7200" s="77"/>
      <c r="C7200" s="60"/>
      <c r="D7200" s="81"/>
      <c r="E7200" s="62"/>
      <c r="F7200" s="60"/>
      <c r="G7200" s="62"/>
      <c r="H7200" s="60"/>
    </row>
    <row r="7201" spans="1:8">
      <c r="A7201" s="60"/>
      <c r="B7201" s="77"/>
      <c r="C7201" s="60"/>
      <c r="D7201" s="81"/>
      <c r="E7201" s="62"/>
      <c r="F7201" s="60"/>
      <c r="G7201" s="62"/>
      <c r="H7201" s="60"/>
    </row>
    <row r="7202" spans="1:8">
      <c r="A7202" s="60"/>
      <c r="B7202" s="77"/>
      <c r="C7202" s="60"/>
      <c r="D7202" s="81"/>
      <c r="E7202" s="62"/>
      <c r="F7202" s="60"/>
      <c r="G7202" s="62"/>
      <c r="H7202" s="60"/>
    </row>
    <row r="7203" spans="1:8">
      <c r="A7203" s="60"/>
      <c r="B7203" s="77"/>
      <c r="C7203" s="60"/>
      <c r="D7203" s="81"/>
      <c r="E7203" s="62"/>
      <c r="F7203" s="60"/>
      <c r="G7203" s="62"/>
      <c r="H7203" s="60"/>
    </row>
    <row r="7204" spans="1:8">
      <c r="A7204" s="60"/>
      <c r="B7204" s="77"/>
      <c r="C7204" s="60"/>
      <c r="D7204" s="81"/>
      <c r="E7204" s="62"/>
      <c r="F7204" s="60"/>
      <c r="G7204" s="62"/>
      <c r="H7204" s="60"/>
    </row>
    <row r="7205" spans="1:8">
      <c r="A7205" s="60"/>
      <c r="B7205" s="77"/>
      <c r="C7205" s="60"/>
      <c r="D7205" s="81"/>
      <c r="E7205" s="62"/>
      <c r="F7205" s="60"/>
      <c r="G7205" s="62"/>
      <c r="H7205" s="60"/>
    </row>
    <row r="7206" spans="1:8">
      <c r="A7206" s="60"/>
      <c r="B7206" s="77"/>
      <c r="C7206" s="60"/>
      <c r="D7206" s="81"/>
      <c r="E7206" s="62"/>
      <c r="F7206" s="60"/>
      <c r="G7206" s="62"/>
      <c r="H7206" s="60"/>
    </row>
    <row r="7207" spans="1:8">
      <c r="A7207" s="60"/>
      <c r="B7207" s="77"/>
      <c r="C7207" s="60"/>
      <c r="D7207" s="81"/>
      <c r="E7207" s="62"/>
      <c r="F7207" s="60"/>
      <c r="G7207" s="62"/>
      <c r="H7207" s="60"/>
    </row>
    <row r="7208" spans="1:8">
      <c r="A7208" s="60"/>
      <c r="B7208" s="77"/>
      <c r="C7208" s="60"/>
      <c r="D7208" s="81"/>
      <c r="E7208" s="62"/>
      <c r="F7208" s="60"/>
      <c r="G7208" s="62"/>
      <c r="H7208" s="60"/>
    </row>
    <row r="7209" spans="1:8">
      <c r="A7209" s="60"/>
      <c r="B7209" s="77"/>
      <c r="C7209" s="60"/>
      <c r="D7209" s="81"/>
      <c r="E7209" s="62"/>
      <c r="F7209" s="60"/>
      <c r="G7209" s="62"/>
      <c r="H7209" s="60"/>
    </row>
    <row r="7210" spans="1:8">
      <c r="A7210" s="60"/>
      <c r="B7210" s="77"/>
      <c r="C7210" s="60"/>
      <c r="D7210" s="81"/>
      <c r="E7210" s="62"/>
      <c r="F7210" s="60"/>
      <c r="G7210" s="62"/>
      <c r="H7210" s="60"/>
    </row>
    <row r="7211" spans="1:8">
      <c r="A7211" s="60"/>
      <c r="B7211" s="77"/>
      <c r="C7211" s="60"/>
      <c r="D7211" s="81"/>
      <c r="E7211" s="62"/>
      <c r="F7211" s="60"/>
      <c r="G7211" s="62"/>
      <c r="H7211" s="60"/>
    </row>
    <row r="7212" spans="1:8">
      <c r="A7212" s="60"/>
      <c r="B7212" s="77"/>
      <c r="C7212" s="60"/>
      <c r="D7212" s="81"/>
      <c r="E7212" s="62"/>
      <c r="F7212" s="60"/>
      <c r="G7212" s="62"/>
      <c r="H7212" s="60"/>
    </row>
    <row r="7213" spans="1:8">
      <c r="A7213" s="60"/>
      <c r="B7213" s="77"/>
      <c r="C7213" s="60"/>
      <c r="D7213" s="81"/>
      <c r="E7213" s="62"/>
      <c r="F7213" s="60"/>
      <c r="G7213" s="62"/>
      <c r="H7213" s="60"/>
    </row>
    <row r="7214" spans="1:8">
      <c r="A7214" s="60"/>
      <c r="B7214" s="77"/>
      <c r="C7214" s="60"/>
      <c r="D7214" s="81"/>
      <c r="E7214" s="62"/>
      <c r="F7214" s="60"/>
      <c r="G7214" s="62"/>
      <c r="H7214" s="60"/>
    </row>
    <row r="7215" spans="1:8">
      <c r="A7215" s="60"/>
      <c r="B7215" s="77"/>
      <c r="C7215" s="60"/>
      <c r="D7215" s="81"/>
      <c r="E7215" s="62"/>
      <c r="F7215" s="60"/>
      <c r="G7215" s="62"/>
      <c r="H7215" s="60"/>
    </row>
    <row r="7216" spans="1:8">
      <c r="A7216" s="60"/>
      <c r="B7216" s="77"/>
      <c r="C7216" s="60"/>
      <c r="D7216" s="81"/>
      <c r="E7216" s="62"/>
      <c r="F7216" s="60"/>
      <c r="G7216" s="62"/>
      <c r="H7216" s="60"/>
    </row>
    <row r="7217" spans="1:8">
      <c r="A7217" s="60"/>
      <c r="B7217" s="77"/>
      <c r="C7217" s="60"/>
      <c r="D7217" s="81"/>
      <c r="E7217" s="62"/>
      <c r="F7217" s="60"/>
      <c r="G7217" s="62"/>
      <c r="H7217" s="60"/>
    </row>
    <row r="7218" spans="1:8">
      <c r="A7218" s="60"/>
      <c r="B7218" s="77"/>
      <c r="C7218" s="60"/>
      <c r="D7218" s="81"/>
      <c r="E7218" s="62"/>
      <c r="F7218" s="60"/>
      <c r="G7218" s="62"/>
      <c r="H7218" s="60"/>
    </row>
    <row r="7219" spans="1:8">
      <c r="A7219" s="60"/>
      <c r="B7219" s="77"/>
      <c r="C7219" s="60"/>
      <c r="D7219" s="81"/>
      <c r="E7219" s="62"/>
      <c r="F7219" s="60"/>
      <c r="G7219" s="62"/>
      <c r="H7219" s="60"/>
    </row>
    <row r="7220" spans="1:8">
      <c r="A7220" s="60"/>
      <c r="B7220" s="77"/>
      <c r="C7220" s="60"/>
      <c r="D7220" s="81"/>
      <c r="E7220" s="62"/>
      <c r="F7220" s="60"/>
      <c r="G7220" s="62"/>
      <c r="H7220" s="60"/>
    </row>
    <row r="7221" spans="1:8">
      <c r="A7221" s="60"/>
      <c r="B7221" s="77"/>
      <c r="C7221" s="60"/>
      <c r="D7221" s="81"/>
      <c r="E7221" s="62"/>
      <c r="F7221" s="60"/>
      <c r="G7221" s="62"/>
      <c r="H7221" s="60"/>
    </row>
    <row r="7222" spans="1:8">
      <c r="A7222" s="60"/>
      <c r="B7222" s="77"/>
      <c r="C7222" s="60"/>
      <c r="D7222" s="81"/>
      <c r="E7222" s="62"/>
      <c r="F7222" s="60"/>
      <c r="G7222" s="62"/>
      <c r="H7222" s="60"/>
    </row>
    <row r="7223" spans="1:8">
      <c r="A7223" s="60"/>
      <c r="B7223" s="77"/>
      <c r="C7223" s="60"/>
      <c r="D7223" s="81"/>
      <c r="E7223" s="62"/>
      <c r="F7223" s="60"/>
      <c r="G7223" s="62"/>
      <c r="H7223" s="60"/>
    </row>
    <row r="7224" spans="1:8">
      <c r="A7224" s="60"/>
      <c r="B7224" s="77"/>
      <c r="C7224" s="60"/>
      <c r="D7224" s="81"/>
      <c r="E7224" s="62"/>
      <c r="F7224" s="60"/>
      <c r="G7224" s="62"/>
      <c r="H7224" s="60"/>
    </row>
    <row r="7225" spans="1:8">
      <c r="A7225" s="60"/>
      <c r="B7225" s="77"/>
      <c r="C7225" s="60"/>
      <c r="D7225" s="81"/>
      <c r="E7225" s="62"/>
      <c r="F7225" s="60"/>
      <c r="G7225" s="62"/>
      <c r="H7225" s="60"/>
    </row>
    <row r="7226" spans="1:8">
      <c r="A7226" s="60"/>
      <c r="B7226" s="77"/>
      <c r="C7226" s="60"/>
      <c r="D7226" s="81"/>
      <c r="E7226" s="62"/>
      <c r="F7226" s="60"/>
      <c r="G7226" s="62"/>
      <c r="H7226" s="60"/>
    </row>
    <row r="7227" spans="1:8">
      <c r="A7227" s="60"/>
      <c r="B7227" s="77"/>
      <c r="C7227" s="60"/>
      <c r="D7227" s="81"/>
      <c r="E7227" s="62"/>
      <c r="F7227" s="60"/>
      <c r="G7227" s="62"/>
      <c r="H7227" s="60"/>
    </row>
    <row r="7228" spans="1:8">
      <c r="A7228" s="60"/>
      <c r="B7228" s="77"/>
      <c r="C7228" s="60"/>
      <c r="D7228" s="81"/>
      <c r="E7228" s="62"/>
      <c r="F7228" s="60"/>
      <c r="G7228" s="62"/>
      <c r="H7228" s="60"/>
    </row>
    <row r="7229" spans="1:8">
      <c r="A7229" s="60"/>
      <c r="B7229" s="77"/>
      <c r="C7229" s="60"/>
      <c r="D7229" s="81"/>
      <c r="E7229" s="62"/>
      <c r="F7229" s="60"/>
      <c r="G7229" s="62"/>
      <c r="H7229" s="60"/>
    </row>
    <row r="7230" spans="1:8">
      <c r="A7230" s="60"/>
      <c r="B7230" s="77"/>
      <c r="C7230" s="60"/>
      <c r="D7230" s="81"/>
      <c r="E7230" s="62"/>
      <c r="F7230" s="60"/>
      <c r="G7230" s="62"/>
      <c r="H7230" s="60"/>
    </row>
    <row r="7231" spans="1:8">
      <c r="A7231" s="60"/>
      <c r="B7231" s="77"/>
      <c r="C7231" s="60"/>
      <c r="D7231" s="81"/>
      <c r="E7231" s="62"/>
      <c r="F7231" s="60"/>
      <c r="G7231" s="62"/>
      <c r="H7231" s="60"/>
    </row>
    <row r="7232" spans="1:8">
      <c r="A7232" s="60"/>
      <c r="B7232" s="77"/>
      <c r="C7232" s="60"/>
      <c r="D7232" s="81"/>
      <c r="E7232" s="62"/>
      <c r="F7232" s="60"/>
      <c r="G7232" s="62"/>
      <c r="H7232" s="60"/>
    </row>
    <row r="7233" spans="1:8">
      <c r="A7233" s="60"/>
      <c r="B7233" s="77"/>
      <c r="C7233" s="60"/>
      <c r="D7233" s="81"/>
      <c r="E7233" s="62"/>
      <c r="F7233" s="60"/>
      <c r="G7233" s="62"/>
      <c r="H7233" s="60"/>
    </row>
    <row r="7234" spans="1:8">
      <c r="A7234" s="60"/>
      <c r="B7234" s="77"/>
      <c r="C7234" s="60"/>
      <c r="D7234" s="81"/>
      <c r="E7234" s="62"/>
      <c r="F7234" s="60"/>
      <c r="G7234" s="62"/>
      <c r="H7234" s="60"/>
    </row>
    <row r="7235" spans="1:8">
      <c r="A7235" s="60"/>
      <c r="B7235" s="77"/>
      <c r="C7235" s="60"/>
      <c r="D7235" s="81"/>
      <c r="E7235" s="62"/>
      <c r="F7235" s="60"/>
      <c r="G7235" s="62"/>
      <c r="H7235" s="60"/>
    </row>
    <row r="7236" spans="1:8">
      <c r="A7236" s="60"/>
      <c r="B7236" s="77"/>
      <c r="C7236" s="60"/>
      <c r="D7236" s="81"/>
      <c r="E7236" s="62"/>
      <c r="F7236" s="60"/>
      <c r="G7236" s="62"/>
      <c r="H7236" s="60"/>
    </row>
    <row r="7237" spans="1:8">
      <c r="A7237" s="60"/>
      <c r="B7237" s="77"/>
      <c r="C7237" s="60"/>
      <c r="D7237" s="81"/>
      <c r="E7237" s="62"/>
      <c r="F7237" s="60"/>
      <c r="G7237" s="62"/>
      <c r="H7237" s="60"/>
    </row>
    <row r="7238" spans="1:8">
      <c r="A7238" s="60"/>
      <c r="B7238" s="77"/>
      <c r="C7238" s="60"/>
      <c r="D7238" s="81"/>
      <c r="E7238" s="62"/>
      <c r="F7238" s="60"/>
      <c r="G7238" s="62"/>
      <c r="H7238" s="60"/>
    </row>
    <row r="7239" spans="1:8">
      <c r="A7239" s="60"/>
      <c r="B7239" s="77"/>
      <c r="C7239" s="60"/>
      <c r="D7239" s="81"/>
      <c r="E7239" s="62"/>
      <c r="F7239" s="60"/>
      <c r="G7239" s="62"/>
      <c r="H7239" s="60"/>
    </row>
    <row r="7240" spans="1:8">
      <c r="A7240" s="60"/>
      <c r="B7240" s="77"/>
      <c r="C7240" s="60"/>
      <c r="D7240" s="81"/>
      <c r="E7240" s="62"/>
      <c r="F7240" s="60"/>
      <c r="G7240" s="62"/>
      <c r="H7240" s="60"/>
    </row>
    <row r="7241" spans="1:8">
      <c r="A7241" s="60"/>
      <c r="B7241" s="77"/>
      <c r="C7241" s="60"/>
      <c r="D7241" s="81"/>
      <c r="E7241" s="62"/>
      <c r="F7241" s="60"/>
      <c r="G7241" s="62"/>
      <c r="H7241" s="60"/>
    </row>
    <row r="7242" spans="1:8">
      <c r="A7242" s="60"/>
      <c r="B7242" s="77"/>
      <c r="C7242" s="60"/>
      <c r="D7242" s="81"/>
      <c r="E7242" s="62"/>
      <c r="F7242" s="60"/>
      <c r="G7242" s="62"/>
      <c r="H7242" s="60"/>
    </row>
    <row r="7243" spans="1:8">
      <c r="A7243" s="60"/>
      <c r="B7243" s="77"/>
      <c r="C7243" s="60"/>
      <c r="D7243" s="81"/>
      <c r="E7243" s="62"/>
      <c r="F7243" s="60"/>
      <c r="G7243" s="62"/>
      <c r="H7243" s="60"/>
    </row>
    <row r="7244" spans="1:8">
      <c r="A7244" s="60"/>
      <c r="B7244" s="77"/>
      <c r="C7244" s="60"/>
      <c r="D7244" s="81"/>
      <c r="E7244" s="62"/>
      <c r="F7244" s="60"/>
      <c r="G7244" s="62"/>
      <c r="H7244" s="60"/>
    </row>
    <row r="7245" spans="1:8">
      <c r="A7245" s="60"/>
      <c r="B7245" s="77"/>
      <c r="C7245" s="60"/>
      <c r="D7245" s="81"/>
      <c r="E7245" s="62"/>
      <c r="F7245" s="60"/>
      <c r="G7245" s="62"/>
      <c r="H7245" s="60"/>
    </row>
    <row r="7246" spans="1:8">
      <c r="A7246" s="60"/>
      <c r="B7246" s="77"/>
      <c r="C7246" s="60"/>
      <c r="D7246" s="81"/>
      <c r="E7246" s="62"/>
      <c r="F7246" s="60"/>
      <c r="G7246" s="62"/>
      <c r="H7246" s="60"/>
    </row>
    <row r="7247" spans="1:8">
      <c r="A7247" s="60"/>
      <c r="B7247" s="77"/>
      <c r="C7247" s="60"/>
      <c r="D7247" s="81"/>
      <c r="E7247" s="62"/>
      <c r="F7247" s="60"/>
      <c r="G7247" s="62"/>
      <c r="H7247" s="60"/>
    </row>
    <row r="7248" spans="1:8">
      <c r="A7248" s="60"/>
      <c r="B7248" s="77"/>
      <c r="C7248" s="60"/>
      <c r="D7248" s="81"/>
      <c r="E7248" s="62"/>
      <c r="F7248" s="60"/>
      <c r="G7248" s="62"/>
      <c r="H7248" s="60"/>
    </row>
    <row r="7249" spans="1:8">
      <c r="A7249" s="60"/>
      <c r="B7249" s="77"/>
      <c r="C7249" s="60"/>
      <c r="D7249" s="81"/>
      <c r="E7249" s="62"/>
      <c r="F7249" s="60"/>
      <c r="G7249" s="62"/>
      <c r="H7249" s="60"/>
    </row>
    <row r="7250" spans="1:8">
      <c r="A7250" s="60"/>
      <c r="B7250" s="77"/>
      <c r="C7250" s="60"/>
      <c r="D7250" s="81"/>
      <c r="E7250" s="62"/>
      <c r="F7250" s="60"/>
      <c r="G7250" s="62"/>
      <c r="H7250" s="60"/>
    </row>
    <row r="7251" spans="1:8">
      <c r="A7251" s="60"/>
      <c r="B7251" s="77"/>
      <c r="C7251" s="60"/>
      <c r="D7251" s="81"/>
      <c r="E7251" s="62"/>
      <c r="F7251" s="60"/>
      <c r="G7251" s="62"/>
      <c r="H7251" s="60"/>
    </row>
    <row r="7252" spans="1:8">
      <c r="A7252" s="60"/>
      <c r="B7252" s="77"/>
      <c r="C7252" s="60"/>
      <c r="D7252" s="81"/>
      <c r="E7252" s="62"/>
      <c r="F7252" s="60"/>
      <c r="G7252" s="62"/>
      <c r="H7252" s="60"/>
    </row>
    <row r="7253" spans="1:8">
      <c r="A7253" s="60"/>
      <c r="B7253" s="77"/>
      <c r="C7253" s="60"/>
      <c r="D7253" s="81"/>
      <c r="E7253" s="62"/>
      <c r="F7253" s="60"/>
      <c r="G7253" s="62"/>
      <c r="H7253" s="60"/>
    </row>
    <row r="7254" spans="1:8">
      <c r="A7254" s="60"/>
      <c r="B7254" s="77"/>
      <c r="C7254" s="60"/>
      <c r="D7254" s="81"/>
      <c r="E7254" s="62"/>
      <c r="F7254" s="60"/>
      <c r="G7254" s="62"/>
      <c r="H7254" s="60"/>
    </row>
    <row r="7255" spans="1:8">
      <c r="A7255" s="60"/>
      <c r="B7255" s="77"/>
      <c r="C7255" s="60"/>
      <c r="D7255" s="81"/>
      <c r="E7255" s="62"/>
      <c r="F7255" s="60"/>
      <c r="G7255" s="62"/>
      <c r="H7255" s="60"/>
    </row>
    <row r="7256" spans="1:8">
      <c r="A7256" s="60"/>
      <c r="B7256" s="77"/>
      <c r="C7256" s="60"/>
      <c r="D7256" s="81"/>
      <c r="E7256" s="62"/>
      <c r="F7256" s="60"/>
      <c r="G7256" s="62"/>
      <c r="H7256" s="60"/>
    </row>
    <row r="7257" spans="1:8">
      <c r="A7257" s="60"/>
      <c r="B7257" s="77"/>
      <c r="C7257" s="60"/>
      <c r="D7257" s="81"/>
      <c r="E7257" s="62"/>
      <c r="F7257" s="60"/>
      <c r="G7257" s="62"/>
      <c r="H7257" s="60"/>
    </row>
    <row r="7258" spans="1:8">
      <c r="A7258" s="60"/>
      <c r="B7258" s="77"/>
      <c r="C7258" s="60"/>
      <c r="D7258" s="81"/>
      <c r="E7258" s="62"/>
      <c r="F7258" s="60"/>
      <c r="G7258" s="62"/>
      <c r="H7258" s="60"/>
    </row>
    <row r="7259" spans="1:8">
      <c r="A7259" s="60"/>
      <c r="B7259" s="77"/>
      <c r="C7259" s="60"/>
      <c r="D7259" s="81"/>
      <c r="E7259" s="62"/>
      <c r="F7259" s="60"/>
      <c r="G7259" s="62"/>
      <c r="H7259" s="60"/>
    </row>
    <row r="7260" spans="1:8">
      <c r="A7260" s="60"/>
      <c r="B7260" s="77"/>
      <c r="C7260" s="60"/>
      <c r="D7260" s="81"/>
      <c r="E7260" s="62"/>
      <c r="F7260" s="60"/>
      <c r="G7260" s="62"/>
      <c r="H7260" s="60"/>
    </row>
    <row r="7261" spans="1:8">
      <c r="A7261" s="60"/>
      <c r="B7261" s="77"/>
      <c r="C7261" s="60"/>
      <c r="D7261" s="81"/>
      <c r="E7261" s="62"/>
      <c r="F7261" s="60"/>
      <c r="G7261" s="62"/>
      <c r="H7261" s="60"/>
    </row>
    <row r="7262" spans="1:8">
      <c r="A7262" s="60"/>
      <c r="B7262" s="77"/>
      <c r="C7262" s="60"/>
      <c r="D7262" s="81"/>
      <c r="E7262" s="62"/>
      <c r="F7262" s="60"/>
      <c r="G7262" s="62"/>
      <c r="H7262" s="60"/>
    </row>
    <row r="7263" spans="1:8">
      <c r="A7263" s="60"/>
      <c r="B7263" s="77"/>
      <c r="C7263" s="60"/>
      <c r="D7263" s="81"/>
      <c r="E7263" s="62"/>
      <c r="F7263" s="60"/>
      <c r="G7263" s="62"/>
      <c r="H7263" s="60"/>
    </row>
    <row r="7264" spans="1:8">
      <c r="A7264" s="60"/>
      <c r="B7264" s="77"/>
      <c r="C7264" s="60"/>
      <c r="D7264" s="81"/>
      <c r="E7264" s="62"/>
      <c r="F7264" s="60"/>
      <c r="G7264" s="62"/>
      <c r="H7264" s="60"/>
    </row>
    <row r="7265" spans="1:8">
      <c r="A7265" s="60"/>
      <c r="B7265" s="77"/>
      <c r="C7265" s="60"/>
      <c r="D7265" s="81"/>
      <c r="E7265" s="62"/>
      <c r="F7265" s="60"/>
      <c r="G7265" s="62"/>
      <c r="H7265" s="60"/>
    </row>
    <row r="7266" spans="1:8">
      <c r="A7266" s="60"/>
      <c r="B7266" s="77"/>
      <c r="C7266" s="60"/>
      <c r="D7266" s="81"/>
      <c r="E7266" s="62"/>
      <c r="F7266" s="60"/>
      <c r="G7266" s="62"/>
      <c r="H7266" s="60"/>
    </row>
    <row r="7267" spans="1:8">
      <c r="A7267" s="60"/>
      <c r="B7267" s="77"/>
      <c r="C7267" s="60"/>
      <c r="D7267" s="81"/>
      <c r="E7267" s="62"/>
      <c r="F7267" s="60"/>
      <c r="G7267" s="62"/>
      <c r="H7267" s="60"/>
    </row>
    <row r="7268" spans="1:8">
      <c r="A7268" s="60"/>
      <c r="B7268" s="77"/>
      <c r="C7268" s="60"/>
      <c r="D7268" s="81"/>
      <c r="E7268" s="62"/>
      <c r="F7268" s="60"/>
      <c r="G7268" s="62"/>
      <c r="H7268" s="60"/>
    </row>
    <row r="7269" spans="1:8">
      <c r="A7269" s="60"/>
      <c r="B7269" s="77"/>
      <c r="C7269" s="60"/>
      <c r="D7269" s="81"/>
      <c r="E7269" s="62"/>
      <c r="F7269" s="60"/>
      <c r="G7269" s="62"/>
      <c r="H7269" s="60"/>
    </row>
    <row r="7270" spans="1:8">
      <c r="A7270" s="60"/>
      <c r="B7270" s="77"/>
      <c r="C7270" s="60"/>
      <c r="D7270" s="81"/>
      <c r="E7270" s="62"/>
      <c r="F7270" s="60"/>
      <c r="G7270" s="62"/>
      <c r="H7270" s="60"/>
    </row>
    <row r="7271" spans="1:8">
      <c r="A7271" s="60"/>
      <c r="B7271" s="77"/>
      <c r="C7271" s="60"/>
      <c r="D7271" s="81"/>
      <c r="E7271" s="62"/>
      <c r="F7271" s="60"/>
      <c r="G7271" s="62"/>
      <c r="H7271" s="60"/>
    </row>
    <row r="7272" spans="1:8">
      <c r="A7272" s="60"/>
      <c r="B7272" s="77"/>
      <c r="C7272" s="60"/>
      <c r="D7272" s="81"/>
      <c r="E7272" s="62"/>
      <c r="F7272" s="60"/>
      <c r="G7272" s="62"/>
      <c r="H7272" s="60"/>
    </row>
    <row r="7273" spans="1:8">
      <c r="A7273" s="60"/>
      <c r="B7273" s="77"/>
      <c r="C7273" s="60"/>
      <c r="D7273" s="81"/>
      <c r="E7273" s="62"/>
      <c r="F7273" s="60"/>
      <c r="G7273" s="62"/>
      <c r="H7273" s="60"/>
    </row>
    <row r="7274" spans="1:8">
      <c r="A7274" s="60"/>
      <c r="B7274" s="77"/>
      <c r="C7274" s="60"/>
      <c r="D7274" s="81"/>
      <c r="E7274" s="62"/>
      <c r="F7274" s="60"/>
      <c r="G7274" s="62"/>
      <c r="H7274" s="60"/>
    </row>
    <row r="7275" spans="1:8">
      <c r="A7275" s="60"/>
      <c r="B7275" s="77"/>
      <c r="C7275" s="60"/>
      <c r="D7275" s="81"/>
      <c r="E7275" s="62"/>
      <c r="F7275" s="60"/>
      <c r="G7275" s="62"/>
      <c r="H7275" s="60"/>
    </row>
    <row r="7276" spans="1:8">
      <c r="A7276" s="60"/>
      <c r="B7276" s="77"/>
      <c r="C7276" s="60"/>
      <c r="D7276" s="81"/>
      <c r="E7276" s="62"/>
      <c r="F7276" s="60"/>
      <c r="G7276" s="62"/>
      <c r="H7276" s="60"/>
    </row>
    <row r="7277" spans="1:8">
      <c r="A7277" s="60"/>
      <c r="B7277" s="77"/>
      <c r="C7277" s="60"/>
      <c r="D7277" s="81"/>
      <c r="E7277" s="62"/>
      <c r="F7277" s="60"/>
      <c r="G7277" s="62"/>
      <c r="H7277" s="60"/>
    </row>
    <row r="7278" spans="1:8">
      <c r="A7278" s="60"/>
      <c r="B7278" s="77"/>
      <c r="C7278" s="60"/>
      <c r="D7278" s="81"/>
      <c r="E7278" s="62"/>
      <c r="F7278" s="60"/>
      <c r="G7278" s="62"/>
      <c r="H7278" s="60"/>
    </row>
    <row r="7279" spans="1:8">
      <c r="A7279" s="60"/>
      <c r="B7279" s="77"/>
      <c r="C7279" s="60"/>
      <c r="D7279" s="81"/>
      <c r="E7279" s="62"/>
      <c r="F7279" s="60"/>
      <c r="G7279" s="62"/>
      <c r="H7279" s="60"/>
    </row>
    <row r="7280" spans="1:8">
      <c r="A7280" s="60"/>
      <c r="B7280" s="77"/>
      <c r="C7280" s="60"/>
      <c r="D7280" s="81"/>
      <c r="E7280" s="62"/>
      <c r="F7280" s="60"/>
      <c r="G7280" s="62"/>
      <c r="H7280" s="60"/>
    </row>
    <row r="7281" spans="1:8">
      <c r="A7281" s="60"/>
      <c r="B7281" s="77"/>
      <c r="C7281" s="60"/>
      <c r="D7281" s="81"/>
      <c r="E7281" s="62"/>
      <c r="F7281" s="60"/>
      <c r="G7281" s="62"/>
      <c r="H7281" s="60"/>
    </row>
    <row r="7282" spans="1:8">
      <c r="A7282" s="60"/>
      <c r="B7282" s="77"/>
      <c r="C7282" s="60"/>
      <c r="D7282" s="81"/>
      <c r="E7282" s="62"/>
      <c r="F7282" s="60"/>
      <c r="G7282" s="62"/>
      <c r="H7282" s="60"/>
    </row>
    <row r="7283" spans="1:8">
      <c r="A7283" s="60"/>
      <c r="B7283" s="77"/>
      <c r="C7283" s="60"/>
      <c r="D7283" s="81"/>
      <c r="E7283" s="62"/>
      <c r="F7283" s="60"/>
      <c r="G7283" s="62"/>
      <c r="H7283" s="60"/>
    </row>
    <row r="7284" spans="1:8">
      <c r="A7284" s="60"/>
      <c r="B7284" s="77"/>
      <c r="C7284" s="60"/>
      <c r="D7284" s="81"/>
      <c r="E7284" s="62"/>
      <c r="F7284" s="60"/>
      <c r="G7284" s="62"/>
      <c r="H7284" s="60"/>
    </row>
    <row r="7285" spans="1:8">
      <c r="A7285" s="60"/>
      <c r="B7285" s="77"/>
      <c r="C7285" s="60"/>
      <c r="D7285" s="81"/>
      <c r="E7285" s="62"/>
      <c r="F7285" s="60"/>
      <c r="G7285" s="62"/>
      <c r="H7285" s="60"/>
    </row>
    <row r="7286" spans="1:8">
      <c r="A7286" s="60"/>
      <c r="B7286" s="77"/>
      <c r="C7286" s="60"/>
      <c r="D7286" s="81"/>
      <c r="E7286" s="62"/>
      <c r="F7286" s="60"/>
      <c r="G7286" s="62"/>
      <c r="H7286" s="60"/>
    </row>
    <row r="7287" spans="1:8">
      <c r="A7287" s="60"/>
      <c r="B7287" s="77"/>
      <c r="C7287" s="60"/>
      <c r="D7287" s="81"/>
      <c r="E7287" s="62"/>
      <c r="F7287" s="60"/>
      <c r="G7287" s="62"/>
      <c r="H7287" s="60"/>
    </row>
    <row r="7288" spans="1:8">
      <c r="A7288" s="60"/>
      <c r="B7288" s="77"/>
      <c r="C7288" s="60"/>
      <c r="D7288" s="81"/>
      <c r="E7288" s="62"/>
      <c r="F7288" s="60"/>
      <c r="G7288" s="62"/>
      <c r="H7288" s="60"/>
    </row>
    <row r="7289" spans="1:8">
      <c r="A7289" s="60"/>
      <c r="B7289" s="77"/>
      <c r="C7289" s="60"/>
      <c r="D7289" s="81"/>
      <c r="E7289" s="62"/>
      <c r="F7289" s="60"/>
      <c r="G7289" s="62"/>
      <c r="H7289" s="60"/>
    </row>
    <row r="7290" spans="1:8">
      <c r="A7290" s="60"/>
      <c r="B7290" s="77"/>
      <c r="C7290" s="60"/>
      <c r="D7290" s="81"/>
      <c r="E7290" s="62"/>
      <c r="F7290" s="60"/>
      <c r="G7290" s="62"/>
      <c r="H7290" s="60"/>
    </row>
    <row r="7291" spans="1:8">
      <c r="A7291" s="60"/>
      <c r="B7291" s="77"/>
      <c r="C7291" s="60"/>
      <c r="D7291" s="81"/>
      <c r="E7291" s="62"/>
      <c r="F7291" s="60"/>
      <c r="G7291" s="62"/>
      <c r="H7291" s="60"/>
    </row>
    <row r="7292" spans="1:8">
      <c r="A7292" s="60"/>
      <c r="B7292" s="77"/>
      <c r="C7292" s="60"/>
      <c r="D7292" s="81"/>
      <c r="E7292" s="62"/>
      <c r="F7292" s="60"/>
      <c r="G7292" s="62"/>
      <c r="H7292" s="60"/>
    </row>
    <row r="7293" spans="1:8">
      <c r="A7293" s="60"/>
      <c r="B7293" s="77"/>
      <c r="C7293" s="60"/>
      <c r="D7293" s="81"/>
      <c r="E7293" s="62"/>
      <c r="F7293" s="60"/>
      <c r="G7293" s="62"/>
      <c r="H7293" s="60"/>
    </row>
    <row r="7294" spans="1:8">
      <c r="A7294" s="60"/>
      <c r="B7294" s="77"/>
      <c r="C7294" s="60"/>
      <c r="D7294" s="81"/>
      <c r="E7294" s="62"/>
      <c r="F7294" s="60"/>
      <c r="G7294" s="62"/>
      <c r="H7294" s="60"/>
    </row>
    <row r="7295" spans="1:8">
      <c r="A7295" s="60"/>
      <c r="B7295" s="77"/>
      <c r="C7295" s="60"/>
      <c r="D7295" s="81"/>
      <c r="E7295" s="62"/>
      <c r="F7295" s="60"/>
      <c r="G7295" s="62"/>
      <c r="H7295" s="60"/>
    </row>
    <row r="7296" spans="1:8">
      <c r="A7296" s="60"/>
      <c r="B7296" s="77"/>
      <c r="C7296" s="60"/>
      <c r="D7296" s="81"/>
      <c r="E7296" s="62"/>
      <c r="F7296" s="60"/>
      <c r="G7296" s="62"/>
      <c r="H7296" s="60"/>
    </row>
    <row r="7297" spans="1:8">
      <c r="A7297" s="60"/>
      <c r="B7297" s="77"/>
      <c r="C7297" s="60"/>
      <c r="D7297" s="81"/>
      <c r="E7297" s="62"/>
      <c r="F7297" s="60"/>
      <c r="G7297" s="62"/>
      <c r="H7297" s="60"/>
    </row>
    <row r="7298" spans="1:8">
      <c r="A7298" s="60"/>
      <c r="B7298" s="77"/>
      <c r="C7298" s="60"/>
      <c r="D7298" s="81"/>
      <c r="E7298" s="62"/>
      <c r="F7298" s="60"/>
      <c r="G7298" s="62"/>
      <c r="H7298" s="60"/>
    </row>
    <row r="7299" spans="1:8">
      <c r="A7299" s="60"/>
      <c r="B7299" s="77"/>
      <c r="C7299" s="60"/>
      <c r="D7299" s="81"/>
      <c r="E7299" s="62"/>
      <c r="F7299" s="60"/>
      <c r="G7299" s="62"/>
      <c r="H7299" s="60"/>
    </row>
    <row r="7300" spans="1:8">
      <c r="A7300" s="60"/>
      <c r="B7300" s="77"/>
      <c r="C7300" s="60"/>
      <c r="D7300" s="81"/>
      <c r="E7300" s="62"/>
      <c r="F7300" s="60"/>
      <c r="G7300" s="62"/>
      <c r="H7300" s="60"/>
    </row>
    <row r="7301" spans="1:8">
      <c r="A7301" s="60"/>
      <c r="B7301" s="77"/>
      <c r="C7301" s="60"/>
      <c r="D7301" s="81"/>
      <c r="E7301" s="62"/>
      <c r="F7301" s="60"/>
      <c r="G7301" s="62"/>
      <c r="H7301" s="60"/>
    </row>
    <row r="7302" spans="1:8">
      <c r="A7302" s="60"/>
      <c r="B7302" s="77"/>
      <c r="C7302" s="60"/>
      <c r="D7302" s="81"/>
      <c r="E7302" s="62"/>
      <c r="F7302" s="60"/>
      <c r="G7302" s="62"/>
      <c r="H7302" s="60"/>
    </row>
    <row r="7303" spans="1:8">
      <c r="A7303" s="60"/>
      <c r="B7303" s="77"/>
      <c r="C7303" s="60"/>
      <c r="D7303" s="81"/>
      <c r="E7303" s="62"/>
      <c r="F7303" s="60"/>
      <c r="G7303" s="62"/>
      <c r="H7303" s="60"/>
    </row>
    <row r="7304" spans="1:8">
      <c r="A7304" s="60"/>
      <c r="B7304" s="77"/>
      <c r="C7304" s="60"/>
      <c r="D7304" s="81"/>
      <c r="E7304" s="62"/>
      <c r="F7304" s="60"/>
      <c r="G7304" s="62"/>
      <c r="H7304" s="60"/>
    </row>
    <row r="7305" spans="1:8">
      <c r="A7305" s="60"/>
      <c r="B7305" s="77"/>
      <c r="C7305" s="60"/>
      <c r="D7305" s="81"/>
      <c r="E7305" s="62"/>
      <c r="F7305" s="60"/>
      <c r="G7305" s="62"/>
      <c r="H7305" s="60"/>
    </row>
    <row r="7306" spans="1:8">
      <c r="A7306" s="60"/>
      <c r="B7306" s="77"/>
      <c r="C7306" s="60"/>
      <c r="D7306" s="81"/>
      <c r="E7306" s="62"/>
      <c r="F7306" s="60"/>
      <c r="G7306" s="62"/>
      <c r="H7306" s="60"/>
    </row>
    <row r="7307" spans="1:8">
      <c r="A7307" s="60"/>
      <c r="B7307" s="77"/>
      <c r="C7307" s="60"/>
      <c r="D7307" s="81"/>
      <c r="E7307" s="62"/>
      <c r="F7307" s="60"/>
      <c r="G7307" s="62"/>
      <c r="H7307" s="60"/>
    </row>
    <row r="7308" spans="1:8">
      <c r="A7308" s="60"/>
      <c r="B7308" s="77"/>
      <c r="C7308" s="60"/>
      <c r="D7308" s="81"/>
      <c r="E7308" s="62"/>
      <c r="F7308" s="60"/>
      <c r="G7308" s="62"/>
      <c r="H7308" s="60"/>
    </row>
    <row r="7309" spans="1:8">
      <c r="A7309" s="60"/>
      <c r="B7309" s="77"/>
      <c r="C7309" s="60"/>
      <c r="D7309" s="81"/>
      <c r="E7309" s="62"/>
      <c r="F7309" s="60"/>
      <c r="G7309" s="62"/>
      <c r="H7309" s="60"/>
    </row>
    <row r="7310" spans="1:8">
      <c r="A7310" s="60"/>
      <c r="B7310" s="77"/>
      <c r="C7310" s="60"/>
      <c r="D7310" s="81"/>
      <c r="E7310" s="62"/>
      <c r="F7310" s="60"/>
      <c r="G7310" s="62"/>
      <c r="H7310" s="60"/>
    </row>
    <row r="7311" spans="1:8">
      <c r="A7311" s="60"/>
      <c r="B7311" s="77"/>
      <c r="C7311" s="60"/>
      <c r="D7311" s="81"/>
      <c r="E7311" s="62"/>
      <c r="F7311" s="60"/>
      <c r="G7311" s="62"/>
      <c r="H7311" s="60"/>
    </row>
    <row r="7312" spans="1:8">
      <c r="A7312" s="60"/>
      <c r="B7312" s="77"/>
      <c r="C7312" s="60"/>
      <c r="D7312" s="81"/>
      <c r="E7312" s="62"/>
      <c r="F7312" s="60"/>
      <c r="G7312" s="62"/>
      <c r="H7312" s="60"/>
    </row>
    <row r="7313" spans="1:8">
      <c r="A7313" s="60"/>
      <c r="B7313" s="77"/>
      <c r="C7313" s="60"/>
      <c r="D7313" s="81"/>
      <c r="E7313" s="62"/>
      <c r="F7313" s="60"/>
      <c r="G7313" s="62"/>
      <c r="H7313" s="60"/>
    </row>
    <row r="7314" spans="1:8">
      <c r="A7314" s="60"/>
      <c r="B7314" s="77"/>
      <c r="C7314" s="60"/>
      <c r="D7314" s="81"/>
      <c r="E7314" s="62"/>
      <c r="F7314" s="60"/>
      <c r="G7314" s="62"/>
      <c r="H7314" s="60"/>
    </row>
    <row r="7315" spans="1:8">
      <c r="A7315" s="60"/>
      <c r="B7315" s="77"/>
      <c r="C7315" s="60"/>
      <c r="D7315" s="81"/>
      <c r="E7315" s="62"/>
      <c r="F7315" s="60"/>
      <c r="G7315" s="62"/>
      <c r="H7315" s="60"/>
    </row>
    <row r="7316" spans="1:8">
      <c r="A7316" s="60"/>
      <c r="B7316" s="77"/>
      <c r="C7316" s="60"/>
      <c r="D7316" s="81"/>
      <c r="E7316" s="62"/>
      <c r="F7316" s="60"/>
      <c r="G7316" s="62"/>
      <c r="H7316" s="60"/>
    </row>
    <row r="7317" spans="1:8">
      <c r="A7317" s="60"/>
      <c r="B7317" s="77"/>
      <c r="C7317" s="60"/>
      <c r="D7317" s="81"/>
      <c r="E7317" s="62"/>
      <c r="F7317" s="60"/>
      <c r="G7317" s="62"/>
      <c r="H7317" s="60"/>
    </row>
    <row r="7318" spans="1:8">
      <c r="A7318" s="60"/>
      <c r="B7318" s="77"/>
      <c r="C7318" s="60"/>
      <c r="D7318" s="81"/>
      <c r="E7318" s="62"/>
      <c r="F7318" s="60"/>
      <c r="G7318" s="62"/>
      <c r="H7318" s="60"/>
    </row>
    <row r="7319" spans="1:8">
      <c r="A7319" s="60"/>
      <c r="B7319" s="77"/>
      <c r="C7319" s="60"/>
      <c r="D7319" s="81"/>
      <c r="E7319" s="62"/>
      <c r="F7319" s="60"/>
      <c r="G7319" s="62"/>
      <c r="H7319" s="60"/>
    </row>
    <row r="7320" spans="1:8">
      <c r="A7320" s="60"/>
      <c r="B7320" s="77"/>
      <c r="C7320" s="60"/>
      <c r="D7320" s="81"/>
      <c r="E7320" s="62"/>
      <c r="F7320" s="60"/>
      <c r="G7320" s="62"/>
      <c r="H7320" s="60"/>
    </row>
    <row r="7321" spans="1:8">
      <c r="A7321" s="60"/>
      <c r="B7321" s="77"/>
      <c r="C7321" s="60"/>
      <c r="D7321" s="81"/>
      <c r="E7321" s="62"/>
      <c r="F7321" s="60"/>
      <c r="G7321" s="62"/>
      <c r="H7321" s="60"/>
    </row>
    <row r="7322" spans="1:8">
      <c r="A7322" s="60"/>
      <c r="B7322" s="77"/>
      <c r="C7322" s="60"/>
      <c r="D7322" s="81"/>
      <c r="E7322" s="62"/>
      <c r="F7322" s="60"/>
      <c r="G7322" s="62"/>
      <c r="H7322" s="60"/>
    </row>
    <row r="7323" spans="1:8">
      <c r="A7323" s="60"/>
      <c r="B7323" s="77"/>
      <c r="C7323" s="60"/>
      <c r="D7323" s="81"/>
      <c r="E7323" s="62"/>
      <c r="F7323" s="60"/>
      <c r="G7323" s="62"/>
      <c r="H7323" s="60"/>
    </row>
    <row r="7324" spans="1:8">
      <c r="A7324" s="60"/>
      <c r="B7324" s="77"/>
      <c r="C7324" s="60"/>
      <c r="D7324" s="81"/>
      <c r="E7324" s="62"/>
      <c r="F7324" s="60"/>
      <c r="G7324" s="62"/>
      <c r="H7324" s="60"/>
    </row>
    <row r="7325" spans="1:8">
      <c r="A7325" s="60"/>
      <c r="B7325" s="77"/>
      <c r="C7325" s="60"/>
      <c r="D7325" s="81"/>
      <c r="E7325" s="62"/>
      <c r="F7325" s="60"/>
      <c r="G7325" s="62"/>
      <c r="H7325" s="60"/>
    </row>
    <row r="7326" spans="1:8">
      <c r="A7326" s="60"/>
      <c r="B7326" s="77"/>
      <c r="C7326" s="60"/>
      <c r="D7326" s="81"/>
      <c r="E7326" s="62"/>
      <c r="F7326" s="60"/>
      <c r="G7326" s="62"/>
      <c r="H7326" s="60"/>
    </row>
    <row r="7327" spans="1:8">
      <c r="A7327" s="60"/>
      <c r="B7327" s="77"/>
      <c r="C7327" s="60"/>
      <c r="D7327" s="81"/>
      <c r="E7327" s="62"/>
      <c r="F7327" s="60"/>
      <c r="G7327" s="62"/>
      <c r="H7327" s="60"/>
    </row>
    <row r="7328" spans="1:8">
      <c r="A7328" s="60"/>
      <c r="B7328" s="77"/>
      <c r="C7328" s="60"/>
      <c r="D7328" s="81"/>
      <c r="E7328" s="62"/>
      <c r="F7328" s="60"/>
      <c r="G7328" s="62"/>
      <c r="H7328" s="60"/>
    </row>
    <row r="7329" spans="1:8">
      <c r="A7329" s="60"/>
      <c r="B7329" s="77"/>
      <c r="C7329" s="60"/>
      <c r="D7329" s="81"/>
      <c r="E7329" s="62"/>
      <c r="F7329" s="60"/>
      <c r="G7329" s="62"/>
      <c r="H7329" s="60"/>
    </row>
    <row r="7330" spans="1:8">
      <c r="A7330" s="60"/>
      <c r="B7330" s="77"/>
      <c r="C7330" s="60"/>
      <c r="D7330" s="81"/>
      <c r="E7330" s="62"/>
      <c r="F7330" s="60"/>
      <c r="G7330" s="62"/>
      <c r="H7330" s="60"/>
    </row>
    <row r="7331" spans="1:8">
      <c r="A7331" s="60"/>
      <c r="B7331" s="77"/>
      <c r="C7331" s="60"/>
      <c r="D7331" s="81"/>
      <c r="E7331" s="62"/>
      <c r="F7331" s="60"/>
      <c r="G7331" s="62"/>
      <c r="H7331" s="60"/>
    </row>
    <row r="7332" spans="1:8">
      <c r="A7332" s="60"/>
      <c r="B7332" s="77"/>
      <c r="C7332" s="60"/>
      <c r="D7332" s="81"/>
      <c r="E7332" s="62"/>
      <c r="F7332" s="60"/>
      <c r="G7332" s="62"/>
      <c r="H7332" s="60"/>
    </row>
    <row r="7333" spans="1:8">
      <c r="A7333" s="60"/>
      <c r="B7333" s="77"/>
      <c r="C7333" s="60"/>
      <c r="D7333" s="81"/>
      <c r="E7333" s="62"/>
      <c r="F7333" s="60"/>
      <c r="G7333" s="62"/>
      <c r="H7333" s="60"/>
    </row>
    <row r="7334" spans="1:8">
      <c r="A7334" s="60"/>
      <c r="B7334" s="77"/>
      <c r="C7334" s="60"/>
      <c r="D7334" s="81"/>
      <c r="E7334" s="62"/>
      <c r="F7334" s="60"/>
      <c r="G7334" s="62"/>
      <c r="H7334" s="60"/>
    </row>
    <row r="7335" spans="1:8">
      <c r="A7335" s="60"/>
      <c r="B7335" s="77"/>
      <c r="C7335" s="60"/>
      <c r="D7335" s="81"/>
      <c r="E7335" s="62"/>
      <c r="F7335" s="60"/>
      <c r="G7335" s="62"/>
      <c r="H7335" s="60"/>
    </row>
    <row r="7336" spans="1:8">
      <c r="A7336" s="60"/>
      <c r="B7336" s="77"/>
      <c r="C7336" s="60"/>
      <c r="D7336" s="81"/>
      <c r="E7336" s="62"/>
      <c r="F7336" s="60"/>
      <c r="G7336" s="62"/>
      <c r="H7336" s="60"/>
    </row>
    <row r="7337" spans="1:8">
      <c r="A7337" s="60"/>
      <c r="B7337" s="77"/>
      <c r="C7337" s="60"/>
      <c r="D7337" s="81"/>
      <c r="E7337" s="62"/>
      <c r="F7337" s="60"/>
      <c r="G7337" s="62"/>
      <c r="H7337" s="60"/>
    </row>
    <row r="7338" spans="1:8">
      <c r="A7338" s="60"/>
      <c r="B7338" s="77"/>
      <c r="C7338" s="60"/>
      <c r="D7338" s="81"/>
      <c r="E7338" s="62"/>
      <c r="F7338" s="60"/>
      <c r="G7338" s="62"/>
      <c r="H7338" s="60"/>
    </row>
    <row r="7339" spans="1:8">
      <c r="A7339" s="60"/>
      <c r="B7339" s="77"/>
      <c r="C7339" s="60"/>
      <c r="D7339" s="81"/>
      <c r="E7339" s="62"/>
      <c r="F7339" s="60"/>
      <c r="G7339" s="62"/>
      <c r="H7339" s="60"/>
    </row>
    <row r="7340" spans="1:8">
      <c r="A7340" s="60"/>
      <c r="B7340" s="77"/>
      <c r="C7340" s="60"/>
      <c r="D7340" s="81"/>
      <c r="E7340" s="62"/>
      <c r="F7340" s="60"/>
      <c r="G7340" s="62"/>
      <c r="H7340" s="60"/>
    </row>
    <row r="7341" spans="1:8">
      <c r="A7341" s="60"/>
      <c r="B7341" s="77"/>
      <c r="C7341" s="60"/>
      <c r="D7341" s="81"/>
      <c r="E7341" s="62"/>
      <c r="F7341" s="60"/>
      <c r="G7341" s="62"/>
      <c r="H7341" s="60"/>
    </row>
    <row r="7342" spans="1:8">
      <c r="A7342" s="60"/>
      <c r="B7342" s="77"/>
      <c r="C7342" s="60"/>
      <c r="D7342" s="81"/>
      <c r="E7342" s="62"/>
      <c r="F7342" s="60"/>
      <c r="G7342" s="62"/>
      <c r="H7342" s="60"/>
    </row>
    <row r="7343" spans="1:8">
      <c r="A7343" s="60"/>
      <c r="B7343" s="77"/>
      <c r="C7343" s="60"/>
      <c r="D7343" s="81"/>
      <c r="E7343" s="62"/>
      <c r="F7343" s="60"/>
      <c r="G7343" s="62"/>
      <c r="H7343" s="60"/>
    </row>
    <row r="7344" spans="1:8">
      <c r="A7344" s="60"/>
      <c r="B7344" s="77"/>
      <c r="C7344" s="60"/>
      <c r="D7344" s="81"/>
      <c r="E7344" s="62"/>
      <c r="F7344" s="60"/>
      <c r="G7344" s="62"/>
      <c r="H7344" s="60"/>
    </row>
    <row r="7345" spans="1:8">
      <c r="A7345" s="60"/>
      <c r="B7345" s="77"/>
      <c r="C7345" s="60"/>
      <c r="D7345" s="81"/>
      <c r="E7345" s="62"/>
      <c r="F7345" s="60"/>
      <c r="G7345" s="62"/>
      <c r="H7345" s="60"/>
    </row>
    <row r="7346" spans="1:8">
      <c r="A7346" s="60"/>
      <c r="B7346" s="77"/>
      <c r="C7346" s="60"/>
      <c r="D7346" s="81"/>
      <c r="E7346" s="62"/>
      <c r="F7346" s="60"/>
      <c r="G7346" s="62"/>
      <c r="H7346" s="60"/>
    </row>
    <row r="7347" spans="1:8">
      <c r="A7347" s="60"/>
      <c r="B7347" s="77"/>
      <c r="C7347" s="60"/>
      <c r="D7347" s="81"/>
      <c r="E7347" s="62"/>
      <c r="F7347" s="60"/>
      <c r="G7347" s="62"/>
      <c r="H7347" s="60"/>
    </row>
    <row r="7348" spans="1:8">
      <c r="A7348" s="60"/>
      <c r="B7348" s="77"/>
      <c r="C7348" s="60"/>
      <c r="D7348" s="81"/>
      <c r="E7348" s="62"/>
      <c r="F7348" s="60"/>
      <c r="G7348" s="62"/>
      <c r="H7348" s="60"/>
    </row>
    <row r="7349" spans="1:8">
      <c r="A7349" s="60"/>
      <c r="B7349" s="77"/>
      <c r="C7349" s="60"/>
      <c r="D7349" s="81"/>
      <c r="E7349" s="62"/>
      <c r="F7349" s="60"/>
      <c r="G7349" s="62"/>
      <c r="H7349" s="60"/>
    </row>
    <row r="7350" spans="1:8">
      <c r="A7350" s="60"/>
      <c r="B7350" s="77"/>
      <c r="C7350" s="60"/>
      <c r="D7350" s="81"/>
      <c r="E7350" s="62"/>
      <c r="F7350" s="60"/>
      <c r="G7350" s="62"/>
      <c r="H7350" s="60"/>
    </row>
    <row r="7351" spans="1:8">
      <c r="A7351" s="60"/>
      <c r="B7351" s="77"/>
      <c r="C7351" s="60"/>
      <c r="D7351" s="81"/>
      <c r="E7351" s="62"/>
      <c r="F7351" s="60"/>
      <c r="G7351" s="62"/>
      <c r="H7351" s="60"/>
    </row>
    <row r="7352" spans="1:8">
      <c r="A7352" s="60"/>
      <c r="B7352" s="77"/>
      <c r="C7352" s="60"/>
      <c r="D7352" s="81"/>
      <c r="E7352" s="62"/>
      <c r="F7352" s="60"/>
      <c r="G7352" s="62"/>
      <c r="H7352" s="60"/>
    </row>
    <row r="7353" spans="1:8">
      <c r="A7353" s="60"/>
      <c r="B7353" s="77"/>
      <c r="C7353" s="60"/>
      <c r="D7353" s="81"/>
      <c r="E7353" s="62"/>
      <c r="F7353" s="60"/>
      <c r="G7353" s="62"/>
      <c r="H7353" s="60"/>
    </row>
    <row r="7354" spans="1:8">
      <c r="A7354" s="60"/>
      <c r="B7354" s="77"/>
      <c r="C7354" s="60"/>
      <c r="D7354" s="81"/>
      <c r="E7354" s="62"/>
      <c r="F7354" s="60"/>
      <c r="G7354" s="62"/>
      <c r="H7354" s="60"/>
    </row>
    <row r="7355" spans="1:8">
      <c r="A7355" s="60"/>
      <c r="B7355" s="77"/>
      <c r="C7355" s="60"/>
      <c r="D7355" s="81"/>
      <c r="E7355" s="62"/>
      <c r="F7355" s="60"/>
      <c r="G7355" s="62"/>
      <c r="H7355" s="60"/>
    </row>
    <row r="7356" spans="1:8">
      <c r="A7356" s="60"/>
      <c r="B7356" s="77"/>
      <c r="C7356" s="60"/>
      <c r="D7356" s="81"/>
      <c r="E7356" s="62"/>
      <c r="F7356" s="60"/>
      <c r="G7356" s="62"/>
      <c r="H7356" s="60"/>
    </row>
    <row r="7357" spans="1:8">
      <c r="A7357" s="60"/>
      <c r="B7357" s="77"/>
      <c r="C7357" s="60"/>
      <c r="D7357" s="81"/>
      <c r="E7357" s="62"/>
      <c r="F7357" s="60"/>
      <c r="G7357" s="62"/>
      <c r="H7357" s="60"/>
    </row>
    <row r="7358" spans="1:8">
      <c r="A7358" s="60"/>
      <c r="B7358" s="77"/>
      <c r="C7358" s="60"/>
      <c r="D7358" s="81"/>
      <c r="E7358" s="62"/>
      <c r="F7358" s="60"/>
      <c r="G7358" s="62"/>
      <c r="H7358" s="60"/>
    </row>
    <row r="7359" spans="1:8">
      <c r="A7359" s="60"/>
      <c r="B7359" s="77"/>
      <c r="C7359" s="60"/>
      <c r="D7359" s="81"/>
      <c r="E7359" s="62"/>
      <c r="F7359" s="60"/>
      <c r="G7359" s="62"/>
      <c r="H7359" s="60"/>
    </row>
    <row r="7360" spans="1:8">
      <c r="A7360" s="60"/>
      <c r="B7360" s="77"/>
      <c r="C7360" s="60"/>
      <c r="D7360" s="81"/>
      <c r="E7360" s="62"/>
      <c r="F7360" s="60"/>
      <c r="G7360" s="62"/>
      <c r="H7360" s="60"/>
    </row>
    <row r="7361" spans="1:8">
      <c r="A7361" s="60"/>
      <c r="B7361" s="77"/>
      <c r="C7361" s="60"/>
      <c r="D7361" s="81"/>
      <c r="E7361" s="62"/>
      <c r="F7361" s="60"/>
      <c r="G7361" s="62"/>
      <c r="H7361" s="60"/>
    </row>
    <row r="7362" spans="1:8">
      <c r="A7362" s="60"/>
      <c r="B7362" s="77"/>
      <c r="C7362" s="60"/>
      <c r="D7362" s="81"/>
      <c r="E7362" s="62"/>
      <c r="F7362" s="60"/>
      <c r="G7362" s="62"/>
      <c r="H7362" s="60"/>
    </row>
    <row r="7363" spans="1:8">
      <c r="A7363" s="60"/>
      <c r="B7363" s="77"/>
      <c r="C7363" s="60"/>
      <c r="D7363" s="81"/>
      <c r="E7363" s="62"/>
      <c r="F7363" s="60"/>
      <c r="G7363" s="62"/>
      <c r="H7363" s="60"/>
    </row>
    <row r="7364" spans="1:8">
      <c r="A7364" s="60"/>
      <c r="B7364" s="77"/>
      <c r="C7364" s="60"/>
      <c r="D7364" s="81"/>
      <c r="E7364" s="62"/>
      <c r="F7364" s="60"/>
      <c r="G7364" s="62"/>
      <c r="H7364" s="60"/>
    </row>
    <row r="7365" spans="1:8">
      <c r="A7365" s="60"/>
      <c r="B7365" s="77"/>
      <c r="C7365" s="60"/>
      <c r="D7365" s="81"/>
      <c r="E7365" s="62"/>
      <c r="F7365" s="60"/>
      <c r="G7365" s="62"/>
      <c r="H7365" s="60"/>
    </row>
    <row r="7366" spans="1:8">
      <c r="A7366" s="60"/>
      <c r="B7366" s="77"/>
      <c r="C7366" s="60"/>
      <c r="D7366" s="81"/>
      <c r="E7366" s="62"/>
      <c r="F7366" s="60"/>
      <c r="G7366" s="62"/>
      <c r="H7366" s="60"/>
    </row>
    <row r="7367" spans="1:8">
      <c r="A7367" s="60"/>
      <c r="B7367" s="77"/>
      <c r="C7367" s="60"/>
      <c r="D7367" s="81"/>
      <c r="E7367" s="62"/>
      <c r="F7367" s="60"/>
      <c r="G7367" s="62"/>
      <c r="H7367" s="60"/>
    </row>
    <row r="7368" spans="1:8">
      <c r="A7368" s="60"/>
      <c r="B7368" s="77"/>
      <c r="C7368" s="60"/>
      <c r="D7368" s="81"/>
      <c r="E7368" s="62"/>
      <c r="F7368" s="60"/>
      <c r="G7368" s="62"/>
      <c r="H7368" s="60"/>
    </row>
    <row r="7369" spans="1:8">
      <c r="A7369" s="60"/>
      <c r="B7369" s="77"/>
      <c r="C7369" s="60"/>
      <c r="D7369" s="81"/>
      <c r="E7369" s="62"/>
      <c r="F7369" s="60"/>
      <c r="G7369" s="62"/>
      <c r="H7369" s="60"/>
    </row>
    <row r="7370" spans="1:8">
      <c r="A7370" s="60"/>
      <c r="B7370" s="77"/>
      <c r="C7370" s="60"/>
      <c r="D7370" s="81"/>
      <c r="E7370" s="62"/>
      <c r="F7370" s="60"/>
      <c r="G7370" s="62"/>
      <c r="H7370" s="60"/>
    </row>
    <row r="7371" spans="1:8">
      <c r="A7371" s="60"/>
      <c r="B7371" s="77"/>
      <c r="C7371" s="60"/>
      <c r="D7371" s="81"/>
      <c r="E7371" s="62"/>
      <c r="F7371" s="60"/>
      <c r="G7371" s="62"/>
      <c r="H7371" s="60"/>
    </row>
    <row r="7372" spans="1:8">
      <c r="A7372" s="60"/>
      <c r="B7372" s="77"/>
      <c r="C7372" s="60"/>
      <c r="D7372" s="81"/>
      <c r="E7372" s="62"/>
      <c r="F7372" s="60"/>
      <c r="G7372" s="62"/>
      <c r="H7372" s="60"/>
    </row>
    <row r="7373" spans="1:8">
      <c r="A7373" s="60"/>
      <c r="B7373" s="77"/>
      <c r="C7373" s="60"/>
      <c r="D7373" s="81"/>
      <c r="E7373" s="62"/>
      <c r="F7373" s="60"/>
      <c r="G7373" s="62"/>
      <c r="H7373" s="60"/>
    </row>
    <row r="7374" spans="1:8">
      <c r="A7374" s="60"/>
      <c r="B7374" s="77"/>
      <c r="C7374" s="60"/>
      <c r="D7374" s="81"/>
      <c r="E7374" s="62"/>
      <c r="F7374" s="60"/>
      <c r="G7374" s="62"/>
      <c r="H7374" s="60"/>
    </row>
    <row r="7375" spans="1:8">
      <c r="A7375" s="60"/>
      <c r="B7375" s="77"/>
      <c r="C7375" s="60"/>
      <c r="D7375" s="81"/>
      <c r="E7375" s="62"/>
      <c r="F7375" s="60"/>
      <c r="G7375" s="62"/>
      <c r="H7375" s="60"/>
    </row>
    <row r="7376" spans="1:8">
      <c r="A7376" s="60"/>
      <c r="B7376" s="77"/>
      <c r="C7376" s="60"/>
      <c r="D7376" s="81"/>
      <c r="E7376" s="62"/>
      <c r="F7376" s="60"/>
      <c r="G7376" s="62"/>
      <c r="H7376" s="60"/>
    </row>
    <row r="7377" spans="1:8">
      <c r="A7377" s="60"/>
      <c r="B7377" s="77"/>
      <c r="C7377" s="60"/>
      <c r="D7377" s="81"/>
      <c r="E7377" s="62"/>
      <c r="F7377" s="60"/>
      <c r="G7377" s="62"/>
      <c r="H7377" s="60"/>
    </row>
    <row r="7378" spans="1:8">
      <c r="A7378" s="60"/>
      <c r="B7378" s="77"/>
      <c r="C7378" s="60"/>
      <c r="D7378" s="81"/>
      <c r="E7378" s="62"/>
      <c r="F7378" s="60"/>
      <c r="G7378" s="62"/>
      <c r="H7378" s="60"/>
    </row>
    <row r="7379" spans="1:8">
      <c r="A7379" s="60"/>
      <c r="B7379" s="77"/>
      <c r="C7379" s="60"/>
      <c r="D7379" s="81"/>
      <c r="E7379" s="62"/>
      <c r="F7379" s="60"/>
      <c r="G7379" s="62"/>
      <c r="H7379" s="60"/>
    </row>
    <row r="7380" spans="1:8">
      <c r="A7380" s="60"/>
      <c r="B7380" s="77"/>
      <c r="C7380" s="60"/>
      <c r="D7380" s="81"/>
      <c r="E7380" s="62"/>
      <c r="F7380" s="60"/>
      <c r="G7380" s="62"/>
      <c r="H7380" s="60"/>
    </row>
    <row r="7381" spans="1:8">
      <c r="A7381" s="60"/>
      <c r="B7381" s="77"/>
      <c r="C7381" s="60"/>
      <c r="D7381" s="81"/>
      <c r="E7381" s="62"/>
      <c r="F7381" s="60"/>
      <c r="G7381" s="62"/>
      <c r="H7381" s="60"/>
    </row>
    <row r="7382" spans="1:8">
      <c r="A7382" s="60"/>
      <c r="B7382" s="77"/>
      <c r="C7382" s="60"/>
      <c r="D7382" s="81"/>
      <c r="E7382" s="62"/>
      <c r="F7382" s="60"/>
      <c r="G7382" s="62"/>
      <c r="H7382" s="60"/>
    </row>
    <row r="7383" spans="1:8">
      <c r="A7383" s="60"/>
      <c r="B7383" s="77"/>
      <c r="C7383" s="60"/>
      <c r="D7383" s="81"/>
      <c r="E7383" s="62"/>
      <c r="F7383" s="60"/>
      <c r="G7383" s="62"/>
      <c r="H7383" s="60"/>
    </row>
    <row r="7384" spans="1:8">
      <c r="A7384" s="60"/>
      <c r="B7384" s="77"/>
      <c r="C7384" s="60"/>
      <c r="D7384" s="81"/>
      <c r="E7384" s="62"/>
      <c r="F7384" s="60"/>
      <c r="G7384" s="62"/>
      <c r="H7384" s="60"/>
    </row>
    <row r="7385" spans="1:8">
      <c r="A7385" s="60"/>
      <c r="B7385" s="77"/>
      <c r="C7385" s="60"/>
      <c r="D7385" s="81"/>
      <c r="E7385" s="62"/>
      <c r="F7385" s="60"/>
      <c r="G7385" s="62"/>
      <c r="H7385" s="60"/>
    </row>
    <row r="7386" spans="1:8">
      <c r="A7386" s="60"/>
      <c r="B7386" s="77"/>
      <c r="C7386" s="60"/>
      <c r="D7386" s="81"/>
      <c r="E7386" s="62"/>
      <c r="F7386" s="60"/>
      <c r="G7386" s="62"/>
      <c r="H7386" s="60"/>
    </row>
    <row r="7387" spans="1:8">
      <c r="A7387" s="60"/>
      <c r="B7387" s="77"/>
      <c r="C7387" s="60"/>
      <c r="D7387" s="81"/>
      <c r="E7387" s="62"/>
      <c r="F7387" s="60"/>
      <c r="G7387" s="62"/>
      <c r="H7387" s="60"/>
    </row>
    <row r="7388" spans="1:8">
      <c r="A7388" s="60"/>
      <c r="B7388" s="77"/>
      <c r="C7388" s="60"/>
      <c r="D7388" s="81"/>
      <c r="E7388" s="62"/>
      <c r="F7388" s="60"/>
      <c r="G7388" s="62"/>
      <c r="H7388" s="60"/>
    </row>
    <row r="7389" spans="1:8">
      <c r="A7389" s="60"/>
      <c r="B7389" s="77"/>
      <c r="C7389" s="60"/>
      <c r="D7389" s="81"/>
      <c r="E7389" s="62"/>
      <c r="F7389" s="60"/>
      <c r="G7389" s="62"/>
      <c r="H7389" s="60"/>
    </row>
    <row r="7390" spans="1:8">
      <c r="A7390" s="60"/>
      <c r="B7390" s="77"/>
      <c r="C7390" s="60"/>
      <c r="D7390" s="81"/>
      <c r="E7390" s="62"/>
      <c r="F7390" s="60"/>
      <c r="G7390" s="62"/>
      <c r="H7390" s="60"/>
    </row>
    <row r="7391" spans="1:8">
      <c r="A7391" s="60"/>
      <c r="B7391" s="77"/>
      <c r="C7391" s="60"/>
      <c r="D7391" s="81"/>
      <c r="E7391" s="62"/>
      <c r="F7391" s="60"/>
      <c r="G7391" s="62"/>
      <c r="H7391" s="60"/>
    </row>
    <row r="7392" spans="1:8">
      <c r="A7392" s="60"/>
      <c r="B7392" s="77"/>
      <c r="C7392" s="60"/>
      <c r="D7392" s="81"/>
      <c r="E7392" s="62"/>
      <c r="F7392" s="60"/>
      <c r="G7392" s="62"/>
      <c r="H7392" s="60"/>
    </row>
    <row r="7393" spans="1:8">
      <c r="A7393" s="60"/>
      <c r="B7393" s="77"/>
      <c r="C7393" s="60"/>
      <c r="D7393" s="81"/>
      <c r="E7393" s="62"/>
      <c r="F7393" s="60"/>
      <c r="G7393" s="62"/>
      <c r="H7393" s="60"/>
    </row>
    <row r="7394" spans="1:8">
      <c r="A7394" s="60"/>
      <c r="B7394" s="77"/>
      <c r="C7394" s="60"/>
      <c r="D7394" s="81"/>
      <c r="E7394" s="62"/>
      <c r="F7394" s="60"/>
      <c r="G7394" s="62"/>
      <c r="H7394" s="60"/>
    </row>
    <row r="7395" spans="1:8">
      <c r="A7395" s="60"/>
      <c r="B7395" s="77"/>
      <c r="C7395" s="60"/>
      <c r="D7395" s="81"/>
      <c r="E7395" s="62"/>
      <c r="F7395" s="60"/>
      <c r="G7395" s="62"/>
      <c r="H7395" s="60"/>
    </row>
    <row r="7396" spans="1:8">
      <c r="A7396" s="60"/>
      <c r="B7396" s="77"/>
      <c r="C7396" s="60"/>
      <c r="D7396" s="81"/>
      <c r="E7396" s="62"/>
      <c r="F7396" s="60"/>
      <c r="G7396" s="62"/>
      <c r="H7396" s="60"/>
    </row>
    <row r="7397" spans="1:8">
      <c r="A7397" s="60"/>
      <c r="B7397" s="77"/>
      <c r="C7397" s="60"/>
      <c r="D7397" s="81"/>
      <c r="E7397" s="62"/>
      <c r="F7397" s="60"/>
      <c r="G7397" s="62"/>
      <c r="H7397" s="60"/>
    </row>
    <row r="7398" spans="1:8">
      <c r="A7398" s="60"/>
      <c r="B7398" s="77"/>
      <c r="C7398" s="60"/>
      <c r="D7398" s="81"/>
      <c r="E7398" s="62"/>
      <c r="F7398" s="60"/>
      <c r="G7398" s="62"/>
      <c r="H7398" s="60"/>
    </row>
    <row r="7399" spans="1:8">
      <c r="A7399" s="60"/>
      <c r="B7399" s="77"/>
      <c r="C7399" s="60"/>
      <c r="D7399" s="81"/>
      <c r="E7399" s="62"/>
      <c r="F7399" s="60"/>
      <c r="G7399" s="62"/>
      <c r="H7399" s="60"/>
    </row>
    <row r="7400" spans="1:8">
      <c r="A7400" s="60"/>
      <c r="B7400" s="77"/>
      <c r="C7400" s="60"/>
      <c r="D7400" s="81"/>
      <c r="E7400" s="62"/>
      <c r="F7400" s="60"/>
      <c r="G7400" s="62"/>
      <c r="H7400" s="60"/>
    </row>
    <row r="7401" spans="1:8">
      <c r="A7401" s="60"/>
      <c r="B7401" s="77"/>
      <c r="C7401" s="60"/>
      <c r="D7401" s="81"/>
      <c r="E7401" s="62"/>
      <c r="F7401" s="60"/>
      <c r="G7401" s="62"/>
      <c r="H7401" s="60"/>
    </row>
    <row r="7402" spans="1:8">
      <c r="A7402" s="60"/>
      <c r="B7402" s="77"/>
      <c r="C7402" s="60"/>
      <c r="D7402" s="81"/>
      <c r="E7402" s="62"/>
      <c r="F7402" s="60"/>
      <c r="G7402" s="62"/>
      <c r="H7402" s="60"/>
    </row>
    <row r="7403" spans="1:8">
      <c r="A7403" s="60"/>
      <c r="B7403" s="77"/>
      <c r="C7403" s="60"/>
      <c r="D7403" s="81"/>
      <c r="E7403" s="62"/>
      <c r="F7403" s="60"/>
      <c r="G7403" s="62"/>
      <c r="H7403" s="60"/>
    </row>
    <row r="7404" spans="1:8">
      <c r="A7404" s="60"/>
      <c r="B7404" s="77"/>
      <c r="C7404" s="60"/>
      <c r="D7404" s="81"/>
      <c r="E7404" s="62"/>
      <c r="F7404" s="60"/>
      <c r="G7404" s="62"/>
      <c r="H7404" s="60"/>
    </row>
    <row r="7405" spans="1:8">
      <c r="A7405" s="60"/>
      <c r="B7405" s="77"/>
      <c r="C7405" s="60"/>
      <c r="D7405" s="81"/>
      <c r="E7405" s="62"/>
      <c r="F7405" s="60"/>
      <c r="G7405" s="62"/>
      <c r="H7405" s="60"/>
    </row>
    <row r="7406" spans="1:8">
      <c r="A7406" s="60"/>
      <c r="B7406" s="77"/>
      <c r="C7406" s="60"/>
      <c r="D7406" s="81"/>
      <c r="E7406" s="62"/>
      <c r="F7406" s="60"/>
      <c r="G7406" s="62"/>
      <c r="H7406" s="60"/>
    </row>
    <row r="7407" spans="1:8">
      <c r="A7407" s="60"/>
      <c r="B7407" s="77"/>
      <c r="C7407" s="60"/>
      <c r="D7407" s="81"/>
      <c r="E7407" s="62"/>
      <c r="F7407" s="60"/>
      <c r="G7407" s="62"/>
      <c r="H7407" s="60"/>
    </row>
    <row r="7408" spans="1:8">
      <c r="A7408" s="60"/>
      <c r="B7408" s="77"/>
      <c r="C7408" s="60"/>
      <c r="D7408" s="81"/>
      <c r="E7408" s="62"/>
      <c r="F7408" s="60"/>
      <c r="G7408" s="62"/>
      <c r="H7408" s="60"/>
    </row>
    <row r="7409" spans="1:8">
      <c r="A7409" s="60"/>
      <c r="B7409" s="77"/>
      <c r="C7409" s="60"/>
      <c r="D7409" s="81"/>
      <c r="E7409" s="62"/>
      <c r="F7409" s="60"/>
      <c r="G7409" s="62"/>
      <c r="H7409" s="60"/>
    </row>
    <row r="7410" spans="1:8">
      <c r="A7410" s="60"/>
      <c r="B7410" s="77"/>
      <c r="C7410" s="60"/>
      <c r="D7410" s="81"/>
      <c r="E7410" s="62"/>
      <c r="F7410" s="60"/>
      <c r="G7410" s="62"/>
      <c r="H7410" s="60"/>
    </row>
    <row r="7411" spans="1:8">
      <c r="A7411" s="60"/>
      <c r="B7411" s="77"/>
      <c r="C7411" s="60"/>
      <c r="D7411" s="81"/>
      <c r="E7411" s="62"/>
      <c r="F7411" s="60"/>
      <c r="G7411" s="62"/>
      <c r="H7411" s="60"/>
    </row>
    <row r="7412" spans="1:8">
      <c r="A7412" s="60"/>
      <c r="B7412" s="77"/>
      <c r="C7412" s="60"/>
      <c r="D7412" s="81"/>
      <c r="E7412" s="62"/>
      <c r="F7412" s="60"/>
      <c r="G7412" s="62"/>
      <c r="H7412" s="60"/>
    </row>
    <row r="7413" spans="1:8">
      <c r="A7413" s="60"/>
      <c r="B7413" s="77"/>
      <c r="C7413" s="60"/>
      <c r="D7413" s="81"/>
      <c r="E7413" s="62"/>
      <c r="F7413" s="60"/>
      <c r="G7413" s="62"/>
      <c r="H7413" s="60"/>
    </row>
    <row r="7414" spans="1:8">
      <c r="A7414" s="60"/>
      <c r="B7414" s="77"/>
      <c r="C7414" s="60"/>
      <c r="D7414" s="81"/>
      <c r="E7414" s="62"/>
      <c r="F7414" s="60"/>
      <c r="G7414" s="62"/>
      <c r="H7414" s="60"/>
    </row>
    <row r="7415" spans="1:8">
      <c r="A7415" s="60"/>
      <c r="B7415" s="77"/>
      <c r="C7415" s="60"/>
      <c r="D7415" s="81"/>
      <c r="E7415" s="62"/>
      <c r="F7415" s="60"/>
      <c r="G7415" s="62"/>
      <c r="H7415" s="60"/>
    </row>
    <row r="7416" spans="1:8">
      <c r="A7416" s="60"/>
      <c r="B7416" s="77"/>
      <c r="C7416" s="60"/>
      <c r="D7416" s="81"/>
      <c r="E7416" s="62"/>
      <c r="F7416" s="60"/>
      <c r="G7416" s="62"/>
      <c r="H7416" s="60"/>
    </row>
    <row r="7417" spans="1:8">
      <c r="A7417" s="60"/>
      <c r="B7417" s="77"/>
      <c r="C7417" s="60"/>
      <c r="D7417" s="81"/>
      <c r="E7417" s="62"/>
      <c r="F7417" s="60"/>
      <c r="G7417" s="62"/>
      <c r="H7417" s="60"/>
    </row>
    <row r="7418" spans="1:8">
      <c r="A7418" s="60"/>
      <c r="B7418" s="77"/>
      <c r="C7418" s="60"/>
      <c r="D7418" s="81"/>
      <c r="E7418" s="62"/>
      <c r="F7418" s="60"/>
      <c r="G7418" s="62"/>
      <c r="H7418" s="60"/>
    </row>
    <row r="7419" spans="1:8">
      <c r="A7419" s="60"/>
      <c r="B7419" s="77"/>
      <c r="C7419" s="60"/>
      <c r="D7419" s="81"/>
      <c r="E7419" s="62"/>
      <c r="F7419" s="60"/>
      <c r="G7419" s="62"/>
      <c r="H7419" s="60"/>
    </row>
    <row r="7420" spans="1:8">
      <c r="A7420" s="60"/>
      <c r="B7420" s="77"/>
      <c r="C7420" s="60"/>
      <c r="D7420" s="81"/>
      <c r="E7420" s="62"/>
      <c r="F7420" s="60"/>
      <c r="G7420" s="62"/>
      <c r="H7420" s="60"/>
    </row>
    <row r="7421" spans="1:8">
      <c r="A7421" s="60"/>
      <c r="B7421" s="77"/>
      <c r="C7421" s="60"/>
      <c r="D7421" s="81"/>
      <c r="E7421" s="62"/>
      <c r="F7421" s="60"/>
      <c r="G7421" s="62"/>
      <c r="H7421" s="60"/>
    </row>
    <row r="7422" spans="1:8">
      <c r="A7422" s="60"/>
      <c r="B7422" s="77"/>
      <c r="C7422" s="60"/>
      <c r="D7422" s="81"/>
      <c r="E7422" s="62"/>
      <c r="F7422" s="60"/>
      <c r="G7422" s="62"/>
      <c r="H7422" s="60"/>
    </row>
    <row r="7423" spans="1:8">
      <c r="A7423" s="60"/>
      <c r="B7423" s="77"/>
      <c r="C7423" s="60"/>
      <c r="D7423" s="81"/>
      <c r="E7423" s="62"/>
      <c r="F7423" s="60"/>
      <c r="G7423" s="62"/>
      <c r="H7423" s="60"/>
    </row>
    <row r="7424" spans="1:8">
      <c r="A7424" s="60"/>
      <c r="B7424" s="77"/>
      <c r="C7424" s="60"/>
      <c r="D7424" s="81"/>
      <c r="E7424" s="62"/>
      <c r="F7424" s="60"/>
      <c r="G7424" s="62"/>
      <c r="H7424" s="60"/>
    </row>
    <row r="7425" spans="1:8">
      <c r="A7425" s="60"/>
      <c r="B7425" s="77"/>
      <c r="C7425" s="60"/>
      <c r="D7425" s="81"/>
      <c r="E7425" s="62"/>
      <c r="F7425" s="60"/>
      <c r="G7425" s="62"/>
      <c r="H7425" s="60"/>
    </row>
    <row r="7426" spans="1:8">
      <c r="A7426" s="60"/>
      <c r="B7426" s="77"/>
      <c r="C7426" s="60"/>
      <c r="D7426" s="81"/>
      <c r="E7426" s="62"/>
      <c r="F7426" s="60"/>
      <c r="G7426" s="62"/>
      <c r="H7426" s="60"/>
    </row>
    <row r="7427" spans="1:8">
      <c r="A7427" s="60"/>
      <c r="B7427" s="77"/>
      <c r="C7427" s="60"/>
      <c r="D7427" s="81"/>
      <c r="E7427" s="62"/>
      <c r="F7427" s="60"/>
      <c r="G7427" s="62"/>
      <c r="H7427" s="60"/>
    </row>
    <row r="7428" spans="1:8">
      <c r="A7428" s="60"/>
      <c r="B7428" s="77"/>
      <c r="C7428" s="60"/>
      <c r="D7428" s="81"/>
      <c r="E7428" s="62"/>
      <c r="F7428" s="60"/>
      <c r="G7428" s="62"/>
      <c r="H7428" s="60"/>
    </row>
    <row r="7429" spans="1:8">
      <c r="A7429" s="60"/>
      <c r="B7429" s="77"/>
      <c r="C7429" s="60"/>
      <c r="D7429" s="81"/>
      <c r="E7429" s="62"/>
      <c r="F7429" s="60"/>
      <c r="G7429" s="62"/>
      <c r="H7429" s="60"/>
    </row>
    <row r="7430" spans="1:8">
      <c r="A7430" s="60"/>
      <c r="B7430" s="77"/>
      <c r="C7430" s="60"/>
      <c r="D7430" s="81"/>
      <c r="E7430" s="62"/>
      <c r="F7430" s="60"/>
      <c r="G7430" s="62"/>
      <c r="H7430" s="60"/>
    </row>
    <row r="7431" spans="1:8">
      <c r="A7431" s="60"/>
      <c r="B7431" s="77"/>
      <c r="C7431" s="60"/>
      <c r="D7431" s="81"/>
      <c r="E7431" s="62"/>
      <c r="F7431" s="60"/>
      <c r="G7431" s="62"/>
      <c r="H7431" s="60"/>
    </row>
    <row r="7432" spans="1:8">
      <c r="A7432" s="60"/>
      <c r="B7432" s="77"/>
      <c r="C7432" s="60"/>
      <c r="D7432" s="81"/>
      <c r="E7432" s="62"/>
      <c r="F7432" s="60"/>
      <c r="G7432" s="62"/>
      <c r="H7432" s="60"/>
    </row>
    <row r="7433" spans="1:8">
      <c r="A7433" s="60"/>
      <c r="B7433" s="77"/>
      <c r="C7433" s="60"/>
      <c r="D7433" s="81"/>
      <c r="E7433" s="62"/>
      <c r="F7433" s="60"/>
      <c r="G7433" s="62"/>
      <c r="H7433" s="60"/>
    </row>
    <row r="7434" spans="1:8">
      <c r="A7434" s="60"/>
      <c r="B7434" s="77"/>
      <c r="C7434" s="60"/>
      <c r="D7434" s="81"/>
      <c r="E7434" s="62"/>
      <c r="F7434" s="60"/>
      <c r="G7434" s="62"/>
      <c r="H7434" s="60"/>
    </row>
    <row r="7435" spans="1:8">
      <c r="A7435" s="60"/>
      <c r="B7435" s="77"/>
      <c r="C7435" s="60"/>
      <c r="D7435" s="81"/>
      <c r="E7435" s="62"/>
      <c r="F7435" s="60"/>
      <c r="G7435" s="62"/>
      <c r="H7435" s="60"/>
    </row>
    <row r="7436" spans="1:8">
      <c r="A7436" s="60"/>
      <c r="B7436" s="77"/>
      <c r="C7436" s="60"/>
      <c r="D7436" s="81"/>
      <c r="E7436" s="62"/>
      <c r="F7436" s="60"/>
      <c r="G7436" s="62"/>
      <c r="H7436" s="60"/>
    </row>
    <row r="7437" spans="1:8">
      <c r="A7437" s="60"/>
      <c r="B7437" s="77"/>
      <c r="C7437" s="60"/>
      <c r="D7437" s="81"/>
      <c r="E7437" s="62"/>
      <c r="F7437" s="60"/>
      <c r="G7437" s="62"/>
      <c r="H7437" s="60"/>
    </row>
    <row r="7438" spans="1:8">
      <c r="A7438" s="60"/>
      <c r="B7438" s="77"/>
      <c r="C7438" s="60"/>
      <c r="D7438" s="81"/>
      <c r="E7438" s="62"/>
      <c r="F7438" s="60"/>
      <c r="G7438" s="62"/>
      <c r="H7438" s="60"/>
    </row>
    <row r="7439" spans="1:8">
      <c r="A7439" s="60"/>
      <c r="B7439" s="77"/>
      <c r="C7439" s="60"/>
      <c r="D7439" s="81"/>
      <c r="E7439" s="62"/>
      <c r="F7439" s="60"/>
      <c r="G7439" s="62"/>
      <c r="H7439" s="60"/>
    </row>
    <row r="7440" spans="1:8">
      <c r="A7440" s="60"/>
      <c r="B7440" s="77"/>
      <c r="C7440" s="60"/>
      <c r="D7440" s="81"/>
      <c r="E7440" s="62"/>
      <c r="F7440" s="60"/>
      <c r="G7440" s="62"/>
      <c r="H7440" s="60"/>
    </row>
    <row r="7441" spans="1:8">
      <c r="A7441" s="60"/>
      <c r="B7441" s="77"/>
      <c r="C7441" s="60"/>
      <c r="D7441" s="81"/>
      <c r="E7441" s="62"/>
      <c r="F7441" s="60"/>
      <c r="G7441" s="62"/>
      <c r="H7441" s="60"/>
    </row>
    <row r="7442" spans="1:8">
      <c r="A7442" s="60"/>
      <c r="B7442" s="77"/>
      <c r="C7442" s="60"/>
      <c r="D7442" s="81"/>
      <c r="E7442" s="62"/>
      <c r="F7442" s="60"/>
      <c r="G7442" s="62"/>
      <c r="H7442" s="60"/>
    </row>
    <row r="7443" spans="1:8">
      <c r="A7443" s="60"/>
      <c r="B7443" s="77"/>
      <c r="C7443" s="60"/>
      <c r="D7443" s="81"/>
      <c r="E7443" s="62"/>
      <c r="F7443" s="60"/>
      <c r="G7443" s="62"/>
      <c r="H7443" s="60"/>
    </row>
    <row r="7444" spans="1:8">
      <c r="A7444" s="60"/>
      <c r="B7444" s="77"/>
      <c r="C7444" s="60"/>
      <c r="D7444" s="81"/>
      <c r="E7444" s="62"/>
      <c r="F7444" s="60"/>
      <c r="G7444" s="62"/>
      <c r="H7444" s="60"/>
    </row>
    <row r="7445" spans="1:8">
      <c r="A7445" s="60"/>
      <c r="B7445" s="77"/>
      <c r="C7445" s="60"/>
      <c r="D7445" s="81"/>
      <c r="E7445" s="62"/>
      <c r="F7445" s="60"/>
      <c r="G7445" s="62"/>
      <c r="H7445" s="60"/>
    </row>
    <row r="7446" spans="1:8">
      <c r="A7446" s="60"/>
      <c r="B7446" s="77"/>
      <c r="C7446" s="60"/>
      <c r="D7446" s="81"/>
      <c r="E7446" s="62"/>
      <c r="F7446" s="60"/>
      <c r="G7446" s="62"/>
      <c r="H7446" s="60"/>
    </row>
    <row r="7447" spans="1:8">
      <c r="A7447" s="60"/>
      <c r="B7447" s="77"/>
      <c r="C7447" s="60"/>
      <c r="D7447" s="81"/>
      <c r="E7447" s="62"/>
      <c r="F7447" s="60"/>
      <c r="G7447" s="62"/>
      <c r="H7447" s="60"/>
    </row>
    <row r="7448" spans="1:8">
      <c r="A7448" s="60"/>
      <c r="B7448" s="77"/>
      <c r="C7448" s="60"/>
      <c r="D7448" s="81"/>
      <c r="E7448" s="62"/>
      <c r="F7448" s="60"/>
      <c r="G7448" s="62"/>
      <c r="H7448" s="60"/>
    </row>
    <row r="7449" spans="1:8">
      <c r="A7449" s="60"/>
      <c r="B7449" s="77"/>
      <c r="C7449" s="60"/>
      <c r="D7449" s="81"/>
      <c r="E7449" s="62"/>
      <c r="F7449" s="60"/>
      <c r="G7449" s="62"/>
      <c r="H7449" s="60"/>
    </row>
    <row r="7450" spans="1:8">
      <c r="A7450" s="60"/>
      <c r="B7450" s="77"/>
      <c r="C7450" s="60"/>
      <c r="D7450" s="81"/>
      <c r="E7450" s="62"/>
      <c r="F7450" s="60"/>
      <c r="G7450" s="62"/>
      <c r="H7450" s="60"/>
    </row>
    <row r="7451" spans="1:8">
      <c r="A7451" s="60"/>
      <c r="B7451" s="77"/>
      <c r="C7451" s="60"/>
      <c r="D7451" s="81"/>
      <c r="E7451" s="62"/>
      <c r="F7451" s="60"/>
      <c r="G7451" s="62"/>
      <c r="H7451" s="60"/>
    </row>
    <row r="7452" spans="1:8">
      <c r="A7452" s="60"/>
      <c r="B7452" s="77"/>
      <c r="C7452" s="60"/>
      <c r="D7452" s="81"/>
      <c r="E7452" s="62"/>
      <c r="F7452" s="60"/>
      <c r="G7452" s="62"/>
      <c r="H7452" s="60"/>
    </row>
    <row r="7453" spans="1:8">
      <c r="A7453" s="60"/>
      <c r="B7453" s="77"/>
      <c r="C7453" s="60"/>
      <c r="D7453" s="81"/>
      <c r="E7453" s="62"/>
      <c r="F7453" s="60"/>
      <c r="G7453" s="62"/>
      <c r="H7453" s="60"/>
    </row>
    <row r="7454" spans="1:8">
      <c r="A7454" s="60"/>
      <c r="B7454" s="77"/>
      <c r="C7454" s="60"/>
      <c r="D7454" s="81"/>
      <c r="E7454" s="62"/>
      <c r="F7454" s="60"/>
      <c r="G7454" s="62"/>
      <c r="H7454" s="60"/>
    </row>
    <row r="7455" spans="1:8">
      <c r="A7455" s="60"/>
      <c r="B7455" s="77"/>
      <c r="C7455" s="60"/>
      <c r="D7455" s="81"/>
      <c r="E7455" s="62"/>
      <c r="F7455" s="60"/>
      <c r="G7455" s="62"/>
      <c r="H7455" s="60"/>
    </row>
    <row r="7456" spans="1:8">
      <c r="A7456" s="60"/>
      <c r="B7456" s="77"/>
      <c r="C7456" s="60"/>
      <c r="D7456" s="81"/>
      <c r="E7456" s="62"/>
      <c r="F7456" s="60"/>
      <c r="G7456" s="62"/>
      <c r="H7456" s="60"/>
    </row>
    <row r="7457" spans="1:8">
      <c r="A7457" s="60"/>
      <c r="B7457" s="77"/>
      <c r="C7457" s="60"/>
      <c r="D7457" s="81"/>
      <c r="E7457" s="62"/>
      <c r="F7457" s="60"/>
      <c r="G7457" s="62"/>
      <c r="H7457" s="60"/>
    </row>
    <row r="7458" spans="1:8">
      <c r="A7458" s="60"/>
      <c r="B7458" s="77"/>
      <c r="C7458" s="60"/>
      <c r="D7458" s="81"/>
      <c r="E7458" s="62"/>
      <c r="F7458" s="60"/>
      <c r="G7458" s="62"/>
      <c r="H7458" s="60"/>
    </row>
    <row r="7459" spans="1:8">
      <c r="A7459" s="60"/>
      <c r="B7459" s="77"/>
      <c r="C7459" s="60"/>
      <c r="D7459" s="81"/>
      <c r="E7459" s="62"/>
      <c r="F7459" s="60"/>
      <c r="G7459" s="62"/>
      <c r="H7459" s="60"/>
    </row>
    <row r="7460" spans="1:8">
      <c r="A7460" s="60"/>
      <c r="B7460" s="77"/>
      <c r="C7460" s="60"/>
      <c r="D7460" s="81"/>
      <c r="E7460" s="62"/>
      <c r="F7460" s="60"/>
      <c r="G7460" s="62"/>
      <c r="H7460" s="60"/>
    </row>
    <row r="7461" spans="1:8">
      <c r="A7461" s="60"/>
      <c r="B7461" s="77"/>
      <c r="C7461" s="60"/>
      <c r="D7461" s="81"/>
      <c r="E7461" s="62"/>
      <c r="F7461" s="60"/>
      <c r="G7461" s="62"/>
      <c r="H7461" s="60"/>
    </row>
    <row r="7462" spans="1:8">
      <c r="A7462" s="60"/>
      <c r="B7462" s="77"/>
      <c r="C7462" s="60"/>
      <c r="D7462" s="81"/>
      <c r="E7462" s="62"/>
      <c r="F7462" s="60"/>
      <c r="G7462" s="62"/>
      <c r="H7462" s="60"/>
    </row>
    <row r="7463" spans="1:8">
      <c r="A7463" s="60"/>
      <c r="B7463" s="77"/>
      <c r="C7463" s="60"/>
      <c r="D7463" s="81"/>
      <c r="E7463" s="62"/>
      <c r="F7463" s="60"/>
      <c r="G7463" s="62"/>
      <c r="H7463" s="60"/>
    </row>
    <row r="7464" spans="1:8">
      <c r="A7464" s="60"/>
      <c r="B7464" s="77"/>
      <c r="C7464" s="60"/>
      <c r="D7464" s="81"/>
      <c r="E7464" s="62"/>
      <c r="F7464" s="60"/>
      <c r="G7464" s="62"/>
      <c r="H7464" s="60"/>
    </row>
    <row r="7465" spans="1:8">
      <c r="A7465" s="60"/>
      <c r="B7465" s="77"/>
      <c r="C7465" s="60"/>
      <c r="D7465" s="81"/>
      <c r="E7465" s="62"/>
      <c r="F7465" s="60"/>
      <c r="G7465" s="62"/>
      <c r="H7465" s="60"/>
    </row>
    <row r="7466" spans="1:8">
      <c r="A7466" s="60"/>
      <c r="B7466" s="77"/>
      <c r="C7466" s="60"/>
      <c r="D7466" s="81"/>
      <c r="E7466" s="62"/>
      <c r="F7466" s="60"/>
      <c r="G7466" s="62"/>
      <c r="H7466" s="60"/>
    </row>
    <row r="7467" spans="1:8">
      <c r="A7467" s="60"/>
      <c r="B7467" s="77"/>
      <c r="C7467" s="60"/>
      <c r="D7467" s="81"/>
      <c r="E7467" s="62"/>
      <c r="F7467" s="60"/>
      <c r="G7467" s="62"/>
      <c r="H7467" s="60"/>
    </row>
    <row r="7468" spans="1:8">
      <c r="A7468" s="60"/>
      <c r="B7468" s="77"/>
      <c r="C7468" s="60"/>
      <c r="D7468" s="81"/>
      <c r="E7468" s="62"/>
      <c r="F7468" s="60"/>
      <c r="G7468" s="62"/>
      <c r="H7468" s="60"/>
    </row>
    <row r="7469" spans="1:8">
      <c r="A7469" s="60"/>
      <c r="B7469" s="77"/>
      <c r="C7469" s="60"/>
      <c r="D7469" s="81"/>
      <c r="E7469" s="62"/>
      <c r="F7469" s="60"/>
      <c r="G7469" s="62"/>
      <c r="H7469" s="60"/>
    </row>
    <row r="7470" spans="1:8">
      <c r="A7470" s="60"/>
      <c r="B7470" s="77"/>
      <c r="C7470" s="60"/>
      <c r="D7470" s="81"/>
      <c r="E7470" s="62"/>
      <c r="F7470" s="60"/>
      <c r="G7470" s="62"/>
      <c r="H7470" s="60"/>
    </row>
    <row r="7471" spans="1:8">
      <c r="A7471" s="60"/>
      <c r="B7471" s="77"/>
      <c r="C7471" s="60"/>
      <c r="D7471" s="81"/>
      <c r="E7471" s="62"/>
      <c r="F7471" s="60"/>
      <c r="G7471" s="62"/>
      <c r="H7471" s="60"/>
    </row>
    <row r="7472" spans="1:8">
      <c r="A7472" s="60"/>
      <c r="B7472" s="77"/>
      <c r="C7472" s="60"/>
      <c r="D7472" s="81"/>
      <c r="E7472" s="62"/>
      <c r="F7472" s="60"/>
      <c r="G7472" s="62"/>
      <c r="H7472" s="60"/>
    </row>
    <row r="7473" spans="1:8">
      <c r="A7473" s="60"/>
      <c r="B7473" s="77"/>
      <c r="C7473" s="60"/>
      <c r="D7473" s="81"/>
      <c r="E7473" s="62"/>
      <c r="F7473" s="60"/>
      <c r="G7473" s="62"/>
      <c r="H7473" s="60"/>
    </row>
    <row r="7474" spans="1:8">
      <c r="A7474" s="60"/>
      <c r="B7474" s="77"/>
      <c r="C7474" s="60"/>
      <c r="D7474" s="81"/>
      <c r="E7474" s="62"/>
      <c r="F7474" s="60"/>
      <c r="G7474" s="62"/>
      <c r="H7474" s="60"/>
    </row>
    <row r="7475" spans="1:8">
      <c r="A7475" s="60"/>
      <c r="B7475" s="77"/>
      <c r="C7475" s="60"/>
      <c r="D7475" s="81"/>
      <c r="E7475" s="62"/>
      <c r="F7475" s="60"/>
      <c r="G7475" s="62"/>
      <c r="H7475" s="60"/>
    </row>
    <row r="7476" spans="1:8">
      <c r="A7476" s="60"/>
      <c r="B7476" s="77"/>
      <c r="C7476" s="60"/>
      <c r="D7476" s="81"/>
      <c r="E7476" s="62"/>
      <c r="F7476" s="60"/>
      <c r="G7476" s="62"/>
      <c r="H7476" s="60"/>
    </row>
    <row r="7477" spans="1:8">
      <c r="A7477" s="60"/>
      <c r="B7477" s="77"/>
      <c r="C7477" s="60"/>
      <c r="D7477" s="81"/>
      <c r="E7477" s="62"/>
      <c r="F7477" s="60"/>
      <c r="G7477" s="62"/>
      <c r="H7477" s="60"/>
    </row>
    <row r="7478" spans="1:8">
      <c r="A7478" s="60"/>
      <c r="B7478" s="77"/>
      <c r="C7478" s="60"/>
      <c r="D7478" s="81"/>
      <c r="E7478" s="62"/>
      <c r="F7478" s="60"/>
      <c r="G7478" s="62"/>
      <c r="H7478" s="60"/>
    </row>
    <row r="7479" spans="1:8">
      <c r="A7479" s="60"/>
      <c r="B7479" s="77"/>
      <c r="C7479" s="60"/>
      <c r="D7479" s="81"/>
      <c r="E7479" s="62"/>
      <c r="F7479" s="60"/>
      <c r="G7479" s="62"/>
      <c r="H7479" s="60"/>
    </row>
    <row r="7480" spans="1:8">
      <c r="A7480" s="60"/>
      <c r="B7480" s="77"/>
      <c r="C7480" s="60"/>
      <c r="D7480" s="81"/>
      <c r="E7480" s="62"/>
      <c r="F7480" s="60"/>
      <c r="G7480" s="62"/>
      <c r="H7480" s="60"/>
    </row>
    <row r="7481" spans="1:8">
      <c r="A7481" s="60"/>
      <c r="B7481" s="77"/>
      <c r="C7481" s="60"/>
      <c r="D7481" s="81"/>
      <c r="E7481" s="62"/>
      <c r="F7481" s="60"/>
      <c r="G7481" s="62"/>
      <c r="H7481" s="60"/>
    </row>
    <row r="7482" spans="1:8">
      <c r="A7482" s="60"/>
      <c r="B7482" s="77"/>
      <c r="C7482" s="60"/>
      <c r="D7482" s="81"/>
      <c r="E7482" s="62"/>
      <c r="F7482" s="60"/>
      <c r="G7482" s="62"/>
      <c r="H7482" s="60"/>
    </row>
    <row r="7483" spans="1:8">
      <c r="A7483" s="60"/>
      <c r="B7483" s="77"/>
      <c r="C7483" s="60"/>
      <c r="D7483" s="81"/>
      <c r="E7483" s="62"/>
      <c r="F7483" s="60"/>
      <c r="G7483" s="62"/>
      <c r="H7483" s="60"/>
    </row>
    <row r="7484" spans="1:8">
      <c r="A7484" s="60"/>
      <c r="B7484" s="77"/>
      <c r="C7484" s="60"/>
      <c r="D7484" s="81"/>
      <c r="E7484" s="62"/>
      <c r="F7484" s="60"/>
      <c r="G7484" s="62"/>
      <c r="H7484" s="60"/>
    </row>
    <row r="7485" spans="1:8">
      <c r="A7485" s="60"/>
      <c r="B7485" s="77"/>
      <c r="C7485" s="60"/>
      <c r="D7485" s="81"/>
      <c r="E7485" s="62"/>
      <c r="F7485" s="60"/>
      <c r="G7485" s="62"/>
      <c r="H7485" s="60"/>
    </row>
    <row r="7486" spans="1:8">
      <c r="A7486" s="60"/>
      <c r="B7486" s="77"/>
      <c r="C7486" s="60"/>
      <c r="D7486" s="81"/>
      <c r="E7486" s="62"/>
      <c r="F7486" s="60"/>
      <c r="G7486" s="62"/>
      <c r="H7486" s="60"/>
    </row>
    <row r="7487" spans="1:8">
      <c r="A7487" s="60"/>
      <c r="B7487" s="77"/>
      <c r="C7487" s="60"/>
      <c r="D7487" s="81"/>
      <c r="E7487" s="62"/>
      <c r="F7487" s="60"/>
      <c r="G7487" s="62"/>
      <c r="H7487" s="60"/>
    </row>
    <row r="7488" spans="1:8">
      <c r="A7488" s="60"/>
      <c r="B7488" s="77"/>
      <c r="C7488" s="60"/>
      <c r="D7488" s="81"/>
      <c r="E7488" s="62"/>
      <c r="F7488" s="60"/>
      <c r="G7488" s="62"/>
      <c r="H7488" s="60"/>
    </row>
    <row r="7489" spans="1:8">
      <c r="A7489" s="60"/>
      <c r="B7489" s="77"/>
      <c r="C7489" s="60"/>
      <c r="D7489" s="81"/>
      <c r="E7489" s="62"/>
      <c r="F7489" s="60"/>
      <c r="G7489" s="62"/>
      <c r="H7489" s="60"/>
    </row>
    <row r="7490" spans="1:8">
      <c r="A7490" s="60"/>
      <c r="B7490" s="77"/>
      <c r="C7490" s="60"/>
      <c r="D7490" s="81"/>
      <c r="E7490" s="62"/>
      <c r="F7490" s="60"/>
      <c r="G7490" s="62"/>
      <c r="H7490" s="60"/>
    </row>
    <row r="7491" spans="1:8">
      <c r="A7491" s="60"/>
      <c r="B7491" s="77"/>
      <c r="C7491" s="60"/>
      <c r="D7491" s="81"/>
      <c r="E7491" s="62"/>
      <c r="F7491" s="60"/>
      <c r="G7491" s="62"/>
      <c r="H7491" s="60"/>
    </row>
    <row r="7492" spans="1:8">
      <c r="A7492" s="60"/>
      <c r="B7492" s="77"/>
      <c r="C7492" s="60"/>
      <c r="D7492" s="81"/>
      <c r="E7492" s="62"/>
      <c r="F7492" s="60"/>
      <c r="G7492" s="62"/>
      <c r="H7492" s="60"/>
    </row>
    <row r="7493" spans="1:8">
      <c r="A7493" s="60"/>
      <c r="B7493" s="77"/>
      <c r="C7493" s="60"/>
      <c r="D7493" s="81"/>
      <c r="E7493" s="62"/>
      <c r="F7493" s="60"/>
      <c r="G7493" s="62"/>
      <c r="H7493" s="60"/>
    </row>
    <row r="7494" spans="1:8">
      <c r="A7494" s="60"/>
      <c r="B7494" s="77"/>
      <c r="C7494" s="60"/>
      <c r="D7494" s="81"/>
      <c r="E7494" s="62"/>
      <c r="F7494" s="60"/>
      <c r="G7494" s="62"/>
      <c r="H7494" s="60"/>
    </row>
    <row r="7495" spans="1:8">
      <c r="A7495" s="60"/>
      <c r="B7495" s="77"/>
      <c r="C7495" s="60"/>
      <c r="D7495" s="81"/>
      <c r="E7495" s="62"/>
      <c r="F7495" s="60"/>
      <c r="G7495" s="62"/>
      <c r="H7495" s="60"/>
    </row>
    <row r="7496" spans="1:8">
      <c r="A7496" s="60"/>
      <c r="B7496" s="77"/>
      <c r="C7496" s="60"/>
      <c r="D7496" s="81"/>
      <c r="E7496" s="62"/>
      <c r="F7496" s="60"/>
      <c r="G7496" s="62"/>
      <c r="H7496" s="60"/>
    </row>
    <row r="7497" spans="1:8">
      <c r="A7497" s="60"/>
      <c r="B7497" s="77"/>
      <c r="C7497" s="60"/>
      <c r="D7497" s="81"/>
      <c r="E7497" s="62"/>
      <c r="F7497" s="60"/>
      <c r="G7497" s="62"/>
      <c r="H7497" s="60"/>
    </row>
    <row r="7498" spans="1:8">
      <c r="A7498" s="60"/>
      <c r="B7498" s="77"/>
      <c r="C7498" s="60"/>
      <c r="D7498" s="81"/>
      <c r="E7498" s="62"/>
      <c r="F7498" s="60"/>
      <c r="G7498" s="62"/>
      <c r="H7498" s="60"/>
    </row>
    <row r="7499" spans="1:8">
      <c r="A7499" s="60"/>
      <c r="B7499" s="77"/>
      <c r="C7499" s="60"/>
      <c r="D7499" s="81"/>
      <c r="E7499" s="62"/>
      <c r="F7499" s="60"/>
      <c r="G7499" s="62"/>
      <c r="H7499" s="60"/>
    </row>
    <row r="7500" spans="1:8">
      <c r="A7500" s="60"/>
      <c r="B7500" s="77"/>
      <c r="C7500" s="60"/>
      <c r="D7500" s="81"/>
      <c r="E7500" s="62"/>
      <c r="F7500" s="60"/>
      <c r="G7500" s="62"/>
      <c r="H7500" s="60"/>
    </row>
    <row r="7501" spans="1:8">
      <c r="A7501" s="60"/>
      <c r="B7501" s="77"/>
      <c r="C7501" s="60"/>
      <c r="D7501" s="81"/>
      <c r="E7501" s="62"/>
      <c r="F7501" s="60"/>
      <c r="G7501" s="62"/>
      <c r="H7501" s="60"/>
    </row>
    <row r="7502" spans="1:8">
      <c r="A7502" s="60"/>
      <c r="B7502" s="77"/>
      <c r="C7502" s="60"/>
      <c r="D7502" s="81"/>
      <c r="E7502" s="62"/>
      <c r="F7502" s="60"/>
      <c r="G7502" s="62"/>
      <c r="H7502" s="60"/>
    </row>
    <row r="7503" spans="1:8">
      <c r="A7503" s="60"/>
      <c r="B7503" s="77"/>
      <c r="C7503" s="60"/>
      <c r="D7503" s="81"/>
      <c r="E7503" s="62"/>
      <c r="F7503" s="60"/>
      <c r="G7503" s="62"/>
      <c r="H7503" s="60"/>
    </row>
    <row r="7504" spans="1:8">
      <c r="A7504" s="60"/>
      <c r="B7504" s="77"/>
      <c r="C7504" s="60"/>
      <c r="D7504" s="81"/>
      <c r="E7504" s="62"/>
      <c r="F7504" s="60"/>
      <c r="G7504" s="62"/>
      <c r="H7504" s="60"/>
    </row>
    <row r="7505" spans="1:8">
      <c r="A7505" s="60"/>
      <c r="B7505" s="77"/>
      <c r="C7505" s="60"/>
      <c r="D7505" s="81"/>
      <c r="E7505" s="62"/>
      <c r="F7505" s="60"/>
      <c r="G7505" s="62"/>
      <c r="H7505" s="60"/>
    </row>
    <row r="7506" spans="1:8">
      <c r="A7506" s="60"/>
      <c r="B7506" s="77"/>
      <c r="C7506" s="60"/>
      <c r="D7506" s="81"/>
      <c r="E7506" s="62"/>
      <c r="F7506" s="60"/>
      <c r="G7506" s="62"/>
      <c r="H7506" s="60"/>
    </row>
    <row r="7507" spans="1:8">
      <c r="A7507" s="60"/>
      <c r="B7507" s="77"/>
      <c r="C7507" s="60"/>
      <c r="D7507" s="81"/>
      <c r="E7507" s="62"/>
      <c r="F7507" s="60"/>
      <c r="G7507" s="62"/>
      <c r="H7507" s="60"/>
    </row>
    <row r="7508" spans="1:8">
      <c r="A7508" s="60"/>
      <c r="B7508" s="77"/>
      <c r="C7508" s="60"/>
      <c r="D7508" s="81"/>
      <c r="E7508" s="62"/>
      <c r="F7508" s="60"/>
      <c r="G7508" s="62"/>
      <c r="H7508" s="60"/>
    </row>
    <row r="7509" spans="1:8">
      <c r="A7509" s="60"/>
      <c r="B7509" s="77"/>
      <c r="C7509" s="60"/>
      <c r="D7509" s="81"/>
      <c r="E7509" s="62"/>
      <c r="F7509" s="60"/>
      <c r="G7509" s="62"/>
      <c r="H7509" s="60"/>
    </row>
    <row r="7510" spans="1:8">
      <c r="A7510" s="60"/>
      <c r="B7510" s="77"/>
      <c r="C7510" s="60"/>
      <c r="D7510" s="81"/>
      <c r="E7510" s="62"/>
      <c r="F7510" s="60"/>
      <c r="G7510" s="62"/>
      <c r="H7510" s="60"/>
    </row>
    <row r="7511" spans="1:8">
      <c r="A7511" s="60"/>
      <c r="B7511" s="77"/>
      <c r="C7511" s="60"/>
      <c r="D7511" s="81"/>
      <c r="E7511" s="62"/>
      <c r="F7511" s="60"/>
      <c r="G7511" s="62"/>
      <c r="H7511" s="60"/>
    </row>
    <row r="7512" spans="1:8">
      <c r="A7512" s="60"/>
      <c r="B7512" s="77"/>
      <c r="C7512" s="60"/>
      <c r="D7512" s="81"/>
      <c r="E7512" s="62"/>
      <c r="F7512" s="60"/>
      <c r="G7512" s="62"/>
      <c r="H7512" s="60"/>
    </row>
    <row r="7513" spans="1:8">
      <c r="A7513" s="60"/>
      <c r="B7513" s="77"/>
      <c r="C7513" s="60"/>
      <c r="D7513" s="81"/>
      <c r="E7513" s="62"/>
      <c r="F7513" s="60"/>
      <c r="G7513" s="62"/>
      <c r="H7513" s="60"/>
    </row>
    <row r="7514" spans="1:8">
      <c r="A7514" s="60"/>
      <c r="B7514" s="77"/>
      <c r="C7514" s="60"/>
      <c r="D7514" s="81"/>
      <c r="E7514" s="62"/>
      <c r="F7514" s="60"/>
      <c r="G7514" s="62"/>
      <c r="H7514" s="60"/>
    </row>
    <row r="7515" spans="1:8">
      <c r="A7515" s="60"/>
      <c r="B7515" s="77"/>
      <c r="C7515" s="60"/>
      <c r="D7515" s="81"/>
      <c r="E7515" s="62"/>
      <c r="F7515" s="60"/>
      <c r="G7515" s="62"/>
      <c r="H7515" s="60"/>
    </row>
    <row r="7516" spans="1:8">
      <c r="A7516" s="60"/>
      <c r="B7516" s="77"/>
      <c r="C7516" s="60"/>
      <c r="D7516" s="81"/>
      <c r="E7516" s="62"/>
      <c r="F7516" s="60"/>
      <c r="G7516" s="62"/>
      <c r="H7516" s="60"/>
    </row>
    <row r="7517" spans="1:8">
      <c r="A7517" s="60"/>
      <c r="B7517" s="77"/>
      <c r="C7517" s="60"/>
      <c r="D7517" s="81"/>
      <c r="E7517" s="62"/>
      <c r="F7517" s="60"/>
      <c r="G7517" s="62"/>
      <c r="H7517" s="60"/>
    </row>
    <row r="7518" spans="1:8">
      <c r="A7518" s="60"/>
      <c r="B7518" s="77"/>
      <c r="C7518" s="60"/>
      <c r="D7518" s="81"/>
      <c r="E7518" s="62"/>
      <c r="F7518" s="60"/>
      <c r="G7518" s="62"/>
      <c r="H7518" s="60"/>
    </row>
    <row r="7519" spans="1:8">
      <c r="A7519" s="60"/>
      <c r="B7519" s="77"/>
      <c r="C7519" s="60"/>
      <c r="D7519" s="81"/>
      <c r="E7519" s="62"/>
      <c r="F7519" s="60"/>
      <c r="G7519" s="62"/>
      <c r="H7519" s="60"/>
    </row>
    <row r="7520" spans="1:8">
      <c r="A7520" s="60"/>
      <c r="B7520" s="77"/>
      <c r="C7520" s="60"/>
      <c r="D7520" s="81"/>
      <c r="E7520" s="62"/>
      <c r="F7520" s="60"/>
      <c r="G7520" s="62"/>
      <c r="H7520" s="60"/>
    </row>
    <row r="7521" spans="1:8">
      <c r="A7521" s="60"/>
      <c r="B7521" s="77"/>
      <c r="C7521" s="60"/>
      <c r="D7521" s="81"/>
      <c r="E7521" s="62"/>
      <c r="F7521" s="60"/>
      <c r="G7521" s="62"/>
      <c r="H7521" s="60"/>
    </row>
    <row r="7522" spans="1:8">
      <c r="A7522" s="60"/>
      <c r="B7522" s="77"/>
      <c r="C7522" s="60"/>
      <c r="D7522" s="81"/>
      <c r="E7522" s="62"/>
      <c r="F7522" s="60"/>
      <c r="G7522" s="62"/>
      <c r="H7522" s="60"/>
    </row>
    <row r="7523" spans="1:8">
      <c r="A7523" s="60"/>
      <c r="B7523" s="77"/>
      <c r="C7523" s="60"/>
      <c r="D7523" s="81"/>
      <c r="E7523" s="62"/>
      <c r="F7523" s="60"/>
      <c r="G7523" s="62"/>
      <c r="H7523" s="60"/>
    </row>
    <row r="7524" spans="1:8">
      <c r="A7524" s="60"/>
      <c r="B7524" s="77"/>
      <c r="C7524" s="60"/>
      <c r="D7524" s="81"/>
      <c r="E7524" s="62"/>
      <c r="F7524" s="60"/>
      <c r="G7524" s="62"/>
      <c r="H7524" s="60"/>
    </row>
    <row r="7525" spans="1:8">
      <c r="A7525" s="60"/>
      <c r="B7525" s="77"/>
      <c r="C7525" s="60"/>
      <c r="D7525" s="81"/>
      <c r="E7525" s="62"/>
      <c r="F7525" s="60"/>
      <c r="G7525" s="62"/>
      <c r="H7525" s="60"/>
    </row>
    <row r="7526" spans="1:8">
      <c r="A7526" s="60"/>
      <c r="B7526" s="77"/>
      <c r="C7526" s="60"/>
      <c r="D7526" s="81"/>
      <c r="E7526" s="62"/>
      <c r="F7526" s="60"/>
      <c r="G7526" s="62"/>
      <c r="H7526" s="60"/>
    </row>
    <row r="7527" spans="1:8">
      <c r="A7527" s="60"/>
      <c r="B7527" s="77"/>
      <c r="C7527" s="60"/>
      <c r="D7527" s="81"/>
      <c r="E7527" s="62"/>
      <c r="F7527" s="60"/>
      <c r="G7527" s="62"/>
      <c r="H7527" s="60"/>
    </row>
    <row r="7528" spans="1:8">
      <c r="A7528" s="60"/>
      <c r="B7528" s="77"/>
      <c r="C7528" s="60"/>
      <c r="D7528" s="81"/>
      <c r="E7528" s="62"/>
      <c r="F7528" s="60"/>
      <c r="G7528" s="62"/>
      <c r="H7528" s="60"/>
    </row>
    <row r="7529" spans="1:8">
      <c r="A7529" s="60"/>
      <c r="B7529" s="77"/>
      <c r="C7529" s="60"/>
      <c r="D7529" s="81"/>
      <c r="E7529" s="62"/>
      <c r="F7529" s="60"/>
      <c r="G7529" s="62"/>
      <c r="H7529" s="60"/>
    </row>
    <row r="7530" spans="1:8">
      <c r="A7530" s="60"/>
      <c r="B7530" s="77"/>
      <c r="C7530" s="60"/>
      <c r="D7530" s="81"/>
      <c r="E7530" s="62"/>
      <c r="F7530" s="60"/>
      <c r="G7530" s="62"/>
      <c r="H7530" s="60"/>
    </row>
    <row r="7531" spans="1:8">
      <c r="A7531" s="60"/>
      <c r="B7531" s="77"/>
      <c r="C7531" s="60"/>
      <c r="D7531" s="81"/>
      <c r="E7531" s="62"/>
      <c r="F7531" s="60"/>
      <c r="G7531" s="62"/>
      <c r="H7531" s="60"/>
    </row>
    <row r="7532" spans="1:8">
      <c r="A7532" s="60"/>
      <c r="B7532" s="77"/>
      <c r="C7532" s="60"/>
      <c r="D7532" s="81"/>
      <c r="E7532" s="62"/>
      <c r="F7532" s="60"/>
      <c r="G7532" s="62"/>
      <c r="H7532" s="60"/>
    </row>
    <row r="7533" spans="1:8">
      <c r="A7533" s="60"/>
      <c r="B7533" s="77"/>
      <c r="C7533" s="60"/>
      <c r="D7533" s="81"/>
      <c r="E7533" s="62"/>
      <c r="F7533" s="60"/>
      <c r="G7533" s="62"/>
      <c r="H7533" s="60"/>
    </row>
    <row r="7534" spans="1:8">
      <c r="A7534" s="60"/>
      <c r="B7534" s="77"/>
      <c r="C7534" s="60"/>
      <c r="D7534" s="81"/>
      <c r="E7534" s="62"/>
      <c r="F7534" s="60"/>
      <c r="G7534" s="62"/>
      <c r="H7534" s="60"/>
    </row>
    <row r="7535" spans="1:8">
      <c r="A7535" s="60"/>
      <c r="B7535" s="77"/>
      <c r="C7535" s="60"/>
      <c r="D7535" s="81"/>
      <c r="E7535" s="62"/>
      <c r="F7535" s="60"/>
      <c r="G7535" s="62"/>
      <c r="H7535" s="60"/>
    </row>
    <row r="7536" spans="1:8">
      <c r="A7536" s="60"/>
      <c r="B7536" s="77"/>
      <c r="C7536" s="60"/>
      <c r="D7536" s="81"/>
      <c r="E7536" s="62"/>
      <c r="F7536" s="60"/>
      <c r="G7536" s="62"/>
      <c r="H7536" s="60"/>
    </row>
    <row r="7537" spans="1:8">
      <c r="A7537" s="60"/>
      <c r="B7537" s="77"/>
      <c r="C7537" s="60"/>
      <c r="D7537" s="81"/>
      <c r="E7537" s="62"/>
      <c r="F7537" s="60"/>
      <c r="G7537" s="62"/>
      <c r="H7537" s="60"/>
    </row>
    <row r="7538" spans="1:8">
      <c r="A7538" s="60"/>
      <c r="B7538" s="77"/>
      <c r="C7538" s="60"/>
      <c r="D7538" s="81"/>
      <c r="E7538" s="62"/>
      <c r="F7538" s="60"/>
      <c r="G7538" s="62"/>
      <c r="H7538" s="60"/>
    </row>
    <row r="7539" spans="1:8">
      <c r="A7539" s="60"/>
      <c r="B7539" s="77"/>
      <c r="C7539" s="60"/>
      <c r="D7539" s="81"/>
      <c r="E7539" s="62"/>
      <c r="F7539" s="60"/>
      <c r="G7539" s="62"/>
      <c r="H7539" s="60"/>
    </row>
    <row r="7540" spans="1:8">
      <c r="A7540" s="60"/>
      <c r="B7540" s="77"/>
      <c r="C7540" s="60"/>
      <c r="D7540" s="81"/>
      <c r="E7540" s="62"/>
      <c r="F7540" s="60"/>
      <c r="G7540" s="62"/>
      <c r="H7540" s="60"/>
    </row>
    <row r="7541" spans="1:8">
      <c r="A7541" s="60"/>
      <c r="B7541" s="77"/>
      <c r="C7541" s="60"/>
      <c r="D7541" s="81"/>
      <c r="E7541" s="62"/>
      <c r="F7541" s="60"/>
      <c r="G7541" s="62"/>
      <c r="H7541" s="60"/>
    </row>
    <row r="7542" spans="1:8">
      <c r="A7542" s="60"/>
      <c r="B7542" s="77"/>
      <c r="C7542" s="60"/>
      <c r="D7542" s="81"/>
      <c r="E7542" s="62"/>
      <c r="F7542" s="60"/>
      <c r="G7542" s="62"/>
      <c r="H7542" s="60"/>
    </row>
    <row r="7543" spans="1:8">
      <c r="A7543" s="60"/>
      <c r="B7543" s="77"/>
      <c r="C7543" s="60"/>
      <c r="D7543" s="81"/>
      <c r="E7543" s="62"/>
      <c r="F7543" s="60"/>
      <c r="G7543" s="62"/>
      <c r="H7543" s="60"/>
    </row>
    <row r="7544" spans="1:8">
      <c r="A7544" s="60"/>
      <c r="B7544" s="77"/>
      <c r="C7544" s="60"/>
      <c r="D7544" s="81"/>
      <c r="E7544" s="62"/>
      <c r="F7544" s="60"/>
      <c r="G7544" s="62"/>
      <c r="H7544" s="60"/>
    </row>
    <row r="7545" spans="1:8">
      <c r="A7545" s="60"/>
      <c r="B7545" s="77"/>
      <c r="C7545" s="60"/>
      <c r="D7545" s="81"/>
      <c r="E7545" s="62"/>
      <c r="F7545" s="60"/>
      <c r="G7545" s="62"/>
      <c r="H7545" s="60"/>
    </row>
    <row r="7546" spans="1:8">
      <c r="A7546" s="60"/>
      <c r="B7546" s="77"/>
      <c r="C7546" s="60"/>
      <c r="D7546" s="81"/>
      <c r="E7546" s="62"/>
      <c r="F7546" s="60"/>
      <c r="G7546" s="62"/>
      <c r="H7546" s="60"/>
    </row>
    <row r="7547" spans="1:8">
      <c r="A7547" s="60"/>
      <c r="B7547" s="77"/>
      <c r="C7547" s="60"/>
      <c r="D7547" s="81"/>
      <c r="E7547" s="62"/>
      <c r="F7547" s="60"/>
      <c r="G7547" s="62"/>
      <c r="H7547" s="60"/>
    </row>
    <row r="7548" spans="1:8">
      <c r="A7548" s="60"/>
      <c r="B7548" s="77"/>
      <c r="C7548" s="60"/>
      <c r="D7548" s="81"/>
      <c r="E7548" s="62"/>
      <c r="F7548" s="60"/>
      <c r="G7548" s="62"/>
      <c r="H7548" s="60"/>
    </row>
    <row r="7549" spans="1:8">
      <c r="A7549" s="60"/>
      <c r="B7549" s="77"/>
      <c r="C7549" s="60"/>
      <c r="D7549" s="81"/>
      <c r="E7549" s="62"/>
      <c r="F7549" s="60"/>
      <c r="G7549" s="62"/>
      <c r="H7549" s="60"/>
    </row>
    <row r="7550" spans="1:8">
      <c r="A7550" s="60"/>
      <c r="B7550" s="77"/>
      <c r="C7550" s="60"/>
      <c r="D7550" s="81"/>
      <c r="E7550" s="62"/>
      <c r="F7550" s="60"/>
      <c r="G7550" s="62"/>
      <c r="H7550" s="60"/>
    </row>
    <row r="7551" spans="1:8">
      <c r="A7551" s="60"/>
      <c r="B7551" s="77"/>
      <c r="C7551" s="60"/>
      <c r="D7551" s="81"/>
      <c r="E7551" s="62"/>
      <c r="F7551" s="60"/>
      <c r="G7551" s="62"/>
      <c r="H7551" s="60"/>
    </row>
    <row r="7552" spans="1:8">
      <c r="A7552" s="60"/>
      <c r="B7552" s="77"/>
      <c r="C7552" s="60"/>
      <c r="D7552" s="81"/>
      <c r="E7552" s="62"/>
      <c r="F7552" s="60"/>
      <c r="G7552" s="62"/>
      <c r="H7552" s="60"/>
    </row>
    <row r="7553" spans="1:8">
      <c r="A7553" s="60"/>
      <c r="B7553" s="77"/>
      <c r="C7553" s="60"/>
      <c r="D7553" s="81"/>
      <c r="E7553" s="62"/>
      <c r="F7553" s="60"/>
      <c r="G7553" s="62"/>
      <c r="H7553" s="60"/>
    </row>
    <row r="7554" spans="1:8">
      <c r="A7554" s="60"/>
      <c r="B7554" s="77"/>
      <c r="C7554" s="60"/>
      <c r="D7554" s="81"/>
      <c r="E7554" s="62"/>
      <c r="F7554" s="60"/>
      <c r="G7554" s="62"/>
      <c r="H7554" s="60"/>
    </row>
    <row r="7555" spans="1:8">
      <c r="A7555" s="60"/>
      <c r="B7555" s="77"/>
      <c r="C7555" s="60"/>
      <c r="D7555" s="81"/>
      <c r="E7555" s="62"/>
      <c r="F7555" s="60"/>
      <c r="G7555" s="62"/>
      <c r="H7555" s="60"/>
    </row>
    <row r="7556" spans="1:8">
      <c r="A7556" s="60"/>
      <c r="B7556" s="77"/>
      <c r="C7556" s="60"/>
      <c r="D7556" s="81"/>
      <c r="E7556" s="62"/>
      <c r="F7556" s="60"/>
      <c r="G7556" s="62"/>
      <c r="H7556" s="60"/>
    </row>
    <row r="7557" spans="1:8">
      <c r="A7557" s="60"/>
      <c r="B7557" s="77"/>
      <c r="C7557" s="60"/>
      <c r="D7557" s="81"/>
      <c r="E7557" s="62"/>
      <c r="F7557" s="60"/>
      <c r="G7557" s="62"/>
      <c r="H7557" s="60"/>
    </row>
    <row r="7558" spans="1:8">
      <c r="A7558" s="60"/>
      <c r="B7558" s="77"/>
      <c r="C7558" s="60"/>
      <c r="D7558" s="81"/>
      <c r="E7558" s="62"/>
      <c r="F7558" s="60"/>
      <c r="G7558" s="62"/>
      <c r="H7558" s="60"/>
    </row>
    <row r="7559" spans="1:8">
      <c r="A7559" s="60"/>
      <c r="B7559" s="77"/>
      <c r="C7559" s="60"/>
      <c r="D7559" s="81"/>
      <c r="E7559" s="62"/>
      <c r="F7559" s="60"/>
      <c r="G7559" s="62"/>
      <c r="H7559" s="60"/>
    </row>
    <row r="7560" spans="1:8">
      <c r="A7560" s="60"/>
      <c r="B7560" s="77"/>
      <c r="C7560" s="60"/>
      <c r="D7560" s="81"/>
      <c r="E7560" s="62"/>
      <c r="F7560" s="60"/>
      <c r="G7560" s="62"/>
      <c r="H7560" s="60"/>
    </row>
    <row r="7561" spans="1:8">
      <c r="A7561" s="60"/>
      <c r="B7561" s="77"/>
      <c r="C7561" s="60"/>
      <c r="D7561" s="81"/>
      <c r="E7561" s="62"/>
      <c r="F7561" s="60"/>
      <c r="G7561" s="62"/>
      <c r="H7561" s="60"/>
    </row>
    <row r="7562" spans="1:8">
      <c r="A7562" s="60"/>
      <c r="B7562" s="77"/>
      <c r="C7562" s="60"/>
      <c r="D7562" s="81"/>
      <c r="E7562" s="62"/>
      <c r="F7562" s="60"/>
      <c r="G7562" s="62"/>
      <c r="H7562" s="60"/>
    </row>
    <row r="7563" spans="1:8">
      <c r="A7563" s="60"/>
      <c r="B7563" s="77"/>
      <c r="C7563" s="60"/>
      <c r="D7563" s="81"/>
      <c r="E7563" s="62"/>
      <c r="F7563" s="60"/>
      <c r="G7563" s="62"/>
      <c r="H7563" s="60"/>
    </row>
    <row r="7564" spans="1:8">
      <c r="A7564" s="60"/>
      <c r="B7564" s="77"/>
      <c r="C7564" s="60"/>
      <c r="D7564" s="81"/>
      <c r="E7564" s="62"/>
      <c r="F7564" s="60"/>
      <c r="G7564" s="62"/>
      <c r="H7564" s="60"/>
    </row>
    <row r="7565" spans="1:8">
      <c r="A7565" s="60"/>
      <c r="B7565" s="77"/>
      <c r="C7565" s="60"/>
      <c r="D7565" s="81"/>
      <c r="E7565" s="62"/>
      <c r="F7565" s="60"/>
      <c r="G7565" s="62"/>
      <c r="H7565" s="60"/>
    </row>
    <row r="7566" spans="1:8">
      <c r="A7566" s="60"/>
      <c r="B7566" s="77"/>
      <c r="C7566" s="60"/>
      <c r="D7566" s="81"/>
      <c r="E7566" s="62"/>
      <c r="F7566" s="60"/>
      <c r="G7566" s="62"/>
      <c r="H7566" s="60"/>
    </row>
    <row r="7567" spans="1:8">
      <c r="A7567" s="60"/>
      <c r="B7567" s="77"/>
      <c r="C7567" s="60"/>
      <c r="D7567" s="81"/>
      <c r="E7567" s="62"/>
      <c r="F7567" s="60"/>
      <c r="G7567" s="62"/>
      <c r="H7567" s="60"/>
    </row>
    <row r="7568" spans="1:8">
      <c r="A7568" s="60"/>
      <c r="B7568" s="77"/>
      <c r="C7568" s="60"/>
      <c r="D7568" s="81"/>
      <c r="E7568" s="62"/>
      <c r="F7568" s="60"/>
      <c r="G7568" s="62"/>
      <c r="H7568" s="60"/>
    </row>
    <row r="7569" spans="1:8">
      <c r="A7569" s="60"/>
      <c r="B7569" s="77"/>
      <c r="C7569" s="60"/>
      <c r="D7569" s="81"/>
      <c r="E7569" s="62"/>
      <c r="F7569" s="60"/>
      <c r="G7569" s="62"/>
      <c r="H7569" s="60"/>
    </row>
    <row r="7570" spans="1:8">
      <c r="A7570" s="60"/>
      <c r="B7570" s="77"/>
      <c r="C7570" s="60"/>
      <c r="D7570" s="81"/>
      <c r="E7570" s="62"/>
      <c r="F7570" s="60"/>
      <c r="G7570" s="62"/>
      <c r="H7570" s="60"/>
    </row>
    <row r="7571" spans="1:8">
      <c r="A7571" s="60"/>
      <c r="B7571" s="77"/>
      <c r="C7571" s="60"/>
      <c r="D7571" s="81"/>
      <c r="E7571" s="62"/>
      <c r="F7571" s="60"/>
      <c r="G7571" s="62"/>
      <c r="H7571" s="60"/>
    </row>
    <row r="7572" spans="1:8">
      <c r="A7572" s="60"/>
      <c r="B7572" s="77"/>
      <c r="C7572" s="60"/>
      <c r="D7572" s="81"/>
      <c r="E7572" s="62"/>
      <c r="F7572" s="60"/>
      <c r="G7572" s="62"/>
      <c r="H7572" s="60"/>
    </row>
    <row r="7573" spans="1:8">
      <c r="A7573" s="60"/>
      <c r="B7573" s="77"/>
      <c r="C7573" s="60"/>
      <c r="D7573" s="81"/>
      <c r="E7573" s="62"/>
      <c r="F7573" s="60"/>
      <c r="G7573" s="62"/>
      <c r="H7573" s="60"/>
    </row>
    <row r="7574" spans="1:8">
      <c r="A7574" s="60"/>
      <c r="B7574" s="77"/>
      <c r="C7574" s="60"/>
      <c r="D7574" s="81"/>
      <c r="E7574" s="62"/>
      <c r="F7574" s="60"/>
      <c r="G7574" s="62"/>
      <c r="H7574" s="60"/>
    </row>
    <row r="7575" spans="1:8">
      <c r="A7575" s="60"/>
      <c r="B7575" s="77"/>
      <c r="C7575" s="60"/>
      <c r="D7575" s="81"/>
      <c r="E7575" s="62"/>
      <c r="F7575" s="60"/>
      <c r="G7575" s="62"/>
      <c r="H7575" s="60"/>
    </row>
    <row r="7576" spans="1:8">
      <c r="A7576" s="60"/>
      <c r="B7576" s="77"/>
      <c r="C7576" s="60"/>
      <c r="D7576" s="81"/>
      <c r="E7576" s="62"/>
      <c r="F7576" s="60"/>
      <c r="G7576" s="62"/>
      <c r="H7576" s="60"/>
    </row>
    <row r="7577" spans="1:8">
      <c r="A7577" s="60"/>
      <c r="B7577" s="77"/>
      <c r="C7577" s="60"/>
      <c r="D7577" s="81"/>
      <c r="E7577" s="62"/>
      <c r="F7577" s="60"/>
      <c r="G7577" s="62"/>
      <c r="H7577" s="60"/>
    </row>
    <row r="7578" spans="1:8">
      <c r="A7578" s="60"/>
      <c r="B7578" s="77"/>
      <c r="C7578" s="60"/>
      <c r="D7578" s="81"/>
      <c r="E7578" s="62"/>
      <c r="F7578" s="60"/>
      <c r="G7578" s="62"/>
      <c r="H7578" s="60"/>
    </row>
    <row r="7579" spans="1:8">
      <c r="A7579" s="60"/>
      <c r="B7579" s="77"/>
      <c r="C7579" s="60"/>
      <c r="D7579" s="81"/>
      <c r="E7579" s="62"/>
      <c r="F7579" s="60"/>
      <c r="G7579" s="62"/>
      <c r="H7579" s="60"/>
    </row>
    <row r="7580" spans="1:8">
      <c r="A7580" s="60"/>
      <c r="B7580" s="77"/>
      <c r="C7580" s="60"/>
      <c r="D7580" s="81"/>
      <c r="E7580" s="62"/>
      <c r="F7580" s="60"/>
      <c r="G7580" s="62"/>
      <c r="H7580" s="60"/>
    </row>
    <row r="7581" spans="1:8">
      <c r="A7581" s="60"/>
      <c r="B7581" s="77"/>
      <c r="C7581" s="60"/>
      <c r="D7581" s="81"/>
      <c r="E7581" s="62"/>
      <c r="F7581" s="60"/>
      <c r="G7581" s="62"/>
      <c r="H7581" s="60"/>
    </row>
    <row r="7582" spans="1:8">
      <c r="A7582" s="60"/>
      <c r="B7582" s="77"/>
      <c r="C7582" s="60"/>
      <c r="D7582" s="81"/>
      <c r="E7582" s="62"/>
      <c r="F7582" s="60"/>
      <c r="G7582" s="62"/>
      <c r="H7582" s="60"/>
    </row>
    <row r="7583" spans="1:8">
      <c r="A7583" s="60"/>
      <c r="B7583" s="77"/>
      <c r="C7583" s="60"/>
      <c r="D7583" s="81"/>
      <c r="E7583" s="62"/>
      <c r="F7583" s="60"/>
      <c r="G7583" s="62"/>
      <c r="H7583" s="60"/>
    </row>
    <row r="7584" spans="1:8">
      <c r="A7584" s="60"/>
      <c r="B7584" s="77"/>
      <c r="C7584" s="60"/>
      <c r="D7584" s="81"/>
      <c r="E7584" s="62"/>
      <c r="F7584" s="60"/>
      <c r="G7584" s="62"/>
      <c r="H7584" s="60"/>
    </row>
    <row r="7585" spans="1:8">
      <c r="A7585" s="60"/>
      <c r="B7585" s="77"/>
      <c r="C7585" s="60"/>
      <c r="D7585" s="81"/>
      <c r="E7585" s="62"/>
      <c r="F7585" s="60"/>
      <c r="G7585" s="62"/>
      <c r="H7585" s="60"/>
    </row>
    <row r="7586" spans="1:8">
      <c r="A7586" s="60"/>
      <c r="B7586" s="77"/>
      <c r="C7586" s="60"/>
      <c r="D7586" s="81"/>
      <c r="E7586" s="62"/>
      <c r="F7586" s="60"/>
      <c r="G7586" s="62"/>
      <c r="H7586" s="60"/>
    </row>
    <row r="7587" spans="1:8">
      <c r="A7587" s="60"/>
      <c r="B7587" s="77"/>
      <c r="C7587" s="60"/>
      <c r="D7587" s="81"/>
      <c r="E7587" s="62"/>
      <c r="F7587" s="60"/>
      <c r="G7587" s="62"/>
      <c r="H7587" s="60"/>
    </row>
    <row r="7588" spans="1:8">
      <c r="A7588" s="60"/>
      <c r="B7588" s="77"/>
      <c r="C7588" s="60"/>
      <c r="D7588" s="81"/>
      <c r="E7588" s="62"/>
      <c r="F7588" s="60"/>
      <c r="G7588" s="62"/>
      <c r="H7588" s="60"/>
    </row>
    <row r="7589" spans="1:8">
      <c r="A7589" s="60"/>
      <c r="B7589" s="77"/>
      <c r="C7589" s="60"/>
      <c r="D7589" s="81"/>
      <c r="E7589" s="62"/>
      <c r="F7589" s="60"/>
      <c r="G7589" s="62"/>
      <c r="H7589" s="60"/>
    </row>
    <row r="7590" spans="1:8">
      <c r="A7590" s="60"/>
      <c r="B7590" s="77"/>
      <c r="C7590" s="60"/>
      <c r="D7590" s="81"/>
      <c r="E7590" s="62"/>
      <c r="F7590" s="60"/>
      <c r="G7590" s="62"/>
      <c r="H7590" s="60"/>
    </row>
    <row r="7591" spans="1:8">
      <c r="A7591" s="60"/>
      <c r="B7591" s="77"/>
      <c r="C7591" s="60"/>
      <c r="D7591" s="81"/>
      <c r="E7591" s="62"/>
      <c r="F7591" s="60"/>
      <c r="G7591" s="62"/>
      <c r="H7591" s="60"/>
    </row>
    <row r="7592" spans="1:8">
      <c r="A7592" s="60"/>
      <c r="B7592" s="77"/>
      <c r="C7592" s="60"/>
      <c r="D7592" s="81"/>
      <c r="E7592" s="62"/>
      <c r="F7592" s="60"/>
      <c r="G7592" s="62"/>
      <c r="H7592" s="60"/>
    </row>
    <row r="7593" spans="1:8">
      <c r="A7593" s="60"/>
      <c r="B7593" s="77"/>
      <c r="C7593" s="60"/>
      <c r="D7593" s="81"/>
      <c r="E7593" s="62"/>
      <c r="F7593" s="60"/>
      <c r="G7593" s="62"/>
      <c r="H7593" s="60"/>
    </row>
    <row r="7594" spans="1:8">
      <c r="A7594" s="60"/>
      <c r="B7594" s="77"/>
      <c r="C7594" s="60"/>
      <c r="D7594" s="81"/>
      <c r="E7594" s="62"/>
      <c r="F7594" s="60"/>
      <c r="G7594" s="62"/>
      <c r="H7594" s="60"/>
    </row>
    <row r="7595" spans="1:8">
      <c r="A7595" s="60"/>
      <c r="B7595" s="77"/>
      <c r="C7595" s="60"/>
      <c r="D7595" s="81"/>
      <c r="E7595" s="62"/>
      <c r="F7595" s="60"/>
      <c r="G7595" s="62"/>
      <c r="H7595" s="60"/>
    </row>
    <row r="7596" spans="1:8">
      <c r="A7596" s="60"/>
      <c r="B7596" s="77"/>
      <c r="C7596" s="60"/>
      <c r="D7596" s="81"/>
      <c r="E7596" s="62"/>
      <c r="F7596" s="60"/>
      <c r="G7596" s="62"/>
      <c r="H7596" s="60"/>
    </row>
    <row r="7597" spans="1:8">
      <c r="A7597" s="60"/>
      <c r="B7597" s="77"/>
      <c r="C7597" s="60"/>
      <c r="D7597" s="81"/>
      <c r="E7597" s="62"/>
      <c r="F7597" s="60"/>
      <c r="G7597" s="62"/>
      <c r="H7597" s="60"/>
    </row>
    <row r="7598" spans="1:8">
      <c r="A7598" s="60"/>
      <c r="B7598" s="77"/>
      <c r="C7598" s="60"/>
      <c r="D7598" s="81"/>
      <c r="E7598" s="62"/>
      <c r="F7598" s="60"/>
      <c r="G7598" s="62"/>
      <c r="H7598" s="60"/>
    </row>
    <row r="7599" spans="1:8">
      <c r="A7599" s="60"/>
      <c r="B7599" s="77"/>
      <c r="C7599" s="60"/>
      <c r="D7599" s="81"/>
      <c r="E7599" s="62"/>
      <c r="F7599" s="60"/>
      <c r="G7599" s="62"/>
      <c r="H7599" s="60"/>
    </row>
    <row r="7600" spans="1:8">
      <c r="A7600" s="60"/>
      <c r="B7600" s="77"/>
      <c r="C7600" s="60"/>
      <c r="D7600" s="81"/>
      <c r="E7600" s="62"/>
      <c r="F7600" s="60"/>
      <c r="G7600" s="62"/>
      <c r="H7600" s="60"/>
    </row>
    <row r="7601" spans="1:8">
      <c r="A7601" s="60"/>
      <c r="B7601" s="77"/>
      <c r="C7601" s="60"/>
      <c r="D7601" s="81"/>
      <c r="E7601" s="62"/>
      <c r="F7601" s="60"/>
      <c r="G7601" s="62"/>
      <c r="H7601" s="60"/>
    </row>
    <row r="7602" spans="1:8">
      <c r="A7602" s="60"/>
      <c r="B7602" s="77"/>
      <c r="C7602" s="60"/>
      <c r="D7602" s="81"/>
      <c r="E7602" s="62"/>
      <c r="F7602" s="60"/>
      <c r="G7602" s="62"/>
      <c r="H7602" s="60"/>
    </row>
    <row r="7603" spans="1:8">
      <c r="A7603" s="60"/>
      <c r="B7603" s="77"/>
      <c r="C7603" s="60"/>
      <c r="D7603" s="81"/>
      <c r="E7603" s="62"/>
      <c r="F7603" s="60"/>
      <c r="G7603" s="62"/>
      <c r="H7603" s="60"/>
    </row>
    <row r="7604" spans="1:8">
      <c r="A7604" s="60"/>
      <c r="B7604" s="77"/>
      <c r="C7604" s="60"/>
      <c r="D7604" s="81"/>
      <c r="E7604" s="62"/>
      <c r="F7604" s="60"/>
      <c r="G7604" s="62"/>
      <c r="H7604" s="60"/>
    </row>
    <row r="7605" spans="1:8">
      <c r="A7605" s="60"/>
      <c r="B7605" s="77"/>
      <c r="C7605" s="60"/>
      <c r="D7605" s="81"/>
      <c r="E7605" s="62"/>
      <c r="F7605" s="60"/>
      <c r="G7605" s="62"/>
      <c r="H7605" s="60"/>
    </row>
    <row r="7606" spans="1:8">
      <c r="A7606" s="60"/>
      <c r="B7606" s="77"/>
      <c r="C7606" s="60"/>
      <c r="D7606" s="81"/>
      <c r="E7606" s="62"/>
      <c r="F7606" s="60"/>
      <c r="G7606" s="62"/>
      <c r="H7606" s="60"/>
    </row>
    <row r="7607" spans="1:8">
      <c r="A7607" s="60"/>
      <c r="B7607" s="77"/>
      <c r="C7607" s="60"/>
      <c r="D7607" s="81"/>
      <c r="E7607" s="62"/>
      <c r="F7607" s="60"/>
      <c r="G7607" s="62"/>
      <c r="H7607" s="60"/>
    </row>
    <row r="7608" spans="1:8">
      <c r="A7608" s="60"/>
      <c r="B7608" s="77"/>
      <c r="C7608" s="60"/>
      <c r="D7608" s="81"/>
      <c r="E7608" s="62"/>
      <c r="F7608" s="60"/>
      <c r="G7608" s="62"/>
      <c r="H7608" s="60"/>
    </row>
    <row r="7609" spans="1:8">
      <c r="A7609" s="60"/>
      <c r="B7609" s="77"/>
      <c r="C7609" s="60"/>
      <c r="D7609" s="81"/>
      <c r="E7609" s="62"/>
      <c r="F7609" s="60"/>
      <c r="G7609" s="62"/>
      <c r="H7609" s="60"/>
    </row>
    <row r="7610" spans="1:8">
      <c r="A7610" s="60"/>
      <c r="B7610" s="77"/>
      <c r="C7610" s="60"/>
      <c r="D7610" s="81"/>
      <c r="E7610" s="62"/>
      <c r="F7610" s="60"/>
      <c r="G7610" s="62"/>
      <c r="H7610" s="60"/>
    </row>
    <row r="7611" spans="1:8">
      <c r="A7611" s="60"/>
      <c r="B7611" s="77"/>
      <c r="C7611" s="60"/>
      <c r="D7611" s="81"/>
      <c r="E7611" s="62"/>
      <c r="F7611" s="60"/>
      <c r="G7611" s="62"/>
      <c r="H7611" s="60"/>
    </row>
    <row r="7612" spans="1:8">
      <c r="A7612" s="60"/>
      <c r="B7612" s="77"/>
      <c r="C7612" s="60"/>
      <c r="D7612" s="81"/>
      <c r="E7612" s="62"/>
      <c r="F7612" s="60"/>
      <c r="G7612" s="62"/>
      <c r="H7612" s="60"/>
    </row>
    <row r="7613" spans="1:8">
      <c r="A7613" s="60"/>
      <c r="B7613" s="77"/>
      <c r="C7613" s="60"/>
      <c r="D7613" s="81"/>
      <c r="E7613" s="62"/>
      <c r="F7613" s="60"/>
      <c r="G7613" s="62"/>
      <c r="H7613" s="60"/>
    </row>
    <row r="7614" spans="1:8">
      <c r="A7614" s="60"/>
      <c r="B7614" s="77"/>
      <c r="C7614" s="60"/>
      <c r="D7614" s="81"/>
      <c r="E7614" s="62"/>
      <c r="F7614" s="60"/>
      <c r="G7614" s="62"/>
      <c r="H7614" s="60"/>
    </row>
    <row r="7615" spans="1:8">
      <c r="A7615" s="60"/>
      <c r="B7615" s="77"/>
      <c r="C7615" s="60"/>
      <c r="D7615" s="81"/>
      <c r="E7615" s="62"/>
      <c r="F7615" s="60"/>
      <c r="G7615" s="62"/>
      <c r="H7615" s="60"/>
    </row>
    <row r="7616" spans="1:8">
      <c r="A7616" s="60"/>
      <c r="B7616" s="77"/>
      <c r="C7616" s="60"/>
      <c r="D7616" s="81"/>
      <c r="E7616" s="62"/>
      <c r="F7616" s="60"/>
      <c r="G7616" s="62"/>
      <c r="H7616" s="60"/>
    </row>
    <row r="7617" spans="1:8">
      <c r="A7617" s="60"/>
      <c r="B7617" s="77"/>
      <c r="C7617" s="60"/>
      <c r="D7617" s="81"/>
      <c r="E7617" s="62"/>
      <c r="F7617" s="60"/>
      <c r="G7617" s="62"/>
      <c r="H7617" s="60"/>
    </row>
    <row r="7618" spans="1:8">
      <c r="A7618" s="60"/>
      <c r="B7618" s="77"/>
      <c r="C7618" s="60"/>
      <c r="D7618" s="81"/>
      <c r="E7618" s="62"/>
      <c r="F7618" s="60"/>
      <c r="G7618" s="62"/>
      <c r="H7618" s="60"/>
    </row>
    <row r="7619" spans="1:8">
      <c r="A7619" s="60"/>
      <c r="B7619" s="77"/>
      <c r="C7619" s="60"/>
      <c r="D7619" s="81"/>
      <c r="E7619" s="62"/>
      <c r="F7619" s="60"/>
      <c r="G7619" s="62"/>
      <c r="H7619" s="60"/>
    </row>
    <row r="7620" spans="1:8">
      <c r="A7620" s="60"/>
      <c r="B7620" s="77"/>
      <c r="C7620" s="60"/>
      <c r="D7620" s="81"/>
      <c r="E7620" s="62"/>
      <c r="F7620" s="60"/>
      <c r="G7620" s="62"/>
      <c r="H7620" s="60"/>
    </row>
    <row r="7621" spans="1:8">
      <c r="A7621" s="60"/>
      <c r="B7621" s="77"/>
      <c r="C7621" s="60"/>
      <c r="D7621" s="81"/>
      <c r="E7621" s="62"/>
      <c r="F7621" s="60"/>
      <c r="G7621" s="62"/>
      <c r="H7621" s="60"/>
    </row>
    <row r="7622" spans="1:8">
      <c r="A7622" s="60"/>
      <c r="B7622" s="77"/>
      <c r="C7622" s="60"/>
      <c r="D7622" s="81"/>
      <c r="E7622" s="62"/>
      <c r="F7622" s="60"/>
      <c r="G7622" s="62"/>
      <c r="H7622" s="60"/>
    </row>
    <row r="7623" spans="1:8">
      <c r="A7623" s="60"/>
      <c r="B7623" s="77"/>
      <c r="C7623" s="60"/>
      <c r="D7623" s="81"/>
      <c r="E7623" s="62"/>
      <c r="F7623" s="60"/>
      <c r="G7623" s="62"/>
      <c r="H7623" s="60"/>
    </row>
    <row r="7624" spans="1:8">
      <c r="A7624" s="60"/>
      <c r="B7624" s="77"/>
      <c r="C7624" s="60"/>
      <c r="D7624" s="81"/>
      <c r="E7624" s="62"/>
      <c r="F7624" s="60"/>
      <c r="G7624" s="62"/>
      <c r="H7624" s="60"/>
    </row>
    <row r="7625" spans="1:8">
      <c r="A7625" s="60"/>
      <c r="B7625" s="77"/>
      <c r="C7625" s="60"/>
      <c r="D7625" s="81"/>
      <c r="E7625" s="62"/>
      <c r="F7625" s="60"/>
      <c r="G7625" s="62"/>
      <c r="H7625" s="60"/>
    </row>
    <row r="7626" spans="1:8">
      <c r="A7626" s="60"/>
      <c r="B7626" s="77"/>
      <c r="C7626" s="60"/>
      <c r="D7626" s="81"/>
      <c r="E7626" s="62"/>
      <c r="F7626" s="60"/>
      <c r="G7626" s="62"/>
      <c r="H7626" s="60"/>
    </row>
    <row r="7627" spans="1:8">
      <c r="A7627" s="60"/>
      <c r="B7627" s="77"/>
      <c r="C7627" s="60"/>
      <c r="D7627" s="81"/>
      <c r="E7627" s="62"/>
      <c r="F7627" s="60"/>
      <c r="G7627" s="62"/>
      <c r="H7627" s="60"/>
    </row>
    <row r="7628" spans="1:8">
      <c r="A7628" s="60"/>
      <c r="B7628" s="77"/>
      <c r="C7628" s="60"/>
      <c r="D7628" s="81"/>
      <c r="E7628" s="62"/>
      <c r="F7628" s="60"/>
      <c r="G7628" s="62"/>
      <c r="H7628" s="60"/>
    </row>
    <row r="7629" spans="1:8">
      <c r="A7629" s="60"/>
      <c r="B7629" s="77"/>
      <c r="C7629" s="60"/>
      <c r="D7629" s="81"/>
      <c r="E7629" s="62"/>
      <c r="F7629" s="60"/>
      <c r="G7629" s="62"/>
      <c r="H7629" s="60"/>
    </row>
    <row r="7630" spans="1:8">
      <c r="A7630" s="60"/>
      <c r="B7630" s="77"/>
      <c r="C7630" s="60"/>
      <c r="D7630" s="81"/>
      <c r="E7630" s="62"/>
      <c r="F7630" s="60"/>
      <c r="G7630" s="62"/>
      <c r="H7630" s="60"/>
    </row>
    <row r="7631" spans="1:8">
      <c r="A7631" s="60"/>
      <c r="B7631" s="77"/>
      <c r="C7631" s="60"/>
      <c r="D7631" s="81"/>
      <c r="E7631" s="62"/>
      <c r="F7631" s="60"/>
      <c r="G7631" s="62"/>
      <c r="H7631" s="60"/>
    </row>
    <row r="7632" spans="1:8">
      <c r="A7632" s="60"/>
      <c r="B7632" s="77"/>
      <c r="C7632" s="60"/>
      <c r="D7632" s="81"/>
      <c r="E7632" s="62"/>
      <c r="F7632" s="60"/>
      <c r="G7632" s="62"/>
      <c r="H7632" s="60"/>
    </row>
    <row r="7633" spans="1:8">
      <c r="A7633" s="60"/>
      <c r="B7633" s="77"/>
      <c r="C7633" s="60"/>
      <c r="D7633" s="81"/>
      <c r="E7633" s="62"/>
      <c r="F7633" s="60"/>
      <c r="G7633" s="62"/>
      <c r="H7633" s="60"/>
    </row>
    <row r="7634" spans="1:8">
      <c r="A7634" s="60"/>
      <c r="B7634" s="77"/>
      <c r="C7634" s="60"/>
      <c r="D7634" s="81"/>
      <c r="E7634" s="62"/>
      <c r="F7634" s="60"/>
      <c r="G7634" s="62"/>
      <c r="H7634" s="60"/>
    </row>
    <row r="7635" spans="1:8">
      <c r="A7635" s="60"/>
      <c r="B7635" s="77"/>
      <c r="C7635" s="60"/>
      <c r="D7635" s="81"/>
      <c r="E7635" s="62"/>
      <c r="F7635" s="60"/>
      <c r="G7635" s="62"/>
      <c r="H7635" s="60"/>
    </row>
    <row r="7636" spans="1:8">
      <c r="A7636" s="60"/>
      <c r="B7636" s="77"/>
      <c r="C7636" s="60"/>
      <c r="D7636" s="81"/>
      <c r="E7636" s="62"/>
      <c r="F7636" s="60"/>
      <c r="G7636" s="62"/>
      <c r="H7636" s="60"/>
    </row>
    <row r="7637" spans="1:8">
      <c r="A7637" s="60"/>
      <c r="B7637" s="77"/>
      <c r="C7637" s="60"/>
      <c r="D7637" s="81"/>
      <c r="E7637" s="62"/>
      <c r="F7637" s="60"/>
      <c r="G7637" s="62"/>
      <c r="H7637" s="60"/>
    </row>
    <row r="7638" spans="1:8">
      <c r="A7638" s="60"/>
      <c r="B7638" s="77"/>
      <c r="C7638" s="60"/>
      <c r="D7638" s="81"/>
      <c r="E7638" s="62"/>
      <c r="F7638" s="60"/>
      <c r="G7638" s="62"/>
      <c r="H7638" s="60"/>
    </row>
    <row r="7639" spans="1:8">
      <c r="A7639" s="60"/>
      <c r="B7639" s="77"/>
      <c r="C7639" s="60"/>
      <c r="D7639" s="81"/>
      <c r="E7639" s="62"/>
      <c r="F7639" s="60"/>
      <c r="G7639" s="62"/>
      <c r="H7639" s="60"/>
    </row>
    <row r="7640" spans="1:8">
      <c r="A7640" s="60"/>
      <c r="B7640" s="77"/>
      <c r="C7640" s="60"/>
      <c r="D7640" s="81"/>
      <c r="E7640" s="62"/>
      <c r="F7640" s="60"/>
      <c r="G7640" s="62"/>
      <c r="H7640" s="60"/>
    </row>
    <row r="7641" spans="1:8">
      <c r="A7641" s="60"/>
      <c r="B7641" s="77"/>
      <c r="C7641" s="60"/>
      <c r="D7641" s="81"/>
      <c r="E7641" s="62"/>
      <c r="F7641" s="60"/>
      <c r="G7641" s="62"/>
      <c r="H7641" s="60"/>
    </row>
    <row r="7642" spans="1:8">
      <c r="A7642" s="60"/>
      <c r="B7642" s="77"/>
      <c r="C7642" s="60"/>
      <c r="D7642" s="81"/>
      <c r="E7642" s="62"/>
      <c r="F7642" s="60"/>
      <c r="G7642" s="62"/>
      <c r="H7642" s="60"/>
    </row>
    <row r="7643" spans="1:8">
      <c r="A7643" s="60"/>
      <c r="B7643" s="77"/>
      <c r="C7643" s="60"/>
      <c r="D7643" s="81"/>
      <c r="E7643" s="62"/>
      <c r="F7643" s="60"/>
      <c r="G7643" s="62"/>
      <c r="H7643" s="60"/>
    </row>
    <row r="7644" spans="1:8">
      <c r="A7644" s="60"/>
      <c r="B7644" s="77"/>
      <c r="C7644" s="60"/>
      <c r="D7644" s="81"/>
      <c r="E7644" s="62"/>
      <c r="F7644" s="60"/>
      <c r="G7644" s="62"/>
      <c r="H7644" s="60"/>
    </row>
    <row r="7645" spans="1:8">
      <c r="A7645" s="60"/>
      <c r="B7645" s="77"/>
      <c r="C7645" s="60"/>
      <c r="D7645" s="81"/>
      <c r="E7645" s="62"/>
      <c r="F7645" s="60"/>
      <c r="G7645" s="62"/>
      <c r="H7645" s="60"/>
    </row>
    <row r="7646" spans="1:8">
      <c r="A7646" s="60"/>
      <c r="B7646" s="77"/>
      <c r="C7646" s="60"/>
      <c r="D7646" s="81"/>
      <c r="E7646" s="62"/>
      <c r="F7646" s="60"/>
      <c r="G7646" s="62"/>
      <c r="H7646" s="60"/>
    </row>
    <row r="7647" spans="1:8">
      <c r="A7647" s="60"/>
      <c r="B7647" s="77"/>
      <c r="C7647" s="60"/>
      <c r="D7647" s="81"/>
      <c r="E7647" s="62"/>
      <c r="F7647" s="60"/>
      <c r="G7647" s="62"/>
      <c r="H7647" s="60"/>
    </row>
    <row r="7648" spans="1:8">
      <c r="A7648" s="60"/>
      <c r="B7648" s="77"/>
      <c r="C7648" s="60"/>
      <c r="D7648" s="81"/>
      <c r="E7648" s="62"/>
      <c r="F7648" s="60"/>
      <c r="G7648" s="62"/>
      <c r="H7648" s="60"/>
    </row>
    <row r="7649" spans="1:8">
      <c r="A7649" s="60"/>
      <c r="B7649" s="77"/>
      <c r="C7649" s="60"/>
      <c r="D7649" s="81"/>
      <c r="E7649" s="62"/>
      <c r="F7649" s="60"/>
      <c r="G7649" s="62"/>
      <c r="H7649" s="60"/>
    </row>
    <row r="7650" spans="1:8">
      <c r="A7650" s="60"/>
      <c r="B7650" s="77"/>
      <c r="C7650" s="60"/>
      <c r="D7650" s="81"/>
      <c r="E7650" s="62"/>
      <c r="F7650" s="60"/>
      <c r="G7650" s="62"/>
      <c r="H7650" s="60"/>
    </row>
    <row r="7651" spans="1:8">
      <c r="A7651" s="60"/>
      <c r="B7651" s="77"/>
      <c r="C7651" s="60"/>
      <c r="D7651" s="81"/>
      <c r="E7651" s="62"/>
      <c r="F7651" s="60"/>
      <c r="G7651" s="62"/>
      <c r="H7651" s="60"/>
    </row>
    <row r="7652" spans="1:8">
      <c r="A7652" s="60"/>
      <c r="B7652" s="77"/>
      <c r="C7652" s="60"/>
      <c r="D7652" s="81"/>
      <c r="E7652" s="62"/>
      <c r="F7652" s="60"/>
      <c r="G7652" s="62"/>
      <c r="H7652" s="60"/>
    </row>
    <row r="7653" spans="1:8">
      <c r="A7653" s="60"/>
      <c r="B7653" s="77"/>
      <c r="C7653" s="60"/>
      <c r="D7653" s="81"/>
      <c r="E7653" s="62"/>
      <c r="F7653" s="60"/>
      <c r="G7653" s="62"/>
      <c r="H7653" s="60"/>
    </row>
    <row r="7654" spans="1:8">
      <c r="A7654" s="60"/>
      <c r="B7654" s="77"/>
      <c r="C7654" s="60"/>
      <c r="D7654" s="81"/>
      <c r="E7654" s="62"/>
      <c r="F7654" s="60"/>
      <c r="G7654" s="62"/>
      <c r="H7654" s="60"/>
    </row>
    <row r="7655" spans="1:8">
      <c r="A7655" s="60"/>
      <c r="B7655" s="77"/>
      <c r="C7655" s="60"/>
      <c r="D7655" s="81"/>
      <c r="E7655" s="62"/>
      <c r="F7655" s="60"/>
      <c r="G7655" s="62"/>
      <c r="H7655" s="60"/>
    </row>
    <row r="7656" spans="1:8">
      <c r="A7656" s="60"/>
      <c r="B7656" s="77"/>
      <c r="C7656" s="60"/>
      <c r="D7656" s="81"/>
      <c r="E7656" s="62"/>
      <c r="F7656" s="60"/>
      <c r="G7656" s="62"/>
      <c r="H7656" s="60"/>
    </row>
    <row r="7657" spans="1:8">
      <c r="A7657" s="60"/>
      <c r="B7657" s="77"/>
      <c r="C7657" s="60"/>
      <c r="D7657" s="81"/>
      <c r="E7657" s="62"/>
      <c r="F7657" s="60"/>
      <c r="G7657" s="62"/>
      <c r="H7657" s="60"/>
    </row>
    <row r="7658" spans="1:8">
      <c r="A7658" s="60"/>
      <c r="B7658" s="77"/>
      <c r="C7658" s="60"/>
      <c r="D7658" s="81"/>
      <c r="E7658" s="62"/>
      <c r="F7658" s="60"/>
      <c r="G7658" s="62"/>
      <c r="H7658" s="60"/>
    </row>
    <row r="7659" spans="1:8">
      <c r="A7659" s="60"/>
      <c r="B7659" s="77"/>
      <c r="C7659" s="60"/>
      <c r="D7659" s="81"/>
      <c r="E7659" s="62"/>
      <c r="F7659" s="60"/>
      <c r="G7659" s="62"/>
      <c r="H7659" s="60"/>
    </row>
    <row r="7660" spans="1:8">
      <c r="A7660" s="60"/>
      <c r="B7660" s="77"/>
      <c r="C7660" s="60"/>
      <c r="D7660" s="81"/>
      <c r="E7660" s="62"/>
      <c r="F7660" s="60"/>
      <c r="G7660" s="62"/>
      <c r="H7660" s="60"/>
    </row>
    <row r="7661" spans="1:8">
      <c r="A7661" s="60"/>
      <c r="B7661" s="77"/>
      <c r="C7661" s="60"/>
      <c r="D7661" s="81"/>
      <c r="E7661" s="62"/>
      <c r="F7661" s="60"/>
      <c r="G7661" s="62"/>
      <c r="H7661" s="60"/>
    </row>
    <row r="7662" spans="1:8">
      <c r="A7662" s="60"/>
      <c r="B7662" s="77"/>
      <c r="C7662" s="60"/>
      <c r="D7662" s="81"/>
      <c r="E7662" s="62"/>
      <c r="F7662" s="60"/>
      <c r="G7662" s="62"/>
      <c r="H7662" s="60"/>
    </row>
    <row r="7663" spans="1:8">
      <c r="A7663" s="60"/>
      <c r="B7663" s="77"/>
      <c r="C7663" s="60"/>
      <c r="D7663" s="81"/>
      <c r="E7663" s="62"/>
      <c r="F7663" s="60"/>
      <c r="G7663" s="62"/>
      <c r="H7663" s="60"/>
    </row>
    <row r="7664" spans="1:8">
      <c r="A7664" s="60"/>
      <c r="B7664" s="77"/>
      <c r="C7664" s="60"/>
      <c r="D7664" s="81"/>
      <c r="E7664" s="62"/>
      <c r="F7664" s="60"/>
      <c r="G7664" s="62"/>
      <c r="H7664" s="60"/>
    </row>
    <row r="7665" spans="1:8">
      <c r="A7665" s="60"/>
      <c r="B7665" s="77"/>
      <c r="C7665" s="60"/>
      <c r="D7665" s="81"/>
      <c r="E7665" s="62"/>
      <c r="F7665" s="60"/>
      <c r="G7665" s="62"/>
      <c r="H7665" s="60"/>
    </row>
    <row r="7666" spans="1:8">
      <c r="A7666" s="60"/>
      <c r="B7666" s="77"/>
      <c r="C7666" s="60"/>
      <c r="D7666" s="81"/>
      <c r="E7666" s="62"/>
      <c r="F7666" s="60"/>
      <c r="G7666" s="62"/>
      <c r="H7666" s="60"/>
    </row>
    <row r="7667" spans="1:8">
      <c r="A7667" s="60"/>
      <c r="B7667" s="77"/>
      <c r="C7667" s="60"/>
      <c r="D7667" s="81"/>
      <c r="E7667" s="62"/>
      <c r="F7667" s="60"/>
      <c r="G7667" s="62"/>
      <c r="H7667" s="60"/>
    </row>
    <row r="7668" spans="1:8">
      <c r="A7668" s="60"/>
      <c r="B7668" s="77"/>
      <c r="C7668" s="60"/>
      <c r="D7668" s="81"/>
      <c r="E7668" s="62"/>
      <c r="F7668" s="60"/>
      <c r="G7668" s="62"/>
      <c r="H7668" s="60"/>
    </row>
    <row r="7669" spans="1:8">
      <c r="A7669" s="60"/>
      <c r="B7669" s="77"/>
      <c r="C7669" s="60"/>
      <c r="D7669" s="81"/>
      <c r="E7669" s="62"/>
      <c r="F7669" s="60"/>
      <c r="G7669" s="62"/>
      <c r="H7669" s="60"/>
    </row>
    <row r="7670" spans="1:8">
      <c r="A7670" s="60"/>
      <c r="B7670" s="77"/>
      <c r="C7670" s="60"/>
      <c r="D7670" s="81"/>
      <c r="E7670" s="62"/>
      <c r="F7670" s="60"/>
      <c r="G7670" s="62"/>
      <c r="H7670" s="60"/>
    </row>
    <row r="7671" spans="1:8">
      <c r="A7671" s="60"/>
      <c r="B7671" s="77"/>
      <c r="C7671" s="60"/>
      <c r="D7671" s="81"/>
      <c r="E7671" s="62"/>
      <c r="F7671" s="60"/>
      <c r="G7671" s="62"/>
      <c r="H7671" s="60"/>
    </row>
    <row r="7672" spans="1:8">
      <c r="A7672" s="60"/>
      <c r="B7672" s="77"/>
      <c r="C7672" s="60"/>
      <c r="D7672" s="81"/>
      <c r="E7672" s="62"/>
      <c r="F7672" s="60"/>
      <c r="G7672" s="62"/>
      <c r="H7672" s="60"/>
    </row>
    <row r="7673" spans="1:8">
      <c r="A7673" s="60"/>
      <c r="B7673" s="77"/>
      <c r="C7673" s="60"/>
      <c r="D7673" s="81"/>
      <c r="E7673" s="62"/>
      <c r="F7673" s="60"/>
      <c r="G7673" s="62"/>
      <c r="H7673" s="60"/>
    </row>
    <row r="7674" spans="1:8">
      <c r="A7674" s="60"/>
      <c r="B7674" s="77"/>
      <c r="C7674" s="60"/>
      <c r="D7674" s="81"/>
      <c r="E7674" s="62"/>
      <c r="F7674" s="60"/>
      <c r="G7674" s="62"/>
      <c r="H7674" s="60"/>
    </row>
    <row r="7675" spans="1:8">
      <c r="A7675" s="60"/>
      <c r="B7675" s="77"/>
      <c r="C7675" s="60"/>
      <c r="D7675" s="81"/>
      <c r="E7675" s="62"/>
      <c r="F7675" s="60"/>
      <c r="G7675" s="62"/>
      <c r="H7675" s="60"/>
    </row>
    <row r="7676" spans="1:8">
      <c r="A7676" s="60"/>
      <c r="B7676" s="77"/>
      <c r="C7676" s="60"/>
      <c r="D7676" s="81"/>
      <c r="E7676" s="62"/>
      <c r="F7676" s="60"/>
      <c r="G7676" s="62"/>
      <c r="H7676" s="60"/>
    </row>
    <row r="7677" spans="1:8">
      <c r="A7677" s="60"/>
      <c r="B7677" s="77"/>
      <c r="C7677" s="60"/>
      <c r="D7677" s="81"/>
      <c r="E7677" s="62"/>
      <c r="F7677" s="60"/>
      <c r="G7677" s="62"/>
      <c r="H7677" s="60"/>
    </row>
    <row r="7678" spans="1:8">
      <c r="A7678" s="60"/>
      <c r="B7678" s="77"/>
      <c r="C7678" s="60"/>
      <c r="D7678" s="81"/>
      <c r="E7678" s="62"/>
      <c r="F7678" s="60"/>
      <c r="G7678" s="62"/>
      <c r="H7678" s="60"/>
    </row>
    <row r="7679" spans="1:8">
      <c r="A7679" s="60"/>
      <c r="B7679" s="77"/>
      <c r="C7679" s="60"/>
      <c r="D7679" s="81"/>
      <c r="E7679" s="62"/>
      <c r="F7679" s="60"/>
      <c r="G7679" s="62"/>
      <c r="H7679" s="60"/>
    </row>
    <row r="7680" spans="1:8">
      <c r="A7680" s="60"/>
      <c r="B7680" s="77"/>
      <c r="C7680" s="60"/>
      <c r="D7680" s="81"/>
      <c r="E7680" s="62"/>
      <c r="F7680" s="60"/>
      <c r="G7680" s="62"/>
      <c r="H7680" s="60"/>
    </row>
    <row r="7681" spans="1:8">
      <c r="A7681" s="60"/>
      <c r="B7681" s="77"/>
      <c r="C7681" s="60"/>
      <c r="D7681" s="81"/>
      <c r="E7681" s="62"/>
      <c r="F7681" s="60"/>
      <c r="G7681" s="62"/>
      <c r="H7681" s="60"/>
    </row>
    <row r="7682" spans="1:8">
      <c r="A7682" s="60"/>
      <c r="B7682" s="77"/>
      <c r="C7682" s="60"/>
      <c r="D7682" s="81"/>
      <c r="E7682" s="62"/>
      <c r="F7682" s="60"/>
      <c r="G7682" s="62"/>
      <c r="H7682" s="60"/>
    </row>
    <row r="7683" spans="1:8">
      <c r="A7683" s="60"/>
      <c r="B7683" s="77"/>
      <c r="C7683" s="60"/>
      <c r="D7683" s="81"/>
      <c r="E7683" s="62"/>
      <c r="F7683" s="60"/>
      <c r="G7683" s="62"/>
      <c r="H7683" s="60"/>
    </row>
    <row r="7684" spans="1:8">
      <c r="A7684" s="60"/>
      <c r="B7684" s="77"/>
      <c r="C7684" s="60"/>
      <c r="D7684" s="81"/>
      <c r="E7684" s="62"/>
      <c r="F7684" s="60"/>
      <c r="G7684" s="62"/>
      <c r="H7684" s="60"/>
    </row>
    <row r="7685" spans="1:8">
      <c r="A7685" s="60"/>
      <c r="B7685" s="77"/>
      <c r="C7685" s="60"/>
      <c r="D7685" s="81"/>
      <c r="E7685" s="62"/>
      <c r="F7685" s="60"/>
      <c r="G7685" s="62"/>
      <c r="H7685" s="60"/>
    </row>
    <row r="7686" spans="1:8">
      <c r="A7686" s="60"/>
      <c r="B7686" s="77"/>
      <c r="C7686" s="60"/>
      <c r="D7686" s="81"/>
      <c r="E7686" s="62"/>
      <c r="F7686" s="60"/>
      <c r="G7686" s="62"/>
      <c r="H7686" s="60"/>
    </row>
    <row r="7687" spans="1:8">
      <c r="A7687" s="60"/>
      <c r="B7687" s="77"/>
      <c r="C7687" s="60"/>
      <c r="D7687" s="81"/>
      <c r="E7687" s="62"/>
      <c r="F7687" s="60"/>
      <c r="G7687" s="62"/>
      <c r="H7687" s="60"/>
    </row>
    <row r="7688" spans="1:8">
      <c r="A7688" s="60"/>
      <c r="B7688" s="77"/>
      <c r="C7688" s="60"/>
      <c r="D7688" s="81"/>
      <c r="E7688" s="62"/>
      <c r="F7688" s="60"/>
      <c r="G7688" s="62"/>
      <c r="H7688" s="60"/>
    </row>
    <row r="7689" spans="1:8">
      <c r="A7689" s="60"/>
      <c r="B7689" s="77"/>
      <c r="C7689" s="60"/>
      <c r="D7689" s="81"/>
      <c r="E7689" s="62"/>
      <c r="F7689" s="60"/>
      <c r="G7689" s="62"/>
      <c r="H7689" s="60"/>
    </row>
    <row r="7690" spans="1:8">
      <c r="A7690" s="60"/>
      <c r="B7690" s="77"/>
      <c r="C7690" s="60"/>
      <c r="D7690" s="81"/>
      <c r="E7690" s="62"/>
      <c r="F7690" s="60"/>
      <c r="G7690" s="62"/>
      <c r="H7690" s="60"/>
    </row>
    <row r="7691" spans="1:8">
      <c r="A7691" s="60"/>
      <c r="B7691" s="77"/>
      <c r="C7691" s="60"/>
      <c r="D7691" s="81"/>
      <c r="E7691" s="62"/>
      <c r="F7691" s="60"/>
      <c r="G7691" s="62"/>
      <c r="H7691" s="60"/>
    </row>
    <row r="7692" spans="1:8">
      <c r="A7692" s="60"/>
      <c r="B7692" s="77"/>
      <c r="C7692" s="60"/>
      <c r="D7692" s="81"/>
      <c r="E7692" s="62"/>
      <c r="F7692" s="60"/>
      <c r="G7692" s="62"/>
      <c r="H7692" s="60"/>
    </row>
    <row r="7693" spans="1:8">
      <c r="A7693" s="60"/>
      <c r="B7693" s="77"/>
      <c r="C7693" s="60"/>
      <c r="D7693" s="81"/>
      <c r="E7693" s="62"/>
      <c r="F7693" s="60"/>
      <c r="G7693" s="62"/>
      <c r="H7693" s="60"/>
    </row>
    <row r="7694" spans="1:8">
      <c r="A7694" s="60"/>
      <c r="B7694" s="77"/>
      <c r="C7694" s="60"/>
      <c r="D7694" s="81"/>
      <c r="E7694" s="62"/>
      <c r="F7694" s="60"/>
      <c r="G7694" s="62"/>
      <c r="H7694" s="60"/>
    </row>
    <row r="7695" spans="1:8">
      <c r="A7695" s="60"/>
      <c r="B7695" s="77"/>
      <c r="C7695" s="60"/>
      <c r="D7695" s="81"/>
      <c r="E7695" s="62"/>
      <c r="F7695" s="60"/>
      <c r="G7695" s="62"/>
      <c r="H7695" s="60"/>
    </row>
    <row r="7696" spans="1:8">
      <c r="A7696" s="60"/>
      <c r="B7696" s="77"/>
      <c r="C7696" s="60"/>
      <c r="D7696" s="81"/>
      <c r="E7696" s="62"/>
      <c r="F7696" s="60"/>
      <c r="G7696" s="62"/>
      <c r="H7696" s="60"/>
    </row>
    <row r="7697" spans="1:8">
      <c r="A7697" s="60"/>
      <c r="B7697" s="77"/>
      <c r="C7697" s="60"/>
      <c r="D7697" s="81"/>
      <c r="E7697" s="62"/>
      <c r="F7697" s="60"/>
      <c r="G7697" s="62"/>
      <c r="H7697" s="60"/>
    </row>
    <row r="7698" spans="1:8">
      <c r="A7698" s="60"/>
      <c r="B7698" s="77"/>
      <c r="C7698" s="60"/>
      <c r="D7698" s="81"/>
      <c r="E7698" s="62"/>
      <c r="F7698" s="60"/>
      <c r="G7698" s="62"/>
      <c r="H7698" s="60"/>
    </row>
    <row r="7699" spans="1:8">
      <c r="A7699" s="60"/>
      <c r="B7699" s="77"/>
      <c r="C7699" s="60"/>
      <c r="D7699" s="81"/>
      <c r="E7699" s="62"/>
      <c r="F7699" s="60"/>
      <c r="G7699" s="62"/>
      <c r="H7699" s="60"/>
    </row>
    <row r="7700" spans="1:8">
      <c r="A7700" s="60"/>
      <c r="B7700" s="77"/>
      <c r="C7700" s="60"/>
      <c r="D7700" s="81"/>
      <c r="E7700" s="62"/>
      <c r="F7700" s="60"/>
      <c r="G7700" s="62"/>
      <c r="H7700" s="60"/>
    </row>
    <row r="7701" spans="1:8">
      <c r="A7701" s="60"/>
      <c r="B7701" s="77"/>
      <c r="C7701" s="60"/>
      <c r="D7701" s="81"/>
      <c r="E7701" s="62"/>
      <c r="F7701" s="60"/>
      <c r="G7701" s="62"/>
      <c r="H7701" s="60"/>
    </row>
    <row r="7702" spans="1:8">
      <c r="A7702" s="60"/>
      <c r="B7702" s="77"/>
      <c r="C7702" s="60"/>
      <c r="D7702" s="81"/>
      <c r="E7702" s="62"/>
      <c r="F7702" s="60"/>
      <c r="G7702" s="62"/>
      <c r="H7702" s="60"/>
    </row>
    <row r="7703" spans="1:8">
      <c r="A7703" s="60"/>
      <c r="B7703" s="77"/>
      <c r="C7703" s="60"/>
      <c r="D7703" s="81"/>
      <c r="E7703" s="62"/>
      <c r="F7703" s="60"/>
      <c r="G7703" s="62"/>
      <c r="H7703" s="60"/>
    </row>
    <row r="7704" spans="1:8">
      <c r="A7704" s="60"/>
      <c r="B7704" s="77"/>
      <c r="C7704" s="60"/>
      <c r="D7704" s="81"/>
      <c r="E7704" s="62"/>
      <c r="F7704" s="60"/>
      <c r="G7704" s="62"/>
      <c r="H7704" s="60"/>
    </row>
    <row r="7705" spans="1:8">
      <c r="A7705" s="60"/>
      <c r="B7705" s="77"/>
      <c r="C7705" s="60"/>
      <c r="D7705" s="81"/>
      <c r="E7705" s="62"/>
      <c r="F7705" s="60"/>
      <c r="G7705" s="62"/>
      <c r="H7705" s="60"/>
    </row>
    <row r="7706" spans="1:8">
      <c r="A7706" s="60"/>
      <c r="B7706" s="77"/>
      <c r="C7706" s="60"/>
      <c r="D7706" s="81"/>
      <c r="E7706" s="62"/>
      <c r="F7706" s="60"/>
      <c r="G7706" s="62"/>
      <c r="H7706" s="60"/>
    </row>
    <row r="7707" spans="1:8">
      <c r="A7707" s="60"/>
      <c r="B7707" s="77"/>
      <c r="C7707" s="60"/>
      <c r="D7707" s="81"/>
      <c r="E7707" s="62"/>
      <c r="F7707" s="60"/>
      <c r="G7707" s="62"/>
      <c r="H7707" s="60"/>
    </row>
    <row r="7708" spans="1:8">
      <c r="A7708" s="60"/>
      <c r="B7708" s="77"/>
      <c r="C7708" s="60"/>
      <c r="D7708" s="81"/>
      <c r="E7708" s="62"/>
      <c r="F7708" s="60"/>
      <c r="G7708" s="62"/>
      <c r="H7708" s="60"/>
    </row>
    <row r="7709" spans="1:8">
      <c r="A7709" s="60"/>
      <c r="B7709" s="77"/>
      <c r="C7709" s="60"/>
      <c r="D7709" s="81"/>
      <c r="E7709" s="62"/>
      <c r="F7709" s="60"/>
      <c r="G7709" s="62"/>
      <c r="H7709" s="60"/>
    </row>
    <row r="7710" spans="1:8">
      <c r="A7710" s="60"/>
      <c r="B7710" s="77"/>
      <c r="C7710" s="60"/>
      <c r="D7710" s="81"/>
      <c r="E7710" s="62"/>
      <c r="F7710" s="60"/>
      <c r="G7710" s="62"/>
      <c r="H7710" s="60"/>
    </row>
    <row r="7711" spans="1:8">
      <c r="A7711" s="60"/>
      <c r="B7711" s="77"/>
      <c r="C7711" s="60"/>
      <c r="D7711" s="81"/>
      <c r="E7711" s="62"/>
      <c r="F7711" s="60"/>
      <c r="G7711" s="62"/>
      <c r="H7711" s="60"/>
    </row>
    <row r="7712" spans="1:8">
      <c r="A7712" s="60"/>
      <c r="B7712" s="77"/>
      <c r="C7712" s="60"/>
      <c r="D7712" s="81"/>
      <c r="E7712" s="62"/>
      <c r="F7712" s="60"/>
      <c r="G7712" s="62"/>
      <c r="H7712" s="60"/>
    </row>
    <row r="7713" spans="1:8">
      <c r="A7713" s="60"/>
      <c r="B7713" s="77"/>
      <c r="C7713" s="60"/>
      <c r="D7713" s="81"/>
      <c r="E7713" s="62"/>
      <c r="F7713" s="60"/>
      <c r="G7713" s="62"/>
      <c r="H7713" s="60"/>
    </row>
    <row r="7714" spans="1:8">
      <c r="A7714" s="60"/>
      <c r="B7714" s="77"/>
      <c r="C7714" s="60"/>
      <c r="D7714" s="81"/>
      <c r="E7714" s="62"/>
      <c r="F7714" s="60"/>
      <c r="G7714" s="62"/>
      <c r="H7714" s="60"/>
    </row>
    <row r="7715" spans="1:8">
      <c r="A7715" s="60"/>
      <c r="B7715" s="77"/>
      <c r="C7715" s="60"/>
      <c r="D7715" s="81"/>
      <c r="E7715" s="62"/>
      <c r="F7715" s="60"/>
      <c r="G7715" s="62"/>
      <c r="H7715" s="60"/>
    </row>
    <row r="7716" spans="1:8">
      <c r="A7716" s="60"/>
      <c r="B7716" s="77"/>
      <c r="C7716" s="60"/>
      <c r="D7716" s="81"/>
      <c r="E7716" s="62"/>
      <c r="F7716" s="60"/>
      <c r="G7716" s="62"/>
      <c r="H7716" s="60"/>
    </row>
    <row r="7717" spans="1:8">
      <c r="A7717" s="60"/>
      <c r="B7717" s="77"/>
      <c r="C7717" s="60"/>
      <c r="D7717" s="81"/>
      <c r="E7717" s="62"/>
      <c r="F7717" s="60"/>
      <c r="G7717" s="62"/>
      <c r="H7717" s="60"/>
    </row>
    <row r="7718" spans="1:8">
      <c r="A7718" s="60"/>
      <c r="B7718" s="77"/>
      <c r="C7718" s="60"/>
      <c r="D7718" s="81"/>
      <c r="E7718" s="62"/>
      <c r="F7718" s="60"/>
      <c r="G7718" s="62"/>
      <c r="H7718" s="60"/>
    </row>
    <row r="7719" spans="1:8">
      <c r="A7719" s="60"/>
      <c r="B7719" s="77"/>
      <c r="C7719" s="60"/>
      <c r="D7719" s="81"/>
      <c r="E7719" s="62"/>
      <c r="F7719" s="60"/>
      <c r="G7719" s="62"/>
      <c r="H7719" s="60"/>
    </row>
    <row r="7720" spans="1:8">
      <c r="A7720" s="60"/>
      <c r="B7720" s="77"/>
      <c r="C7720" s="60"/>
      <c r="D7720" s="81"/>
      <c r="E7720" s="62"/>
      <c r="F7720" s="60"/>
      <c r="G7720" s="62"/>
      <c r="H7720" s="60"/>
    </row>
    <row r="7721" spans="1:8">
      <c r="A7721" s="60"/>
      <c r="B7721" s="77"/>
      <c r="C7721" s="60"/>
      <c r="D7721" s="81"/>
      <c r="E7721" s="62"/>
      <c r="F7721" s="60"/>
      <c r="G7721" s="62"/>
      <c r="H7721" s="60"/>
    </row>
    <row r="7722" spans="1:8">
      <c r="A7722" s="60"/>
      <c r="B7722" s="77"/>
      <c r="C7722" s="60"/>
      <c r="D7722" s="81"/>
      <c r="E7722" s="62"/>
      <c r="F7722" s="60"/>
      <c r="G7722" s="62"/>
      <c r="H7722" s="60"/>
    </row>
    <row r="7723" spans="1:8">
      <c r="A7723" s="60"/>
      <c r="B7723" s="77"/>
      <c r="C7723" s="60"/>
      <c r="D7723" s="81"/>
      <c r="E7723" s="62"/>
      <c r="F7723" s="60"/>
      <c r="G7723" s="62"/>
      <c r="H7723" s="60"/>
    </row>
    <row r="7724" spans="1:8">
      <c r="A7724" s="60"/>
      <c r="B7724" s="77"/>
      <c r="C7724" s="60"/>
      <c r="D7724" s="81"/>
      <c r="E7724" s="62"/>
      <c r="F7724" s="60"/>
      <c r="G7724" s="62"/>
      <c r="H7724" s="60"/>
    </row>
    <row r="7725" spans="1:8">
      <c r="A7725" s="60"/>
      <c r="B7725" s="77"/>
      <c r="C7725" s="60"/>
      <c r="D7725" s="81"/>
      <c r="E7725" s="62"/>
      <c r="F7725" s="60"/>
      <c r="G7725" s="62"/>
      <c r="H7725" s="60"/>
    </row>
    <row r="7726" spans="1:8">
      <c r="A7726" s="60"/>
      <c r="B7726" s="77"/>
      <c r="C7726" s="60"/>
      <c r="D7726" s="81"/>
      <c r="E7726" s="62"/>
      <c r="F7726" s="60"/>
      <c r="G7726" s="62"/>
      <c r="H7726" s="60"/>
    </row>
    <row r="7727" spans="1:8">
      <c r="A7727" s="60"/>
      <c r="B7727" s="77"/>
      <c r="C7727" s="60"/>
      <c r="D7727" s="81"/>
      <c r="E7727" s="62"/>
      <c r="F7727" s="60"/>
      <c r="G7727" s="62"/>
      <c r="H7727" s="60"/>
    </row>
    <row r="7728" spans="1:8">
      <c r="A7728" s="60"/>
      <c r="B7728" s="77"/>
      <c r="C7728" s="60"/>
      <c r="D7728" s="81"/>
      <c r="E7728" s="62"/>
      <c r="F7728" s="60"/>
      <c r="G7728" s="62"/>
      <c r="H7728" s="60"/>
    </row>
    <row r="7729" spans="1:8">
      <c r="A7729" s="60"/>
      <c r="B7729" s="77"/>
      <c r="C7729" s="60"/>
      <c r="D7729" s="81"/>
      <c r="E7729" s="62"/>
      <c r="F7729" s="60"/>
      <c r="G7729" s="62"/>
      <c r="H7729" s="60"/>
    </row>
    <row r="7730" spans="1:8">
      <c r="A7730" s="60"/>
      <c r="B7730" s="77"/>
      <c r="C7730" s="60"/>
      <c r="D7730" s="81"/>
      <c r="E7730" s="62"/>
      <c r="F7730" s="60"/>
      <c r="G7730" s="62"/>
      <c r="H7730" s="60"/>
    </row>
    <row r="7731" spans="1:8">
      <c r="A7731" s="60"/>
      <c r="B7731" s="77"/>
      <c r="C7731" s="60"/>
      <c r="D7731" s="81"/>
      <c r="E7731" s="62"/>
      <c r="F7731" s="60"/>
      <c r="G7731" s="62"/>
      <c r="H7731" s="60"/>
    </row>
    <row r="7732" spans="1:8">
      <c r="A7732" s="60"/>
      <c r="B7732" s="77"/>
      <c r="C7732" s="60"/>
      <c r="D7732" s="81"/>
      <c r="E7732" s="62"/>
      <c r="F7732" s="60"/>
      <c r="G7732" s="62"/>
      <c r="H7732" s="60"/>
    </row>
    <row r="7733" spans="1:8">
      <c r="A7733" s="60"/>
      <c r="B7733" s="77"/>
      <c r="C7733" s="60"/>
      <c r="D7733" s="81"/>
      <c r="E7733" s="62"/>
      <c r="F7733" s="60"/>
      <c r="G7733" s="62"/>
      <c r="H7733" s="60"/>
    </row>
    <row r="7734" spans="1:8">
      <c r="A7734" s="60"/>
      <c r="B7734" s="77"/>
      <c r="C7734" s="60"/>
      <c r="D7734" s="81"/>
      <c r="E7734" s="62"/>
      <c r="F7734" s="60"/>
      <c r="G7734" s="62"/>
      <c r="H7734" s="60"/>
    </row>
    <row r="7735" spans="1:8">
      <c r="A7735" s="60"/>
      <c r="B7735" s="77"/>
      <c r="C7735" s="60"/>
      <c r="D7735" s="81"/>
      <c r="E7735" s="62"/>
      <c r="F7735" s="60"/>
      <c r="G7735" s="62"/>
      <c r="H7735" s="60"/>
    </row>
    <row r="7736" spans="1:8">
      <c r="A7736" s="60"/>
      <c r="B7736" s="77"/>
      <c r="C7736" s="60"/>
      <c r="D7736" s="81"/>
      <c r="E7736" s="62"/>
      <c r="F7736" s="60"/>
      <c r="G7736" s="62"/>
      <c r="H7736" s="60"/>
    </row>
    <row r="7737" spans="1:8">
      <c r="A7737" s="60"/>
      <c r="B7737" s="77"/>
      <c r="C7737" s="60"/>
      <c r="D7737" s="81"/>
      <c r="E7737" s="62"/>
      <c r="F7737" s="60"/>
      <c r="G7737" s="62"/>
      <c r="H7737" s="60"/>
    </row>
    <row r="7738" spans="1:8">
      <c r="A7738" s="60"/>
      <c r="B7738" s="77"/>
      <c r="C7738" s="60"/>
      <c r="D7738" s="81"/>
      <c r="E7738" s="62"/>
      <c r="F7738" s="60"/>
      <c r="G7738" s="62"/>
      <c r="H7738" s="60"/>
    </row>
    <row r="7739" spans="1:8">
      <c r="A7739" s="60"/>
      <c r="B7739" s="77"/>
      <c r="C7739" s="60"/>
      <c r="D7739" s="81"/>
      <c r="E7739" s="62"/>
      <c r="F7739" s="60"/>
      <c r="G7739" s="62"/>
      <c r="H7739" s="60"/>
    </row>
    <row r="7740" spans="1:8">
      <c r="A7740" s="60"/>
      <c r="B7740" s="77"/>
      <c r="C7740" s="60"/>
      <c r="D7740" s="81"/>
      <c r="E7740" s="62"/>
      <c r="F7740" s="60"/>
      <c r="G7740" s="62"/>
      <c r="H7740" s="60"/>
    </row>
    <row r="7741" spans="1:8">
      <c r="A7741" s="60"/>
      <c r="B7741" s="77"/>
      <c r="C7741" s="60"/>
      <c r="D7741" s="81"/>
      <c r="E7741" s="62"/>
      <c r="F7741" s="60"/>
      <c r="G7741" s="62"/>
      <c r="H7741" s="60"/>
    </row>
    <row r="7742" spans="1:8">
      <c r="A7742" s="60"/>
      <c r="B7742" s="77"/>
      <c r="C7742" s="60"/>
      <c r="D7742" s="81"/>
      <c r="E7742" s="62"/>
      <c r="F7742" s="60"/>
      <c r="G7742" s="62"/>
      <c r="H7742" s="60"/>
    </row>
    <row r="7743" spans="1:8">
      <c r="A7743" s="60"/>
      <c r="B7743" s="77"/>
      <c r="C7743" s="60"/>
      <c r="D7743" s="81"/>
      <c r="E7743" s="62"/>
      <c r="F7743" s="60"/>
      <c r="G7743" s="62"/>
      <c r="H7743" s="60"/>
    </row>
    <row r="7744" spans="1:8">
      <c r="A7744" s="60"/>
      <c r="B7744" s="77"/>
      <c r="C7744" s="60"/>
      <c r="D7744" s="81"/>
      <c r="E7744" s="62"/>
      <c r="F7744" s="60"/>
      <c r="G7744" s="62"/>
      <c r="H7744" s="60"/>
    </row>
    <row r="7745" spans="1:8">
      <c r="A7745" s="60"/>
      <c r="B7745" s="77"/>
      <c r="C7745" s="60"/>
      <c r="D7745" s="81"/>
      <c r="E7745" s="62"/>
      <c r="F7745" s="60"/>
      <c r="G7745" s="62"/>
      <c r="H7745" s="60"/>
    </row>
    <row r="7746" spans="1:8">
      <c r="A7746" s="60"/>
      <c r="B7746" s="77"/>
      <c r="C7746" s="60"/>
      <c r="D7746" s="81"/>
      <c r="E7746" s="62"/>
      <c r="F7746" s="60"/>
      <c r="G7746" s="62"/>
      <c r="H7746" s="60"/>
    </row>
    <row r="7747" spans="1:8">
      <c r="A7747" s="60"/>
      <c r="B7747" s="77"/>
      <c r="C7747" s="60"/>
      <c r="D7747" s="81"/>
      <c r="E7747" s="62"/>
      <c r="F7747" s="60"/>
      <c r="G7747" s="62"/>
      <c r="H7747" s="60"/>
    </row>
    <row r="7748" spans="1:8">
      <c r="A7748" s="60"/>
      <c r="B7748" s="77"/>
      <c r="C7748" s="60"/>
      <c r="D7748" s="81"/>
      <c r="E7748" s="62"/>
      <c r="F7748" s="60"/>
      <c r="G7748" s="62"/>
      <c r="H7748" s="60"/>
    </row>
    <row r="7749" spans="1:8">
      <c r="A7749" s="60"/>
      <c r="B7749" s="77"/>
      <c r="C7749" s="60"/>
      <c r="D7749" s="81"/>
      <c r="E7749" s="62"/>
      <c r="F7749" s="60"/>
      <c r="G7749" s="62"/>
      <c r="H7749" s="60"/>
    </row>
    <row r="7750" spans="1:8">
      <c r="A7750" s="60"/>
      <c r="B7750" s="77"/>
      <c r="C7750" s="60"/>
      <c r="D7750" s="81"/>
      <c r="E7750" s="62"/>
      <c r="F7750" s="60"/>
      <c r="G7750" s="62"/>
      <c r="H7750" s="60"/>
    </row>
    <row r="7751" spans="1:8">
      <c r="A7751" s="60"/>
      <c r="B7751" s="77"/>
      <c r="C7751" s="60"/>
      <c r="D7751" s="81"/>
      <c r="E7751" s="62"/>
      <c r="F7751" s="60"/>
      <c r="G7751" s="62"/>
      <c r="H7751" s="60"/>
    </row>
    <row r="7752" spans="1:8">
      <c r="A7752" s="60"/>
      <c r="B7752" s="77"/>
      <c r="C7752" s="60"/>
      <c r="D7752" s="81"/>
      <c r="E7752" s="62"/>
      <c r="F7752" s="60"/>
      <c r="G7752" s="62"/>
      <c r="H7752" s="60"/>
    </row>
    <row r="7753" spans="1:8">
      <c r="A7753" s="60"/>
      <c r="B7753" s="77"/>
      <c r="C7753" s="60"/>
      <c r="D7753" s="81"/>
      <c r="E7753" s="62"/>
      <c r="F7753" s="60"/>
      <c r="G7753" s="62"/>
      <c r="H7753" s="60"/>
    </row>
    <row r="7754" spans="1:8">
      <c r="A7754" s="60"/>
      <c r="B7754" s="77"/>
      <c r="C7754" s="60"/>
      <c r="D7754" s="81"/>
      <c r="E7754" s="62"/>
      <c r="F7754" s="60"/>
      <c r="G7754" s="62"/>
      <c r="H7754" s="60"/>
    </row>
    <row r="7755" spans="1:8">
      <c r="A7755" s="60"/>
      <c r="B7755" s="77"/>
      <c r="C7755" s="60"/>
      <c r="D7755" s="81"/>
      <c r="E7755" s="62"/>
      <c r="F7755" s="60"/>
      <c r="G7755" s="62"/>
      <c r="H7755" s="60"/>
    </row>
    <row r="7756" spans="1:8">
      <c r="A7756" s="60"/>
      <c r="B7756" s="77"/>
      <c r="C7756" s="60"/>
      <c r="D7756" s="81"/>
      <c r="E7756" s="62"/>
      <c r="F7756" s="60"/>
      <c r="G7756" s="62"/>
      <c r="H7756" s="60"/>
    </row>
    <row r="7757" spans="1:8">
      <c r="A7757" s="60"/>
      <c r="B7757" s="77"/>
      <c r="C7757" s="60"/>
      <c r="D7757" s="81"/>
      <c r="E7757" s="62"/>
      <c r="F7757" s="60"/>
      <c r="G7757" s="62"/>
      <c r="H7757" s="60"/>
    </row>
    <row r="7758" spans="1:8">
      <c r="A7758" s="60"/>
      <c r="B7758" s="77"/>
      <c r="C7758" s="60"/>
      <c r="D7758" s="81"/>
      <c r="E7758" s="62"/>
      <c r="F7758" s="60"/>
      <c r="G7758" s="62"/>
      <c r="H7758" s="60"/>
    </row>
    <row r="7759" spans="1:8">
      <c r="A7759" s="60"/>
      <c r="B7759" s="77"/>
      <c r="C7759" s="60"/>
      <c r="D7759" s="81"/>
      <c r="E7759" s="62"/>
      <c r="F7759" s="60"/>
      <c r="G7759" s="62"/>
      <c r="H7759" s="60"/>
    </row>
    <row r="7760" spans="1:8">
      <c r="A7760" s="60"/>
      <c r="B7760" s="77"/>
      <c r="C7760" s="60"/>
      <c r="D7760" s="81"/>
      <c r="E7760" s="62"/>
      <c r="F7760" s="60"/>
      <c r="G7760" s="62"/>
      <c r="H7760" s="60"/>
    </row>
    <row r="7761" spans="1:8">
      <c r="A7761" s="60"/>
      <c r="B7761" s="77"/>
      <c r="C7761" s="60"/>
      <c r="D7761" s="81"/>
      <c r="E7761" s="62"/>
      <c r="F7761" s="60"/>
      <c r="G7761" s="62"/>
      <c r="H7761" s="60"/>
    </row>
    <row r="7762" spans="1:8">
      <c r="A7762" s="60"/>
      <c r="B7762" s="77"/>
      <c r="C7762" s="60"/>
      <c r="D7762" s="81"/>
      <c r="E7762" s="62"/>
      <c r="F7762" s="60"/>
      <c r="G7762" s="62"/>
      <c r="H7762" s="60"/>
    </row>
    <row r="7763" spans="1:8">
      <c r="A7763" s="60"/>
      <c r="B7763" s="77"/>
      <c r="C7763" s="60"/>
      <c r="D7763" s="81"/>
      <c r="E7763" s="62"/>
      <c r="F7763" s="60"/>
      <c r="G7763" s="62"/>
      <c r="H7763" s="60"/>
    </row>
    <row r="7764" spans="1:8">
      <c r="A7764" s="60"/>
      <c r="B7764" s="77"/>
      <c r="C7764" s="60"/>
      <c r="D7764" s="81"/>
      <c r="E7764" s="62"/>
      <c r="F7764" s="60"/>
      <c r="G7764" s="62"/>
      <c r="H7764" s="60"/>
    </row>
    <row r="7765" spans="1:8">
      <c r="A7765" s="60"/>
      <c r="B7765" s="77"/>
      <c r="C7765" s="60"/>
      <c r="D7765" s="81"/>
      <c r="E7765" s="62"/>
      <c r="F7765" s="60"/>
      <c r="G7765" s="62"/>
      <c r="H7765" s="60"/>
    </row>
    <row r="7766" spans="1:8">
      <c r="A7766" s="60"/>
      <c r="B7766" s="77"/>
      <c r="C7766" s="60"/>
      <c r="D7766" s="81"/>
      <c r="E7766" s="62"/>
      <c r="F7766" s="60"/>
      <c r="G7766" s="62"/>
      <c r="H7766" s="60"/>
    </row>
    <row r="7767" spans="1:8">
      <c r="A7767" s="60"/>
      <c r="B7767" s="77"/>
      <c r="C7767" s="60"/>
      <c r="D7767" s="81"/>
      <c r="E7767" s="62"/>
      <c r="F7767" s="60"/>
      <c r="G7767" s="62"/>
      <c r="H7767" s="60"/>
    </row>
    <row r="7768" spans="1:8">
      <c r="A7768" s="60"/>
      <c r="B7768" s="77"/>
      <c r="C7768" s="60"/>
      <c r="D7768" s="81"/>
      <c r="E7768" s="62"/>
      <c r="F7768" s="60"/>
      <c r="G7768" s="62"/>
      <c r="H7768" s="60"/>
    </row>
    <row r="7769" spans="1:8">
      <c r="A7769" s="60"/>
      <c r="B7769" s="77"/>
      <c r="C7769" s="60"/>
      <c r="D7769" s="81"/>
      <c r="E7769" s="62"/>
      <c r="F7769" s="60"/>
      <c r="G7769" s="62"/>
      <c r="H7769" s="60"/>
    </row>
    <row r="7770" spans="1:8">
      <c r="A7770" s="60"/>
      <c r="B7770" s="77"/>
      <c r="C7770" s="60"/>
      <c r="D7770" s="81"/>
      <c r="E7770" s="62"/>
      <c r="F7770" s="60"/>
      <c r="G7770" s="62"/>
      <c r="H7770" s="60"/>
    </row>
    <row r="7771" spans="1:8">
      <c r="A7771" s="60"/>
      <c r="B7771" s="77"/>
      <c r="C7771" s="60"/>
      <c r="D7771" s="81"/>
      <c r="E7771" s="62"/>
      <c r="F7771" s="60"/>
      <c r="G7771" s="62"/>
      <c r="H7771" s="60"/>
    </row>
    <row r="7772" spans="1:8">
      <c r="A7772" s="60"/>
      <c r="B7772" s="77"/>
      <c r="C7772" s="60"/>
      <c r="D7772" s="81"/>
      <c r="E7772" s="62"/>
      <c r="F7772" s="60"/>
      <c r="G7772" s="62"/>
      <c r="H7772" s="60"/>
    </row>
    <row r="7773" spans="1:8">
      <c r="A7773" s="60"/>
      <c r="B7773" s="77"/>
      <c r="C7773" s="60"/>
      <c r="D7773" s="81"/>
      <c r="E7773" s="62"/>
      <c r="F7773" s="60"/>
      <c r="G7773" s="62"/>
      <c r="H7773" s="60"/>
    </row>
    <row r="7774" spans="1:8">
      <c r="A7774" s="60"/>
      <c r="B7774" s="77"/>
      <c r="C7774" s="60"/>
      <c r="D7774" s="81"/>
      <c r="E7774" s="62"/>
      <c r="F7774" s="60"/>
      <c r="G7774" s="62"/>
      <c r="H7774" s="60"/>
    </row>
    <row r="7775" spans="1:8">
      <c r="A7775" s="60"/>
      <c r="B7775" s="77"/>
      <c r="C7775" s="60"/>
      <c r="D7775" s="81"/>
      <c r="E7775" s="62"/>
      <c r="F7775" s="60"/>
      <c r="G7775" s="62"/>
      <c r="H7775" s="60"/>
    </row>
    <row r="7776" spans="1:8">
      <c r="A7776" s="60"/>
      <c r="B7776" s="77"/>
      <c r="C7776" s="60"/>
      <c r="D7776" s="81"/>
      <c r="E7776" s="62"/>
      <c r="F7776" s="60"/>
      <c r="G7776" s="62"/>
      <c r="H7776" s="60"/>
    </row>
    <row r="7777" spans="1:8">
      <c r="A7777" s="60"/>
      <c r="B7777" s="77"/>
      <c r="C7777" s="60"/>
      <c r="D7777" s="81"/>
      <c r="E7777" s="62"/>
      <c r="F7777" s="60"/>
      <c r="G7777" s="62"/>
      <c r="H7777" s="60"/>
    </row>
    <row r="7778" spans="1:8">
      <c r="A7778" s="60"/>
      <c r="B7778" s="77"/>
      <c r="C7778" s="60"/>
      <c r="D7778" s="81"/>
      <c r="E7778" s="62"/>
      <c r="F7778" s="60"/>
      <c r="G7778" s="62"/>
      <c r="H7778" s="60"/>
    </row>
    <row r="7779" spans="1:8">
      <c r="A7779" s="60"/>
      <c r="B7779" s="77"/>
      <c r="C7779" s="60"/>
      <c r="D7779" s="81"/>
      <c r="E7779" s="62"/>
      <c r="F7779" s="60"/>
      <c r="G7779" s="62"/>
      <c r="H7779" s="60"/>
    </row>
    <row r="7780" spans="1:8">
      <c r="A7780" s="60"/>
      <c r="B7780" s="77"/>
      <c r="C7780" s="60"/>
      <c r="D7780" s="81"/>
      <c r="E7780" s="62"/>
      <c r="F7780" s="60"/>
      <c r="G7780" s="62"/>
      <c r="H7780" s="60"/>
    </row>
    <row r="7781" spans="1:8">
      <c r="A7781" s="60"/>
      <c r="B7781" s="77"/>
      <c r="C7781" s="60"/>
      <c r="D7781" s="81"/>
      <c r="E7781" s="62"/>
      <c r="F7781" s="60"/>
      <c r="G7781" s="62"/>
      <c r="H7781" s="60"/>
    </row>
    <row r="7782" spans="1:8">
      <c r="A7782" s="60"/>
      <c r="B7782" s="77"/>
      <c r="C7782" s="60"/>
      <c r="D7782" s="81"/>
      <c r="E7782" s="62"/>
      <c r="F7782" s="60"/>
      <c r="G7782" s="62"/>
      <c r="H7782" s="60"/>
    </row>
    <row r="7783" spans="1:8">
      <c r="A7783" s="60"/>
      <c r="B7783" s="77"/>
      <c r="C7783" s="60"/>
      <c r="D7783" s="81"/>
      <c r="E7783" s="62"/>
      <c r="F7783" s="60"/>
      <c r="G7783" s="62"/>
      <c r="H7783" s="60"/>
    </row>
    <row r="7784" spans="1:8">
      <c r="A7784" s="60"/>
      <c r="B7784" s="77"/>
      <c r="C7784" s="60"/>
      <c r="D7784" s="81"/>
      <c r="E7784" s="62"/>
      <c r="F7784" s="60"/>
      <c r="G7784" s="62"/>
      <c r="H7784" s="60"/>
    </row>
    <row r="7785" spans="1:8">
      <c r="A7785" s="60"/>
      <c r="B7785" s="77"/>
      <c r="C7785" s="60"/>
      <c r="D7785" s="81"/>
      <c r="E7785" s="62"/>
      <c r="F7785" s="60"/>
      <c r="G7785" s="62"/>
      <c r="H7785" s="60"/>
    </row>
    <row r="7786" spans="1:8">
      <c r="A7786" s="60"/>
      <c r="B7786" s="77"/>
      <c r="C7786" s="60"/>
      <c r="D7786" s="81"/>
      <c r="E7786" s="62"/>
      <c r="F7786" s="60"/>
      <c r="G7786" s="62"/>
      <c r="H7786" s="60"/>
    </row>
    <row r="7787" spans="1:8">
      <c r="A7787" s="60"/>
      <c r="B7787" s="77"/>
      <c r="C7787" s="60"/>
      <c r="D7787" s="81"/>
      <c r="E7787" s="62"/>
      <c r="F7787" s="60"/>
      <c r="G7787" s="62"/>
      <c r="H7787" s="60"/>
    </row>
    <row r="7788" spans="1:8">
      <c r="A7788" s="60"/>
      <c r="B7788" s="77"/>
      <c r="C7788" s="60"/>
      <c r="D7788" s="81"/>
      <c r="E7788" s="62"/>
      <c r="F7788" s="60"/>
      <c r="G7788" s="62"/>
      <c r="H7788" s="60"/>
    </row>
    <row r="7789" spans="1:8">
      <c r="A7789" s="60"/>
      <c r="B7789" s="77"/>
      <c r="C7789" s="60"/>
      <c r="D7789" s="81"/>
      <c r="E7789" s="62"/>
      <c r="F7789" s="60"/>
      <c r="G7789" s="62"/>
      <c r="H7789" s="60"/>
    </row>
    <row r="7790" spans="1:8">
      <c r="A7790" s="60"/>
      <c r="B7790" s="77"/>
      <c r="C7790" s="60"/>
      <c r="D7790" s="81"/>
      <c r="E7790" s="62"/>
      <c r="F7790" s="60"/>
      <c r="G7790" s="62"/>
      <c r="H7790" s="60"/>
    </row>
    <row r="7791" spans="1:8">
      <c r="A7791" s="60"/>
      <c r="B7791" s="77"/>
      <c r="C7791" s="60"/>
      <c r="D7791" s="81"/>
      <c r="E7791" s="62"/>
      <c r="F7791" s="60"/>
      <c r="G7791" s="62"/>
      <c r="H7791" s="60"/>
    </row>
    <row r="7792" spans="1:8">
      <c r="A7792" s="60"/>
      <c r="B7792" s="77"/>
      <c r="C7792" s="60"/>
      <c r="D7792" s="81"/>
      <c r="E7792" s="62"/>
      <c r="F7792" s="60"/>
      <c r="G7792" s="62"/>
      <c r="H7792" s="60"/>
    </row>
    <row r="7793" spans="1:8">
      <c r="A7793" s="60"/>
      <c r="B7793" s="77"/>
      <c r="C7793" s="60"/>
      <c r="D7793" s="81"/>
      <c r="E7793" s="62"/>
      <c r="F7793" s="60"/>
      <c r="G7793" s="62"/>
      <c r="H7793" s="60"/>
    </row>
    <row r="7794" spans="1:8">
      <c r="A7794" s="60"/>
      <c r="B7794" s="77"/>
      <c r="C7794" s="60"/>
      <c r="D7794" s="81"/>
      <c r="E7794" s="62"/>
      <c r="F7794" s="60"/>
      <c r="G7794" s="62"/>
      <c r="H7794" s="60"/>
    </row>
    <row r="7795" spans="1:8">
      <c r="A7795" s="60"/>
      <c r="B7795" s="77"/>
      <c r="C7795" s="60"/>
      <c r="D7795" s="81"/>
      <c r="E7795" s="62"/>
      <c r="F7795" s="60"/>
      <c r="G7795" s="62"/>
      <c r="H7795" s="60"/>
    </row>
    <row r="7796" spans="1:8">
      <c r="A7796" s="60"/>
      <c r="B7796" s="77"/>
      <c r="C7796" s="60"/>
      <c r="D7796" s="81"/>
      <c r="E7796" s="62"/>
      <c r="F7796" s="60"/>
      <c r="G7796" s="62"/>
      <c r="H7796" s="60"/>
    </row>
    <row r="7797" spans="1:8">
      <c r="A7797" s="60"/>
      <c r="B7797" s="77"/>
      <c r="C7797" s="60"/>
      <c r="D7797" s="81"/>
      <c r="E7797" s="62"/>
      <c r="F7797" s="60"/>
      <c r="G7797" s="62"/>
      <c r="H7797" s="60"/>
    </row>
    <row r="7798" spans="1:8">
      <c r="A7798" s="60"/>
      <c r="B7798" s="77"/>
      <c r="C7798" s="60"/>
      <c r="D7798" s="81"/>
      <c r="E7798" s="62"/>
      <c r="F7798" s="60"/>
      <c r="G7798" s="62"/>
      <c r="H7798" s="60"/>
    </row>
    <row r="7799" spans="1:8">
      <c r="A7799" s="60"/>
      <c r="B7799" s="77"/>
      <c r="C7799" s="60"/>
      <c r="D7799" s="81"/>
      <c r="E7799" s="62"/>
      <c r="F7799" s="60"/>
      <c r="G7799" s="62"/>
      <c r="H7799" s="60"/>
    </row>
    <row r="7800" spans="1:8">
      <c r="A7800" s="60"/>
      <c r="B7800" s="77"/>
      <c r="C7800" s="60"/>
      <c r="D7800" s="81"/>
      <c r="E7800" s="62"/>
      <c r="F7800" s="60"/>
      <c r="G7800" s="62"/>
      <c r="H7800" s="60"/>
    </row>
    <row r="7801" spans="1:8">
      <c r="A7801" s="60"/>
      <c r="B7801" s="77"/>
      <c r="C7801" s="60"/>
      <c r="D7801" s="81"/>
      <c r="E7801" s="62"/>
      <c r="F7801" s="60"/>
      <c r="G7801" s="62"/>
      <c r="H7801" s="60"/>
    </row>
    <row r="7802" spans="1:8">
      <c r="A7802" s="60"/>
      <c r="B7802" s="77"/>
      <c r="C7802" s="60"/>
      <c r="D7802" s="81"/>
      <c r="E7802" s="62"/>
      <c r="F7802" s="60"/>
      <c r="G7802" s="62"/>
      <c r="H7802" s="60"/>
    </row>
    <row r="7803" spans="1:8">
      <c r="A7803" s="60"/>
      <c r="B7803" s="77"/>
      <c r="C7803" s="60"/>
      <c r="D7803" s="81"/>
      <c r="E7803" s="62"/>
      <c r="F7803" s="60"/>
      <c r="G7803" s="62"/>
      <c r="H7803" s="60"/>
    </row>
    <row r="7804" spans="1:8">
      <c r="A7804" s="60"/>
      <c r="B7804" s="77"/>
      <c r="C7804" s="60"/>
      <c r="D7804" s="81"/>
      <c r="E7804" s="62"/>
      <c r="F7804" s="60"/>
      <c r="G7804" s="62"/>
      <c r="H7804" s="60"/>
    </row>
    <row r="7805" spans="1:8">
      <c r="A7805" s="60"/>
      <c r="B7805" s="77"/>
      <c r="C7805" s="60"/>
      <c r="D7805" s="81"/>
      <c r="E7805" s="62"/>
      <c r="F7805" s="60"/>
      <c r="G7805" s="62"/>
      <c r="H7805" s="60"/>
    </row>
    <row r="7806" spans="1:8">
      <c r="A7806" s="60"/>
      <c r="B7806" s="77"/>
      <c r="C7806" s="60"/>
      <c r="D7806" s="81"/>
      <c r="E7806" s="62"/>
      <c r="F7806" s="60"/>
      <c r="G7806" s="62"/>
      <c r="H7806" s="60"/>
    </row>
    <row r="7807" spans="1:8">
      <c r="A7807" s="60"/>
      <c r="B7807" s="77"/>
      <c r="C7807" s="60"/>
      <c r="D7807" s="81"/>
      <c r="E7807" s="62"/>
      <c r="F7807" s="60"/>
      <c r="G7807" s="62"/>
      <c r="H7807" s="60"/>
    </row>
    <row r="7808" spans="1:8">
      <c r="A7808" s="60"/>
      <c r="B7808" s="77"/>
      <c r="C7808" s="60"/>
      <c r="D7808" s="81"/>
      <c r="E7808" s="62"/>
      <c r="F7808" s="60"/>
      <c r="G7808" s="62"/>
      <c r="H7808" s="60"/>
    </row>
    <row r="7809" spans="1:8">
      <c r="A7809" s="60"/>
      <c r="B7809" s="77"/>
      <c r="C7809" s="60"/>
      <c r="D7809" s="81"/>
      <c r="E7809" s="62"/>
      <c r="F7809" s="60"/>
      <c r="G7809" s="62"/>
      <c r="H7809" s="60"/>
    </row>
    <row r="7810" spans="1:8">
      <c r="A7810" s="60"/>
      <c r="B7810" s="77"/>
      <c r="C7810" s="60"/>
      <c r="D7810" s="81"/>
      <c r="E7810" s="62"/>
      <c r="F7810" s="60"/>
      <c r="G7810" s="62"/>
      <c r="H7810" s="60"/>
    </row>
    <row r="7811" spans="1:8">
      <c r="A7811" s="60"/>
      <c r="B7811" s="77"/>
      <c r="C7811" s="60"/>
      <c r="D7811" s="81"/>
      <c r="E7811" s="62"/>
      <c r="F7811" s="60"/>
      <c r="G7811" s="62"/>
      <c r="H7811" s="60"/>
    </row>
    <row r="7812" spans="1:8">
      <c r="A7812" s="60"/>
      <c r="B7812" s="77"/>
      <c r="C7812" s="60"/>
      <c r="D7812" s="81"/>
      <c r="E7812" s="62"/>
      <c r="F7812" s="60"/>
      <c r="G7812" s="62"/>
      <c r="H7812" s="60"/>
    </row>
    <row r="7813" spans="1:8">
      <c r="A7813" s="60"/>
      <c r="B7813" s="77"/>
      <c r="C7813" s="60"/>
      <c r="D7813" s="81"/>
      <c r="E7813" s="62"/>
      <c r="F7813" s="60"/>
      <c r="G7813" s="62"/>
      <c r="H7813" s="60"/>
    </row>
    <row r="7814" spans="1:8">
      <c r="A7814" s="60"/>
      <c r="B7814" s="77"/>
      <c r="C7814" s="60"/>
      <c r="D7814" s="81"/>
      <c r="E7814" s="62"/>
      <c r="F7814" s="60"/>
      <c r="G7814" s="62"/>
      <c r="H7814" s="60"/>
    </row>
    <row r="7815" spans="1:8">
      <c r="A7815" s="60"/>
      <c r="B7815" s="77"/>
      <c r="C7815" s="60"/>
      <c r="D7815" s="81"/>
      <c r="E7815" s="62"/>
      <c r="F7815" s="60"/>
      <c r="G7815" s="62"/>
      <c r="H7815" s="60"/>
    </row>
    <row r="7816" spans="1:8">
      <c r="A7816" s="60"/>
      <c r="B7816" s="77"/>
      <c r="C7816" s="60"/>
      <c r="D7816" s="81"/>
      <c r="E7816" s="62"/>
      <c r="F7816" s="60"/>
      <c r="G7816" s="62"/>
      <c r="H7816" s="60"/>
    </row>
    <row r="7817" spans="1:8">
      <c r="A7817" s="60"/>
      <c r="B7817" s="77"/>
      <c r="C7817" s="60"/>
      <c r="D7817" s="81"/>
      <c r="E7817" s="62"/>
      <c r="F7817" s="60"/>
      <c r="G7817" s="62"/>
      <c r="H7817" s="60"/>
    </row>
    <row r="7818" spans="1:8">
      <c r="A7818" s="60"/>
      <c r="B7818" s="77"/>
      <c r="C7818" s="60"/>
      <c r="D7818" s="81"/>
      <c r="E7818" s="62"/>
      <c r="F7818" s="60"/>
      <c r="G7818" s="62"/>
      <c r="H7818" s="60"/>
    </row>
    <row r="7819" spans="1:8">
      <c r="A7819" s="60"/>
      <c r="B7819" s="77"/>
      <c r="C7819" s="60"/>
      <c r="D7819" s="81"/>
      <c r="E7819" s="62"/>
      <c r="F7819" s="60"/>
      <c r="G7819" s="62"/>
      <c r="H7819" s="60"/>
    </row>
    <row r="7820" spans="1:8">
      <c r="A7820" s="60"/>
      <c r="B7820" s="77"/>
      <c r="C7820" s="60"/>
      <c r="D7820" s="81"/>
      <c r="E7820" s="62"/>
      <c r="F7820" s="60"/>
      <c r="G7820" s="62"/>
      <c r="H7820" s="60"/>
    </row>
    <row r="7821" spans="1:8">
      <c r="A7821" s="60"/>
      <c r="B7821" s="77"/>
      <c r="C7821" s="60"/>
      <c r="D7821" s="81"/>
      <c r="E7821" s="62"/>
      <c r="F7821" s="60"/>
      <c r="G7821" s="62"/>
      <c r="H7821" s="60"/>
    </row>
    <row r="7822" spans="1:8">
      <c r="A7822" s="60"/>
      <c r="B7822" s="77"/>
      <c r="C7822" s="60"/>
      <c r="D7822" s="81"/>
      <c r="E7822" s="62"/>
      <c r="F7822" s="60"/>
      <c r="G7822" s="62"/>
      <c r="H7822" s="60"/>
    </row>
    <row r="7823" spans="1:8">
      <c r="A7823" s="60"/>
      <c r="B7823" s="77"/>
      <c r="C7823" s="60"/>
      <c r="D7823" s="81"/>
      <c r="E7823" s="62"/>
      <c r="F7823" s="60"/>
      <c r="G7823" s="62"/>
      <c r="H7823" s="60"/>
    </row>
    <row r="7824" spans="1:8">
      <c r="A7824" s="60"/>
      <c r="B7824" s="77"/>
      <c r="C7824" s="60"/>
      <c r="D7824" s="81"/>
      <c r="E7824" s="62"/>
      <c r="F7824" s="60"/>
      <c r="G7824" s="62"/>
      <c r="H7824" s="60"/>
    </row>
    <row r="7825" spans="1:8">
      <c r="A7825" s="60"/>
      <c r="B7825" s="77"/>
      <c r="C7825" s="60"/>
      <c r="D7825" s="81"/>
      <c r="E7825" s="62"/>
      <c r="F7825" s="60"/>
      <c r="G7825" s="62"/>
      <c r="H7825" s="60"/>
    </row>
    <row r="7826" spans="1:8">
      <c r="A7826" s="60"/>
      <c r="B7826" s="77"/>
      <c r="C7826" s="60"/>
      <c r="D7826" s="81"/>
      <c r="E7826" s="62"/>
      <c r="F7826" s="60"/>
      <c r="G7826" s="62"/>
      <c r="H7826" s="60"/>
    </row>
    <row r="7827" spans="1:8">
      <c r="A7827" s="60"/>
      <c r="B7827" s="77"/>
      <c r="C7827" s="60"/>
      <c r="D7827" s="81"/>
      <c r="E7827" s="62"/>
      <c r="F7827" s="60"/>
      <c r="G7827" s="62"/>
      <c r="H7827" s="60"/>
    </row>
    <row r="7828" spans="1:8">
      <c r="A7828" s="60"/>
      <c r="B7828" s="77"/>
      <c r="C7828" s="60"/>
      <c r="D7828" s="81"/>
      <c r="E7828" s="62"/>
      <c r="F7828" s="60"/>
      <c r="G7828" s="62"/>
      <c r="H7828" s="60"/>
    </row>
    <row r="7829" spans="1:8">
      <c r="A7829" s="60"/>
      <c r="B7829" s="77"/>
      <c r="C7829" s="60"/>
      <c r="D7829" s="81"/>
      <c r="E7829" s="62"/>
      <c r="F7829" s="60"/>
      <c r="G7829" s="62"/>
      <c r="H7829" s="60"/>
    </row>
    <row r="7830" spans="1:8">
      <c r="A7830" s="60"/>
      <c r="B7830" s="77"/>
      <c r="C7830" s="60"/>
      <c r="D7830" s="81"/>
      <c r="E7830" s="62"/>
      <c r="F7830" s="60"/>
      <c r="G7830" s="62"/>
      <c r="H7830" s="60"/>
    </row>
    <row r="7831" spans="1:8">
      <c r="A7831" s="60"/>
      <c r="B7831" s="77"/>
      <c r="C7831" s="60"/>
      <c r="D7831" s="81"/>
      <c r="E7831" s="62"/>
      <c r="F7831" s="60"/>
      <c r="G7831" s="62"/>
      <c r="H7831" s="60"/>
    </row>
    <row r="7832" spans="1:8">
      <c r="A7832" s="60"/>
      <c r="B7832" s="77"/>
      <c r="C7832" s="60"/>
      <c r="D7832" s="81"/>
      <c r="E7832" s="62"/>
      <c r="F7832" s="60"/>
      <c r="G7832" s="62"/>
      <c r="H7832" s="60"/>
    </row>
    <row r="7833" spans="1:8">
      <c r="A7833" s="60"/>
      <c r="B7833" s="77"/>
      <c r="C7833" s="60"/>
      <c r="D7833" s="81"/>
      <c r="E7833" s="62"/>
      <c r="F7833" s="60"/>
      <c r="G7833" s="62"/>
      <c r="H7833" s="60"/>
    </row>
    <row r="7834" spans="1:8">
      <c r="A7834" s="60"/>
      <c r="B7834" s="77"/>
      <c r="C7834" s="60"/>
      <c r="D7834" s="81"/>
      <c r="E7834" s="62"/>
      <c r="F7834" s="60"/>
      <c r="G7834" s="62"/>
      <c r="H7834" s="60"/>
    </row>
    <row r="7835" spans="1:8">
      <c r="A7835" s="60"/>
      <c r="B7835" s="77"/>
      <c r="C7835" s="60"/>
      <c r="D7835" s="81"/>
      <c r="E7835" s="62"/>
      <c r="F7835" s="60"/>
      <c r="G7835" s="62"/>
      <c r="H7835" s="60"/>
    </row>
    <row r="7836" spans="1:8">
      <c r="A7836" s="60"/>
      <c r="B7836" s="77"/>
      <c r="C7836" s="60"/>
      <c r="D7836" s="81"/>
      <c r="E7836" s="62"/>
      <c r="F7836" s="60"/>
      <c r="G7836" s="62"/>
      <c r="H7836" s="60"/>
    </row>
    <row r="7837" spans="1:8">
      <c r="A7837" s="60"/>
      <c r="B7837" s="77"/>
      <c r="C7837" s="60"/>
      <c r="D7837" s="81"/>
      <c r="E7837" s="62"/>
      <c r="F7837" s="60"/>
      <c r="G7837" s="62"/>
      <c r="H7837" s="60"/>
    </row>
    <row r="7838" spans="1:8">
      <c r="A7838" s="60"/>
      <c r="B7838" s="77"/>
      <c r="C7838" s="60"/>
      <c r="D7838" s="81"/>
      <c r="E7838" s="62"/>
      <c r="F7838" s="60"/>
      <c r="G7838" s="62"/>
      <c r="H7838" s="60"/>
    </row>
    <row r="7839" spans="1:8">
      <c r="A7839" s="60"/>
      <c r="B7839" s="77"/>
      <c r="C7839" s="60"/>
      <c r="D7839" s="81"/>
      <c r="E7839" s="62"/>
      <c r="F7839" s="60"/>
      <c r="G7839" s="62"/>
      <c r="H7839" s="60"/>
    </row>
    <row r="7840" spans="1:8">
      <c r="A7840" s="60"/>
      <c r="B7840" s="77"/>
      <c r="C7840" s="60"/>
      <c r="D7840" s="81"/>
      <c r="E7840" s="62"/>
      <c r="F7840" s="60"/>
      <c r="G7840" s="62"/>
      <c r="H7840" s="60"/>
    </row>
    <row r="7841" spans="1:8">
      <c r="A7841" s="60"/>
      <c r="B7841" s="77"/>
      <c r="C7841" s="60"/>
      <c r="D7841" s="81"/>
      <c r="E7841" s="62"/>
      <c r="F7841" s="60"/>
      <c r="G7841" s="62"/>
      <c r="H7841" s="60"/>
    </row>
    <row r="7842" spans="1:8">
      <c r="A7842" s="60"/>
      <c r="B7842" s="77"/>
      <c r="C7842" s="60"/>
      <c r="D7842" s="81"/>
      <c r="E7842" s="62"/>
      <c r="F7842" s="60"/>
      <c r="G7842" s="62"/>
      <c r="H7842" s="60"/>
    </row>
    <row r="7843" spans="1:8">
      <c r="A7843" s="60"/>
      <c r="B7843" s="77"/>
      <c r="C7843" s="60"/>
      <c r="D7843" s="81"/>
      <c r="E7843" s="62"/>
      <c r="F7843" s="60"/>
      <c r="G7843" s="62"/>
      <c r="H7843" s="60"/>
    </row>
    <row r="7844" spans="1:8">
      <c r="A7844" s="60"/>
      <c r="B7844" s="77"/>
      <c r="C7844" s="60"/>
      <c r="D7844" s="81"/>
      <c r="E7844" s="62"/>
      <c r="F7844" s="60"/>
      <c r="G7844" s="62"/>
      <c r="H7844" s="60"/>
    </row>
    <row r="7845" spans="1:8">
      <c r="A7845" s="60"/>
      <c r="B7845" s="77"/>
      <c r="C7845" s="60"/>
      <c r="D7845" s="81"/>
      <c r="E7845" s="62"/>
      <c r="F7845" s="60"/>
      <c r="G7845" s="62"/>
      <c r="H7845" s="60"/>
    </row>
    <row r="7846" spans="1:8">
      <c r="A7846" s="60"/>
      <c r="B7846" s="77"/>
      <c r="C7846" s="60"/>
      <c r="D7846" s="81"/>
      <c r="E7846" s="62"/>
      <c r="F7846" s="60"/>
      <c r="G7846" s="62"/>
      <c r="H7846" s="60"/>
    </row>
    <row r="7847" spans="1:8">
      <c r="A7847" s="60"/>
      <c r="B7847" s="77"/>
      <c r="C7847" s="60"/>
      <c r="D7847" s="81"/>
      <c r="E7847" s="62"/>
      <c r="F7847" s="60"/>
      <c r="G7847" s="62"/>
      <c r="H7847" s="60"/>
    </row>
    <row r="7848" spans="1:8">
      <c r="A7848" s="60"/>
      <c r="B7848" s="77"/>
      <c r="C7848" s="60"/>
      <c r="D7848" s="81"/>
      <c r="E7848" s="62"/>
      <c r="F7848" s="60"/>
      <c r="G7848" s="62"/>
      <c r="H7848" s="60"/>
    </row>
    <row r="7849" spans="1:8">
      <c r="A7849" s="60"/>
      <c r="B7849" s="77"/>
      <c r="C7849" s="60"/>
      <c r="D7849" s="81"/>
      <c r="E7849" s="62"/>
      <c r="F7849" s="60"/>
      <c r="G7849" s="62"/>
      <c r="H7849" s="60"/>
    </row>
    <row r="7850" spans="1:8">
      <c r="A7850" s="60"/>
      <c r="B7850" s="77"/>
      <c r="C7850" s="60"/>
      <c r="D7850" s="81"/>
      <c r="E7850" s="62"/>
      <c r="F7850" s="60"/>
      <c r="G7850" s="62"/>
      <c r="H7850" s="60"/>
    </row>
    <row r="7851" spans="1:8">
      <c r="A7851" s="60"/>
      <c r="B7851" s="77"/>
      <c r="C7851" s="60"/>
      <c r="D7851" s="81"/>
      <c r="E7851" s="62"/>
      <c r="F7851" s="60"/>
      <c r="G7851" s="62"/>
      <c r="H7851" s="60"/>
    </row>
    <row r="7852" spans="1:8">
      <c r="A7852" s="60"/>
      <c r="B7852" s="77"/>
      <c r="C7852" s="60"/>
      <c r="D7852" s="81"/>
      <c r="E7852" s="62"/>
      <c r="F7852" s="60"/>
      <c r="G7852" s="62"/>
      <c r="H7852" s="60"/>
    </row>
    <row r="7853" spans="1:8">
      <c r="A7853" s="60"/>
      <c r="B7853" s="77"/>
      <c r="C7853" s="60"/>
      <c r="D7853" s="81"/>
      <c r="E7853" s="62"/>
      <c r="F7853" s="60"/>
      <c r="G7853" s="62"/>
      <c r="H7853" s="60"/>
    </row>
    <row r="7854" spans="1:8">
      <c r="A7854" s="60"/>
      <c r="B7854" s="77"/>
      <c r="C7854" s="60"/>
      <c r="D7854" s="81"/>
      <c r="E7854" s="62"/>
      <c r="F7854" s="60"/>
      <c r="G7854" s="62"/>
      <c r="H7854" s="60"/>
    </row>
    <row r="7855" spans="1:8">
      <c r="A7855" s="60"/>
      <c r="B7855" s="77"/>
      <c r="C7855" s="60"/>
      <c r="D7855" s="81"/>
      <c r="E7855" s="62"/>
      <c r="F7855" s="60"/>
      <c r="G7855" s="62"/>
      <c r="H7855" s="60"/>
    </row>
    <row r="7856" spans="1:8">
      <c r="A7856" s="60"/>
      <c r="B7856" s="77"/>
      <c r="C7856" s="60"/>
      <c r="D7856" s="81"/>
      <c r="E7856" s="62"/>
      <c r="F7856" s="60"/>
      <c r="G7856" s="62"/>
      <c r="H7856" s="60"/>
    </row>
    <row r="7857" spans="1:8">
      <c r="A7857" s="60"/>
      <c r="B7857" s="77"/>
      <c r="C7857" s="60"/>
      <c r="D7857" s="81"/>
      <c r="E7857" s="62"/>
      <c r="F7857" s="60"/>
      <c r="G7857" s="62"/>
      <c r="H7857" s="60"/>
    </row>
    <row r="7858" spans="1:8">
      <c r="A7858" s="60"/>
      <c r="B7858" s="77"/>
      <c r="C7858" s="60"/>
      <c r="D7858" s="81"/>
      <c r="E7858" s="62"/>
      <c r="F7858" s="60"/>
      <c r="G7858" s="62"/>
      <c r="H7858" s="60"/>
    </row>
    <row r="7859" spans="1:8">
      <c r="A7859" s="60"/>
      <c r="B7859" s="77"/>
      <c r="C7859" s="60"/>
      <c r="D7859" s="81"/>
      <c r="E7859" s="62"/>
      <c r="F7859" s="60"/>
      <c r="G7859" s="62"/>
      <c r="H7859" s="60"/>
    </row>
    <row r="7860" spans="1:8">
      <c r="A7860" s="60"/>
      <c r="B7860" s="77"/>
      <c r="C7860" s="60"/>
      <c r="D7860" s="81"/>
      <c r="E7860" s="62"/>
      <c r="F7860" s="60"/>
      <c r="G7860" s="62"/>
      <c r="H7860" s="60"/>
    </row>
    <row r="7861" spans="1:8">
      <c r="A7861" s="60"/>
      <c r="B7861" s="77"/>
      <c r="C7861" s="60"/>
      <c r="D7861" s="81"/>
      <c r="E7861" s="62"/>
      <c r="F7861" s="60"/>
      <c r="G7861" s="62"/>
      <c r="H7861" s="60"/>
    </row>
    <row r="7862" spans="1:8">
      <c r="A7862" s="60"/>
      <c r="B7862" s="77"/>
      <c r="C7862" s="60"/>
      <c r="D7862" s="81"/>
      <c r="E7862" s="62"/>
      <c r="F7862" s="60"/>
      <c r="G7862" s="62"/>
      <c r="H7862" s="60"/>
    </row>
    <row r="7863" spans="1:8">
      <c r="A7863" s="60"/>
      <c r="B7863" s="77"/>
      <c r="C7863" s="60"/>
      <c r="D7863" s="81"/>
      <c r="E7863" s="62"/>
      <c r="F7863" s="60"/>
      <c r="G7863" s="62"/>
      <c r="H7863" s="60"/>
    </row>
    <row r="7864" spans="1:8">
      <c r="A7864" s="60"/>
      <c r="B7864" s="77"/>
      <c r="C7864" s="60"/>
      <c r="D7864" s="81"/>
      <c r="E7864" s="62"/>
      <c r="F7864" s="60"/>
      <c r="G7864" s="62"/>
      <c r="H7864" s="60"/>
    </row>
    <row r="7865" spans="1:8">
      <c r="A7865" s="60"/>
      <c r="B7865" s="77"/>
      <c r="C7865" s="60"/>
      <c r="D7865" s="81"/>
      <c r="E7865" s="62"/>
      <c r="F7865" s="60"/>
      <c r="G7865" s="62"/>
      <c r="H7865" s="60"/>
    </row>
    <row r="7866" spans="1:8">
      <c r="A7866" s="60"/>
      <c r="B7866" s="77"/>
      <c r="C7866" s="60"/>
      <c r="D7866" s="81"/>
      <c r="E7866" s="62"/>
      <c r="F7866" s="60"/>
      <c r="G7866" s="62"/>
      <c r="H7866" s="60"/>
    </row>
    <row r="7867" spans="1:8">
      <c r="A7867" s="60"/>
      <c r="B7867" s="77"/>
      <c r="C7867" s="60"/>
      <c r="D7867" s="81"/>
      <c r="E7867" s="62"/>
      <c r="F7867" s="60"/>
      <c r="G7867" s="62"/>
      <c r="H7867" s="60"/>
    </row>
    <row r="7868" spans="1:8">
      <c r="A7868" s="60"/>
      <c r="B7868" s="77"/>
      <c r="C7868" s="60"/>
      <c r="D7868" s="81"/>
      <c r="E7868" s="62"/>
      <c r="F7868" s="60"/>
      <c r="G7868" s="62"/>
      <c r="H7868" s="60"/>
    </row>
    <row r="7869" spans="1:8">
      <c r="A7869" s="60"/>
      <c r="B7869" s="77"/>
      <c r="C7869" s="60"/>
      <c r="D7869" s="81"/>
      <c r="E7869" s="62"/>
      <c r="F7869" s="60"/>
      <c r="G7869" s="62"/>
      <c r="H7869" s="60"/>
    </row>
    <row r="7870" spans="1:8">
      <c r="A7870" s="60"/>
      <c r="B7870" s="77"/>
      <c r="C7870" s="60"/>
      <c r="D7870" s="81"/>
      <c r="E7870" s="62"/>
      <c r="F7870" s="60"/>
      <c r="G7870" s="62"/>
      <c r="H7870" s="60"/>
    </row>
    <row r="7871" spans="1:8">
      <c r="A7871" s="60"/>
      <c r="B7871" s="77"/>
      <c r="C7871" s="60"/>
      <c r="D7871" s="81"/>
      <c r="E7871" s="62"/>
      <c r="F7871" s="60"/>
      <c r="G7871" s="62"/>
      <c r="H7871" s="60"/>
    </row>
    <row r="7872" spans="1:8">
      <c r="A7872" s="60"/>
      <c r="B7872" s="77"/>
      <c r="C7872" s="60"/>
      <c r="D7872" s="81"/>
      <c r="E7872" s="62"/>
      <c r="F7872" s="60"/>
      <c r="G7872" s="62"/>
      <c r="H7872" s="60"/>
    </row>
    <row r="7873" spans="1:8">
      <c r="A7873" s="60"/>
      <c r="B7873" s="77"/>
      <c r="C7873" s="60"/>
      <c r="D7873" s="81"/>
      <c r="E7873" s="62"/>
      <c r="F7873" s="60"/>
      <c r="G7873" s="62"/>
      <c r="H7873" s="60"/>
    </row>
    <row r="7874" spans="1:8">
      <c r="A7874" s="60"/>
      <c r="B7874" s="77"/>
      <c r="C7874" s="60"/>
      <c r="D7874" s="81"/>
      <c r="E7874" s="62"/>
      <c r="F7874" s="60"/>
      <c r="G7874" s="62"/>
      <c r="H7874" s="60"/>
    </row>
    <row r="7875" spans="1:8">
      <c r="A7875" s="60"/>
      <c r="B7875" s="77"/>
      <c r="C7875" s="60"/>
      <c r="D7875" s="81"/>
      <c r="E7875" s="62"/>
      <c r="F7875" s="60"/>
      <c r="G7875" s="62"/>
      <c r="H7875" s="60"/>
    </row>
    <row r="7876" spans="1:8">
      <c r="A7876" s="60"/>
      <c r="B7876" s="77"/>
      <c r="C7876" s="60"/>
      <c r="D7876" s="81"/>
      <c r="E7876" s="62"/>
      <c r="F7876" s="60"/>
      <c r="G7876" s="62"/>
      <c r="H7876" s="60"/>
    </row>
    <row r="7877" spans="1:8">
      <c r="A7877" s="60"/>
      <c r="B7877" s="77"/>
      <c r="C7877" s="60"/>
      <c r="D7877" s="81"/>
      <c r="E7877" s="62"/>
      <c r="F7877" s="60"/>
      <c r="G7877" s="62"/>
      <c r="H7877" s="60"/>
    </row>
    <row r="7878" spans="1:8">
      <c r="A7878" s="60"/>
      <c r="B7878" s="77"/>
      <c r="C7878" s="60"/>
      <c r="D7878" s="81"/>
      <c r="E7878" s="62"/>
      <c r="F7878" s="60"/>
      <c r="G7878" s="62"/>
      <c r="H7878" s="60"/>
    </row>
    <row r="7879" spans="1:8">
      <c r="A7879" s="60"/>
      <c r="B7879" s="77"/>
      <c r="C7879" s="60"/>
      <c r="D7879" s="81"/>
      <c r="E7879" s="62"/>
      <c r="F7879" s="60"/>
      <c r="G7879" s="62"/>
      <c r="H7879" s="60"/>
    </row>
    <row r="7880" spans="1:8">
      <c r="A7880" s="60"/>
      <c r="B7880" s="77"/>
      <c r="C7880" s="60"/>
      <c r="D7880" s="81"/>
      <c r="E7880" s="62"/>
      <c r="F7880" s="60"/>
      <c r="G7880" s="62"/>
      <c r="H7880" s="60"/>
    </row>
    <row r="7881" spans="1:8">
      <c r="A7881" s="60"/>
      <c r="B7881" s="77"/>
      <c r="C7881" s="60"/>
      <c r="D7881" s="81"/>
      <c r="E7881" s="62"/>
      <c r="F7881" s="60"/>
      <c r="G7881" s="62"/>
      <c r="H7881" s="60"/>
    </row>
    <row r="7882" spans="1:8">
      <c r="A7882" s="60"/>
      <c r="B7882" s="77"/>
      <c r="C7882" s="60"/>
      <c r="D7882" s="81"/>
      <c r="E7882" s="62"/>
      <c r="F7882" s="60"/>
      <c r="G7882" s="62"/>
      <c r="H7882" s="60"/>
    </row>
    <row r="7883" spans="1:8">
      <c r="A7883" s="60"/>
      <c r="B7883" s="77"/>
      <c r="C7883" s="60"/>
      <c r="D7883" s="81"/>
      <c r="E7883" s="62"/>
      <c r="F7883" s="60"/>
      <c r="G7883" s="62"/>
      <c r="H7883" s="60"/>
    </row>
    <row r="7884" spans="1:8">
      <c r="A7884" s="60"/>
      <c r="B7884" s="77"/>
      <c r="C7884" s="60"/>
      <c r="D7884" s="81"/>
      <c r="E7884" s="62"/>
      <c r="F7884" s="60"/>
      <c r="G7884" s="62"/>
      <c r="H7884" s="60"/>
    </row>
    <row r="7885" spans="1:8">
      <c r="A7885" s="60"/>
      <c r="B7885" s="77"/>
      <c r="C7885" s="60"/>
      <c r="D7885" s="81"/>
      <c r="E7885" s="62"/>
      <c r="F7885" s="60"/>
      <c r="G7885" s="62"/>
      <c r="H7885" s="60"/>
    </row>
    <row r="7886" spans="1:8">
      <c r="A7886" s="60"/>
      <c r="B7886" s="77"/>
      <c r="C7886" s="60"/>
      <c r="D7886" s="81"/>
      <c r="E7886" s="62"/>
      <c r="F7886" s="60"/>
      <c r="G7886" s="62"/>
      <c r="H7886" s="60"/>
    </row>
    <row r="7887" spans="1:8">
      <c r="A7887" s="60"/>
      <c r="B7887" s="77"/>
      <c r="C7887" s="60"/>
      <c r="D7887" s="81"/>
      <c r="E7887" s="62"/>
      <c r="F7887" s="60"/>
      <c r="G7887" s="62"/>
      <c r="H7887" s="60"/>
    </row>
    <row r="7888" spans="1:8">
      <c r="A7888" s="60"/>
      <c r="B7888" s="77"/>
      <c r="C7888" s="60"/>
      <c r="D7888" s="81"/>
      <c r="E7888" s="62"/>
      <c r="F7888" s="60"/>
      <c r="G7888" s="62"/>
      <c r="H7888" s="60"/>
    </row>
    <row r="7889" spans="1:8">
      <c r="A7889" s="60"/>
      <c r="B7889" s="77"/>
      <c r="C7889" s="60"/>
      <c r="D7889" s="81"/>
      <c r="E7889" s="62"/>
      <c r="F7889" s="60"/>
      <c r="G7889" s="62"/>
      <c r="H7889" s="60"/>
    </row>
    <row r="7890" spans="1:8">
      <c r="A7890" s="60"/>
      <c r="B7890" s="77"/>
      <c r="C7890" s="60"/>
      <c r="D7890" s="81"/>
      <c r="E7890" s="62"/>
      <c r="F7890" s="60"/>
      <c r="G7890" s="62"/>
      <c r="H7890" s="60"/>
    </row>
    <row r="7891" spans="1:8">
      <c r="A7891" s="60"/>
      <c r="B7891" s="77"/>
      <c r="C7891" s="60"/>
      <c r="D7891" s="81"/>
      <c r="E7891" s="62"/>
      <c r="F7891" s="60"/>
      <c r="G7891" s="62"/>
      <c r="H7891" s="60"/>
    </row>
    <row r="7892" spans="1:8">
      <c r="A7892" s="60"/>
      <c r="B7892" s="77"/>
      <c r="C7892" s="60"/>
      <c r="D7892" s="81"/>
      <c r="E7892" s="62"/>
      <c r="F7892" s="60"/>
      <c r="G7892" s="62"/>
      <c r="H7892" s="60"/>
    </row>
    <row r="7893" spans="1:8">
      <c r="A7893" s="60"/>
      <c r="B7893" s="77"/>
      <c r="C7893" s="60"/>
      <c r="D7893" s="81"/>
      <c r="E7893" s="62"/>
      <c r="F7893" s="60"/>
      <c r="G7893" s="62"/>
      <c r="H7893" s="60"/>
    </row>
    <row r="7894" spans="1:8">
      <c r="A7894" s="60"/>
      <c r="B7894" s="77"/>
      <c r="C7894" s="60"/>
      <c r="D7894" s="81"/>
      <c r="E7894" s="62"/>
      <c r="F7894" s="60"/>
      <c r="G7894" s="62"/>
      <c r="H7894" s="60"/>
    </row>
    <row r="7895" spans="1:8">
      <c r="A7895" s="60"/>
      <c r="B7895" s="77"/>
      <c r="C7895" s="60"/>
      <c r="D7895" s="81"/>
      <c r="E7895" s="62"/>
      <c r="F7895" s="60"/>
      <c r="G7895" s="62"/>
      <c r="H7895" s="60"/>
    </row>
    <row r="7896" spans="1:8">
      <c r="A7896" s="60"/>
      <c r="B7896" s="77"/>
      <c r="C7896" s="60"/>
      <c r="D7896" s="81"/>
      <c r="E7896" s="62"/>
      <c r="F7896" s="60"/>
      <c r="G7896" s="62"/>
      <c r="H7896" s="60"/>
    </row>
    <row r="7897" spans="1:8">
      <c r="A7897" s="60"/>
      <c r="B7897" s="77"/>
      <c r="C7897" s="60"/>
      <c r="D7897" s="81"/>
      <c r="E7897" s="62"/>
      <c r="F7897" s="60"/>
      <c r="G7897" s="62"/>
      <c r="H7897" s="60"/>
    </row>
    <row r="7898" spans="1:8">
      <c r="A7898" s="60"/>
      <c r="B7898" s="77"/>
      <c r="C7898" s="60"/>
      <c r="D7898" s="81"/>
      <c r="E7898" s="62"/>
      <c r="F7898" s="60"/>
      <c r="G7898" s="62"/>
      <c r="H7898" s="60"/>
    </row>
    <row r="7899" spans="1:8">
      <c r="A7899" s="60"/>
      <c r="B7899" s="77"/>
      <c r="C7899" s="60"/>
      <c r="D7899" s="81"/>
      <c r="E7899" s="62"/>
      <c r="F7899" s="60"/>
      <c r="G7899" s="62"/>
      <c r="H7899" s="60"/>
    </row>
    <row r="7900" spans="1:8">
      <c r="A7900" s="60"/>
      <c r="B7900" s="77"/>
      <c r="C7900" s="60"/>
      <c r="D7900" s="81"/>
      <c r="E7900" s="62"/>
      <c r="F7900" s="60"/>
      <c r="G7900" s="62"/>
      <c r="H7900" s="60"/>
    </row>
    <row r="7901" spans="1:8">
      <c r="A7901" s="60"/>
      <c r="B7901" s="77"/>
      <c r="C7901" s="60"/>
      <c r="D7901" s="81"/>
      <c r="E7901" s="62"/>
      <c r="F7901" s="60"/>
      <c r="G7901" s="62"/>
      <c r="H7901" s="60"/>
    </row>
    <row r="7902" spans="1:8">
      <c r="A7902" s="60"/>
      <c r="B7902" s="77"/>
      <c r="C7902" s="60"/>
      <c r="D7902" s="81"/>
      <c r="E7902" s="62"/>
      <c r="F7902" s="60"/>
      <c r="G7902" s="62"/>
      <c r="H7902" s="60"/>
    </row>
    <row r="7903" spans="1:8">
      <c r="A7903" s="60"/>
      <c r="B7903" s="77"/>
      <c r="C7903" s="60"/>
      <c r="D7903" s="81"/>
      <c r="E7903" s="62"/>
      <c r="F7903" s="60"/>
      <c r="G7903" s="62"/>
      <c r="H7903" s="60"/>
    </row>
    <row r="7904" spans="1:8">
      <c r="A7904" s="60"/>
      <c r="B7904" s="77"/>
      <c r="C7904" s="60"/>
      <c r="D7904" s="81"/>
      <c r="E7904" s="62"/>
      <c r="F7904" s="60"/>
      <c r="G7904" s="62"/>
      <c r="H7904" s="60"/>
    </row>
    <row r="7905" spans="1:8">
      <c r="A7905" s="60"/>
      <c r="B7905" s="77"/>
      <c r="C7905" s="60"/>
      <c r="D7905" s="81"/>
      <c r="E7905" s="62"/>
      <c r="F7905" s="60"/>
      <c r="G7905" s="62"/>
      <c r="H7905" s="60"/>
    </row>
    <row r="7906" spans="1:8">
      <c r="A7906" s="60"/>
      <c r="B7906" s="77"/>
      <c r="C7906" s="60"/>
      <c r="D7906" s="81"/>
      <c r="E7906" s="62"/>
      <c r="F7906" s="60"/>
      <c r="G7906" s="62"/>
      <c r="H7906" s="60"/>
    </row>
    <row r="7907" spans="1:8">
      <c r="A7907" s="60"/>
      <c r="B7907" s="77"/>
      <c r="C7907" s="60"/>
      <c r="D7907" s="81"/>
      <c r="E7907" s="62"/>
      <c r="F7907" s="60"/>
      <c r="G7907" s="62"/>
      <c r="H7907" s="60"/>
    </row>
    <row r="7908" spans="1:8">
      <c r="A7908" s="60"/>
      <c r="B7908" s="77"/>
      <c r="C7908" s="60"/>
      <c r="D7908" s="81"/>
      <c r="E7908" s="62"/>
      <c r="F7908" s="60"/>
      <c r="G7908" s="62"/>
      <c r="H7908" s="60"/>
    </row>
    <row r="7909" spans="1:8">
      <c r="A7909" s="60"/>
      <c r="B7909" s="77"/>
      <c r="C7909" s="60"/>
      <c r="D7909" s="81"/>
      <c r="E7909" s="62"/>
      <c r="F7909" s="60"/>
      <c r="G7909" s="62"/>
      <c r="H7909" s="60"/>
    </row>
    <row r="7910" spans="1:8">
      <c r="A7910" s="60"/>
      <c r="B7910" s="77"/>
      <c r="C7910" s="60"/>
      <c r="D7910" s="81"/>
      <c r="E7910" s="62"/>
      <c r="F7910" s="60"/>
      <c r="G7910" s="62"/>
      <c r="H7910" s="60"/>
    </row>
    <row r="7911" spans="1:8">
      <c r="A7911" s="60"/>
      <c r="B7911" s="77"/>
      <c r="C7911" s="60"/>
      <c r="D7911" s="81"/>
      <c r="E7911" s="62"/>
      <c r="F7911" s="60"/>
      <c r="G7911" s="62"/>
      <c r="H7911" s="60"/>
    </row>
    <row r="7912" spans="1:8">
      <c r="A7912" s="60"/>
      <c r="B7912" s="77"/>
      <c r="C7912" s="60"/>
      <c r="D7912" s="81"/>
      <c r="E7912" s="62"/>
      <c r="F7912" s="60"/>
      <c r="G7912" s="62"/>
      <c r="H7912" s="60"/>
    </row>
    <row r="7913" spans="1:8">
      <c r="A7913" s="60"/>
      <c r="B7913" s="77"/>
      <c r="C7913" s="60"/>
      <c r="D7913" s="81"/>
      <c r="E7913" s="62"/>
      <c r="F7913" s="60"/>
      <c r="G7913" s="62"/>
      <c r="H7913" s="60"/>
    </row>
    <row r="7914" spans="1:8">
      <c r="A7914" s="60"/>
      <c r="B7914" s="77"/>
      <c r="C7914" s="60"/>
      <c r="D7914" s="81"/>
      <c r="E7914" s="62"/>
      <c r="F7914" s="60"/>
      <c r="G7914" s="62"/>
      <c r="H7914" s="60"/>
    </row>
    <row r="7915" spans="1:8">
      <c r="A7915" s="60"/>
      <c r="B7915" s="77"/>
      <c r="C7915" s="60"/>
      <c r="D7915" s="81"/>
      <c r="E7915" s="62"/>
      <c r="F7915" s="60"/>
      <c r="G7915" s="62"/>
      <c r="H7915" s="60"/>
    </row>
    <row r="7916" spans="1:8">
      <c r="A7916" s="60"/>
      <c r="B7916" s="77"/>
      <c r="C7916" s="60"/>
      <c r="D7916" s="81"/>
      <c r="E7916" s="62"/>
      <c r="F7916" s="60"/>
      <c r="G7916" s="62"/>
      <c r="H7916" s="60"/>
    </row>
    <row r="7917" spans="1:8">
      <c r="A7917" s="60"/>
      <c r="B7917" s="77"/>
      <c r="C7917" s="60"/>
      <c r="D7917" s="81"/>
      <c r="E7917" s="62"/>
      <c r="F7917" s="60"/>
      <c r="G7917" s="62"/>
      <c r="H7917" s="60"/>
    </row>
    <row r="7918" spans="1:8">
      <c r="A7918" s="60"/>
      <c r="B7918" s="77"/>
      <c r="C7918" s="60"/>
      <c r="D7918" s="81"/>
      <c r="E7918" s="62"/>
      <c r="F7918" s="60"/>
      <c r="G7918" s="62"/>
      <c r="H7918" s="60"/>
    </row>
    <row r="7919" spans="1:8">
      <c r="A7919" s="60"/>
      <c r="B7919" s="77"/>
      <c r="C7919" s="60"/>
      <c r="D7919" s="81"/>
      <c r="E7919" s="62"/>
      <c r="F7919" s="60"/>
      <c r="G7919" s="62"/>
      <c r="H7919" s="60"/>
    </row>
    <row r="7920" spans="1:8">
      <c r="A7920" s="60"/>
      <c r="B7920" s="77"/>
      <c r="C7920" s="60"/>
      <c r="D7920" s="81"/>
      <c r="E7920" s="62"/>
      <c r="F7920" s="60"/>
      <c r="G7920" s="62"/>
      <c r="H7920" s="60"/>
    </row>
    <row r="7921" spans="1:8">
      <c r="A7921" s="60"/>
      <c r="B7921" s="77"/>
      <c r="C7921" s="60"/>
      <c r="D7921" s="81"/>
      <c r="E7921" s="62"/>
      <c r="F7921" s="60"/>
      <c r="G7921" s="62"/>
      <c r="H7921" s="60"/>
    </row>
    <row r="7922" spans="1:8">
      <c r="A7922" s="60"/>
      <c r="B7922" s="77"/>
      <c r="C7922" s="60"/>
      <c r="D7922" s="81"/>
      <c r="E7922" s="62"/>
      <c r="F7922" s="60"/>
      <c r="G7922" s="62"/>
      <c r="H7922" s="60"/>
    </row>
    <row r="7923" spans="1:8">
      <c r="A7923" s="60"/>
      <c r="B7923" s="77"/>
      <c r="C7923" s="60"/>
      <c r="D7923" s="81"/>
      <c r="E7923" s="62"/>
      <c r="F7923" s="60"/>
      <c r="G7923" s="62"/>
      <c r="H7923" s="60"/>
    </row>
    <row r="7924" spans="1:8">
      <c r="A7924" s="60"/>
      <c r="B7924" s="77"/>
      <c r="C7924" s="60"/>
      <c r="D7924" s="81"/>
      <c r="E7924" s="62"/>
      <c r="F7924" s="60"/>
      <c r="G7924" s="62"/>
      <c r="H7924" s="60"/>
    </row>
    <row r="7925" spans="1:8">
      <c r="A7925" s="60"/>
      <c r="B7925" s="77"/>
      <c r="C7925" s="60"/>
      <c r="D7925" s="81"/>
      <c r="E7925" s="62"/>
      <c r="F7925" s="60"/>
      <c r="G7925" s="62"/>
      <c r="H7925" s="60"/>
    </row>
    <row r="7926" spans="1:8">
      <c r="A7926" s="60"/>
      <c r="B7926" s="77"/>
      <c r="C7926" s="60"/>
      <c r="D7926" s="81"/>
      <c r="E7926" s="62"/>
      <c r="F7926" s="60"/>
      <c r="G7926" s="62"/>
      <c r="H7926" s="60"/>
    </row>
    <row r="7927" spans="1:8">
      <c r="A7927" s="60"/>
      <c r="B7927" s="77"/>
      <c r="C7927" s="60"/>
      <c r="D7927" s="81"/>
      <c r="E7927" s="62"/>
      <c r="F7927" s="60"/>
      <c r="G7927" s="62"/>
      <c r="H7927" s="60"/>
    </row>
    <row r="7928" spans="1:8">
      <c r="A7928" s="60"/>
      <c r="B7928" s="77"/>
      <c r="C7928" s="60"/>
      <c r="D7928" s="81"/>
      <c r="E7928" s="62"/>
      <c r="F7928" s="60"/>
      <c r="G7928" s="62"/>
      <c r="H7928" s="60"/>
    </row>
    <row r="7929" spans="1:8">
      <c r="A7929" s="60"/>
      <c r="B7929" s="77"/>
      <c r="C7929" s="60"/>
      <c r="D7929" s="81"/>
      <c r="E7929" s="62"/>
      <c r="F7929" s="60"/>
      <c r="G7929" s="62"/>
      <c r="H7929" s="60"/>
    </row>
    <row r="7930" spans="1:8">
      <c r="A7930" s="60"/>
      <c r="B7930" s="77"/>
      <c r="C7930" s="60"/>
      <c r="D7930" s="81"/>
      <c r="E7930" s="62"/>
      <c r="F7930" s="60"/>
      <c r="G7930" s="62"/>
      <c r="H7930" s="60"/>
    </row>
    <row r="7931" spans="1:8">
      <c r="A7931" s="60"/>
      <c r="B7931" s="77"/>
      <c r="C7931" s="60"/>
      <c r="D7931" s="81"/>
      <c r="E7931" s="62"/>
      <c r="F7931" s="60"/>
      <c r="G7931" s="62"/>
      <c r="H7931" s="60"/>
    </row>
    <row r="7932" spans="1:8">
      <c r="A7932" s="60"/>
      <c r="B7932" s="77"/>
      <c r="C7932" s="60"/>
      <c r="D7932" s="81"/>
      <c r="E7932" s="62"/>
      <c r="F7932" s="60"/>
      <c r="G7932" s="62"/>
      <c r="H7932" s="60"/>
    </row>
    <row r="7933" spans="1:8">
      <c r="A7933" s="60"/>
      <c r="B7933" s="77"/>
      <c r="C7933" s="60"/>
      <c r="D7933" s="81"/>
      <c r="E7933" s="62"/>
      <c r="F7933" s="60"/>
      <c r="G7933" s="62"/>
      <c r="H7933" s="60"/>
    </row>
    <row r="7934" spans="1:8">
      <c r="A7934" s="60"/>
      <c r="B7934" s="77"/>
      <c r="C7934" s="60"/>
      <c r="D7934" s="81"/>
      <c r="E7934" s="62"/>
      <c r="F7934" s="60"/>
      <c r="G7934" s="62"/>
      <c r="H7934" s="60"/>
    </row>
    <row r="7935" spans="1:8">
      <c r="A7935" s="60"/>
      <c r="B7935" s="77"/>
      <c r="C7935" s="60"/>
      <c r="D7935" s="81"/>
      <c r="E7935" s="62"/>
      <c r="F7935" s="60"/>
      <c r="G7935" s="62"/>
      <c r="H7935" s="60"/>
    </row>
    <row r="7936" spans="1:8">
      <c r="A7936" s="60"/>
      <c r="B7936" s="77"/>
      <c r="C7936" s="60"/>
      <c r="D7936" s="81"/>
      <c r="E7936" s="62"/>
      <c r="F7936" s="60"/>
      <c r="G7936" s="62"/>
      <c r="H7936" s="60"/>
    </row>
    <row r="7937" spans="1:8">
      <c r="A7937" s="60"/>
      <c r="B7937" s="77"/>
      <c r="C7937" s="60"/>
      <c r="D7937" s="81"/>
      <c r="E7937" s="62"/>
      <c r="F7937" s="60"/>
      <c r="G7937" s="62"/>
      <c r="H7937" s="60"/>
    </row>
    <row r="7938" spans="1:8">
      <c r="A7938" s="60"/>
      <c r="B7938" s="77"/>
      <c r="C7938" s="60"/>
      <c r="D7938" s="81"/>
      <c r="E7938" s="62"/>
      <c r="F7938" s="60"/>
      <c r="G7938" s="62"/>
      <c r="H7938" s="60"/>
    </row>
    <row r="7939" spans="1:8">
      <c r="A7939" s="60"/>
      <c r="B7939" s="77"/>
      <c r="C7939" s="60"/>
      <c r="D7939" s="81"/>
      <c r="E7939" s="62"/>
      <c r="F7939" s="60"/>
      <c r="G7939" s="62"/>
      <c r="H7939" s="60"/>
    </row>
    <row r="7940" spans="1:8">
      <c r="A7940" s="60"/>
      <c r="B7940" s="77"/>
      <c r="C7940" s="60"/>
      <c r="D7940" s="81"/>
      <c r="E7940" s="62"/>
      <c r="F7940" s="60"/>
      <c r="G7940" s="62"/>
      <c r="H7940" s="60"/>
    </row>
    <row r="7941" spans="1:8">
      <c r="A7941" s="60"/>
      <c r="B7941" s="77"/>
      <c r="C7941" s="60"/>
      <c r="D7941" s="81"/>
      <c r="E7941" s="62"/>
      <c r="F7941" s="60"/>
      <c r="G7941" s="62"/>
      <c r="H7941" s="60"/>
    </row>
    <row r="7942" spans="1:8">
      <c r="A7942" s="60"/>
      <c r="B7942" s="77"/>
      <c r="C7942" s="60"/>
      <c r="D7942" s="81"/>
      <c r="E7942" s="62"/>
      <c r="F7942" s="60"/>
      <c r="G7942" s="62"/>
      <c r="H7942" s="60"/>
    </row>
    <row r="7943" spans="1:8">
      <c r="A7943" s="60"/>
      <c r="B7943" s="77"/>
      <c r="C7943" s="60"/>
      <c r="D7943" s="81"/>
      <c r="E7943" s="62"/>
      <c r="F7943" s="60"/>
      <c r="G7943" s="62"/>
      <c r="H7943" s="60"/>
    </row>
    <row r="7944" spans="1:8">
      <c r="A7944" s="60"/>
      <c r="B7944" s="77"/>
      <c r="C7944" s="60"/>
      <c r="D7944" s="81"/>
      <c r="E7944" s="62"/>
      <c r="F7944" s="60"/>
      <c r="G7944" s="62"/>
      <c r="H7944" s="60"/>
    </row>
    <row r="7945" spans="1:8">
      <c r="A7945" s="60"/>
      <c r="B7945" s="77"/>
      <c r="C7945" s="60"/>
      <c r="D7945" s="81"/>
      <c r="E7945" s="62"/>
      <c r="F7945" s="60"/>
      <c r="G7945" s="62"/>
      <c r="H7945" s="60"/>
    </row>
    <row r="7946" spans="1:8">
      <c r="A7946" s="60"/>
      <c r="B7946" s="77"/>
      <c r="C7946" s="60"/>
      <c r="D7946" s="81"/>
      <c r="E7946" s="62"/>
      <c r="F7946" s="60"/>
      <c r="G7946" s="62"/>
      <c r="H7946" s="60"/>
    </row>
    <row r="7947" spans="1:8">
      <c r="A7947" s="60"/>
      <c r="B7947" s="77"/>
      <c r="C7947" s="60"/>
      <c r="D7947" s="81"/>
      <c r="E7947" s="62"/>
      <c r="F7947" s="60"/>
      <c r="G7947" s="62"/>
      <c r="H7947" s="60"/>
    </row>
    <row r="7948" spans="1:8">
      <c r="A7948" s="60"/>
      <c r="B7948" s="77"/>
      <c r="C7948" s="60"/>
      <c r="D7948" s="81"/>
      <c r="E7948" s="62"/>
      <c r="F7948" s="60"/>
      <c r="G7948" s="62"/>
      <c r="H7948" s="60"/>
    </row>
    <row r="7949" spans="1:8">
      <c r="A7949" s="60"/>
      <c r="B7949" s="77"/>
      <c r="C7949" s="60"/>
      <c r="D7949" s="81"/>
      <c r="E7949" s="62"/>
      <c r="F7949" s="60"/>
      <c r="G7949" s="62"/>
      <c r="H7949" s="60"/>
    </row>
    <row r="7950" spans="1:8">
      <c r="A7950" s="60"/>
      <c r="B7950" s="77"/>
      <c r="C7950" s="60"/>
      <c r="D7950" s="81"/>
      <c r="E7950" s="62"/>
      <c r="F7950" s="60"/>
      <c r="G7950" s="62"/>
      <c r="H7950" s="60"/>
    </row>
    <row r="7951" spans="1:8">
      <c r="A7951" s="60"/>
      <c r="B7951" s="77"/>
      <c r="C7951" s="60"/>
      <c r="D7951" s="81"/>
      <c r="E7951" s="62"/>
      <c r="F7951" s="60"/>
      <c r="G7951" s="62"/>
      <c r="H7951" s="60"/>
    </row>
    <row r="7952" spans="1:8">
      <c r="A7952" s="60"/>
      <c r="B7952" s="77"/>
      <c r="C7952" s="60"/>
      <c r="D7952" s="81"/>
      <c r="E7952" s="62"/>
      <c r="F7952" s="60"/>
      <c r="G7952" s="62"/>
      <c r="H7952" s="60"/>
    </row>
    <row r="7953" spans="1:8">
      <c r="A7953" s="60"/>
      <c r="B7953" s="77"/>
      <c r="C7953" s="60"/>
      <c r="D7953" s="81"/>
      <c r="E7953" s="62"/>
      <c r="F7953" s="60"/>
      <c r="G7953" s="62"/>
      <c r="H7953" s="60"/>
    </row>
    <row r="7954" spans="1:8">
      <c r="A7954" s="60"/>
      <c r="B7954" s="77"/>
      <c r="C7954" s="60"/>
      <c r="D7954" s="81"/>
      <c r="E7954" s="62"/>
      <c r="F7954" s="60"/>
      <c r="G7954" s="62"/>
      <c r="H7954" s="60"/>
    </row>
    <row r="7955" spans="1:8">
      <c r="A7955" s="60"/>
      <c r="B7955" s="77"/>
      <c r="C7955" s="60"/>
      <c r="D7955" s="81"/>
      <c r="E7955" s="62"/>
      <c r="F7955" s="60"/>
      <c r="G7955" s="62"/>
      <c r="H7955" s="60"/>
    </row>
    <row r="7956" spans="1:8">
      <c r="A7956" s="60"/>
      <c r="B7956" s="77"/>
      <c r="C7956" s="60"/>
      <c r="D7956" s="81"/>
      <c r="E7956" s="62"/>
      <c r="F7956" s="60"/>
      <c r="G7956" s="62"/>
      <c r="H7956" s="60"/>
    </row>
    <row r="7957" spans="1:8">
      <c r="A7957" s="60"/>
      <c r="B7957" s="77"/>
      <c r="C7957" s="60"/>
      <c r="D7957" s="81"/>
      <c r="E7957" s="62"/>
      <c r="F7957" s="60"/>
      <c r="G7957" s="62"/>
      <c r="H7957" s="60"/>
    </row>
    <row r="7958" spans="1:8">
      <c r="A7958" s="60"/>
      <c r="B7958" s="77"/>
      <c r="C7958" s="60"/>
      <c r="D7958" s="81"/>
      <c r="E7958" s="62"/>
      <c r="F7958" s="60"/>
      <c r="G7958" s="62"/>
      <c r="H7958" s="60"/>
    </row>
    <row r="7959" spans="1:8">
      <c r="A7959" s="60"/>
      <c r="B7959" s="77"/>
      <c r="C7959" s="60"/>
      <c r="D7959" s="81"/>
      <c r="E7959" s="62"/>
      <c r="F7959" s="60"/>
      <c r="G7959" s="62"/>
      <c r="H7959" s="60"/>
    </row>
    <row r="7960" spans="1:8">
      <c r="A7960" s="60"/>
      <c r="B7960" s="77"/>
      <c r="C7960" s="60"/>
      <c r="D7960" s="81"/>
      <c r="E7960" s="62"/>
      <c r="F7960" s="60"/>
      <c r="G7960" s="62"/>
      <c r="H7960" s="60"/>
    </row>
    <row r="7961" spans="1:8">
      <c r="A7961" s="60"/>
      <c r="B7961" s="77"/>
      <c r="C7961" s="60"/>
      <c r="D7961" s="81"/>
      <c r="E7961" s="62"/>
      <c r="F7961" s="60"/>
      <c r="G7961" s="62"/>
      <c r="H7961" s="60"/>
    </row>
    <row r="7962" spans="1:8">
      <c r="A7962" s="60"/>
      <c r="B7962" s="77"/>
      <c r="C7962" s="60"/>
      <c r="D7962" s="81"/>
      <c r="E7962" s="62"/>
      <c r="F7962" s="60"/>
      <c r="G7962" s="62"/>
      <c r="H7962" s="60"/>
    </row>
    <row r="7963" spans="1:8">
      <c r="A7963" s="60"/>
      <c r="B7963" s="77"/>
      <c r="C7963" s="60"/>
      <c r="D7963" s="81"/>
      <c r="E7963" s="62"/>
      <c r="F7963" s="60"/>
      <c r="G7963" s="62"/>
      <c r="H7963" s="60"/>
    </row>
    <row r="7964" spans="1:8">
      <c r="A7964" s="60"/>
      <c r="B7964" s="77"/>
      <c r="C7964" s="60"/>
      <c r="D7964" s="81"/>
      <c r="E7964" s="62"/>
      <c r="F7964" s="60"/>
      <c r="G7964" s="62"/>
      <c r="H7964" s="60"/>
    </row>
    <row r="7965" spans="1:8">
      <c r="A7965" s="60"/>
      <c r="B7965" s="77"/>
      <c r="C7965" s="60"/>
      <c r="D7965" s="81"/>
      <c r="E7965" s="62"/>
      <c r="F7965" s="60"/>
      <c r="G7965" s="62"/>
      <c r="H7965" s="60"/>
    </row>
    <row r="7966" spans="1:8">
      <c r="A7966" s="60"/>
      <c r="B7966" s="77"/>
      <c r="C7966" s="60"/>
      <c r="D7966" s="81"/>
      <c r="E7966" s="62"/>
      <c r="F7966" s="60"/>
      <c r="G7966" s="62"/>
      <c r="H7966" s="60"/>
    </row>
    <row r="7967" spans="1:8">
      <c r="A7967" s="60"/>
      <c r="B7967" s="77"/>
      <c r="C7967" s="60"/>
      <c r="D7967" s="81"/>
      <c r="E7967" s="62"/>
      <c r="F7967" s="60"/>
      <c r="G7967" s="62"/>
      <c r="H7967" s="60"/>
    </row>
    <row r="7968" spans="1:8">
      <c r="A7968" s="60"/>
      <c r="B7968" s="77"/>
      <c r="C7968" s="60"/>
      <c r="D7968" s="81"/>
      <c r="E7968" s="62"/>
      <c r="F7968" s="60"/>
      <c r="G7968" s="62"/>
      <c r="H7968" s="60"/>
    </row>
    <row r="7969" spans="1:8">
      <c r="A7969" s="60"/>
      <c r="B7969" s="77"/>
      <c r="C7969" s="60"/>
      <c r="D7969" s="81"/>
      <c r="E7969" s="62"/>
      <c r="F7969" s="60"/>
      <c r="G7969" s="62"/>
      <c r="H7969" s="60"/>
    </row>
    <row r="7970" spans="1:8">
      <c r="A7970" s="60"/>
      <c r="B7970" s="77"/>
      <c r="C7970" s="60"/>
      <c r="D7970" s="81"/>
      <c r="E7970" s="62"/>
      <c r="F7970" s="60"/>
      <c r="G7970" s="62"/>
      <c r="H7970" s="60"/>
    </row>
    <row r="7971" spans="1:8">
      <c r="A7971" s="60"/>
      <c r="B7971" s="77"/>
      <c r="C7971" s="60"/>
      <c r="D7971" s="81"/>
      <c r="E7971" s="62"/>
      <c r="F7971" s="60"/>
      <c r="G7971" s="62"/>
      <c r="H7971" s="60"/>
    </row>
    <row r="7972" spans="1:8">
      <c r="A7972" s="60"/>
      <c r="B7972" s="77"/>
      <c r="C7972" s="60"/>
      <c r="D7972" s="81"/>
      <c r="E7972" s="62"/>
      <c r="F7972" s="60"/>
      <c r="G7972" s="62"/>
      <c r="H7972" s="60"/>
    </row>
    <row r="7973" spans="1:8">
      <c r="A7973" s="60"/>
      <c r="B7973" s="77"/>
      <c r="C7973" s="60"/>
      <c r="D7973" s="81"/>
      <c r="E7973" s="62"/>
      <c r="F7973" s="60"/>
      <c r="G7973" s="62"/>
      <c r="H7973" s="60"/>
    </row>
    <row r="7974" spans="1:8">
      <c r="A7974" s="60"/>
      <c r="B7974" s="77"/>
      <c r="C7974" s="60"/>
      <c r="D7974" s="81"/>
      <c r="E7974" s="62"/>
      <c r="F7974" s="60"/>
      <c r="G7974" s="62"/>
      <c r="H7974" s="60"/>
    </row>
    <row r="7975" spans="1:8">
      <c r="A7975" s="60"/>
      <c r="B7975" s="77"/>
      <c r="C7975" s="60"/>
      <c r="D7975" s="81"/>
      <c r="E7975" s="62"/>
      <c r="F7975" s="60"/>
      <c r="G7975" s="62"/>
      <c r="H7975" s="60"/>
    </row>
    <row r="7976" spans="1:8">
      <c r="A7976" s="60"/>
      <c r="B7976" s="77"/>
      <c r="C7976" s="60"/>
      <c r="D7976" s="81"/>
      <c r="E7976" s="62"/>
      <c r="F7976" s="60"/>
      <c r="G7976" s="62"/>
      <c r="H7976" s="60"/>
    </row>
    <row r="7977" spans="1:8">
      <c r="A7977" s="60"/>
      <c r="B7977" s="77"/>
      <c r="C7977" s="60"/>
      <c r="D7977" s="81"/>
      <c r="E7977" s="62"/>
      <c r="F7977" s="60"/>
      <c r="G7977" s="62"/>
      <c r="H7977" s="60"/>
    </row>
    <row r="7978" spans="1:8">
      <c r="A7978" s="60"/>
      <c r="B7978" s="77"/>
      <c r="C7978" s="60"/>
      <c r="D7978" s="81"/>
      <c r="E7978" s="62"/>
      <c r="F7978" s="60"/>
      <c r="G7978" s="62"/>
      <c r="H7978" s="60"/>
    </row>
    <row r="7979" spans="1:8">
      <c r="A7979" s="60"/>
      <c r="B7979" s="77"/>
      <c r="C7979" s="60"/>
      <c r="D7979" s="81"/>
      <c r="E7979" s="62"/>
      <c r="F7979" s="60"/>
      <c r="G7979" s="62"/>
      <c r="H7979" s="60"/>
    </row>
    <row r="7980" spans="1:8">
      <c r="A7980" s="60"/>
      <c r="B7980" s="77"/>
      <c r="C7980" s="60"/>
      <c r="D7980" s="81"/>
      <c r="E7980" s="62"/>
      <c r="F7980" s="60"/>
      <c r="G7980" s="62"/>
      <c r="H7980" s="60"/>
    </row>
    <row r="7981" spans="1:8">
      <c r="A7981" s="60"/>
      <c r="B7981" s="77"/>
      <c r="C7981" s="60"/>
      <c r="D7981" s="81"/>
      <c r="E7981" s="62"/>
      <c r="F7981" s="60"/>
      <c r="G7981" s="62"/>
      <c r="H7981" s="60"/>
    </row>
    <row r="7982" spans="1:8">
      <c r="A7982" s="60"/>
      <c r="B7982" s="77"/>
      <c r="C7982" s="60"/>
      <c r="D7982" s="81"/>
      <c r="E7982" s="62"/>
      <c r="F7982" s="60"/>
      <c r="G7982" s="62"/>
      <c r="H7982" s="60"/>
    </row>
    <row r="7983" spans="1:8">
      <c r="A7983" s="60"/>
      <c r="B7983" s="77"/>
      <c r="C7983" s="60"/>
      <c r="D7983" s="81"/>
      <c r="E7983" s="62"/>
      <c r="F7983" s="60"/>
      <c r="G7983" s="62"/>
      <c r="H7983" s="60"/>
    </row>
    <row r="7984" spans="1:8">
      <c r="A7984" s="60"/>
      <c r="B7984" s="77"/>
      <c r="C7984" s="60"/>
      <c r="D7984" s="81"/>
      <c r="E7984" s="62"/>
      <c r="F7984" s="60"/>
      <c r="G7984" s="62"/>
      <c r="H7984" s="60"/>
    </row>
    <row r="7985" spans="1:8">
      <c r="A7985" s="60"/>
      <c r="B7985" s="77"/>
      <c r="C7985" s="60"/>
      <c r="D7985" s="81"/>
      <c r="E7985" s="62"/>
      <c r="F7985" s="60"/>
      <c r="G7985" s="62"/>
      <c r="H7985" s="60"/>
    </row>
    <row r="7986" spans="1:8">
      <c r="A7986" s="60"/>
      <c r="B7986" s="77"/>
      <c r="C7986" s="60"/>
      <c r="D7986" s="81"/>
      <c r="E7986" s="62"/>
      <c r="F7986" s="60"/>
      <c r="G7986" s="62"/>
      <c r="H7986" s="60"/>
    </row>
    <row r="7987" spans="1:8">
      <c r="A7987" s="60"/>
      <c r="B7987" s="77"/>
      <c r="C7987" s="60"/>
      <c r="D7987" s="81"/>
      <c r="E7987" s="62"/>
      <c r="F7987" s="60"/>
      <c r="G7987" s="62"/>
      <c r="H7987" s="60"/>
    </row>
    <row r="7988" spans="1:8">
      <c r="A7988" s="60"/>
      <c r="B7988" s="77"/>
      <c r="C7988" s="60"/>
      <c r="D7988" s="81"/>
      <c r="E7988" s="62"/>
      <c r="F7988" s="60"/>
      <c r="G7988" s="62"/>
      <c r="H7988" s="60"/>
    </row>
    <row r="7989" spans="1:8">
      <c r="A7989" s="60"/>
      <c r="B7989" s="77"/>
      <c r="C7989" s="60"/>
      <c r="D7989" s="81"/>
      <c r="E7989" s="62"/>
      <c r="F7989" s="60"/>
      <c r="G7989" s="62"/>
      <c r="H7989" s="60"/>
    </row>
    <row r="7990" spans="1:8">
      <c r="A7990" s="60"/>
      <c r="B7990" s="77"/>
      <c r="C7990" s="60"/>
      <c r="D7990" s="81"/>
      <c r="E7990" s="62"/>
      <c r="F7990" s="60"/>
      <c r="G7990" s="62"/>
      <c r="H7990" s="60"/>
    </row>
    <row r="7991" spans="1:8">
      <c r="A7991" s="60"/>
      <c r="B7991" s="77"/>
      <c r="C7991" s="60"/>
      <c r="D7991" s="81"/>
      <c r="E7991" s="62"/>
      <c r="F7991" s="60"/>
      <c r="G7991" s="62"/>
      <c r="H7991" s="60"/>
    </row>
    <row r="7992" spans="1:8">
      <c r="A7992" s="60"/>
      <c r="B7992" s="77"/>
      <c r="C7992" s="60"/>
      <c r="D7992" s="81"/>
      <c r="E7992" s="62"/>
      <c r="F7992" s="60"/>
      <c r="G7992" s="62"/>
      <c r="H7992" s="60"/>
    </row>
    <row r="7993" spans="1:8">
      <c r="A7993" s="60"/>
      <c r="B7993" s="77"/>
      <c r="C7993" s="60"/>
      <c r="D7993" s="81"/>
      <c r="E7993" s="62"/>
      <c r="F7993" s="60"/>
      <c r="G7993" s="62"/>
      <c r="H7993" s="60"/>
    </row>
    <row r="7994" spans="1:8">
      <c r="A7994" s="60"/>
      <c r="B7994" s="77"/>
      <c r="C7994" s="60"/>
      <c r="D7994" s="81"/>
      <c r="E7994" s="62"/>
      <c r="F7994" s="60"/>
      <c r="G7994" s="62"/>
      <c r="H7994" s="60"/>
    </row>
    <row r="7995" spans="1:8">
      <c r="A7995" s="60"/>
      <c r="B7995" s="77"/>
      <c r="C7995" s="60"/>
      <c r="D7995" s="81"/>
      <c r="E7995" s="62"/>
      <c r="F7995" s="60"/>
      <c r="G7995" s="62"/>
      <c r="H7995" s="60"/>
    </row>
    <row r="7996" spans="1:8">
      <c r="A7996" s="60"/>
      <c r="B7996" s="77"/>
      <c r="C7996" s="60"/>
      <c r="D7996" s="81"/>
      <c r="E7996" s="62"/>
      <c r="F7996" s="60"/>
      <c r="G7996" s="62"/>
      <c r="H7996" s="60"/>
    </row>
    <row r="7997" spans="1:8">
      <c r="A7997" s="60"/>
      <c r="B7997" s="77"/>
      <c r="C7997" s="60"/>
      <c r="D7997" s="81"/>
      <c r="E7997" s="62"/>
      <c r="F7997" s="60"/>
      <c r="G7997" s="62"/>
      <c r="H7997" s="60"/>
    </row>
    <row r="7998" spans="1:8">
      <c r="A7998" s="60"/>
      <c r="B7998" s="77"/>
      <c r="C7998" s="60"/>
      <c r="D7998" s="81"/>
      <c r="E7998" s="62"/>
      <c r="F7998" s="60"/>
      <c r="G7998" s="62"/>
      <c r="H7998" s="60"/>
    </row>
    <row r="7999" spans="1:8">
      <c r="A7999" s="60"/>
      <c r="B7999" s="77"/>
      <c r="C7999" s="60"/>
      <c r="D7999" s="81"/>
      <c r="E7999" s="62"/>
      <c r="F7999" s="60"/>
      <c r="G7999" s="62"/>
      <c r="H7999" s="60"/>
    </row>
    <row r="8000" spans="1:8">
      <c r="A8000" s="60"/>
      <c r="B8000" s="77"/>
      <c r="C8000" s="60"/>
      <c r="D8000" s="81"/>
      <c r="E8000" s="62"/>
      <c r="F8000" s="60"/>
      <c r="G8000" s="62"/>
      <c r="H8000" s="60"/>
    </row>
    <row r="8001" spans="1:8">
      <c r="A8001" s="60"/>
      <c r="B8001" s="77"/>
      <c r="C8001" s="60"/>
      <c r="D8001" s="81"/>
      <c r="E8001" s="62"/>
      <c r="F8001" s="60"/>
      <c r="G8001" s="62"/>
      <c r="H8001" s="60"/>
    </row>
    <row r="8002" spans="1:8">
      <c r="A8002" s="60"/>
      <c r="B8002" s="77"/>
      <c r="C8002" s="60"/>
      <c r="D8002" s="81"/>
      <c r="E8002" s="62"/>
      <c r="F8002" s="60"/>
      <c r="G8002" s="62"/>
      <c r="H8002" s="60"/>
    </row>
    <row r="8003" spans="1:8">
      <c r="A8003" s="60"/>
      <c r="B8003" s="77"/>
      <c r="C8003" s="60"/>
      <c r="D8003" s="81"/>
      <c r="E8003" s="62"/>
      <c r="F8003" s="60"/>
      <c r="G8003" s="62"/>
      <c r="H8003" s="60"/>
    </row>
    <row r="8004" spans="1:8">
      <c r="A8004" s="60"/>
      <c r="B8004" s="77"/>
      <c r="C8004" s="60"/>
      <c r="D8004" s="81"/>
      <c r="E8004" s="62"/>
      <c r="F8004" s="60"/>
      <c r="G8004" s="62"/>
      <c r="H8004" s="60"/>
    </row>
    <row r="8005" spans="1:8">
      <c r="A8005" s="60"/>
      <c r="B8005" s="77"/>
      <c r="C8005" s="60"/>
      <c r="D8005" s="81"/>
      <c r="E8005" s="62"/>
      <c r="F8005" s="60"/>
      <c r="G8005" s="62"/>
      <c r="H8005" s="60"/>
    </row>
    <row r="8006" spans="1:8">
      <c r="A8006" s="60"/>
      <c r="B8006" s="77"/>
      <c r="C8006" s="60"/>
      <c r="D8006" s="81"/>
      <c r="E8006" s="62"/>
      <c r="F8006" s="60"/>
      <c r="G8006" s="62"/>
      <c r="H8006" s="60"/>
    </row>
    <row r="8007" spans="1:8">
      <c r="A8007" s="60"/>
      <c r="B8007" s="77"/>
      <c r="C8007" s="60"/>
      <c r="D8007" s="81"/>
      <c r="E8007" s="62"/>
      <c r="F8007" s="60"/>
      <c r="G8007" s="62"/>
      <c r="H8007" s="60"/>
    </row>
    <row r="8008" spans="1:8">
      <c r="A8008" s="60"/>
      <c r="B8008" s="77"/>
      <c r="C8008" s="60"/>
      <c r="D8008" s="81"/>
      <c r="E8008" s="62"/>
      <c r="F8008" s="60"/>
      <c r="G8008" s="62"/>
      <c r="H8008" s="60"/>
    </row>
    <row r="8009" spans="1:8">
      <c r="A8009" s="60"/>
      <c r="B8009" s="77"/>
      <c r="C8009" s="60"/>
      <c r="D8009" s="81"/>
      <c r="E8009" s="62"/>
      <c r="F8009" s="60"/>
      <c r="G8009" s="62"/>
      <c r="H8009" s="60"/>
    </row>
    <row r="8010" spans="1:8">
      <c r="A8010" s="60"/>
      <c r="B8010" s="77"/>
      <c r="C8010" s="60"/>
      <c r="D8010" s="81"/>
      <c r="E8010" s="62"/>
      <c r="F8010" s="60"/>
      <c r="G8010" s="62"/>
      <c r="H8010" s="60"/>
    </row>
    <row r="8011" spans="1:8">
      <c r="A8011" s="60"/>
      <c r="B8011" s="77"/>
      <c r="C8011" s="60"/>
      <c r="D8011" s="81"/>
      <c r="E8011" s="62"/>
      <c r="F8011" s="60"/>
      <c r="G8011" s="62"/>
      <c r="H8011" s="60"/>
    </row>
    <row r="8012" spans="1:8">
      <c r="A8012" s="60"/>
      <c r="B8012" s="77"/>
      <c r="C8012" s="60"/>
      <c r="D8012" s="81"/>
      <c r="E8012" s="62"/>
      <c r="F8012" s="60"/>
      <c r="G8012" s="62"/>
      <c r="H8012" s="60"/>
    </row>
    <row r="8013" spans="1:8">
      <c r="A8013" s="60"/>
      <c r="B8013" s="77"/>
      <c r="C8013" s="60"/>
      <c r="D8013" s="81"/>
      <c r="E8013" s="62"/>
      <c r="F8013" s="60"/>
      <c r="G8013" s="62"/>
      <c r="H8013" s="60"/>
    </row>
    <row r="8014" spans="1:8">
      <c r="A8014" s="60"/>
      <c r="B8014" s="77"/>
      <c r="C8014" s="60"/>
      <c r="D8014" s="81"/>
      <c r="E8014" s="62"/>
      <c r="F8014" s="60"/>
      <c r="G8014" s="62"/>
      <c r="H8014" s="60"/>
    </row>
    <row r="8015" spans="1:8">
      <c r="A8015" s="60"/>
      <c r="B8015" s="77"/>
      <c r="C8015" s="60"/>
      <c r="D8015" s="81"/>
      <c r="E8015" s="62"/>
      <c r="F8015" s="60"/>
      <c r="G8015" s="62"/>
      <c r="H8015" s="60"/>
    </row>
    <row r="8016" spans="1:8">
      <c r="A8016" s="60"/>
      <c r="B8016" s="77"/>
      <c r="C8016" s="60"/>
      <c r="D8016" s="81"/>
      <c r="E8016" s="62"/>
      <c r="F8016" s="60"/>
      <c r="G8016" s="62"/>
      <c r="H8016" s="60"/>
    </row>
    <row r="8017" spans="1:8">
      <c r="A8017" s="60"/>
      <c r="B8017" s="77"/>
      <c r="C8017" s="60"/>
      <c r="D8017" s="81"/>
      <c r="E8017" s="62"/>
      <c r="F8017" s="60"/>
      <c r="G8017" s="62"/>
      <c r="H8017" s="60"/>
    </row>
    <row r="8018" spans="1:8">
      <c r="A8018" s="60"/>
      <c r="B8018" s="77"/>
      <c r="C8018" s="60"/>
      <c r="D8018" s="81"/>
      <c r="E8018" s="62"/>
      <c r="F8018" s="60"/>
      <c r="G8018" s="62"/>
      <c r="H8018" s="60"/>
    </row>
    <row r="8019" spans="1:8">
      <c r="A8019" s="60"/>
      <c r="B8019" s="77"/>
      <c r="C8019" s="60"/>
      <c r="D8019" s="81"/>
      <c r="E8019" s="62"/>
      <c r="F8019" s="60"/>
      <c r="G8019" s="62"/>
      <c r="H8019" s="60"/>
    </row>
    <row r="8020" spans="1:8">
      <c r="A8020" s="60"/>
      <c r="B8020" s="77"/>
      <c r="C8020" s="60"/>
      <c r="D8020" s="81"/>
      <c r="E8020" s="62"/>
      <c r="F8020" s="60"/>
      <c r="G8020" s="62"/>
      <c r="H8020" s="60"/>
    </row>
    <row r="8021" spans="1:8">
      <c r="A8021" s="60"/>
      <c r="B8021" s="77"/>
      <c r="C8021" s="60"/>
      <c r="D8021" s="81"/>
      <c r="E8021" s="62"/>
      <c r="F8021" s="60"/>
      <c r="G8021" s="62"/>
      <c r="H8021" s="60"/>
    </row>
    <row r="8022" spans="1:8">
      <c r="A8022" s="60"/>
      <c r="B8022" s="77"/>
      <c r="C8022" s="60"/>
      <c r="D8022" s="81"/>
      <c r="E8022" s="62"/>
      <c r="F8022" s="60"/>
      <c r="G8022" s="62"/>
      <c r="H8022" s="60"/>
    </row>
    <row r="8023" spans="1:8">
      <c r="A8023" s="60"/>
      <c r="B8023" s="77"/>
      <c r="C8023" s="60"/>
      <c r="D8023" s="81"/>
      <c r="E8023" s="62"/>
      <c r="F8023" s="60"/>
      <c r="G8023" s="62"/>
      <c r="H8023" s="60"/>
    </row>
    <row r="8024" spans="1:8">
      <c r="A8024" s="60"/>
      <c r="B8024" s="77"/>
      <c r="C8024" s="60"/>
      <c r="D8024" s="81"/>
      <c r="E8024" s="62"/>
      <c r="F8024" s="60"/>
      <c r="G8024" s="62"/>
      <c r="H8024" s="60"/>
    </row>
    <row r="8025" spans="1:8">
      <c r="A8025" s="60"/>
      <c r="B8025" s="77"/>
      <c r="C8025" s="60"/>
      <c r="D8025" s="81"/>
      <c r="E8025" s="62"/>
      <c r="F8025" s="60"/>
      <c r="G8025" s="62"/>
      <c r="H8025" s="60"/>
    </row>
    <row r="8026" spans="1:8">
      <c r="A8026" s="60"/>
      <c r="B8026" s="77"/>
      <c r="C8026" s="60"/>
      <c r="D8026" s="81"/>
      <c r="E8026" s="62"/>
      <c r="F8026" s="60"/>
      <c r="G8026" s="62"/>
      <c r="H8026" s="60"/>
    </row>
    <row r="8027" spans="1:8">
      <c r="A8027" s="60"/>
      <c r="B8027" s="77"/>
      <c r="C8027" s="60"/>
      <c r="D8027" s="81"/>
      <c r="E8027" s="62"/>
      <c r="F8027" s="60"/>
      <c r="G8027" s="62"/>
      <c r="H8027" s="60"/>
    </row>
    <row r="8028" spans="1:8">
      <c r="A8028" s="60"/>
      <c r="B8028" s="77"/>
      <c r="C8028" s="60"/>
      <c r="D8028" s="81"/>
      <c r="E8028" s="62"/>
      <c r="F8028" s="60"/>
      <c r="G8028" s="62"/>
      <c r="H8028" s="60"/>
    </row>
    <row r="8029" spans="1:8">
      <c r="A8029" s="60"/>
      <c r="B8029" s="77"/>
      <c r="C8029" s="60"/>
      <c r="D8029" s="81"/>
      <c r="E8029" s="62"/>
      <c r="F8029" s="60"/>
      <c r="G8029" s="62"/>
      <c r="H8029" s="60"/>
    </row>
    <row r="8030" spans="1:8">
      <c r="A8030" s="60"/>
      <c r="B8030" s="77"/>
      <c r="C8030" s="60"/>
      <c r="D8030" s="81"/>
      <c r="E8030" s="62"/>
      <c r="F8030" s="60"/>
      <c r="G8030" s="62"/>
      <c r="H8030" s="60"/>
    </row>
    <row r="8031" spans="1:8">
      <c r="A8031" s="60"/>
      <c r="B8031" s="77"/>
      <c r="C8031" s="60"/>
      <c r="D8031" s="81"/>
      <c r="E8031" s="62"/>
      <c r="F8031" s="60"/>
      <c r="G8031" s="62"/>
      <c r="H8031" s="60"/>
    </row>
    <row r="8032" spans="1:8">
      <c r="A8032" s="60"/>
      <c r="B8032" s="77"/>
      <c r="C8032" s="60"/>
      <c r="D8032" s="81"/>
      <c r="E8032" s="62"/>
      <c r="F8032" s="60"/>
      <c r="G8032" s="62"/>
      <c r="H8032" s="60"/>
    </row>
    <row r="8033" spans="1:8">
      <c r="A8033" s="60"/>
      <c r="B8033" s="77"/>
      <c r="C8033" s="60"/>
      <c r="D8033" s="81"/>
      <c r="E8033" s="62"/>
      <c r="F8033" s="60"/>
      <c r="G8033" s="62"/>
      <c r="H8033" s="60"/>
    </row>
    <row r="8034" spans="1:8">
      <c r="A8034" s="60"/>
      <c r="B8034" s="77"/>
      <c r="C8034" s="60"/>
      <c r="D8034" s="81"/>
      <c r="E8034" s="62"/>
      <c r="F8034" s="60"/>
      <c r="G8034" s="62"/>
      <c r="H8034" s="60"/>
    </row>
    <row r="8035" spans="1:8">
      <c r="A8035" s="60"/>
      <c r="B8035" s="77"/>
      <c r="C8035" s="60"/>
      <c r="D8035" s="81"/>
      <c r="E8035" s="62"/>
      <c r="F8035" s="60"/>
      <c r="G8035" s="62"/>
      <c r="H8035" s="60"/>
    </row>
    <row r="8036" spans="1:8">
      <c r="A8036" s="60"/>
      <c r="B8036" s="77"/>
      <c r="C8036" s="60"/>
      <c r="D8036" s="81"/>
      <c r="E8036" s="62"/>
      <c r="F8036" s="60"/>
      <c r="G8036" s="62"/>
      <c r="H8036" s="60"/>
    </row>
    <row r="8037" spans="1:8">
      <c r="A8037" s="60"/>
      <c r="B8037" s="77"/>
      <c r="C8037" s="60"/>
      <c r="D8037" s="81"/>
      <c r="E8037" s="62"/>
      <c r="F8037" s="60"/>
      <c r="G8037" s="62"/>
      <c r="H8037" s="60"/>
    </row>
    <row r="8038" spans="1:8">
      <c r="A8038" s="60"/>
      <c r="B8038" s="77"/>
      <c r="C8038" s="60"/>
      <c r="D8038" s="81"/>
      <c r="E8038" s="62"/>
      <c r="F8038" s="60"/>
      <c r="G8038" s="62"/>
      <c r="H8038" s="60"/>
    </row>
    <row r="8039" spans="1:8">
      <c r="A8039" s="60"/>
      <c r="B8039" s="77"/>
      <c r="C8039" s="60"/>
      <c r="D8039" s="81"/>
      <c r="E8039" s="62"/>
      <c r="F8039" s="60"/>
      <c r="G8039" s="62"/>
      <c r="H8039" s="60"/>
    </row>
    <row r="8040" spans="1:8">
      <c r="A8040" s="60"/>
      <c r="B8040" s="77"/>
      <c r="C8040" s="60"/>
      <c r="D8040" s="81"/>
      <c r="E8040" s="62"/>
      <c r="F8040" s="60"/>
      <c r="G8040" s="62"/>
      <c r="H8040" s="60"/>
    </row>
    <row r="8041" spans="1:8">
      <c r="A8041" s="60"/>
      <c r="B8041" s="77"/>
      <c r="C8041" s="60"/>
      <c r="D8041" s="81"/>
      <c r="E8041" s="62"/>
      <c r="F8041" s="60"/>
      <c r="G8041" s="62"/>
      <c r="H8041" s="60"/>
    </row>
    <row r="8042" spans="1:8">
      <c r="A8042" s="60"/>
      <c r="B8042" s="77"/>
      <c r="C8042" s="60"/>
      <c r="D8042" s="81"/>
      <c r="E8042" s="62"/>
      <c r="F8042" s="60"/>
      <c r="G8042" s="62"/>
      <c r="H8042" s="60"/>
    </row>
    <row r="8043" spans="1:8">
      <c r="A8043" s="60"/>
      <c r="B8043" s="77"/>
      <c r="C8043" s="60"/>
      <c r="D8043" s="81"/>
      <c r="E8043" s="62"/>
      <c r="F8043" s="60"/>
      <c r="G8043" s="62"/>
      <c r="H8043" s="60"/>
    </row>
    <row r="8044" spans="1:8">
      <c r="A8044" s="60"/>
      <c r="B8044" s="77"/>
      <c r="C8044" s="60"/>
      <c r="D8044" s="81"/>
      <c r="E8044" s="62"/>
      <c r="F8044" s="60"/>
      <c r="G8044" s="62"/>
      <c r="H8044" s="60"/>
    </row>
    <row r="8045" spans="1:8">
      <c r="A8045" s="60"/>
      <c r="B8045" s="77"/>
      <c r="C8045" s="60"/>
      <c r="D8045" s="81"/>
      <c r="E8045" s="62"/>
      <c r="F8045" s="60"/>
      <c r="G8045" s="62"/>
      <c r="H8045" s="60"/>
    </row>
    <row r="8046" spans="1:8">
      <c r="A8046" s="60"/>
      <c r="B8046" s="77"/>
      <c r="C8046" s="60"/>
      <c r="D8046" s="81"/>
      <c r="E8046" s="62"/>
      <c r="F8046" s="60"/>
      <c r="G8046" s="62"/>
      <c r="H8046" s="60"/>
    </row>
    <row r="8047" spans="1:8">
      <c r="A8047" s="60"/>
      <c r="B8047" s="77"/>
      <c r="C8047" s="60"/>
      <c r="D8047" s="81"/>
      <c r="E8047" s="62"/>
      <c r="F8047" s="60"/>
      <c r="G8047" s="62"/>
      <c r="H8047" s="60"/>
    </row>
    <row r="8048" spans="1:8">
      <c r="A8048" s="60"/>
      <c r="B8048" s="77"/>
      <c r="C8048" s="60"/>
      <c r="D8048" s="81"/>
      <c r="E8048" s="62"/>
      <c r="F8048" s="60"/>
      <c r="G8048" s="62"/>
      <c r="H8048" s="60"/>
    </row>
    <row r="8049" spans="1:8">
      <c r="A8049" s="60"/>
      <c r="B8049" s="77"/>
      <c r="C8049" s="60"/>
      <c r="D8049" s="81"/>
      <c r="E8049" s="62"/>
      <c r="F8049" s="60"/>
      <c r="G8049" s="62"/>
      <c r="H8049" s="60"/>
    </row>
    <row r="8050" spans="1:8">
      <c r="A8050" s="60"/>
      <c r="B8050" s="77"/>
      <c r="C8050" s="60"/>
      <c r="D8050" s="81"/>
      <c r="E8050" s="62"/>
      <c r="F8050" s="60"/>
      <c r="G8050" s="62"/>
      <c r="H8050" s="60"/>
    </row>
    <row r="8051" spans="1:8">
      <c r="A8051" s="60"/>
      <c r="B8051" s="77"/>
      <c r="C8051" s="60"/>
      <c r="D8051" s="81"/>
      <c r="E8051" s="62"/>
      <c r="F8051" s="60"/>
      <c r="G8051" s="62"/>
      <c r="H8051" s="60"/>
    </row>
    <row r="8052" spans="1:8">
      <c r="A8052" s="60"/>
      <c r="B8052" s="77"/>
      <c r="C8052" s="60"/>
      <c r="D8052" s="81"/>
      <c r="E8052" s="62"/>
      <c r="F8052" s="60"/>
      <c r="G8052" s="62"/>
      <c r="H8052" s="60"/>
    </row>
    <row r="8053" spans="1:8">
      <c r="A8053" s="60"/>
      <c r="B8053" s="77"/>
      <c r="C8053" s="60"/>
      <c r="D8053" s="81"/>
      <c r="E8053" s="62"/>
      <c r="F8053" s="60"/>
      <c r="G8053" s="62"/>
      <c r="H8053" s="60"/>
    </row>
    <row r="8054" spans="1:8">
      <c r="A8054" s="60"/>
      <c r="B8054" s="77"/>
      <c r="C8054" s="60"/>
      <c r="D8054" s="81"/>
      <c r="E8054" s="62"/>
      <c r="F8054" s="60"/>
      <c r="G8054" s="62"/>
      <c r="H8054" s="60"/>
    </row>
    <row r="8055" spans="1:8">
      <c r="A8055" s="60"/>
      <c r="B8055" s="77"/>
      <c r="C8055" s="60"/>
      <c r="D8055" s="81"/>
      <c r="E8055" s="62"/>
      <c r="F8055" s="60"/>
      <c r="G8055" s="62"/>
      <c r="H8055" s="60"/>
    </row>
    <row r="8056" spans="1:8">
      <c r="A8056" s="60"/>
      <c r="B8056" s="77"/>
      <c r="C8056" s="60"/>
      <c r="D8056" s="81"/>
      <c r="E8056" s="62"/>
      <c r="F8056" s="60"/>
      <c r="G8056" s="62"/>
      <c r="H8056" s="60"/>
    </row>
    <row r="8057" spans="1:8">
      <c r="A8057" s="60"/>
      <c r="B8057" s="77"/>
      <c r="C8057" s="60"/>
      <c r="D8057" s="81"/>
      <c r="E8057" s="62"/>
      <c r="F8057" s="60"/>
      <c r="G8057" s="62"/>
      <c r="H8057" s="60"/>
    </row>
    <row r="8058" spans="1:8">
      <c r="A8058" s="60"/>
      <c r="B8058" s="77"/>
      <c r="C8058" s="60"/>
      <c r="D8058" s="81"/>
      <c r="E8058" s="62"/>
      <c r="F8058" s="60"/>
      <c r="G8058" s="62"/>
      <c r="H8058" s="60"/>
    </row>
    <row r="8059" spans="1:8">
      <c r="A8059" s="60"/>
      <c r="B8059" s="77"/>
      <c r="C8059" s="60"/>
      <c r="D8059" s="81"/>
      <c r="E8059" s="62"/>
      <c r="F8059" s="60"/>
      <c r="G8059" s="62"/>
      <c r="H8059" s="60"/>
    </row>
    <row r="8060" spans="1:8">
      <c r="A8060" s="60"/>
      <c r="B8060" s="77"/>
      <c r="C8060" s="60"/>
      <c r="D8060" s="81"/>
      <c r="E8060" s="62"/>
      <c r="F8060" s="60"/>
      <c r="G8060" s="62"/>
      <c r="H8060" s="60"/>
    </row>
    <row r="8061" spans="1:8">
      <c r="A8061" s="60"/>
      <c r="B8061" s="77"/>
      <c r="C8061" s="60"/>
      <c r="D8061" s="81"/>
      <c r="E8061" s="62"/>
      <c r="F8061" s="60"/>
      <c r="G8061" s="62"/>
      <c r="H8061" s="60"/>
    </row>
    <row r="8062" spans="1:8">
      <c r="A8062" s="60"/>
      <c r="B8062" s="77"/>
      <c r="C8062" s="60"/>
      <c r="D8062" s="81"/>
      <c r="E8062" s="62"/>
      <c r="F8062" s="60"/>
      <c r="G8062" s="62"/>
      <c r="H8062" s="60"/>
    </row>
    <row r="8063" spans="1:8">
      <c r="A8063" s="60"/>
      <c r="B8063" s="77"/>
      <c r="C8063" s="60"/>
      <c r="D8063" s="81"/>
      <c r="E8063" s="62"/>
      <c r="F8063" s="60"/>
      <c r="G8063" s="62"/>
      <c r="H8063" s="60"/>
    </row>
    <row r="8064" spans="1:8">
      <c r="A8064" s="60"/>
      <c r="B8064" s="77"/>
      <c r="C8064" s="60"/>
      <c r="D8064" s="81"/>
      <c r="E8064" s="62"/>
      <c r="F8064" s="60"/>
      <c r="G8064" s="62"/>
      <c r="H8064" s="60"/>
    </row>
    <row r="8065" spans="1:8">
      <c r="A8065" s="60"/>
      <c r="B8065" s="77"/>
      <c r="C8065" s="60"/>
      <c r="D8065" s="81"/>
      <c r="E8065" s="62"/>
      <c r="F8065" s="60"/>
      <c r="G8065" s="62"/>
      <c r="H8065" s="60"/>
    </row>
    <row r="8066" spans="1:8">
      <c r="A8066" s="60"/>
      <c r="B8066" s="77"/>
      <c r="C8066" s="60"/>
      <c r="D8066" s="81"/>
      <c r="E8066" s="62"/>
      <c r="F8066" s="60"/>
      <c r="G8066" s="62"/>
      <c r="H8066" s="60"/>
    </row>
    <row r="8067" spans="1:8">
      <c r="A8067" s="60"/>
      <c r="B8067" s="77"/>
      <c r="C8067" s="60"/>
      <c r="D8067" s="81"/>
      <c r="E8067" s="62"/>
      <c r="F8067" s="60"/>
      <c r="G8067" s="62"/>
      <c r="H8067" s="60"/>
    </row>
    <row r="8068" spans="1:8">
      <c r="A8068" s="60"/>
      <c r="B8068" s="77"/>
      <c r="C8068" s="60"/>
      <c r="D8068" s="81"/>
      <c r="E8068" s="62"/>
      <c r="F8068" s="60"/>
      <c r="G8068" s="62"/>
      <c r="H8068" s="60"/>
    </row>
    <row r="8069" spans="1:8">
      <c r="A8069" s="60"/>
      <c r="B8069" s="77"/>
      <c r="C8069" s="60"/>
      <c r="D8069" s="81"/>
      <c r="E8069" s="62"/>
      <c r="F8069" s="60"/>
      <c r="G8069" s="62"/>
      <c r="H8069" s="60"/>
    </row>
    <row r="8070" spans="1:8">
      <c r="A8070" s="60"/>
      <c r="B8070" s="77"/>
      <c r="C8070" s="60"/>
      <c r="D8070" s="81"/>
      <c r="E8070" s="62"/>
      <c r="F8070" s="60"/>
      <c r="G8070" s="62"/>
      <c r="H8070" s="60"/>
    </row>
    <row r="8071" spans="1:8">
      <c r="A8071" s="60"/>
      <c r="B8071" s="77"/>
      <c r="C8071" s="60"/>
      <c r="D8071" s="81"/>
      <c r="E8071" s="62"/>
      <c r="F8071" s="60"/>
      <c r="G8071" s="62"/>
      <c r="H8071" s="60"/>
    </row>
    <row r="8072" spans="1:8">
      <c r="A8072" s="60"/>
      <c r="B8072" s="77"/>
      <c r="C8072" s="60"/>
      <c r="D8072" s="81"/>
      <c r="E8072" s="62"/>
      <c r="F8072" s="60"/>
      <c r="G8072" s="62"/>
      <c r="H8072" s="60"/>
    </row>
    <row r="8073" spans="1:8">
      <c r="A8073" s="60"/>
      <c r="B8073" s="77"/>
      <c r="C8073" s="60"/>
      <c r="D8073" s="81"/>
      <c r="E8073" s="62"/>
      <c r="F8073" s="60"/>
      <c r="G8073" s="62"/>
      <c r="H8073" s="60"/>
    </row>
    <row r="8074" spans="1:8">
      <c r="A8074" s="60"/>
      <c r="B8074" s="77"/>
      <c r="C8074" s="60"/>
      <c r="D8074" s="81"/>
      <c r="E8074" s="62"/>
      <c r="F8074" s="60"/>
      <c r="G8074" s="62"/>
      <c r="H8074" s="60"/>
    </row>
    <row r="8075" spans="1:8">
      <c r="A8075" s="60"/>
      <c r="B8075" s="77"/>
      <c r="C8075" s="60"/>
      <c r="D8075" s="81"/>
      <c r="E8075" s="62"/>
      <c r="F8075" s="60"/>
      <c r="G8075" s="62"/>
      <c r="H8075" s="60"/>
    </row>
    <row r="8076" spans="1:8">
      <c r="A8076" s="60"/>
      <c r="B8076" s="77"/>
      <c r="C8076" s="60"/>
      <c r="D8076" s="81"/>
      <c r="E8076" s="62"/>
      <c r="F8076" s="60"/>
      <c r="G8076" s="62"/>
      <c r="H8076" s="60"/>
    </row>
    <row r="8077" spans="1:8">
      <c r="A8077" s="60"/>
      <c r="B8077" s="77"/>
      <c r="C8077" s="60"/>
      <c r="D8077" s="81"/>
      <c r="E8077" s="62"/>
      <c r="F8077" s="60"/>
      <c r="G8077" s="62"/>
      <c r="H8077" s="60"/>
    </row>
    <row r="8078" spans="1:8">
      <c r="A8078" s="60"/>
      <c r="B8078" s="77"/>
      <c r="C8078" s="60"/>
      <c r="D8078" s="81"/>
      <c r="E8078" s="62"/>
      <c r="F8078" s="60"/>
      <c r="G8078" s="62"/>
      <c r="H8078" s="60"/>
    </row>
    <row r="8079" spans="1:8">
      <c r="A8079" s="60"/>
      <c r="B8079" s="77"/>
      <c r="C8079" s="60"/>
      <c r="D8079" s="81"/>
      <c r="E8079" s="62"/>
      <c r="F8079" s="60"/>
      <c r="G8079" s="62"/>
      <c r="H8079" s="60"/>
    </row>
    <row r="8080" spans="1:8">
      <c r="A8080" s="60"/>
      <c r="B8080" s="77"/>
      <c r="C8080" s="60"/>
      <c r="D8080" s="81"/>
      <c r="E8080" s="62"/>
      <c r="F8080" s="60"/>
      <c r="G8080" s="62"/>
      <c r="H8080" s="60"/>
    </row>
    <row r="8081" spans="1:8">
      <c r="A8081" s="60"/>
      <c r="B8081" s="77"/>
      <c r="C8081" s="60"/>
      <c r="D8081" s="81"/>
      <c r="E8081" s="62"/>
      <c r="F8081" s="60"/>
      <c r="G8081" s="62"/>
      <c r="H8081" s="60"/>
    </row>
    <row r="8082" spans="1:8">
      <c r="A8082" s="60"/>
      <c r="B8082" s="77"/>
      <c r="C8082" s="60"/>
      <c r="D8082" s="81"/>
      <c r="E8082" s="62"/>
      <c r="F8082" s="60"/>
      <c r="G8082" s="62"/>
      <c r="H8082" s="60"/>
    </row>
    <row r="8083" spans="1:8">
      <c r="A8083" s="60"/>
      <c r="B8083" s="77"/>
      <c r="C8083" s="60"/>
      <c r="D8083" s="81"/>
      <c r="E8083" s="62"/>
      <c r="F8083" s="60"/>
      <c r="G8083" s="62"/>
      <c r="H8083" s="60"/>
    </row>
    <row r="8084" spans="1:8">
      <c r="A8084" s="60"/>
      <c r="B8084" s="77"/>
      <c r="C8084" s="60"/>
      <c r="D8084" s="81"/>
      <c r="E8084" s="62"/>
      <c r="F8084" s="60"/>
      <c r="G8084" s="62"/>
      <c r="H8084" s="60"/>
    </row>
    <row r="8085" spans="1:8">
      <c r="A8085" s="60"/>
      <c r="B8085" s="77"/>
      <c r="C8085" s="60"/>
      <c r="D8085" s="81"/>
      <c r="E8085" s="62"/>
      <c r="F8085" s="60"/>
      <c r="G8085" s="62"/>
      <c r="H8085" s="60"/>
    </row>
    <row r="8086" spans="1:8">
      <c r="A8086" s="60"/>
      <c r="B8086" s="77"/>
      <c r="C8086" s="60"/>
      <c r="D8086" s="81"/>
      <c r="E8086" s="62"/>
      <c r="F8086" s="60"/>
      <c r="G8086" s="62"/>
      <c r="H8086" s="60"/>
    </row>
    <row r="8087" spans="1:8">
      <c r="A8087" s="60"/>
      <c r="B8087" s="77"/>
      <c r="C8087" s="60"/>
      <c r="D8087" s="81"/>
      <c r="E8087" s="62"/>
      <c r="F8087" s="60"/>
      <c r="G8087" s="62"/>
      <c r="H8087" s="60"/>
    </row>
    <row r="8088" spans="1:8">
      <c r="A8088" s="60"/>
      <c r="B8088" s="77"/>
      <c r="C8088" s="60"/>
      <c r="D8088" s="81"/>
      <c r="E8088" s="62"/>
      <c r="F8088" s="60"/>
      <c r="G8088" s="62"/>
      <c r="H8088" s="60"/>
    </row>
    <row r="8089" spans="1:8">
      <c r="A8089" s="60"/>
      <c r="B8089" s="77"/>
      <c r="C8089" s="60"/>
      <c r="D8089" s="81"/>
      <c r="E8089" s="62"/>
      <c r="F8089" s="60"/>
      <c r="G8089" s="62"/>
      <c r="H8089" s="60"/>
    </row>
    <row r="8090" spans="1:8">
      <c r="A8090" s="60"/>
      <c r="B8090" s="77"/>
      <c r="C8090" s="60"/>
      <c r="D8090" s="81"/>
      <c r="E8090" s="62"/>
      <c r="F8090" s="60"/>
      <c r="G8090" s="62"/>
      <c r="H8090" s="60"/>
    </row>
    <row r="8091" spans="1:8">
      <c r="A8091" s="60"/>
      <c r="B8091" s="77"/>
      <c r="C8091" s="60"/>
      <c r="D8091" s="81"/>
      <c r="E8091" s="62"/>
      <c r="F8091" s="60"/>
      <c r="G8091" s="62"/>
      <c r="H8091" s="60"/>
    </row>
    <row r="8092" spans="1:8">
      <c r="A8092" s="60"/>
      <c r="B8092" s="77"/>
      <c r="C8092" s="60"/>
      <c r="D8092" s="81"/>
      <c r="E8092" s="62"/>
      <c r="F8092" s="60"/>
      <c r="G8092" s="62"/>
      <c r="H8092" s="60"/>
    </row>
    <row r="8093" spans="1:8">
      <c r="A8093" s="60"/>
      <c r="B8093" s="77"/>
      <c r="C8093" s="60"/>
      <c r="D8093" s="81"/>
      <c r="E8093" s="62"/>
      <c r="F8093" s="60"/>
      <c r="G8093" s="62"/>
      <c r="H8093" s="60"/>
    </row>
    <row r="8094" spans="1:8">
      <c r="A8094" s="60"/>
      <c r="B8094" s="77"/>
      <c r="C8094" s="60"/>
      <c r="D8094" s="81"/>
      <c r="E8094" s="62"/>
      <c r="F8094" s="60"/>
      <c r="G8094" s="62"/>
      <c r="H8094" s="60"/>
    </row>
    <row r="8095" spans="1:8">
      <c r="A8095" s="60"/>
      <c r="B8095" s="77"/>
      <c r="C8095" s="60"/>
      <c r="D8095" s="81"/>
      <c r="E8095" s="62"/>
      <c r="F8095" s="60"/>
      <c r="G8095" s="62"/>
      <c r="H8095" s="60"/>
    </row>
    <row r="8096" spans="1:8">
      <c r="A8096" s="60"/>
      <c r="B8096" s="77"/>
      <c r="C8096" s="60"/>
      <c r="D8096" s="81"/>
      <c r="E8096" s="62"/>
      <c r="F8096" s="60"/>
      <c r="G8096" s="62"/>
      <c r="H8096" s="60"/>
    </row>
    <row r="8097" spans="1:8">
      <c r="A8097" s="60"/>
      <c r="B8097" s="77"/>
      <c r="C8097" s="60"/>
      <c r="D8097" s="81"/>
      <c r="E8097" s="62"/>
      <c r="F8097" s="60"/>
      <c r="G8097" s="62"/>
      <c r="H8097" s="60"/>
    </row>
    <row r="8098" spans="1:8">
      <c r="A8098" s="60"/>
      <c r="B8098" s="77"/>
      <c r="C8098" s="60"/>
      <c r="D8098" s="81"/>
      <c r="E8098" s="62"/>
      <c r="F8098" s="60"/>
      <c r="G8098" s="62"/>
      <c r="H8098" s="60"/>
    </row>
    <row r="8099" spans="1:8">
      <c r="A8099" s="60"/>
      <c r="B8099" s="77"/>
      <c r="C8099" s="60"/>
      <c r="D8099" s="81"/>
      <c r="E8099" s="62"/>
      <c r="F8099" s="60"/>
      <c r="G8099" s="62"/>
      <c r="H8099" s="60"/>
    </row>
    <row r="8100" spans="1:8">
      <c r="A8100" s="60"/>
      <c r="B8100" s="77"/>
      <c r="C8100" s="60"/>
      <c r="D8100" s="81"/>
      <c r="E8100" s="62"/>
      <c r="F8100" s="60"/>
      <c r="G8100" s="62"/>
      <c r="H8100" s="60"/>
    </row>
    <row r="8101" spans="1:8">
      <c r="A8101" s="60"/>
      <c r="B8101" s="77"/>
      <c r="C8101" s="60"/>
      <c r="D8101" s="81"/>
      <c r="E8101" s="62"/>
      <c r="F8101" s="60"/>
      <c r="G8101" s="62"/>
      <c r="H8101" s="60"/>
    </row>
    <row r="8102" spans="1:8">
      <c r="A8102" s="60"/>
      <c r="B8102" s="77"/>
      <c r="C8102" s="60"/>
      <c r="D8102" s="81"/>
      <c r="E8102" s="62"/>
      <c r="F8102" s="60"/>
      <c r="G8102" s="62"/>
      <c r="H8102" s="60"/>
    </row>
    <row r="8103" spans="1:8">
      <c r="A8103" s="60"/>
      <c r="B8103" s="77"/>
      <c r="C8103" s="60"/>
      <c r="D8103" s="81"/>
      <c r="E8103" s="62"/>
      <c r="F8103" s="60"/>
      <c r="G8103" s="62"/>
      <c r="H8103" s="60"/>
    </row>
    <row r="8104" spans="1:8">
      <c r="A8104" s="60"/>
      <c r="B8104" s="77"/>
      <c r="C8104" s="60"/>
      <c r="D8104" s="81"/>
      <c r="E8104" s="62"/>
      <c r="F8104" s="60"/>
      <c r="G8104" s="62"/>
      <c r="H8104" s="60"/>
    </row>
    <row r="8105" spans="1:8">
      <c r="A8105" s="60"/>
      <c r="B8105" s="77"/>
      <c r="C8105" s="60"/>
      <c r="D8105" s="81"/>
      <c r="E8105" s="62"/>
      <c r="F8105" s="60"/>
      <c r="G8105" s="62"/>
      <c r="H8105" s="60"/>
    </row>
    <row r="8106" spans="1:8">
      <c r="A8106" s="60"/>
      <c r="B8106" s="77"/>
      <c r="C8106" s="60"/>
      <c r="D8106" s="81"/>
      <c r="E8106" s="62"/>
      <c r="F8106" s="60"/>
      <c r="G8106" s="62"/>
      <c r="H8106" s="60"/>
    </row>
    <row r="8107" spans="1:8">
      <c r="A8107" s="60"/>
      <c r="B8107" s="77"/>
      <c r="C8107" s="60"/>
      <c r="D8107" s="81"/>
      <c r="E8107" s="62"/>
      <c r="F8107" s="60"/>
      <c r="G8107" s="62"/>
      <c r="H8107" s="60"/>
    </row>
    <row r="8108" spans="1:8">
      <c r="A8108" s="60"/>
      <c r="B8108" s="77"/>
      <c r="C8108" s="60"/>
      <c r="D8108" s="81"/>
      <c r="E8108" s="62"/>
      <c r="F8108" s="60"/>
      <c r="G8108" s="62"/>
      <c r="H8108" s="60"/>
    </row>
    <row r="8109" spans="1:8">
      <c r="A8109" s="60"/>
      <c r="B8109" s="77"/>
      <c r="C8109" s="60"/>
      <c r="D8109" s="81"/>
      <c r="E8109" s="62"/>
      <c r="F8109" s="60"/>
      <c r="G8109" s="62"/>
      <c r="H8109" s="60"/>
    </row>
    <row r="8110" spans="1:8">
      <c r="A8110" s="60"/>
      <c r="B8110" s="77"/>
      <c r="C8110" s="60"/>
      <c r="D8110" s="81"/>
      <c r="E8110" s="62"/>
      <c r="F8110" s="60"/>
      <c r="G8110" s="62"/>
      <c r="H8110" s="60"/>
    </row>
    <row r="8111" spans="1:8">
      <c r="A8111" s="60"/>
      <c r="B8111" s="77"/>
      <c r="C8111" s="60"/>
      <c r="D8111" s="81"/>
      <c r="E8111" s="62"/>
      <c r="F8111" s="60"/>
      <c r="G8111" s="62"/>
      <c r="H8111" s="60"/>
    </row>
    <row r="8112" spans="1:8">
      <c r="A8112" s="60"/>
      <c r="B8112" s="77"/>
      <c r="C8112" s="60"/>
      <c r="D8112" s="81"/>
      <c r="E8112" s="62"/>
      <c r="F8112" s="60"/>
      <c r="G8112" s="62"/>
      <c r="H8112" s="60"/>
    </row>
    <row r="8113" spans="1:8">
      <c r="A8113" s="60"/>
      <c r="B8113" s="77"/>
      <c r="C8113" s="60"/>
      <c r="D8113" s="81"/>
      <c r="E8113" s="62"/>
      <c r="F8113" s="60"/>
      <c r="G8113" s="62"/>
      <c r="H8113" s="60"/>
    </row>
    <row r="8114" spans="1:8">
      <c r="A8114" s="60"/>
      <c r="B8114" s="77"/>
      <c r="C8114" s="60"/>
      <c r="D8114" s="81"/>
      <c r="E8114" s="62"/>
      <c r="F8114" s="60"/>
      <c r="G8114" s="62"/>
      <c r="H8114" s="60"/>
    </row>
    <row r="8115" spans="1:8">
      <c r="A8115" s="60"/>
      <c r="B8115" s="77"/>
      <c r="C8115" s="60"/>
      <c r="D8115" s="81"/>
      <c r="E8115" s="62"/>
      <c r="F8115" s="60"/>
      <c r="G8115" s="62"/>
      <c r="H8115" s="60"/>
    </row>
    <row r="8116" spans="1:8">
      <c r="A8116" s="60"/>
      <c r="B8116" s="77"/>
      <c r="C8116" s="60"/>
      <c r="D8116" s="81"/>
      <c r="E8116" s="62"/>
      <c r="F8116" s="60"/>
      <c r="G8116" s="62"/>
      <c r="H8116" s="60"/>
    </row>
    <row r="8117" spans="1:8">
      <c r="A8117" s="60"/>
      <c r="B8117" s="77"/>
      <c r="C8117" s="60"/>
      <c r="D8117" s="81"/>
      <c r="E8117" s="62"/>
      <c r="F8117" s="60"/>
      <c r="G8117" s="62"/>
      <c r="H8117" s="60"/>
    </row>
    <row r="8118" spans="1:8">
      <c r="A8118" s="60"/>
      <c r="B8118" s="77"/>
      <c r="C8118" s="60"/>
      <c r="D8118" s="81"/>
      <c r="E8118" s="62"/>
      <c r="F8118" s="60"/>
      <c r="G8118" s="62"/>
      <c r="H8118" s="60"/>
    </row>
    <row r="8119" spans="1:8">
      <c r="A8119" s="60"/>
      <c r="B8119" s="77"/>
      <c r="C8119" s="60"/>
      <c r="D8119" s="81"/>
      <c r="E8119" s="62"/>
      <c r="F8119" s="60"/>
      <c r="G8119" s="62"/>
      <c r="H8119" s="60"/>
    </row>
    <row r="8120" spans="1:8">
      <c r="A8120" s="60"/>
      <c r="B8120" s="77"/>
      <c r="C8120" s="60"/>
      <c r="D8120" s="81"/>
      <c r="E8120" s="62"/>
      <c r="F8120" s="60"/>
      <c r="G8120" s="62"/>
      <c r="H8120" s="60"/>
    </row>
    <row r="8121" spans="1:8">
      <c r="A8121" s="60"/>
      <c r="B8121" s="77"/>
      <c r="C8121" s="60"/>
      <c r="D8121" s="81"/>
      <c r="E8121" s="62"/>
      <c r="F8121" s="60"/>
      <c r="G8121" s="62"/>
      <c r="H8121" s="60"/>
    </row>
    <row r="8122" spans="1:8">
      <c r="A8122" s="60"/>
      <c r="B8122" s="77"/>
      <c r="C8122" s="60"/>
      <c r="D8122" s="81"/>
      <c r="E8122" s="62"/>
      <c r="F8122" s="60"/>
      <c r="G8122" s="62"/>
      <c r="H8122" s="60"/>
    </row>
    <row r="8123" spans="1:8">
      <c r="A8123" s="60"/>
      <c r="B8123" s="77"/>
      <c r="C8123" s="60"/>
      <c r="D8123" s="81"/>
      <c r="E8123" s="62"/>
      <c r="F8123" s="60"/>
      <c r="G8123" s="62"/>
      <c r="H8123" s="60"/>
    </row>
    <row r="8124" spans="1:8">
      <c r="A8124" s="60"/>
      <c r="B8124" s="77"/>
      <c r="C8124" s="60"/>
      <c r="D8124" s="81"/>
      <c r="E8124" s="62"/>
      <c r="F8124" s="60"/>
      <c r="G8124" s="62"/>
      <c r="H8124" s="60"/>
    </row>
    <row r="8125" spans="1:8">
      <c r="A8125" s="60"/>
      <c r="B8125" s="77"/>
      <c r="C8125" s="60"/>
      <c r="D8125" s="81"/>
      <c r="E8125" s="62"/>
      <c r="F8125" s="60"/>
      <c r="G8125" s="62"/>
      <c r="H8125" s="60"/>
    </row>
    <row r="8126" spans="1:8">
      <c r="A8126" s="60"/>
      <c r="B8126" s="77"/>
      <c r="C8126" s="60"/>
      <c r="D8126" s="81"/>
      <c r="E8126" s="62"/>
      <c r="F8126" s="60"/>
      <c r="G8126" s="62"/>
      <c r="H8126" s="60"/>
    </row>
    <row r="8127" spans="1:8">
      <c r="A8127" s="60"/>
      <c r="B8127" s="77"/>
      <c r="C8127" s="60"/>
      <c r="D8127" s="81"/>
      <c r="E8127" s="62"/>
      <c r="F8127" s="60"/>
      <c r="G8127" s="62"/>
      <c r="H8127" s="60"/>
    </row>
    <row r="8128" spans="1:8">
      <c r="A8128" s="60"/>
      <c r="B8128" s="77"/>
      <c r="C8128" s="60"/>
      <c r="D8128" s="81"/>
      <c r="E8128" s="62"/>
      <c r="F8128" s="60"/>
      <c r="G8128" s="62"/>
      <c r="H8128" s="60"/>
    </row>
    <row r="8129" spans="1:8">
      <c r="A8129" s="60"/>
      <c r="B8129" s="77"/>
      <c r="C8129" s="60"/>
      <c r="D8129" s="81"/>
      <c r="E8129" s="62"/>
      <c r="F8129" s="60"/>
      <c r="G8129" s="62"/>
      <c r="H8129" s="60"/>
    </row>
    <row r="8130" spans="1:8">
      <c r="A8130" s="60"/>
      <c r="B8130" s="77"/>
      <c r="C8130" s="60"/>
      <c r="D8130" s="81"/>
      <c r="E8130" s="62"/>
      <c r="F8130" s="60"/>
      <c r="G8130" s="62"/>
      <c r="H8130" s="60"/>
    </row>
    <row r="8131" spans="1:8">
      <c r="A8131" s="60"/>
      <c r="B8131" s="77"/>
      <c r="C8131" s="60"/>
      <c r="D8131" s="81"/>
      <c r="E8131" s="62"/>
      <c r="F8131" s="60"/>
      <c r="G8131" s="62"/>
      <c r="H8131" s="60"/>
    </row>
    <row r="8132" spans="1:8">
      <c r="A8132" s="60"/>
      <c r="B8132" s="77"/>
      <c r="C8132" s="60"/>
      <c r="D8132" s="81"/>
      <c r="E8132" s="62"/>
      <c r="F8132" s="60"/>
      <c r="G8132" s="62"/>
      <c r="H8132" s="60"/>
    </row>
    <row r="8133" spans="1:8">
      <c r="A8133" s="60"/>
      <c r="B8133" s="77"/>
      <c r="C8133" s="60"/>
      <c r="D8133" s="81"/>
      <c r="E8133" s="62"/>
      <c r="F8133" s="60"/>
      <c r="G8133" s="62"/>
      <c r="H8133" s="60"/>
    </row>
    <row r="8134" spans="1:8">
      <c r="A8134" s="60"/>
      <c r="B8134" s="77"/>
      <c r="C8134" s="60"/>
      <c r="D8134" s="81"/>
      <c r="E8134" s="62"/>
      <c r="F8134" s="60"/>
      <c r="G8134" s="62"/>
      <c r="H8134" s="60"/>
    </row>
    <row r="8135" spans="1:8">
      <c r="A8135" s="60"/>
      <c r="B8135" s="77"/>
      <c r="C8135" s="60"/>
      <c r="D8135" s="81"/>
      <c r="E8135" s="62"/>
      <c r="F8135" s="60"/>
      <c r="G8135" s="62"/>
      <c r="H8135" s="60"/>
    </row>
    <row r="8136" spans="1:8">
      <c r="A8136" s="60"/>
      <c r="B8136" s="77"/>
      <c r="C8136" s="60"/>
      <c r="D8136" s="81"/>
      <c r="E8136" s="62"/>
      <c r="F8136" s="60"/>
      <c r="G8136" s="62"/>
      <c r="H8136" s="60"/>
    </row>
    <row r="8137" spans="1:8">
      <c r="A8137" s="60"/>
      <c r="B8137" s="77"/>
      <c r="C8137" s="60"/>
      <c r="D8137" s="81"/>
      <c r="E8137" s="62"/>
      <c r="F8137" s="60"/>
      <c r="G8137" s="62"/>
      <c r="H8137" s="60"/>
    </row>
    <row r="8138" spans="1:8">
      <c r="A8138" s="60"/>
      <c r="B8138" s="77"/>
      <c r="C8138" s="60"/>
      <c r="D8138" s="81"/>
      <c r="E8138" s="62"/>
      <c r="F8138" s="60"/>
      <c r="G8138" s="62"/>
      <c r="H8138" s="60"/>
    </row>
    <row r="8139" spans="1:8">
      <c r="A8139" s="60"/>
      <c r="B8139" s="77"/>
      <c r="C8139" s="60"/>
      <c r="D8139" s="81"/>
      <c r="E8139" s="62"/>
      <c r="F8139" s="60"/>
      <c r="G8139" s="62"/>
      <c r="H8139" s="60"/>
    </row>
    <row r="8140" spans="1:8">
      <c r="A8140" s="60"/>
      <c r="B8140" s="77"/>
      <c r="C8140" s="60"/>
      <c r="D8140" s="81"/>
      <c r="E8140" s="62"/>
      <c r="F8140" s="60"/>
      <c r="G8140" s="62"/>
      <c r="H8140" s="60"/>
    </row>
    <row r="8141" spans="1:8">
      <c r="A8141" s="60"/>
      <c r="B8141" s="77"/>
      <c r="C8141" s="60"/>
      <c r="D8141" s="81"/>
      <c r="E8141" s="62"/>
      <c r="F8141" s="60"/>
      <c r="G8141" s="62"/>
      <c r="H8141" s="60"/>
    </row>
    <row r="8142" spans="1:8">
      <c r="A8142" s="60"/>
      <c r="B8142" s="77"/>
      <c r="C8142" s="60"/>
      <c r="D8142" s="81"/>
      <c r="E8142" s="62"/>
      <c r="F8142" s="60"/>
      <c r="G8142" s="62"/>
      <c r="H8142" s="60"/>
    </row>
    <row r="8143" spans="1:8">
      <c r="A8143" s="60"/>
      <c r="B8143" s="77"/>
      <c r="C8143" s="60"/>
      <c r="D8143" s="81"/>
      <c r="E8143" s="62"/>
      <c r="F8143" s="60"/>
      <c r="G8143" s="62"/>
      <c r="H8143" s="60"/>
    </row>
    <row r="8144" spans="1:8">
      <c r="A8144" s="60"/>
      <c r="B8144" s="77"/>
      <c r="C8144" s="60"/>
      <c r="D8144" s="81"/>
      <c r="E8144" s="62"/>
      <c r="F8144" s="60"/>
      <c r="G8144" s="62"/>
      <c r="H8144" s="60"/>
    </row>
    <row r="8145" spans="1:8">
      <c r="A8145" s="60"/>
      <c r="B8145" s="77"/>
      <c r="C8145" s="60"/>
      <c r="D8145" s="81"/>
      <c r="E8145" s="62"/>
      <c r="F8145" s="60"/>
      <c r="G8145" s="62"/>
      <c r="H8145" s="60"/>
    </row>
    <row r="8146" spans="1:8">
      <c r="A8146" s="60"/>
      <c r="B8146" s="77"/>
      <c r="C8146" s="60"/>
      <c r="D8146" s="81"/>
      <c r="E8146" s="62"/>
      <c r="F8146" s="60"/>
      <c r="G8146" s="62"/>
      <c r="H8146" s="60"/>
    </row>
    <row r="8147" spans="1:8">
      <c r="A8147" s="60"/>
      <c r="B8147" s="77"/>
      <c r="C8147" s="60"/>
      <c r="D8147" s="81"/>
      <c r="E8147" s="62"/>
      <c r="F8147" s="60"/>
      <c r="G8147" s="62"/>
      <c r="H8147" s="60"/>
    </row>
    <row r="8148" spans="1:8">
      <c r="A8148" s="60"/>
      <c r="B8148" s="77"/>
      <c r="C8148" s="60"/>
      <c r="D8148" s="81"/>
      <c r="E8148" s="62"/>
      <c r="F8148" s="60"/>
      <c r="G8148" s="62"/>
      <c r="H8148" s="60"/>
    </row>
    <row r="8149" spans="1:8">
      <c r="A8149" s="60"/>
      <c r="B8149" s="77"/>
      <c r="C8149" s="60"/>
      <c r="D8149" s="81"/>
      <c r="E8149" s="62"/>
      <c r="F8149" s="60"/>
      <c r="G8149" s="62"/>
      <c r="H8149" s="60"/>
    </row>
    <row r="8150" spans="1:8">
      <c r="A8150" s="60"/>
      <c r="B8150" s="77"/>
      <c r="C8150" s="60"/>
      <c r="D8150" s="81"/>
      <c r="E8150" s="62"/>
      <c r="F8150" s="60"/>
      <c r="G8150" s="62"/>
      <c r="H8150" s="60"/>
    </row>
    <row r="8151" spans="1:8">
      <c r="A8151" s="60"/>
      <c r="B8151" s="77"/>
      <c r="C8151" s="60"/>
      <c r="D8151" s="81"/>
      <c r="E8151" s="62"/>
      <c r="F8151" s="60"/>
      <c r="G8151" s="62"/>
      <c r="H8151" s="60"/>
    </row>
    <row r="8152" spans="1:8">
      <c r="A8152" s="60"/>
      <c r="B8152" s="77"/>
      <c r="C8152" s="60"/>
      <c r="D8152" s="81"/>
      <c r="E8152" s="62"/>
      <c r="F8152" s="60"/>
      <c r="G8152" s="62"/>
      <c r="H8152" s="60"/>
    </row>
    <row r="8153" spans="1:8">
      <c r="A8153" s="60"/>
      <c r="B8153" s="77"/>
      <c r="C8153" s="60"/>
      <c r="D8153" s="81"/>
      <c r="E8153" s="62"/>
      <c r="F8153" s="60"/>
      <c r="G8153" s="62"/>
      <c r="H8153" s="60"/>
    </row>
    <row r="8154" spans="1:8">
      <c r="A8154" s="60"/>
      <c r="B8154" s="77"/>
      <c r="C8154" s="60"/>
      <c r="D8154" s="81"/>
      <c r="E8154" s="62"/>
      <c r="F8154" s="60"/>
      <c r="G8154" s="62"/>
      <c r="H8154" s="60"/>
    </row>
    <row r="8155" spans="1:8">
      <c r="A8155" s="60"/>
      <c r="B8155" s="77"/>
      <c r="C8155" s="60"/>
      <c r="D8155" s="81"/>
      <c r="E8155" s="62"/>
      <c r="F8155" s="60"/>
      <c r="G8155" s="62"/>
      <c r="H8155" s="60"/>
    </row>
    <row r="8156" spans="1:8">
      <c r="A8156" s="60"/>
      <c r="B8156" s="77"/>
      <c r="C8156" s="60"/>
      <c r="D8156" s="81"/>
      <c r="E8156" s="62"/>
      <c r="F8156" s="60"/>
      <c r="G8156" s="62"/>
      <c r="H8156" s="60"/>
    </row>
    <row r="8157" spans="1:8">
      <c r="A8157" s="60"/>
      <c r="B8157" s="77"/>
      <c r="C8157" s="60"/>
      <c r="D8157" s="81"/>
      <c r="E8157" s="62"/>
      <c r="F8157" s="60"/>
      <c r="G8157" s="62"/>
      <c r="H8157" s="60"/>
    </row>
    <row r="8158" spans="1:8">
      <c r="A8158" s="60"/>
      <c r="B8158" s="77"/>
      <c r="C8158" s="60"/>
      <c r="D8158" s="81"/>
      <c r="E8158" s="62"/>
      <c r="F8158" s="60"/>
      <c r="G8158" s="62"/>
      <c r="H8158" s="60"/>
    </row>
    <row r="8159" spans="1:8">
      <c r="A8159" s="60"/>
      <c r="B8159" s="77"/>
      <c r="C8159" s="60"/>
      <c r="D8159" s="81"/>
      <c r="E8159" s="62"/>
      <c r="F8159" s="60"/>
      <c r="G8159" s="62"/>
      <c r="H8159" s="60"/>
    </row>
    <row r="8160" spans="1:8">
      <c r="A8160" s="60"/>
      <c r="B8160" s="77"/>
      <c r="C8160" s="60"/>
      <c r="D8160" s="81"/>
      <c r="E8160" s="62"/>
      <c r="F8160" s="60"/>
      <c r="G8160" s="62"/>
      <c r="H8160" s="60"/>
    </row>
    <row r="8161" spans="1:8">
      <c r="A8161" s="60"/>
      <c r="B8161" s="77"/>
      <c r="C8161" s="60"/>
      <c r="D8161" s="81"/>
      <c r="E8161" s="62"/>
      <c r="F8161" s="60"/>
      <c r="G8161" s="62"/>
      <c r="H8161" s="60"/>
    </row>
    <row r="8162" spans="1:8">
      <c r="A8162" s="60"/>
      <c r="B8162" s="77"/>
      <c r="C8162" s="60"/>
      <c r="D8162" s="81"/>
      <c r="E8162" s="62"/>
      <c r="F8162" s="60"/>
      <c r="G8162" s="62"/>
      <c r="H8162" s="60"/>
    </row>
    <row r="8163" spans="1:8">
      <c r="A8163" s="60"/>
      <c r="B8163" s="77"/>
      <c r="C8163" s="60"/>
      <c r="D8163" s="81"/>
      <c r="E8163" s="62"/>
      <c r="F8163" s="60"/>
      <c r="G8163" s="62"/>
      <c r="H8163" s="60"/>
    </row>
    <row r="8164" spans="1:8">
      <c r="A8164" s="60"/>
      <c r="B8164" s="77"/>
      <c r="C8164" s="60"/>
      <c r="D8164" s="81"/>
      <c r="E8164" s="62"/>
      <c r="F8164" s="60"/>
      <c r="G8164" s="62"/>
      <c r="H8164" s="60"/>
    </row>
    <row r="8165" spans="1:8">
      <c r="A8165" s="60"/>
      <c r="B8165" s="77"/>
      <c r="C8165" s="60"/>
      <c r="D8165" s="81"/>
      <c r="E8165" s="62"/>
      <c r="F8165" s="60"/>
      <c r="G8165" s="62"/>
      <c r="H8165" s="60"/>
    </row>
    <row r="8166" spans="1:8">
      <c r="A8166" s="60"/>
      <c r="B8166" s="77"/>
      <c r="C8166" s="60"/>
      <c r="D8166" s="81"/>
      <c r="E8166" s="62"/>
      <c r="F8166" s="60"/>
      <c r="G8166" s="62"/>
      <c r="H8166" s="60"/>
    </row>
    <row r="8167" spans="1:8">
      <c r="A8167" s="60"/>
      <c r="B8167" s="77"/>
      <c r="C8167" s="60"/>
      <c r="D8167" s="81"/>
      <c r="E8167" s="62"/>
      <c r="F8167" s="60"/>
      <c r="G8167" s="62"/>
      <c r="H8167" s="60"/>
    </row>
    <row r="8168" spans="1:8">
      <c r="A8168" s="60"/>
      <c r="B8168" s="77"/>
      <c r="C8168" s="60"/>
      <c r="D8168" s="81"/>
      <c r="E8168" s="62"/>
      <c r="F8168" s="60"/>
      <c r="G8168" s="62"/>
      <c r="H8168" s="60"/>
    </row>
    <row r="8169" spans="1:8">
      <c r="A8169" s="60"/>
      <c r="B8169" s="77"/>
      <c r="C8169" s="60"/>
      <c r="D8169" s="81"/>
      <c r="E8169" s="62"/>
      <c r="F8169" s="60"/>
      <c r="G8169" s="62"/>
      <c r="H8169" s="60"/>
    </row>
    <row r="8170" spans="1:8">
      <c r="A8170" s="60"/>
      <c r="B8170" s="77"/>
      <c r="C8170" s="60"/>
      <c r="D8170" s="81"/>
      <c r="E8170" s="62"/>
      <c r="F8170" s="60"/>
      <c r="G8170" s="62"/>
      <c r="H8170" s="60"/>
    </row>
    <row r="8171" spans="1:8">
      <c r="A8171" s="60"/>
      <c r="B8171" s="77"/>
      <c r="C8171" s="60"/>
      <c r="D8171" s="81"/>
      <c r="E8171" s="62"/>
      <c r="F8171" s="60"/>
      <c r="G8171" s="62"/>
      <c r="H8171" s="60"/>
    </row>
    <row r="8172" spans="1:8">
      <c r="A8172" s="60"/>
      <c r="B8172" s="77"/>
      <c r="C8172" s="60"/>
      <c r="D8172" s="81"/>
      <c r="E8172" s="62"/>
      <c r="F8172" s="60"/>
      <c r="G8172" s="62"/>
      <c r="H8172" s="60"/>
    </row>
    <row r="8173" spans="1:8">
      <c r="A8173" s="60"/>
      <c r="B8173" s="77"/>
      <c r="C8173" s="60"/>
      <c r="D8173" s="81"/>
      <c r="E8173" s="62"/>
      <c r="F8173" s="60"/>
      <c r="G8173" s="62"/>
      <c r="H8173" s="60"/>
    </row>
    <row r="8174" spans="1:8">
      <c r="A8174" s="60"/>
      <c r="B8174" s="77"/>
      <c r="C8174" s="60"/>
      <c r="D8174" s="81"/>
      <c r="E8174" s="62"/>
      <c r="F8174" s="60"/>
      <c r="G8174" s="62"/>
      <c r="H8174" s="60"/>
    </row>
    <row r="8175" spans="1:8">
      <c r="A8175" s="60"/>
      <c r="B8175" s="77"/>
      <c r="C8175" s="60"/>
      <c r="D8175" s="81"/>
      <c r="E8175" s="62"/>
      <c r="F8175" s="60"/>
      <c r="G8175" s="62"/>
      <c r="H8175" s="60"/>
    </row>
    <row r="8176" spans="1:8">
      <c r="A8176" s="60"/>
      <c r="B8176" s="77"/>
      <c r="C8176" s="60"/>
      <c r="D8176" s="81"/>
      <c r="E8176" s="62"/>
      <c r="F8176" s="60"/>
      <c r="G8176" s="62"/>
      <c r="H8176" s="60"/>
    </row>
    <row r="8177" spans="1:8">
      <c r="A8177" s="60"/>
      <c r="B8177" s="77"/>
      <c r="C8177" s="60"/>
      <c r="D8177" s="81"/>
      <c r="E8177" s="62"/>
      <c r="F8177" s="60"/>
      <c r="G8177" s="62"/>
      <c r="H8177" s="60"/>
    </row>
    <row r="8178" spans="1:8">
      <c r="A8178" s="60"/>
      <c r="B8178" s="77"/>
      <c r="C8178" s="60"/>
      <c r="D8178" s="81"/>
      <c r="E8178" s="62"/>
      <c r="F8178" s="60"/>
      <c r="G8178" s="62"/>
      <c r="H8178" s="60"/>
    </row>
    <row r="8179" spans="1:8">
      <c r="A8179" s="60"/>
      <c r="B8179" s="77"/>
      <c r="C8179" s="60"/>
      <c r="D8179" s="81"/>
      <c r="E8179" s="62"/>
      <c r="F8179" s="60"/>
      <c r="G8179" s="62"/>
      <c r="H8179" s="60"/>
    </row>
    <row r="8180" spans="1:8">
      <c r="A8180" s="60"/>
      <c r="B8180" s="77"/>
      <c r="C8180" s="60"/>
      <c r="D8180" s="81"/>
      <c r="E8180" s="62"/>
      <c r="F8180" s="60"/>
      <c r="G8180" s="62"/>
      <c r="H8180" s="60"/>
    </row>
    <row r="8181" spans="1:8">
      <c r="A8181" s="60"/>
      <c r="B8181" s="77"/>
      <c r="C8181" s="60"/>
      <c r="D8181" s="81"/>
      <c r="E8181" s="62"/>
      <c r="F8181" s="60"/>
      <c r="G8181" s="62"/>
      <c r="H8181" s="60"/>
    </row>
    <row r="8182" spans="1:8">
      <c r="A8182" s="60"/>
      <c r="B8182" s="77"/>
      <c r="C8182" s="60"/>
      <c r="D8182" s="81"/>
      <c r="E8182" s="62"/>
      <c r="F8182" s="60"/>
      <c r="G8182" s="62"/>
      <c r="H8182" s="60"/>
    </row>
    <row r="8183" spans="1:8">
      <c r="A8183" s="60"/>
      <c r="B8183" s="77"/>
      <c r="C8183" s="60"/>
      <c r="D8183" s="81"/>
      <c r="E8183" s="62"/>
      <c r="F8183" s="60"/>
      <c r="G8183" s="62"/>
      <c r="H8183" s="60"/>
    </row>
    <row r="8184" spans="1:8">
      <c r="A8184" s="60"/>
      <c r="B8184" s="77"/>
      <c r="C8184" s="60"/>
      <c r="D8184" s="81"/>
      <c r="E8184" s="62"/>
      <c r="F8184" s="60"/>
      <c r="G8184" s="62"/>
      <c r="H8184" s="60"/>
    </row>
    <row r="8185" spans="1:8">
      <c r="A8185" s="60"/>
      <c r="B8185" s="77"/>
      <c r="C8185" s="60"/>
      <c r="D8185" s="81"/>
      <c r="E8185" s="62"/>
      <c r="F8185" s="60"/>
      <c r="G8185" s="62"/>
      <c r="H8185" s="60"/>
    </row>
    <row r="8186" spans="1:8">
      <c r="A8186" s="60"/>
      <c r="B8186" s="77"/>
      <c r="C8186" s="60"/>
      <c r="D8186" s="81"/>
      <c r="E8186" s="62"/>
      <c r="F8186" s="60"/>
      <c r="G8186" s="62"/>
      <c r="H8186" s="60"/>
    </row>
    <row r="8187" spans="1:8">
      <c r="A8187" s="60"/>
      <c r="B8187" s="77"/>
      <c r="C8187" s="60"/>
      <c r="D8187" s="81"/>
      <c r="E8187" s="62"/>
      <c r="F8187" s="60"/>
      <c r="G8187" s="62"/>
      <c r="H8187" s="60"/>
    </row>
    <row r="8188" spans="1:8">
      <c r="A8188" s="60"/>
      <c r="B8188" s="77"/>
      <c r="C8188" s="60"/>
      <c r="D8188" s="81"/>
      <c r="E8188" s="62"/>
      <c r="F8188" s="60"/>
      <c r="G8188" s="62"/>
      <c r="H8188" s="60"/>
    </row>
    <row r="8189" spans="1:8">
      <c r="A8189" s="60"/>
      <c r="B8189" s="77"/>
      <c r="C8189" s="60"/>
      <c r="D8189" s="81"/>
      <c r="E8189" s="62"/>
      <c r="F8189" s="60"/>
      <c r="G8189" s="62"/>
      <c r="H8189" s="60"/>
    </row>
    <row r="8190" spans="1:8">
      <c r="A8190" s="60"/>
      <c r="B8190" s="77"/>
      <c r="C8190" s="60"/>
      <c r="D8190" s="81"/>
      <c r="E8190" s="62"/>
      <c r="F8190" s="60"/>
      <c r="G8190" s="62"/>
      <c r="H8190" s="60"/>
    </row>
    <row r="8191" spans="1:8">
      <c r="A8191" s="60"/>
      <c r="B8191" s="77"/>
      <c r="C8191" s="60"/>
      <c r="D8191" s="81"/>
      <c r="E8191" s="62"/>
      <c r="F8191" s="60"/>
      <c r="G8191" s="62"/>
      <c r="H8191" s="60"/>
    </row>
    <row r="8192" spans="1:8">
      <c r="A8192" s="60"/>
      <c r="B8192" s="77"/>
      <c r="C8192" s="60"/>
      <c r="D8192" s="81"/>
      <c r="E8192" s="62"/>
      <c r="F8192" s="60"/>
      <c r="G8192" s="62"/>
      <c r="H8192" s="60"/>
    </row>
    <row r="8193" spans="1:8">
      <c r="A8193" s="60"/>
      <c r="B8193" s="77"/>
      <c r="C8193" s="60"/>
      <c r="D8193" s="81"/>
      <c r="E8193" s="62"/>
      <c r="F8193" s="60"/>
      <c r="G8193" s="62"/>
      <c r="H8193" s="60"/>
    </row>
    <row r="8194" spans="1:8">
      <c r="A8194" s="60"/>
      <c r="B8194" s="77"/>
      <c r="C8194" s="60"/>
      <c r="D8194" s="81"/>
      <c r="E8194" s="62"/>
      <c r="F8194" s="60"/>
      <c r="G8194" s="62"/>
      <c r="H8194" s="60"/>
    </row>
    <row r="8195" spans="1:8">
      <c r="A8195" s="60"/>
      <c r="B8195" s="77"/>
      <c r="C8195" s="60"/>
      <c r="D8195" s="81"/>
      <c r="E8195" s="62"/>
      <c r="F8195" s="60"/>
      <c r="G8195" s="62"/>
      <c r="H8195" s="60"/>
    </row>
    <row r="8196" spans="1:8">
      <c r="A8196" s="60"/>
      <c r="B8196" s="77"/>
      <c r="C8196" s="60"/>
      <c r="D8196" s="81"/>
      <c r="E8196" s="62"/>
      <c r="F8196" s="60"/>
      <c r="G8196" s="62"/>
      <c r="H8196" s="60"/>
    </row>
    <row r="8197" spans="1:8">
      <c r="A8197" s="60"/>
      <c r="B8197" s="77"/>
      <c r="C8197" s="60"/>
      <c r="D8197" s="81"/>
      <c r="E8197" s="62"/>
      <c r="F8197" s="60"/>
      <c r="G8197" s="62"/>
      <c r="H8197" s="60"/>
    </row>
    <row r="8198" spans="1:8">
      <c r="A8198" s="60"/>
      <c r="B8198" s="77"/>
      <c r="C8198" s="60"/>
      <c r="D8198" s="81"/>
      <c r="E8198" s="62"/>
      <c r="F8198" s="60"/>
      <c r="G8198" s="62"/>
      <c r="H8198" s="60"/>
    </row>
    <row r="8199" spans="1:8">
      <c r="A8199" s="60"/>
      <c r="B8199" s="77"/>
      <c r="C8199" s="60"/>
      <c r="D8199" s="81"/>
      <c r="E8199" s="62"/>
      <c r="F8199" s="60"/>
      <c r="G8199" s="62"/>
      <c r="H8199" s="60"/>
    </row>
    <row r="8200" spans="1:8">
      <c r="A8200" s="60"/>
      <c r="B8200" s="77"/>
      <c r="C8200" s="60"/>
      <c r="D8200" s="81"/>
      <c r="E8200" s="62"/>
      <c r="F8200" s="60"/>
      <c r="G8200" s="62"/>
      <c r="H8200" s="60"/>
    </row>
    <row r="8201" spans="1:8">
      <c r="A8201" s="60"/>
      <c r="B8201" s="77"/>
      <c r="C8201" s="60"/>
      <c r="D8201" s="81"/>
      <c r="E8201" s="62"/>
      <c r="F8201" s="60"/>
      <c r="G8201" s="62"/>
      <c r="H8201" s="60"/>
    </row>
    <row r="8202" spans="1:8">
      <c r="A8202" s="60"/>
      <c r="B8202" s="77"/>
      <c r="C8202" s="60"/>
      <c r="D8202" s="81"/>
      <c r="E8202" s="62"/>
      <c r="F8202" s="60"/>
      <c r="G8202" s="62"/>
      <c r="H8202" s="60"/>
    </row>
    <row r="8203" spans="1:8">
      <c r="A8203" s="60"/>
      <c r="B8203" s="77"/>
      <c r="C8203" s="60"/>
      <c r="D8203" s="81"/>
      <c r="E8203" s="62"/>
      <c r="F8203" s="60"/>
      <c r="G8203" s="62"/>
      <c r="H8203" s="60"/>
    </row>
    <row r="8204" spans="1:8">
      <c r="A8204" s="60"/>
      <c r="B8204" s="77"/>
      <c r="C8204" s="60"/>
      <c r="D8204" s="81"/>
      <c r="E8204" s="62"/>
      <c r="F8204" s="60"/>
      <c r="G8204" s="62"/>
      <c r="H8204" s="60"/>
    </row>
    <row r="8205" spans="1:8">
      <c r="A8205" s="60"/>
      <c r="B8205" s="77"/>
      <c r="C8205" s="60"/>
      <c r="D8205" s="81"/>
      <c r="E8205" s="62"/>
      <c r="F8205" s="60"/>
      <c r="G8205" s="62"/>
      <c r="H8205" s="60"/>
    </row>
    <row r="8206" spans="1:8">
      <c r="A8206" s="60"/>
      <c r="B8206" s="77"/>
      <c r="C8206" s="60"/>
      <c r="D8206" s="81"/>
      <c r="E8206" s="62"/>
      <c r="F8206" s="60"/>
      <c r="G8206" s="62"/>
      <c r="H8206" s="60"/>
    </row>
    <row r="8207" spans="1:8">
      <c r="A8207" s="60"/>
      <c r="B8207" s="77"/>
      <c r="C8207" s="60"/>
      <c r="D8207" s="81"/>
      <c r="E8207" s="62"/>
      <c r="F8207" s="60"/>
      <c r="G8207" s="62"/>
      <c r="H8207" s="60"/>
    </row>
    <row r="8208" spans="1:8">
      <c r="A8208" s="60"/>
      <c r="B8208" s="77"/>
      <c r="C8208" s="60"/>
      <c r="D8208" s="81"/>
      <c r="E8208" s="62"/>
      <c r="F8208" s="60"/>
      <c r="G8208" s="62"/>
      <c r="H8208" s="60"/>
    </row>
    <row r="8209" spans="1:8">
      <c r="A8209" s="60"/>
      <c r="B8209" s="77"/>
      <c r="C8209" s="60"/>
      <c r="D8209" s="81"/>
      <c r="E8209" s="62"/>
      <c r="F8209" s="60"/>
      <c r="G8209" s="62"/>
      <c r="H8209" s="60"/>
    </row>
    <row r="8210" spans="1:8">
      <c r="A8210" s="60"/>
      <c r="B8210" s="77"/>
      <c r="C8210" s="60"/>
      <c r="D8210" s="81"/>
      <c r="E8210" s="62"/>
      <c r="F8210" s="60"/>
      <c r="G8210" s="62"/>
      <c r="H8210" s="60"/>
    </row>
    <row r="8211" spans="1:8">
      <c r="A8211" s="60"/>
      <c r="B8211" s="77"/>
      <c r="C8211" s="60"/>
      <c r="D8211" s="81"/>
      <c r="E8211" s="62"/>
      <c r="F8211" s="60"/>
      <c r="G8211" s="62"/>
      <c r="H8211" s="60"/>
    </row>
    <row r="8212" spans="1:8">
      <c r="A8212" s="60"/>
      <c r="B8212" s="77"/>
      <c r="C8212" s="60"/>
      <c r="D8212" s="81"/>
      <c r="E8212" s="62"/>
      <c r="F8212" s="60"/>
      <c r="G8212" s="62"/>
      <c r="H8212" s="60"/>
    </row>
    <row r="8213" spans="1:8">
      <c r="A8213" s="60"/>
      <c r="B8213" s="77"/>
      <c r="C8213" s="60"/>
      <c r="D8213" s="81"/>
      <c r="E8213" s="62"/>
      <c r="F8213" s="60"/>
      <c r="G8213" s="62"/>
      <c r="H8213" s="60"/>
    </row>
    <row r="8214" spans="1:8">
      <c r="A8214" s="60"/>
      <c r="B8214" s="77"/>
      <c r="C8214" s="60"/>
      <c r="D8214" s="81"/>
      <c r="E8214" s="62"/>
      <c r="F8214" s="60"/>
      <c r="G8214" s="62"/>
      <c r="H8214" s="60"/>
    </row>
    <row r="8215" spans="1:8">
      <c r="A8215" s="60"/>
      <c r="B8215" s="77"/>
      <c r="C8215" s="60"/>
      <c r="D8215" s="81"/>
      <c r="E8215" s="62"/>
      <c r="F8215" s="60"/>
      <c r="G8215" s="62"/>
      <c r="H8215" s="60"/>
    </row>
    <row r="8216" spans="1:8">
      <c r="A8216" s="60"/>
      <c r="B8216" s="77"/>
      <c r="C8216" s="60"/>
      <c r="D8216" s="81"/>
      <c r="E8216" s="62"/>
      <c r="F8216" s="60"/>
      <c r="G8216" s="62"/>
      <c r="H8216" s="60"/>
    </row>
    <row r="8217" spans="1:8">
      <c r="A8217" s="60"/>
      <c r="B8217" s="77"/>
      <c r="C8217" s="60"/>
      <c r="D8217" s="81"/>
      <c r="E8217" s="62"/>
      <c r="F8217" s="60"/>
      <c r="G8217" s="62"/>
      <c r="H8217" s="60"/>
    </row>
    <row r="8218" spans="1:8">
      <c r="A8218" s="60"/>
      <c r="B8218" s="77"/>
      <c r="C8218" s="60"/>
      <c r="D8218" s="81"/>
      <c r="E8218" s="62"/>
      <c r="F8218" s="60"/>
      <c r="G8218" s="62"/>
      <c r="H8218" s="60"/>
    </row>
    <row r="8219" spans="1:8">
      <c r="A8219" s="60"/>
      <c r="B8219" s="77"/>
      <c r="C8219" s="60"/>
      <c r="D8219" s="81"/>
      <c r="E8219" s="62"/>
      <c r="F8219" s="60"/>
      <c r="G8219" s="62"/>
      <c r="H8219" s="60"/>
    </row>
    <row r="8220" spans="1:8">
      <c r="A8220" s="60"/>
      <c r="B8220" s="77"/>
      <c r="C8220" s="60"/>
      <c r="D8220" s="81"/>
      <c r="E8220" s="62"/>
      <c r="F8220" s="60"/>
      <c r="G8220" s="62"/>
      <c r="H8220" s="60"/>
    </row>
    <row r="8221" spans="1:8">
      <c r="A8221" s="60"/>
      <c r="B8221" s="77"/>
      <c r="C8221" s="60"/>
      <c r="D8221" s="81"/>
      <c r="E8221" s="62"/>
      <c r="F8221" s="60"/>
      <c r="G8221" s="62"/>
      <c r="H8221" s="60"/>
    </row>
    <row r="8222" spans="1:8">
      <c r="A8222" s="60"/>
      <c r="B8222" s="77"/>
      <c r="C8222" s="60"/>
      <c r="D8222" s="81"/>
      <c r="E8222" s="62"/>
      <c r="F8222" s="60"/>
      <c r="G8222" s="62"/>
      <c r="H8222" s="60"/>
    </row>
    <row r="8223" spans="1:8">
      <c r="A8223" s="60"/>
      <c r="B8223" s="77"/>
      <c r="C8223" s="60"/>
      <c r="D8223" s="81"/>
      <c r="E8223" s="62"/>
      <c r="F8223" s="60"/>
      <c r="G8223" s="62"/>
      <c r="H8223" s="60"/>
    </row>
    <row r="8224" spans="1:8">
      <c r="A8224" s="60"/>
      <c r="B8224" s="77"/>
      <c r="C8224" s="60"/>
      <c r="D8224" s="81"/>
      <c r="E8224" s="62"/>
      <c r="F8224" s="60"/>
      <c r="G8224" s="62"/>
      <c r="H8224" s="60"/>
    </row>
    <row r="8225" spans="1:8">
      <c r="A8225" s="60"/>
      <c r="B8225" s="77"/>
      <c r="C8225" s="60"/>
      <c r="D8225" s="81"/>
      <c r="E8225" s="62"/>
      <c r="F8225" s="60"/>
      <c r="G8225" s="62"/>
      <c r="H8225" s="60"/>
    </row>
    <row r="8226" spans="1:8">
      <c r="A8226" s="60"/>
      <c r="B8226" s="77"/>
      <c r="C8226" s="60"/>
      <c r="D8226" s="81"/>
      <c r="E8226" s="62"/>
      <c r="F8226" s="60"/>
      <c r="G8226" s="62"/>
      <c r="H8226" s="60"/>
    </row>
    <row r="8227" spans="1:8">
      <c r="A8227" s="60"/>
      <c r="B8227" s="77"/>
      <c r="C8227" s="60"/>
      <c r="D8227" s="81"/>
      <c r="E8227" s="62"/>
      <c r="F8227" s="60"/>
      <c r="G8227" s="62"/>
      <c r="H8227" s="60"/>
    </row>
    <row r="8228" spans="1:8">
      <c r="A8228" s="60"/>
      <c r="B8228" s="77"/>
      <c r="C8228" s="60"/>
      <c r="D8228" s="81"/>
      <c r="E8228" s="62"/>
      <c r="F8228" s="60"/>
      <c r="G8228" s="62"/>
      <c r="H8228" s="60"/>
    </row>
    <row r="8229" spans="1:8">
      <c r="A8229" s="60"/>
      <c r="B8229" s="77"/>
      <c r="C8229" s="60"/>
      <c r="D8229" s="81"/>
      <c r="E8229" s="62"/>
      <c r="F8229" s="60"/>
      <c r="G8229" s="62"/>
      <c r="H8229" s="60"/>
    </row>
    <row r="8230" spans="1:8">
      <c r="A8230" s="60"/>
      <c r="B8230" s="77"/>
      <c r="C8230" s="60"/>
      <c r="D8230" s="81"/>
      <c r="E8230" s="62"/>
      <c r="F8230" s="60"/>
      <c r="G8230" s="62"/>
      <c r="H8230" s="60"/>
    </row>
    <row r="8231" spans="1:8">
      <c r="A8231" s="60"/>
      <c r="B8231" s="77"/>
      <c r="C8231" s="60"/>
      <c r="D8231" s="81"/>
      <c r="E8231" s="62"/>
      <c r="F8231" s="60"/>
      <c r="G8231" s="62"/>
      <c r="H8231" s="60"/>
    </row>
    <row r="8232" spans="1:8">
      <c r="A8232" s="60"/>
      <c r="B8232" s="77"/>
      <c r="C8232" s="60"/>
      <c r="D8232" s="81"/>
      <c r="E8232" s="62"/>
      <c r="F8232" s="60"/>
      <c r="G8232" s="62"/>
      <c r="H8232" s="60"/>
    </row>
    <row r="8233" spans="1:8">
      <c r="A8233" s="60"/>
      <c r="B8233" s="77"/>
      <c r="C8233" s="60"/>
      <c r="D8233" s="81"/>
      <c r="E8233" s="62"/>
      <c r="F8233" s="60"/>
      <c r="G8233" s="62"/>
      <c r="H8233" s="60"/>
    </row>
    <row r="8234" spans="1:8">
      <c r="A8234" s="60"/>
      <c r="B8234" s="77"/>
      <c r="C8234" s="60"/>
      <c r="D8234" s="81"/>
      <c r="E8234" s="62"/>
      <c r="F8234" s="60"/>
      <c r="G8234" s="62"/>
      <c r="H8234" s="60"/>
    </row>
    <row r="8235" spans="1:8">
      <c r="A8235" s="60"/>
      <c r="B8235" s="77"/>
      <c r="C8235" s="60"/>
      <c r="D8235" s="81"/>
      <c r="E8235" s="62"/>
      <c r="F8235" s="60"/>
      <c r="G8235" s="62"/>
      <c r="H8235" s="60"/>
    </row>
    <row r="8236" spans="1:8">
      <c r="A8236" s="60"/>
      <c r="B8236" s="77"/>
      <c r="C8236" s="60"/>
      <c r="D8236" s="81"/>
      <c r="E8236" s="62"/>
      <c r="F8236" s="60"/>
      <c r="G8236" s="62"/>
      <c r="H8236" s="60"/>
    </row>
    <row r="8237" spans="1:8">
      <c r="A8237" s="60"/>
      <c r="B8237" s="77"/>
      <c r="C8237" s="60"/>
      <c r="D8237" s="81"/>
      <c r="E8237" s="62"/>
      <c r="F8237" s="60"/>
      <c r="G8237" s="62"/>
      <c r="H8237" s="60"/>
    </row>
    <row r="8238" spans="1:8">
      <c r="A8238" s="60"/>
      <c r="B8238" s="77"/>
      <c r="C8238" s="60"/>
      <c r="D8238" s="81"/>
      <c r="E8238" s="62"/>
      <c r="F8238" s="60"/>
      <c r="G8238" s="62"/>
      <c r="H8238" s="60"/>
    </row>
    <row r="8239" spans="1:8">
      <c r="A8239" s="60"/>
      <c r="B8239" s="77"/>
      <c r="C8239" s="60"/>
      <c r="D8239" s="81"/>
      <c r="E8239" s="62"/>
      <c r="F8239" s="60"/>
      <c r="G8239" s="62"/>
      <c r="H8239" s="60"/>
    </row>
    <row r="8240" spans="1:8">
      <c r="A8240" s="60"/>
      <c r="B8240" s="77"/>
      <c r="C8240" s="60"/>
      <c r="D8240" s="81"/>
      <c r="E8240" s="62"/>
      <c r="F8240" s="60"/>
      <c r="G8240" s="62"/>
      <c r="H8240" s="60"/>
    </row>
    <row r="8241" spans="1:8">
      <c r="A8241" s="60"/>
      <c r="B8241" s="77"/>
      <c r="C8241" s="60"/>
      <c r="D8241" s="81"/>
      <c r="E8241" s="62"/>
      <c r="F8241" s="60"/>
      <c r="G8241" s="62"/>
      <c r="H8241" s="60"/>
    </row>
    <row r="8242" spans="1:8">
      <c r="A8242" s="60"/>
      <c r="B8242" s="77"/>
      <c r="C8242" s="60"/>
      <c r="D8242" s="81"/>
      <c r="E8242" s="62"/>
      <c r="F8242" s="60"/>
      <c r="G8242" s="62"/>
      <c r="H8242" s="60"/>
    </row>
    <row r="8243" spans="1:8">
      <c r="A8243" s="60"/>
      <c r="B8243" s="77"/>
      <c r="C8243" s="60"/>
      <c r="D8243" s="81"/>
      <c r="E8243" s="62"/>
      <c r="F8243" s="60"/>
      <c r="G8243" s="62"/>
      <c r="H8243" s="60"/>
    </row>
    <row r="8244" spans="1:8">
      <c r="A8244" s="60"/>
      <c r="B8244" s="77"/>
      <c r="C8244" s="60"/>
      <c r="D8244" s="81"/>
      <c r="E8244" s="62"/>
      <c r="F8244" s="60"/>
      <c r="G8244" s="62"/>
      <c r="H8244" s="60"/>
    </row>
    <row r="8245" spans="1:8">
      <c r="A8245" s="60"/>
      <c r="B8245" s="77"/>
      <c r="C8245" s="60"/>
      <c r="D8245" s="81"/>
      <c r="E8245" s="62"/>
      <c r="F8245" s="60"/>
      <c r="G8245" s="62"/>
      <c r="H8245" s="60"/>
    </row>
    <row r="8246" spans="1:8">
      <c r="A8246" s="60"/>
      <c r="B8246" s="77"/>
      <c r="C8246" s="60"/>
      <c r="D8246" s="81"/>
      <c r="E8246" s="62"/>
      <c r="F8246" s="60"/>
      <c r="G8246" s="62"/>
      <c r="H8246" s="60"/>
    </row>
    <row r="8247" spans="1:8">
      <c r="A8247" s="60"/>
      <c r="B8247" s="77"/>
      <c r="C8247" s="60"/>
      <c r="D8247" s="81"/>
      <c r="E8247" s="62"/>
      <c r="F8247" s="60"/>
      <c r="G8247" s="62"/>
      <c r="H8247" s="60"/>
    </row>
    <row r="8248" spans="1:8">
      <c r="A8248" s="60"/>
      <c r="B8248" s="77"/>
      <c r="C8248" s="60"/>
      <c r="D8248" s="81"/>
      <c r="E8248" s="62"/>
      <c r="F8248" s="60"/>
      <c r="G8248" s="62"/>
      <c r="H8248" s="60"/>
    </row>
    <row r="8249" spans="1:8">
      <c r="A8249" s="60"/>
      <c r="B8249" s="77"/>
      <c r="C8249" s="60"/>
      <c r="D8249" s="81"/>
      <c r="E8249" s="62"/>
      <c r="F8249" s="60"/>
      <c r="G8249" s="62"/>
      <c r="H8249" s="60"/>
    </row>
    <row r="8250" spans="1:8">
      <c r="A8250" s="60"/>
      <c r="B8250" s="77"/>
      <c r="C8250" s="60"/>
      <c r="D8250" s="81"/>
      <c r="E8250" s="62"/>
      <c r="F8250" s="60"/>
      <c r="G8250" s="62"/>
      <c r="H8250" s="60"/>
    </row>
    <row r="8251" spans="1:8">
      <c r="A8251" s="60"/>
      <c r="B8251" s="77"/>
      <c r="C8251" s="60"/>
      <c r="D8251" s="81"/>
      <c r="E8251" s="62"/>
      <c r="F8251" s="60"/>
      <c r="G8251" s="62"/>
      <c r="H8251" s="60"/>
    </row>
    <row r="8252" spans="1:8">
      <c r="A8252" s="60"/>
      <c r="B8252" s="77"/>
      <c r="C8252" s="60"/>
      <c r="D8252" s="81"/>
      <c r="E8252" s="62"/>
      <c r="F8252" s="60"/>
      <c r="G8252" s="62"/>
      <c r="H8252" s="60"/>
    </row>
    <row r="8253" spans="1:8">
      <c r="A8253" s="60"/>
      <c r="B8253" s="77"/>
      <c r="C8253" s="60"/>
      <c r="D8253" s="81"/>
      <c r="E8253" s="62"/>
      <c r="F8253" s="60"/>
      <c r="G8253" s="62"/>
      <c r="H8253" s="60"/>
    </row>
    <row r="8254" spans="1:8">
      <c r="A8254" s="60"/>
      <c r="B8254" s="77"/>
      <c r="C8254" s="60"/>
      <c r="D8254" s="81"/>
      <c r="E8254" s="62"/>
      <c r="F8254" s="60"/>
      <c r="G8254" s="62"/>
      <c r="H8254" s="60"/>
    </row>
    <row r="8255" spans="1:8">
      <c r="A8255" s="60"/>
      <c r="B8255" s="77"/>
      <c r="C8255" s="60"/>
      <c r="D8255" s="81"/>
      <c r="E8255" s="62"/>
      <c r="F8255" s="60"/>
      <c r="G8255" s="62"/>
      <c r="H8255" s="60"/>
    </row>
    <row r="8256" spans="1:8">
      <c r="A8256" s="60"/>
      <c r="B8256" s="77"/>
      <c r="C8256" s="60"/>
      <c r="D8256" s="81"/>
      <c r="E8256" s="62"/>
      <c r="F8256" s="60"/>
      <c r="G8256" s="62"/>
      <c r="H8256" s="60"/>
    </row>
    <row r="8257" spans="1:8">
      <c r="A8257" s="60"/>
      <c r="B8257" s="77"/>
      <c r="C8257" s="60"/>
      <c r="D8257" s="81"/>
      <c r="E8257" s="62"/>
      <c r="F8257" s="60"/>
      <c r="G8257" s="62"/>
      <c r="H8257" s="60"/>
    </row>
    <row r="8258" spans="1:8">
      <c r="A8258" s="60"/>
      <c r="B8258" s="77"/>
      <c r="C8258" s="60"/>
      <c r="D8258" s="81"/>
      <c r="E8258" s="62"/>
      <c r="F8258" s="60"/>
      <c r="G8258" s="62"/>
      <c r="H8258" s="60"/>
    </row>
    <row r="8259" spans="1:8">
      <c r="A8259" s="60"/>
      <c r="B8259" s="77"/>
      <c r="C8259" s="60"/>
      <c r="D8259" s="81"/>
      <c r="E8259" s="62"/>
      <c r="F8259" s="60"/>
      <c r="G8259" s="62"/>
      <c r="H8259" s="60"/>
    </row>
    <row r="8260" spans="1:8">
      <c r="A8260" s="60"/>
      <c r="B8260" s="77"/>
      <c r="C8260" s="60"/>
      <c r="D8260" s="81"/>
      <c r="E8260" s="62"/>
      <c r="F8260" s="60"/>
      <c r="G8260" s="62"/>
      <c r="H8260" s="60"/>
    </row>
    <row r="8261" spans="1:8">
      <c r="A8261" s="60"/>
      <c r="B8261" s="77"/>
      <c r="C8261" s="60"/>
      <c r="D8261" s="81"/>
      <c r="E8261" s="62"/>
      <c r="F8261" s="60"/>
      <c r="G8261" s="62"/>
      <c r="H8261" s="60"/>
    </row>
    <row r="8262" spans="1:8">
      <c r="A8262" s="60"/>
      <c r="B8262" s="77"/>
      <c r="C8262" s="60"/>
      <c r="D8262" s="81"/>
      <c r="E8262" s="62"/>
      <c r="F8262" s="60"/>
      <c r="G8262" s="62"/>
      <c r="H8262" s="60"/>
    </row>
    <row r="8263" spans="1:8">
      <c r="A8263" s="60"/>
      <c r="B8263" s="77"/>
      <c r="C8263" s="60"/>
      <c r="D8263" s="81"/>
      <c r="E8263" s="62"/>
      <c r="F8263" s="60"/>
      <c r="G8263" s="62"/>
      <c r="H8263" s="60"/>
    </row>
    <row r="8264" spans="1:8">
      <c r="A8264" s="60"/>
      <c r="B8264" s="77"/>
      <c r="C8264" s="60"/>
      <c r="D8264" s="81"/>
      <c r="E8264" s="62"/>
      <c r="F8264" s="60"/>
      <c r="G8264" s="62"/>
      <c r="H8264" s="60"/>
    </row>
    <row r="8265" spans="1:8">
      <c r="A8265" s="60"/>
      <c r="B8265" s="77"/>
      <c r="C8265" s="60"/>
      <c r="D8265" s="81"/>
      <c r="E8265" s="62"/>
      <c r="F8265" s="60"/>
      <c r="G8265" s="62"/>
      <c r="H8265" s="60"/>
    </row>
    <row r="8266" spans="1:8">
      <c r="A8266" s="60"/>
      <c r="B8266" s="77"/>
      <c r="C8266" s="60"/>
      <c r="D8266" s="81"/>
      <c r="E8266" s="62"/>
      <c r="F8266" s="60"/>
      <c r="G8266" s="62"/>
      <c r="H8266" s="60"/>
    </row>
    <row r="8267" spans="1:8">
      <c r="A8267" s="60"/>
      <c r="B8267" s="77"/>
      <c r="C8267" s="60"/>
      <c r="D8267" s="81"/>
      <c r="E8267" s="62"/>
      <c r="F8267" s="60"/>
      <c r="G8267" s="62"/>
      <c r="H8267" s="60"/>
    </row>
    <row r="8268" spans="1:8">
      <c r="A8268" s="60"/>
      <c r="B8268" s="77"/>
      <c r="C8268" s="60"/>
      <c r="D8268" s="81"/>
      <c r="E8268" s="62"/>
      <c r="F8268" s="60"/>
      <c r="G8268" s="62"/>
      <c r="H8268" s="60"/>
    </row>
    <row r="8269" spans="1:8">
      <c r="A8269" s="60"/>
      <c r="B8269" s="77"/>
      <c r="C8269" s="60"/>
      <c r="D8269" s="81"/>
      <c r="E8269" s="62"/>
      <c r="F8269" s="60"/>
      <c r="G8269" s="62"/>
      <c r="H8269" s="60"/>
    </row>
    <row r="8270" spans="1:8">
      <c r="A8270" s="60"/>
      <c r="B8270" s="77"/>
      <c r="C8270" s="60"/>
      <c r="D8270" s="81"/>
      <c r="E8270" s="62"/>
      <c r="F8270" s="60"/>
      <c r="G8270" s="62"/>
      <c r="H8270" s="60"/>
    </row>
    <row r="8271" spans="1:8">
      <c r="A8271" s="60"/>
      <c r="B8271" s="77"/>
      <c r="C8271" s="60"/>
      <c r="D8271" s="81"/>
      <c r="E8271" s="62"/>
      <c r="F8271" s="60"/>
      <c r="G8271" s="62"/>
      <c r="H8271" s="60"/>
    </row>
    <row r="8272" spans="1:8">
      <c r="A8272" s="60"/>
      <c r="B8272" s="77"/>
      <c r="C8272" s="60"/>
      <c r="D8272" s="81"/>
      <c r="E8272" s="62"/>
      <c r="F8272" s="60"/>
      <c r="G8272" s="62"/>
      <c r="H8272" s="60"/>
    </row>
    <row r="8273" spans="1:8">
      <c r="A8273" s="60"/>
      <c r="B8273" s="77"/>
      <c r="C8273" s="60"/>
      <c r="D8273" s="81"/>
      <c r="E8273" s="62"/>
      <c r="F8273" s="60"/>
      <c r="G8273" s="62"/>
      <c r="H8273" s="60"/>
    </row>
    <row r="8274" spans="1:8">
      <c r="A8274" s="60"/>
      <c r="B8274" s="77"/>
      <c r="C8274" s="60"/>
      <c r="D8274" s="81"/>
      <c r="E8274" s="62"/>
      <c r="F8274" s="60"/>
      <c r="G8274" s="62"/>
      <c r="H8274" s="60"/>
    </row>
    <row r="8275" spans="1:8">
      <c r="A8275" s="60"/>
      <c r="B8275" s="77"/>
      <c r="C8275" s="60"/>
      <c r="D8275" s="81"/>
      <c r="E8275" s="62"/>
      <c r="F8275" s="60"/>
      <c r="G8275" s="62"/>
      <c r="H8275" s="60"/>
    </row>
    <row r="8276" spans="1:8">
      <c r="A8276" s="60"/>
      <c r="B8276" s="77"/>
      <c r="C8276" s="60"/>
      <c r="D8276" s="81"/>
      <c r="E8276" s="62"/>
      <c r="F8276" s="60"/>
      <c r="G8276" s="62"/>
      <c r="H8276" s="60"/>
    </row>
    <row r="8277" spans="1:8">
      <c r="A8277" s="60"/>
      <c r="B8277" s="77"/>
      <c r="C8277" s="60"/>
      <c r="D8277" s="81"/>
      <c r="E8277" s="62"/>
      <c r="F8277" s="60"/>
      <c r="G8277" s="62"/>
      <c r="H8277" s="60"/>
    </row>
    <row r="8278" spans="1:8">
      <c r="A8278" s="60"/>
      <c r="B8278" s="77"/>
      <c r="C8278" s="60"/>
      <c r="D8278" s="81"/>
      <c r="E8278" s="62"/>
      <c r="F8278" s="60"/>
      <c r="G8278" s="62"/>
      <c r="H8278" s="60"/>
    </row>
    <row r="8279" spans="1:8">
      <c r="A8279" s="60"/>
      <c r="B8279" s="77"/>
      <c r="C8279" s="60"/>
      <c r="D8279" s="81"/>
      <c r="E8279" s="62"/>
      <c r="F8279" s="60"/>
      <c r="G8279" s="62"/>
      <c r="H8279" s="60"/>
    </row>
    <row r="8280" spans="1:8">
      <c r="A8280" s="60"/>
      <c r="B8280" s="77"/>
      <c r="C8280" s="60"/>
      <c r="D8280" s="81"/>
      <c r="E8280" s="62"/>
      <c r="F8280" s="60"/>
      <c r="G8280" s="62"/>
      <c r="H8280" s="60"/>
    </row>
    <row r="8281" spans="1:8">
      <c r="A8281" s="60"/>
      <c r="B8281" s="77"/>
      <c r="C8281" s="60"/>
      <c r="D8281" s="81"/>
      <c r="E8281" s="62"/>
      <c r="F8281" s="60"/>
      <c r="G8281" s="62"/>
      <c r="H8281" s="60"/>
    </row>
    <row r="8282" spans="1:8">
      <c r="A8282" s="60"/>
      <c r="B8282" s="77"/>
      <c r="C8282" s="60"/>
      <c r="D8282" s="81"/>
      <c r="E8282" s="62"/>
      <c r="F8282" s="60"/>
      <c r="G8282" s="62"/>
      <c r="H8282" s="60"/>
    </row>
    <row r="8283" spans="1:8">
      <c r="A8283" s="60"/>
      <c r="B8283" s="77"/>
      <c r="C8283" s="60"/>
      <c r="D8283" s="81"/>
      <c r="E8283" s="62"/>
      <c r="F8283" s="60"/>
      <c r="G8283" s="62"/>
      <c r="H8283" s="60"/>
    </row>
    <row r="8284" spans="1:8">
      <c r="A8284" s="60"/>
      <c r="B8284" s="77"/>
      <c r="C8284" s="60"/>
      <c r="D8284" s="81"/>
      <c r="E8284" s="62"/>
      <c r="F8284" s="60"/>
      <c r="G8284" s="62"/>
      <c r="H8284" s="60"/>
    </row>
    <row r="8285" spans="1:8">
      <c r="A8285" s="60"/>
      <c r="B8285" s="77"/>
      <c r="C8285" s="60"/>
      <c r="D8285" s="81"/>
      <c r="E8285" s="62"/>
      <c r="F8285" s="60"/>
      <c r="G8285" s="62"/>
      <c r="H8285" s="60"/>
    </row>
    <row r="8286" spans="1:8">
      <c r="A8286" s="60"/>
      <c r="B8286" s="77"/>
      <c r="C8286" s="60"/>
      <c r="D8286" s="81"/>
      <c r="E8286" s="62"/>
      <c r="F8286" s="60"/>
      <c r="G8286" s="62"/>
      <c r="H8286" s="60"/>
    </row>
    <row r="8287" spans="1:8">
      <c r="A8287" s="60"/>
      <c r="B8287" s="77"/>
      <c r="C8287" s="60"/>
      <c r="D8287" s="81"/>
      <c r="E8287" s="62"/>
      <c r="F8287" s="60"/>
      <c r="G8287" s="62"/>
      <c r="H8287" s="60"/>
    </row>
    <row r="8288" spans="1:8">
      <c r="A8288" s="60"/>
      <c r="B8288" s="77"/>
      <c r="C8288" s="60"/>
      <c r="D8288" s="81"/>
      <c r="E8288" s="62"/>
      <c r="F8288" s="60"/>
      <c r="G8288" s="62"/>
      <c r="H8288" s="60"/>
    </row>
    <row r="8289" spans="1:8">
      <c r="A8289" s="60"/>
      <c r="B8289" s="77"/>
      <c r="C8289" s="60"/>
      <c r="D8289" s="81"/>
      <c r="E8289" s="62"/>
      <c r="F8289" s="60"/>
      <c r="G8289" s="62"/>
      <c r="H8289" s="60"/>
    </row>
    <row r="8290" spans="1:8">
      <c r="A8290" s="60"/>
      <c r="B8290" s="77"/>
      <c r="C8290" s="60"/>
      <c r="D8290" s="81"/>
      <c r="E8290" s="62"/>
      <c r="F8290" s="60"/>
      <c r="G8290" s="62"/>
      <c r="H8290" s="60"/>
    </row>
    <row r="8291" spans="1:8">
      <c r="A8291" s="60"/>
      <c r="B8291" s="77"/>
      <c r="C8291" s="60"/>
      <c r="D8291" s="81"/>
      <c r="E8291" s="62"/>
      <c r="F8291" s="60"/>
      <c r="G8291" s="62"/>
      <c r="H8291" s="60"/>
    </row>
    <row r="8292" spans="1:8">
      <c r="A8292" s="60"/>
      <c r="B8292" s="77"/>
      <c r="C8292" s="60"/>
      <c r="D8292" s="81"/>
      <c r="E8292" s="62"/>
      <c r="F8292" s="60"/>
      <c r="G8292" s="62"/>
      <c r="H8292" s="60"/>
    </row>
    <row r="8293" spans="1:8">
      <c r="A8293" s="60"/>
      <c r="B8293" s="77"/>
      <c r="C8293" s="60"/>
      <c r="D8293" s="81"/>
      <c r="E8293" s="62"/>
      <c r="F8293" s="60"/>
      <c r="G8293" s="62"/>
      <c r="H8293" s="60"/>
    </row>
    <row r="8294" spans="1:8">
      <c r="A8294" s="60"/>
      <c r="B8294" s="77"/>
      <c r="C8294" s="60"/>
      <c r="D8294" s="81"/>
      <c r="E8294" s="62"/>
      <c r="F8294" s="60"/>
      <c r="G8294" s="62"/>
      <c r="H8294" s="60"/>
    </row>
    <row r="8295" spans="1:8">
      <c r="A8295" s="60"/>
      <c r="B8295" s="77"/>
      <c r="C8295" s="60"/>
      <c r="D8295" s="81"/>
      <c r="E8295" s="62"/>
      <c r="F8295" s="60"/>
      <c r="G8295" s="62"/>
      <c r="H8295" s="60"/>
    </row>
    <row r="8296" spans="1:8">
      <c r="A8296" s="60"/>
      <c r="B8296" s="77"/>
      <c r="C8296" s="60"/>
      <c r="D8296" s="81"/>
      <c r="E8296" s="62"/>
      <c r="F8296" s="60"/>
      <c r="G8296" s="62"/>
      <c r="H8296" s="60"/>
    </row>
    <row r="8297" spans="1:8">
      <c r="A8297" s="60"/>
      <c r="B8297" s="77"/>
      <c r="C8297" s="60"/>
      <c r="D8297" s="81"/>
      <c r="E8297" s="62"/>
      <c r="F8297" s="60"/>
      <c r="G8297" s="62"/>
      <c r="H8297" s="60"/>
    </row>
    <row r="8298" spans="1:8">
      <c r="A8298" s="60"/>
      <c r="B8298" s="77"/>
      <c r="C8298" s="60"/>
      <c r="D8298" s="81"/>
      <c r="E8298" s="62"/>
      <c r="F8298" s="60"/>
      <c r="G8298" s="62"/>
      <c r="H8298" s="60"/>
    </row>
    <row r="8299" spans="1:8">
      <c r="A8299" s="60"/>
      <c r="B8299" s="77"/>
      <c r="C8299" s="60"/>
      <c r="D8299" s="81"/>
      <c r="E8299" s="62"/>
      <c r="F8299" s="60"/>
      <c r="G8299" s="62"/>
      <c r="H8299" s="60"/>
    </row>
    <row r="8300" spans="1:8">
      <c r="A8300" s="60"/>
      <c r="B8300" s="77"/>
      <c r="C8300" s="60"/>
      <c r="D8300" s="81"/>
      <c r="E8300" s="62"/>
      <c r="F8300" s="60"/>
      <c r="G8300" s="62"/>
      <c r="H8300" s="60"/>
    </row>
    <row r="8301" spans="1:8">
      <c r="A8301" s="60"/>
      <c r="B8301" s="77"/>
      <c r="C8301" s="60"/>
      <c r="D8301" s="81"/>
      <c r="E8301" s="62"/>
      <c r="F8301" s="60"/>
      <c r="G8301" s="62"/>
      <c r="H8301" s="60"/>
    </row>
    <row r="8302" spans="1:8">
      <c r="A8302" s="60"/>
      <c r="B8302" s="77"/>
      <c r="C8302" s="60"/>
      <c r="D8302" s="81"/>
      <c r="E8302" s="62"/>
      <c r="F8302" s="60"/>
      <c r="G8302" s="62"/>
      <c r="H8302" s="60"/>
    </row>
    <row r="8303" spans="1:8">
      <c r="A8303" s="60"/>
      <c r="B8303" s="77"/>
      <c r="C8303" s="60"/>
      <c r="D8303" s="81"/>
      <c r="E8303" s="62"/>
      <c r="F8303" s="60"/>
      <c r="G8303" s="62"/>
      <c r="H8303" s="60"/>
    </row>
    <row r="8304" spans="1:8">
      <c r="A8304" s="60"/>
      <c r="B8304" s="77"/>
      <c r="C8304" s="60"/>
      <c r="D8304" s="81"/>
      <c r="E8304" s="62"/>
      <c r="F8304" s="60"/>
      <c r="G8304" s="62"/>
      <c r="H8304" s="60"/>
    </row>
    <row r="8305" spans="1:8">
      <c r="A8305" s="60"/>
      <c r="B8305" s="77"/>
      <c r="C8305" s="60"/>
      <c r="D8305" s="81"/>
      <c r="E8305" s="62"/>
      <c r="F8305" s="60"/>
      <c r="G8305" s="62"/>
      <c r="H8305" s="60"/>
    </row>
    <row r="8306" spans="1:8">
      <c r="A8306" s="60"/>
      <c r="B8306" s="77"/>
      <c r="C8306" s="60"/>
      <c r="D8306" s="81"/>
      <c r="E8306" s="62"/>
      <c r="F8306" s="60"/>
      <c r="G8306" s="62"/>
      <c r="H8306" s="60"/>
    </row>
    <row r="8307" spans="1:8">
      <c r="A8307" s="60"/>
      <c r="B8307" s="77"/>
      <c r="C8307" s="60"/>
      <c r="D8307" s="81"/>
      <c r="E8307" s="62"/>
      <c r="F8307" s="60"/>
      <c r="G8307" s="62"/>
      <c r="H8307" s="60"/>
    </row>
    <row r="8308" spans="1:8">
      <c r="A8308" s="60"/>
      <c r="B8308" s="77"/>
      <c r="C8308" s="60"/>
      <c r="D8308" s="81"/>
      <c r="E8308" s="62"/>
      <c r="F8308" s="60"/>
      <c r="G8308" s="62"/>
      <c r="H8308" s="60"/>
    </row>
    <row r="8309" spans="1:8">
      <c r="A8309" s="60"/>
      <c r="B8309" s="77"/>
      <c r="C8309" s="60"/>
      <c r="D8309" s="81"/>
      <c r="E8309" s="62"/>
      <c r="F8309" s="60"/>
      <c r="G8309" s="62"/>
      <c r="H8309" s="60"/>
    </row>
    <row r="8310" spans="1:8">
      <c r="A8310" s="60"/>
      <c r="B8310" s="77"/>
      <c r="C8310" s="60"/>
      <c r="D8310" s="81"/>
      <c r="E8310" s="62"/>
      <c r="F8310" s="60"/>
      <c r="G8310" s="62"/>
      <c r="H8310" s="60"/>
    </row>
    <row r="8311" spans="1:8">
      <c r="A8311" s="60"/>
      <c r="B8311" s="77"/>
      <c r="C8311" s="60"/>
      <c r="D8311" s="81"/>
      <c r="E8311" s="62"/>
      <c r="F8311" s="60"/>
      <c r="G8311" s="62"/>
      <c r="H8311" s="60"/>
    </row>
    <row r="8312" spans="1:8">
      <c r="A8312" s="60"/>
      <c r="B8312" s="77"/>
      <c r="C8312" s="60"/>
      <c r="D8312" s="81"/>
      <c r="E8312" s="62"/>
      <c r="F8312" s="60"/>
      <c r="G8312" s="62"/>
      <c r="H8312" s="60"/>
    </row>
    <row r="8313" spans="1:8">
      <c r="A8313" s="60"/>
      <c r="B8313" s="77"/>
      <c r="C8313" s="60"/>
      <c r="D8313" s="81"/>
      <c r="E8313" s="62"/>
      <c r="F8313" s="60"/>
      <c r="G8313" s="62"/>
      <c r="H8313" s="60"/>
    </row>
    <row r="8314" spans="1:8">
      <c r="A8314" s="60"/>
      <c r="B8314" s="77"/>
      <c r="C8314" s="60"/>
      <c r="D8314" s="81"/>
      <c r="E8314" s="62"/>
      <c r="F8314" s="60"/>
      <c r="G8314" s="62"/>
      <c r="H8314" s="60"/>
    </row>
    <row r="8315" spans="1:8">
      <c r="A8315" s="60"/>
      <c r="B8315" s="77"/>
      <c r="C8315" s="60"/>
      <c r="D8315" s="81"/>
      <c r="E8315" s="62"/>
      <c r="F8315" s="60"/>
      <c r="G8315" s="62"/>
      <c r="H8315" s="60"/>
    </row>
    <row r="8316" spans="1:8">
      <c r="A8316" s="60"/>
      <c r="B8316" s="77"/>
      <c r="C8316" s="60"/>
      <c r="D8316" s="81"/>
      <c r="E8316" s="62"/>
      <c r="F8316" s="60"/>
      <c r="G8316" s="62"/>
      <c r="H8316" s="60"/>
    </row>
    <row r="8317" spans="1:8">
      <c r="A8317" s="60"/>
      <c r="B8317" s="77"/>
      <c r="C8317" s="60"/>
      <c r="D8317" s="81"/>
      <c r="E8317" s="62"/>
      <c r="F8317" s="60"/>
      <c r="G8317" s="62"/>
      <c r="H8317" s="60"/>
    </row>
    <row r="8318" spans="1:8">
      <c r="A8318" s="60"/>
      <c r="B8318" s="77"/>
      <c r="C8318" s="60"/>
      <c r="D8318" s="81"/>
      <c r="E8318" s="62"/>
      <c r="F8318" s="60"/>
      <c r="G8318" s="62"/>
      <c r="H8318" s="60"/>
    </row>
    <row r="8319" spans="1:8">
      <c r="A8319" s="60"/>
      <c r="B8319" s="77"/>
      <c r="C8319" s="60"/>
      <c r="D8319" s="81"/>
      <c r="E8319" s="62"/>
      <c r="F8319" s="60"/>
      <c r="G8319" s="62"/>
      <c r="H8319" s="60"/>
    </row>
    <row r="8320" spans="1:8">
      <c r="A8320" s="60"/>
      <c r="B8320" s="77"/>
      <c r="C8320" s="60"/>
      <c r="D8320" s="81"/>
      <c r="E8320" s="62"/>
      <c r="F8320" s="60"/>
      <c r="G8320" s="62"/>
      <c r="H8320" s="60"/>
    </row>
    <row r="8321" spans="1:8">
      <c r="A8321" s="60"/>
      <c r="B8321" s="77"/>
      <c r="C8321" s="60"/>
      <c r="D8321" s="81"/>
      <c r="E8321" s="62"/>
      <c r="F8321" s="60"/>
      <c r="G8321" s="62"/>
      <c r="H8321" s="60"/>
    </row>
    <row r="8322" spans="1:8">
      <c r="A8322" s="60"/>
      <c r="B8322" s="77"/>
      <c r="C8322" s="60"/>
      <c r="D8322" s="81"/>
      <c r="E8322" s="62"/>
      <c r="F8322" s="60"/>
      <c r="G8322" s="62"/>
      <c r="H8322" s="60"/>
    </row>
    <row r="8323" spans="1:8">
      <c r="A8323" s="60"/>
      <c r="B8323" s="77"/>
      <c r="C8323" s="60"/>
      <c r="D8323" s="81"/>
      <c r="E8323" s="62"/>
      <c r="F8323" s="60"/>
      <c r="G8323" s="62"/>
      <c r="H8323" s="60"/>
    </row>
    <row r="8324" spans="1:8">
      <c r="A8324" s="60"/>
      <c r="B8324" s="77"/>
      <c r="C8324" s="60"/>
      <c r="D8324" s="81"/>
      <c r="E8324" s="62"/>
      <c r="F8324" s="60"/>
      <c r="G8324" s="62"/>
      <c r="H8324" s="60"/>
    </row>
    <row r="8325" spans="1:8">
      <c r="A8325" s="60"/>
      <c r="B8325" s="77"/>
      <c r="C8325" s="60"/>
      <c r="D8325" s="81"/>
      <c r="E8325" s="62"/>
      <c r="F8325" s="60"/>
      <c r="G8325" s="62"/>
      <c r="H8325" s="60"/>
    </row>
    <row r="8326" spans="1:8">
      <c r="A8326" s="60"/>
      <c r="B8326" s="77"/>
      <c r="C8326" s="60"/>
      <c r="D8326" s="81"/>
      <c r="E8326" s="62"/>
      <c r="F8326" s="60"/>
      <c r="G8326" s="62"/>
      <c r="H8326" s="60"/>
    </row>
    <row r="8327" spans="1:8">
      <c r="A8327" s="60"/>
      <c r="B8327" s="77"/>
      <c r="C8327" s="60"/>
      <c r="D8327" s="81"/>
      <c r="E8327" s="62"/>
      <c r="F8327" s="60"/>
      <c r="G8327" s="62"/>
      <c r="H8327" s="60"/>
    </row>
    <row r="8328" spans="1:8">
      <c r="A8328" s="60"/>
      <c r="B8328" s="77"/>
      <c r="C8328" s="60"/>
      <c r="D8328" s="81"/>
      <c r="E8328" s="62"/>
      <c r="F8328" s="60"/>
      <c r="G8328" s="62"/>
      <c r="H8328" s="60"/>
    </row>
    <row r="8329" spans="1:8">
      <c r="A8329" s="60"/>
      <c r="B8329" s="77"/>
      <c r="C8329" s="60"/>
      <c r="D8329" s="81"/>
      <c r="E8329" s="62"/>
      <c r="F8329" s="60"/>
      <c r="G8329" s="62"/>
      <c r="H8329" s="60"/>
    </row>
    <row r="8330" spans="1:8">
      <c r="A8330" s="60"/>
      <c r="B8330" s="77"/>
      <c r="C8330" s="60"/>
      <c r="D8330" s="81"/>
      <c r="E8330" s="62"/>
      <c r="F8330" s="60"/>
      <c r="G8330" s="62"/>
      <c r="H8330" s="60"/>
    </row>
    <row r="8331" spans="1:8">
      <c r="A8331" s="60"/>
      <c r="B8331" s="77"/>
      <c r="C8331" s="60"/>
      <c r="D8331" s="81"/>
      <c r="E8331" s="62"/>
      <c r="F8331" s="60"/>
      <c r="G8331" s="62"/>
      <c r="H8331" s="60"/>
    </row>
    <row r="8332" spans="1:8">
      <c r="A8332" s="60"/>
      <c r="B8332" s="77"/>
      <c r="C8332" s="60"/>
      <c r="D8332" s="81"/>
      <c r="E8332" s="62"/>
      <c r="F8332" s="60"/>
      <c r="G8332" s="62"/>
      <c r="H8332" s="60"/>
    </row>
    <row r="8333" spans="1:8">
      <c r="A8333" s="60"/>
      <c r="B8333" s="77"/>
      <c r="C8333" s="60"/>
      <c r="D8333" s="81"/>
      <c r="E8333" s="62"/>
      <c r="F8333" s="60"/>
      <c r="G8333" s="62"/>
      <c r="H8333" s="60"/>
    </row>
    <row r="8334" spans="1:8">
      <c r="A8334" s="60"/>
      <c r="B8334" s="77"/>
      <c r="C8334" s="60"/>
      <c r="D8334" s="81"/>
      <c r="E8334" s="62"/>
      <c r="F8334" s="60"/>
      <c r="G8334" s="62"/>
      <c r="H8334" s="60"/>
    </row>
    <row r="8335" spans="1:8">
      <c r="A8335" s="60"/>
      <c r="B8335" s="77"/>
      <c r="C8335" s="60"/>
      <c r="D8335" s="81"/>
      <c r="E8335" s="62"/>
      <c r="F8335" s="60"/>
      <c r="G8335" s="62"/>
      <c r="H8335" s="60"/>
    </row>
    <row r="8336" spans="1:8">
      <c r="A8336" s="60"/>
      <c r="B8336" s="77"/>
      <c r="C8336" s="60"/>
      <c r="D8336" s="81"/>
      <c r="E8336" s="62"/>
      <c r="F8336" s="60"/>
      <c r="G8336" s="62"/>
      <c r="H8336" s="60"/>
    </row>
    <row r="8337" spans="1:8">
      <c r="A8337" s="60"/>
      <c r="B8337" s="77"/>
      <c r="C8337" s="60"/>
      <c r="D8337" s="81"/>
      <c r="E8337" s="62"/>
      <c r="F8337" s="60"/>
      <c r="G8337" s="62"/>
      <c r="H8337" s="60"/>
    </row>
    <row r="8338" spans="1:8">
      <c r="A8338" s="60"/>
      <c r="B8338" s="77"/>
      <c r="C8338" s="60"/>
      <c r="D8338" s="81"/>
      <c r="E8338" s="62"/>
      <c r="F8338" s="60"/>
      <c r="G8338" s="62"/>
      <c r="H8338" s="60"/>
    </row>
    <row r="8339" spans="1:8">
      <c r="A8339" s="60"/>
      <c r="B8339" s="77"/>
      <c r="C8339" s="60"/>
      <c r="D8339" s="81"/>
      <c r="E8339" s="62"/>
      <c r="F8339" s="60"/>
      <c r="G8339" s="62"/>
      <c r="H8339" s="60"/>
    </row>
    <row r="8340" spans="1:8">
      <c r="A8340" s="60"/>
      <c r="B8340" s="77"/>
      <c r="C8340" s="60"/>
      <c r="D8340" s="81"/>
      <c r="E8340" s="62"/>
      <c r="F8340" s="60"/>
      <c r="G8340" s="62"/>
      <c r="H8340" s="60"/>
    </row>
    <row r="8341" spans="1:8">
      <c r="A8341" s="60"/>
      <c r="B8341" s="77"/>
      <c r="C8341" s="60"/>
      <c r="D8341" s="81"/>
      <c r="E8341" s="62"/>
      <c r="F8341" s="60"/>
      <c r="G8341" s="62"/>
      <c r="H8341" s="60"/>
    </row>
    <row r="8342" spans="1:8">
      <c r="A8342" s="60"/>
      <c r="B8342" s="77"/>
      <c r="C8342" s="60"/>
      <c r="D8342" s="81"/>
      <c r="E8342" s="62"/>
      <c r="F8342" s="60"/>
      <c r="G8342" s="62"/>
      <c r="H8342" s="60"/>
    </row>
    <row r="8343" spans="1:8">
      <c r="A8343" s="60"/>
      <c r="B8343" s="77"/>
      <c r="C8343" s="60"/>
      <c r="D8343" s="81"/>
      <c r="E8343" s="62"/>
      <c r="F8343" s="60"/>
      <c r="G8343" s="62"/>
      <c r="H8343" s="60"/>
    </row>
    <row r="8344" spans="1:8">
      <c r="A8344" s="60"/>
      <c r="B8344" s="77"/>
      <c r="C8344" s="60"/>
      <c r="D8344" s="81"/>
      <c r="E8344" s="62"/>
      <c r="F8344" s="60"/>
      <c r="G8344" s="62"/>
      <c r="H8344" s="60"/>
    </row>
    <row r="8345" spans="1:8">
      <c r="A8345" s="60"/>
      <c r="B8345" s="77"/>
      <c r="C8345" s="60"/>
      <c r="D8345" s="81"/>
      <c r="E8345" s="62"/>
      <c r="F8345" s="60"/>
      <c r="G8345" s="62"/>
      <c r="H8345" s="60"/>
    </row>
    <row r="8346" spans="1:8">
      <c r="A8346" s="60"/>
      <c r="B8346" s="77"/>
      <c r="C8346" s="60"/>
      <c r="D8346" s="81"/>
      <c r="E8346" s="62"/>
      <c r="F8346" s="60"/>
      <c r="G8346" s="62"/>
      <c r="H8346" s="60"/>
    </row>
    <row r="8347" spans="1:8">
      <c r="A8347" s="60"/>
      <c r="B8347" s="77"/>
      <c r="C8347" s="60"/>
      <c r="D8347" s="81"/>
      <c r="E8347" s="62"/>
      <c r="F8347" s="60"/>
      <c r="G8347" s="62"/>
      <c r="H8347" s="60"/>
    </row>
    <row r="8348" spans="1:8">
      <c r="A8348" s="60"/>
      <c r="B8348" s="77"/>
      <c r="C8348" s="60"/>
      <c r="D8348" s="81"/>
      <c r="E8348" s="62"/>
      <c r="F8348" s="60"/>
      <c r="G8348" s="62"/>
      <c r="H8348" s="60"/>
    </row>
    <row r="8349" spans="1:8">
      <c r="A8349" s="60"/>
      <c r="B8349" s="77"/>
      <c r="C8349" s="60"/>
      <c r="D8349" s="81"/>
      <c r="E8349" s="62"/>
      <c r="F8349" s="60"/>
      <c r="G8349" s="62"/>
      <c r="H8349" s="60"/>
    </row>
    <row r="8350" spans="1:8">
      <c r="A8350" s="60"/>
      <c r="B8350" s="77"/>
      <c r="C8350" s="60"/>
      <c r="D8350" s="81"/>
      <c r="E8350" s="62"/>
      <c r="F8350" s="60"/>
      <c r="G8350" s="62"/>
      <c r="H8350" s="60"/>
    </row>
    <row r="8351" spans="1:8">
      <c r="A8351" s="60"/>
      <c r="B8351" s="77"/>
      <c r="C8351" s="60"/>
      <c r="D8351" s="81"/>
      <c r="E8351" s="62"/>
      <c r="F8351" s="60"/>
      <c r="G8351" s="62"/>
      <c r="H8351" s="60"/>
    </row>
    <row r="8352" spans="1:8">
      <c r="A8352" s="60"/>
      <c r="B8352" s="77"/>
      <c r="C8352" s="60"/>
      <c r="D8352" s="81"/>
      <c r="E8352" s="62"/>
      <c r="F8352" s="60"/>
      <c r="G8352" s="62"/>
      <c r="H8352" s="60"/>
    </row>
    <row r="8353" spans="1:8">
      <c r="A8353" s="60"/>
      <c r="B8353" s="77"/>
      <c r="C8353" s="60"/>
      <c r="D8353" s="81"/>
      <c r="E8353" s="62"/>
      <c r="F8353" s="60"/>
      <c r="G8353" s="62"/>
      <c r="H8353" s="60"/>
    </row>
    <row r="8354" spans="1:8">
      <c r="A8354" s="60"/>
      <c r="B8354" s="77"/>
      <c r="C8354" s="60"/>
      <c r="D8354" s="81"/>
      <c r="E8354" s="62"/>
      <c r="F8354" s="60"/>
      <c r="G8354" s="62"/>
      <c r="H8354" s="60"/>
    </row>
    <row r="8355" spans="1:8">
      <c r="A8355" s="60"/>
      <c r="B8355" s="77"/>
      <c r="C8355" s="60"/>
      <c r="D8355" s="81"/>
      <c r="E8355" s="62"/>
      <c r="F8355" s="60"/>
      <c r="G8355" s="62"/>
      <c r="H8355" s="60"/>
    </row>
    <row r="8356" spans="1:8">
      <c r="A8356" s="60"/>
      <c r="B8356" s="77"/>
      <c r="C8356" s="60"/>
      <c r="D8356" s="81"/>
      <c r="E8356" s="62"/>
      <c r="F8356" s="60"/>
      <c r="G8356" s="62"/>
      <c r="H8356" s="60"/>
    </row>
    <row r="8357" spans="1:8">
      <c r="A8357" s="60"/>
      <c r="B8357" s="77"/>
      <c r="C8357" s="60"/>
      <c r="D8357" s="81"/>
      <c r="E8357" s="62"/>
      <c r="F8357" s="60"/>
      <c r="G8357" s="62"/>
      <c r="H8357" s="60"/>
    </row>
    <row r="8358" spans="1:8">
      <c r="A8358" s="60"/>
      <c r="B8358" s="77"/>
      <c r="C8358" s="60"/>
      <c r="D8358" s="81"/>
      <c r="E8358" s="62"/>
      <c r="F8358" s="60"/>
      <c r="G8358" s="62"/>
      <c r="H8358" s="60"/>
    </row>
    <row r="8359" spans="1:8">
      <c r="A8359" s="60"/>
      <c r="B8359" s="77"/>
      <c r="C8359" s="60"/>
      <c r="D8359" s="81"/>
      <c r="E8359" s="62"/>
      <c r="F8359" s="60"/>
      <c r="G8359" s="62"/>
      <c r="H8359" s="60"/>
    </row>
    <row r="8360" spans="1:8">
      <c r="A8360" s="60"/>
      <c r="B8360" s="77"/>
      <c r="C8360" s="60"/>
      <c r="D8360" s="81"/>
      <c r="E8360" s="62"/>
      <c r="F8360" s="60"/>
      <c r="G8360" s="62"/>
      <c r="H8360" s="60"/>
    </row>
    <row r="8361" spans="1:8">
      <c r="A8361" s="60"/>
      <c r="B8361" s="77"/>
      <c r="C8361" s="60"/>
      <c r="D8361" s="81"/>
      <c r="E8361" s="62"/>
      <c r="F8361" s="60"/>
      <c r="G8361" s="62"/>
      <c r="H8361" s="60"/>
    </row>
    <row r="8362" spans="1:8">
      <c r="A8362" s="60"/>
      <c r="B8362" s="77"/>
      <c r="C8362" s="60"/>
      <c r="D8362" s="81"/>
      <c r="E8362" s="62"/>
      <c r="F8362" s="60"/>
      <c r="G8362" s="62"/>
      <c r="H8362" s="60"/>
    </row>
    <row r="8363" spans="1:8">
      <c r="A8363" s="60"/>
      <c r="B8363" s="77"/>
      <c r="C8363" s="60"/>
      <c r="D8363" s="81"/>
      <c r="E8363" s="62"/>
      <c r="F8363" s="60"/>
      <c r="G8363" s="62"/>
      <c r="H8363" s="60"/>
    </row>
    <row r="8364" spans="1:8">
      <c r="A8364" s="60"/>
      <c r="B8364" s="77"/>
      <c r="C8364" s="60"/>
      <c r="D8364" s="81"/>
      <c r="E8364" s="62"/>
      <c r="F8364" s="60"/>
      <c r="G8364" s="62"/>
      <c r="H8364" s="60"/>
    </row>
    <row r="8365" spans="1:8">
      <c r="A8365" s="60"/>
      <c r="B8365" s="77"/>
      <c r="C8365" s="60"/>
      <c r="D8365" s="81"/>
      <c r="E8365" s="62"/>
      <c r="F8365" s="60"/>
      <c r="G8365" s="62"/>
      <c r="H8365" s="60"/>
    </row>
    <row r="8366" spans="1:8">
      <c r="A8366" s="60"/>
      <c r="B8366" s="77"/>
      <c r="C8366" s="60"/>
      <c r="D8366" s="81"/>
      <c r="E8366" s="62"/>
      <c r="F8366" s="60"/>
      <c r="G8366" s="62"/>
      <c r="H8366" s="60"/>
    </row>
    <row r="8367" spans="1:8">
      <c r="A8367" s="60"/>
      <c r="B8367" s="77"/>
      <c r="C8367" s="60"/>
      <c r="D8367" s="81"/>
      <c r="E8367" s="62"/>
      <c r="F8367" s="60"/>
      <c r="G8367" s="62"/>
      <c r="H8367" s="60"/>
    </row>
    <row r="8368" spans="1:8">
      <c r="A8368" s="60"/>
      <c r="B8368" s="77"/>
      <c r="C8368" s="60"/>
      <c r="D8368" s="81"/>
      <c r="E8368" s="62"/>
      <c r="F8368" s="60"/>
      <c r="G8368" s="62"/>
      <c r="H8368" s="60"/>
    </row>
    <row r="8369" spans="1:8">
      <c r="A8369" s="60"/>
      <c r="B8369" s="77"/>
      <c r="C8369" s="60"/>
      <c r="D8369" s="81"/>
      <c r="E8369" s="62"/>
      <c r="F8369" s="60"/>
      <c r="G8369" s="62"/>
      <c r="H8369" s="60"/>
    </row>
    <row r="8370" spans="1:8">
      <c r="A8370" s="60"/>
      <c r="B8370" s="77"/>
      <c r="C8370" s="60"/>
      <c r="D8370" s="81"/>
      <c r="E8370" s="62"/>
      <c r="F8370" s="60"/>
      <c r="G8370" s="62"/>
      <c r="H8370" s="60"/>
    </row>
    <row r="8371" spans="1:8">
      <c r="A8371" s="60"/>
      <c r="B8371" s="77"/>
      <c r="C8371" s="60"/>
      <c r="D8371" s="81"/>
      <c r="E8371" s="62"/>
      <c r="F8371" s="60"/>
      <c r="G8371" s="62"/>
      <c r="H8371" s="60"/>
    </row>
    <row r="8372" spans="1:8">
      <c r="A8372" s="60"/>
      <c r="B8372" s="77"/>
      <c r="C8372" s="60"/>
      <c r="D8372" s="81"/>
      <c r="E8372" s="62"/>
      <c r="F8372" s="60"/>
      <c r="G8372" s="62"/>
      <c r="H8372" s="60"/>
    </row>
    <row r="8373" spans="1:8">
      <c r="A8373" s="60"/>
      <c r="B8373" s="77"/>
      <c r="C8373" s="60"/>
      <c r="D8373" s="81"/>
      <c r="E8373" s="62"/>
      <c r="F8373" s="60"/>
      <c r="G8373" s="62"/>
      <c r="H8373" s="60"/>
    </row>
    <row r="8374" spans="1:8">
      <c r="A8374" s="60"/>
      <c r="B8374" s="77"/>
      <c r="C8374" s="60"/>
      <c r="D8374" s="81"/>
      <c r="E8374" s="62"/>
      <c r="F8374" s="60"/>
      <c r="G8374" s="62"/>
      <c r="H8374" s="60"/>
    </row>
    <row r="8375" spans="1:8">
      <c r="A8375" s="60"/>
      <c r="B8375" s="77"/>
      <c r="C8375" s="60"/>
      <c r="D8375" s="81"/>
      <c r="E8375" s="62"/>
      <c r="F8375" s="60"/>
      <c r="G8375" s="62"/>
      <c r="H8375" s="60"/>
    </row>
    <row r="8376" spans="1:8">
      <c r="A8376" s="60"/>
      <c r="B8376" s="77"/>
      <c r="C8376" s="60"/>
      <c r="D8376" s="81"/>
      <c r="E8376" s="62"/>
      <c r="F8376" s="60"/>
      <c r="G8376" s="62"/>
      <c r="H8376" s="60"/>
    </row>
    <row r="8377" spans="1:8">
      <c r="A8377" s="60"/>
      <c r="B8377" s="77"/>
      <c r="C8377" s="60"/>
      <c r="D8377" s="81"/>
      <c r="E8377" s="62"/>
      <c r="F8377" s="60"/>
      <c r="G8377" s="62"/>
      <c r="H8377" s="60"/>
    </row>
    <row r="8378" spans="1:8">
      <c r="A8378" s="60"/>
      <c r="B8378" s="77"/>
      <c r="C8378" s="60"/>
      <c r="D8378" s="81"/>
      <c r="E8378" s="62"/>
      <c r="F8378" s="60"/>
      <c r="G8378" s="62"/>
      <c r="H8378" s="60"/>
    </row>
    <row r="8379" spans="1:8">
      <c r="A8379" s="60"/>
      <c r="B8379" s="77"/>
      <c r="C8379" s="60"/>
      <c r="D8379" s="81"/>
      <c r="E8379" s="62"/>
      <c r="F8379" s="60"/>
      <c r="G8379" s="62"/>
      <c r="H8379" s="60"/>
    </row>
    <row r="8380" spans="1:8">
      <c r="A8380" s="60"/>
      <c r="B8380" s="77"/>
      <c r="C8380" s="60"/>
      <c r="D8380" s="81"/>
      <c r="E8380" s="62"/>
      <c r="F8380" s="60"/>
      <c r="G8380" s="62"/>
      <c r="H8380" s="60"/>
    </row>
    <row r="8381" spans="1:8">
      <c r="A8381" s="60"/>
      <c r="B8381" s="77"/>
      <c r="C8381" s="60"/>
      <c r="D8381" s="81"/>
      <c r="E8381" s="62"/>
      <c r="F8381" s="60"/>
      <c r="G8381" s="62"/>
      <c r="H8381" s="60"/>
    </row>
    <row r="8382" spans="1:8">
      <c r="A8382" s="60"/>
      <c r="B8382" s="77"/>
      <c r="C8382" s="60"/>
      <c r="D8382" s="81"/>
      <c r="E8382" s="62"/>
      <c r="F8382" s="60"/>
      <c r="G8382" s="62"/>
      <c r="H8382" s="60"/>
    </row>
    <row r="8383" spans="1:8">
      <c r="A8383" s="60"/>
      <c r="B8383" s="77"/>
      <c r="C8383" s="60"/>
      <c r="D8383" s="81"/>
      <c r="E8383" s="62"/>
      <c r="F8383" s="60"/>
      <c r="G8383" s="62"/>
      <c r="H8383" s="60"/>
    </row>
    <row r="8384" spans="1:8">
      <c r="A8384" s="60"/>
      <c r="B8384" s="77"/>
      <c r="C8384" s="60"/>
      <c r="D8384" s="81"/>
      <c r="E8384" s="62"/>
      <c r="F8384" s="60"/>
      <c r="G8384" s="62"/>
      <c r="H8384" s="60"/>
    </row>
    <row r="8385" spans="1:8">
      <c r="A8385" s="60"/>
      <c r="B8385" s="77"/>
      <c r="C8385" s="60"/>
      <c r="D8385" s="81"/>
      <c r="E8385" s="62"/>
      <c r="F8385" s="60"/>
      <c r="G8385" s="62"/>
      <c r="H8385" s="60"/>
    </row>
    <row r="8386" spans="1:8">
      <c r="A8386" s="60"/>
      <c r="B8386" s="77"/>
      <c r="C8386" s="60"/>
      <c r="D8386" s="81"/>
      <c r="E8386" s="62"/>
      <c r="F8386" s="60"/>
      <c r="G8386" s="62"/>
      <c r="H8386" s="60"/>
    </row>
    <row r="8387" spans="1:8">
      <c r="A8387" s="60"/>
      <c r="B8387" s="77"/>
      <c r="C8387" s="60"/>
      <c r="D8387" s="81"/>
      <c r="E8387" s="62"/>
      <c r="F8387" s="60"/>
      <c r="G8387" s="62"/>
      <c r="H8387" s="60"/>
    </row>
    <row r="8388" spans="1:8">
      <c r="A8388" s="60"/>
      <c r="B8388" s="77"/>
      <c r="C8388" s="60"/>
      <c r="D8388" s="81"/>
      <c r="E8388" s="62"/>
      <c r="F8388" s="60"/>
      <c r="G8388" s="62"/>
      <c r="H8388" s="60"/>
    </row>
    <row r="8389" spans="1:8">
      <c r="A8389" s="60"/>
      <c r="B8389" s="77"/>
      <c r="C8389" s="60"/>
      <c r="D8389" s="81"/>
      <c r="E8389" s="62"/>
      <c r="F8389" s="60"/>
      <c r="G8389" s="62"/>
      <c r="H8389" s="60"/>
    </row>
    <row r="8390" spans="1:8">
      <c r="A8390" s="60"/>
      <c r="B8390" s="77"/>
      <c r="C8390" s="60"/>
      <c r="D8390" s="81"/>
      <c r="E8390" s="62"/>
      <c r="F8390" s="60"/>
      <c r="G8390" s="62"/>
      <c r="H8390" s="60"/>
    </row>
    <row r="8391" spans="1:8">
      <c r="A8391" s="60"/>
      <c r="B8391" s="77"/>
      <c r="C8391" s="60"/>
      <c r="D8391" s="81"/>
      <c r="E8391" s="62"/>
      <c r="F8391" s="60"/>
      <c r="G8391" s="62"/>
      <c r="H8391" s="60"/>
    </row>
    <row r="8392" spans="1:8">
      <c r="A8392" s="60"/>
      <c r="B8392" s="77"/>
      <c r="C8392" s="60"/>
      <c r="D8392" s="81"/>
      <c r="E8392" s="62"/>
      <c r="F8392" s="60"/>
      <c r="G8392" s="62"/>
      <c r="H8392" s="60"/>
    </row>
    <row r="8393" spans="1:8">
      <c r="A8393" s="60"/>
      <c r="B8393" s="77"/>
      <c r="C8393" s="60"/>
      <c r="D8393" s="81"/>
      <c r="E8393" s="62"/>
      <c r="F8393" s="60"/>
      <c r="G8393" s="62"/>
      <c r="H8393" s="60"/>
    </row>
    <row r="8394" spans="1:8">
      <c r="A8394" s="60"/>
      <c r="B8394" s="77"/>
      <c r="C8394" s="60"/>
      <c r="D8394" s="81"/>
      <c r="E8394" s="62"/>
      <c r="F8394" s="60"/>
      <c r="G8394" s="62"/>
      <c r="H8394" s="60"/>
    </row>
    <row r="8395" spans="1:8">
      <c r="A8395" s="60"/>
      <c r="B8395" s="77"/>
      <c r="C8395" s="60"/>
      <c r="D8395" s="81"/>
      <c r="E8395" s="62"/>
      <c r="F8395" s="60"/>
      <c r="G8395" s="62"/>
      <c r="H8395" s="60"/>
    </row>
    <row r="8396" spans="1:8">
      <c r="A8396" s="60"/>
      <c r="B8396" s="77"/>
      <c r="C8396" s="60"/>
      <c r="D8396" s="81"/>
      <c r="E8396" s="62"/>
      <c r="F8396" s="60"/>
      <c r="G8396" s="62"/>
      <c r="H8396" s="60"/>
    </row>
    <row r="8397" spans="1:8">
      <c r="A8397" s="60"/>
      <c r="B8397" s="77"/>
      <c r="C8397" s="60"/>
      <c r="D8397" s="81"/>
      <c r="E8397" s="62"/>
      <c r="F8397" s="60"/>
      <c r="G8397" s="62"/>
      <c r="H8397" s="60"/>
    </row>
    <row r="8398" spans="1:8">
      <c r="A8398" s="60"/>
      <c r="B8398" s="77"/>
      <c r="C8398" s="60"/>
      <c r="D8398" s="81"/>
      <c r="E8398" s="62"/>
      <c r="F8398" s="60"/>
      <c r="G8398" s="62"/>
      <c r="H8398" s="60"/>
    </row>
    <row r="8399" spans="1:8">
      <c r="A8399" s="60"/>
      <c r="B8399" s="77"/>
      <c r="C8399" s="60"/>
      <c r="D8399" s="81"/>
      <c r="E8399" s="62"/>
      <c r="F8399" s="60"/>
      <c r="G8399" s="62"/>
      <c r="H8399" s="60"/>
    </row>
    <row r="8400" spans="1:8">
      <c r="A8400" s="60"/>
      <c r="B8400" s="77"/>
      <c r="C8400" s="60"/>
      <c r="D8400" s="81"/>
      <c r="E8400" s="62"/>
      <c r="F8400" s="60"/>
      <c r="G8400" s="62"/>
      <c r="H8400" s="60"/>
    </row>
    <row r="8401" spans="1:8">
      <c r="A8401" s="60"/>
      <c r="B8401" s="77"/>
      <c r="C8401" s="60"/>
      <c r="D8401" s="81"/>
      <c r="E8401" s="62"/>
      <c r="F8401" s="60"/>
      <c r="G8401" s="62"/>
      <c r="H8401" s="60"/>
    </row>
    <row r="8402" spans="1:8">
      <c r="A8402" s="60"/>
      <c r="B8402" s="77"/>
      <c r="C8402" s="60"/>
      <c r="D8402" s="81"/>
      <c r="E8402" s="62"/>
      <c r="F8402" s="60"/>
      <c r="G8402" s="62"/>
      <c r="H8402" s="60"/>
    </row>
    <row r="8403" spans="1:8">
      <c r="A8403" s="60"/>
      <c r="B8403" s="77"/>
      <c r="C8403" s="60"/>
      <c r="D8403" s="81"/>
      <c r="E8403" s="62"/>
      <c r="F8403" s="60"/>
      <c r="G8403" s="62"/>
      <c r="H8403" s="60"/>
    </row>
    <row r="8404" spans="1:8">
      <c r="A8404" s="60"/>
      <c r="B8404" s="77"/>
      <c r="C8404" s="60"/>
      <c r="D8404" s="81"/>
      <c r="E8404" s="62"/>
      <c r="F8404" s="60"/>
      <c r="G8404" s="62"/>
      <c r="H8404" s="60"/>
    </row>
    <row r="8405" spans="1:8">
      <c r="A8405" s="60"/>
      <c r="B8405" s="77"/>
      <c r="C8405" s="60"/>
      <c r="D8405" s="81"/>
      <c r="E8405" s="62"/>
      <c r="F8405" s="60"/>
      <c r="G8405" s="62"/>
      <c r="H8405" s="60"/>
    </row>
    <row r="8406" spans="1:8">
      <c r="A8406" s="60"/>
      <c r="B8406" s="77"/>
      <c r="C8406" s="60"/>
      <c r="D8406" s="81"/>
      <c r="E8406" s="62"/>
      <c r="F8406" s="60"/>
      <c r="G8406" s="62"/>
      <c r="H8406" s="60"/>
    </row>
    <row r="8407" spans="1:8">
      <c r="A8407" s="60"/>
      <c r="B8407" s="77"/>
      <c r="C8407" s="60"/>
      <c r="D8407" s="81"/>
      <c r="E8407" s="62"/>
      <c r="F8407" s="60"/>
      <c r="G8407" s="62"/>
      <c r="H8407" s="60"/>
    </row>
    <row r="8408" spans="1:8">
      <c r="A8408" s="60"/>
      <c r="B8408" s="77"/>
      <c r="C8408" s="60"/>
      <c r="D8408" s="81"/>
      <c r="E8408" s="62"/>
      <c r="F8408" s="60"/>
      <c r="G8408" s="62"/>
      <c r="H8408" s="60"/>
    </row>
    <row r="8409" spans="1:8">
      <c r="A8409" s="60"/>
      <c r="B8409" s="77"/>
      <c r="C8409" s="60"/>
      <c r="D8409" s="81"/>
      <c r="E8409" s="62"/>
      <c r="F8409" s="60"/>
      <c r="G8409" s="62"/>
      <c r="H8409" s="60"/>
    </row>
    <row r="8410" spans="1:8">
      <c r="A8410" s="60"/>
      <c r="B8410" s="77"/>
      <c r="C8410" s="60"/>
      <c r="D8410" s="81"/>
      <c r="E8410" s="62"/>
      <c r="F8410" s="60"/>
      <c r="G8410" s="62"/>
      <c r="H8410" s="60"/>
    </row>
    <row r="8411" spans="1:8">
      <c r="A8411" s="60"/>
      <c r="B8411" s="77"/>
      <c r="C8411" s="60"/>
      <c r="D8411" s="81"/>
      <c r="E8411" s="62"/>
      <c r="F8411" s="60"/>
      <c r="G8411" s="62"/>
      <c r="H8411" s="60"/>
    </row>
    <row r="8412" spans="1:8">
      <c r="A8412" s="60"/>
      <c r="B8412" s="77"/>
      <c r="C8412" s="60"/>
      <c r="D8412" s="81"/>
      <c r="E8412" s="62"/>
      <c r="F8412" s="60"/>
      <c r="G8412" s="62"/>
      <c r="H8412" s="60"/>
    </row>
    <row r="8413" spans="1:8">
      <c r="A8413" s="60"/>
      <c r="B8413" s="77"/>
      <c r="C8413" s="60"/>
      <c r="D8413" s="81"/>
      <c r="E8413" s="62"/>
      <c r="F8413" s="60"/>
      <c r="G8413" s="62"/>
      <c r="H8413" s="60"/>
    </row>
    <row r="8414" spans="1:8">
      <c r="A8414" s="60"/>
      <c r="B8414" s="77"/>
      <c r="C8414" s="60"/>
      <c r="D8414" s="81"/>
      <c r="E8414" s="62"/>
      <c r="F8414" s="60"/>
      <c r="G8414" s="62"/>
      <c r="H8414" s="60"/>
    </row>
    <row r="8415" spans="1:8">
      <c r="A8415" s="60"/>
      <c r="B8415" s="77"/>
      <c r="C8415" s="60"/>
      <c r="D8415" s="81"/>
      <c r="E8415" s="62"/>
      <c r="F8415" s="60"/>
      <c r="G8415" s="62"/>
      <c r="H8415" s="60"/>
    </row>
    <row r="8416" spans="1:8">
      <c r="A8416" s="60"/>
      <c r="B8416" s="77"/>
      <c r="C8416" s="60"/>
      <c r="D8416" s="81"/>
      <c r="E8416" s="62"/>
      <c r="F8416" s="60"/>
      <c r="G8416" s="62"/>
      <c r="H8416" s="60"/>
    </row>
    <row r="8417" spans="1:8">
      <c r="A8417" s="60"/>
      <c r="B8417" s="77"/>
      <c r="C8417" s="60"/>
      <c r="D8417" s="81"/>
      <c r="E8417" s="62"/>
      <c r="F8417" s="60"/>
      <c r="G8417" s="62"/>
      <c r="H8417" s="60"/>
    </row>
    <row r="8418" spans="1:8">
      <c r="A8418" s="60"/>
      <c r="B8418" s="77"/>
      <c r="C8418" s="60"/>
      <c r="D8418" s="81"/>
      <c r="E8418" s="62"/>
      <c r="F8418" s="60"/>
      <c r="G8418" s="62"/>
      <c r="H8418" s="60"/>
    </row>
    <row r="8419" spans="1:8">
      <c r="A8419" s="60"/>
      <c r="B8419" s="77"/>
      <c r="C8419" s="60"/>
      <c r="D8419" s="81"/>
      <c r="E8419" s="62"/>
      <c r="F8419" s="60"/>
      <c r="G8419" s="62"/>
      <c r="H8419" s="60"/>
    </row>
    <row r="8420" spans="1:8">
      <c r="A8420" s="60"/>
      <c r="B8420" s="77"/>
      <c r="C8420" s="60"/>
      <c r="D8420" s="81"/>
      <c r="E8420" s="62"/>
      <c r="F8420" s="60"/>
      <c r="G8420" s="62"/>
      <c r="H8420" s="60"/>
    </row>
    <row r="8421" spans="1:8">
      <c r="A8421" s="60"/>
      <c r="B8421" s="77"/>
      <c r="C8421" s="60"/>
      <c r="D8421" s="81"/>
      <c r="E8421" s="62"/>
      <c r="F8421" s="60"/>
      <c r="G8421" s="62"/>
      <c r="H8421" s="60"/>
    </row>
    <row r="8422" spans="1:8">
      <c r="A8422" s="60"/>
      <c r="B8422" s="77"/>
      <c r="C8422" s="60"/>
      <c r="D8422" s="81"/>
      <c r="E8422" s="62"/>
      <c r="F8422" s="60"/>
      <c r="G8422" s="62"/>
      <c r="H8422" s="60"/>
    </row>
    <row r="8423" spans="1:8">
      <c r="A8423" s="60"/>
      <c r="B8423" s="77"/>
      <c r="C8423" s="60"/>
      <c r="D8423" s="81"/>
      <c r="E8423" s="62"/>
      <c r="F8423" s="60"/>
      <c r="G8423" s="62"/>
      <c r="H8423" s="60"/>
    </row>
    <row r="8424" spans="1:8">
      <c r="A8424" s="60"/>
      <c r="B8424" s="77"/>
      <c r="C8424" s="60"/>
      <c r="D8424" s="81"/>
      <c r="E8424" s="62"/>
      <c r="F8424" s="60"/>
      <c r="G8424" s="62"/>
      <c r="H8424" s="60"/>
    </row>
    <row r="8425" spans="1:8">
      <c r="A8425" s="60"/>
      <c r="B8425" s="77"/>
      <c r="C8425" s="60"/>
      <c r="D8425" s="81"/>
      <c r="E8425" s="62"/>
      <c r="F8425" s="60"/>
      <c r="G8425" s="62"/>
      <c r="H8425" s="60"/>
    </row>
    <row r="8426" spans="1:8">
      <c r="A8426" s="60"/>
      <c r="B8426" s="77"/>
      <c r="C8426" s="60"/>
      <c r="D8426" s="81"/>
      <c r="E8426" s="62"/>
      <c r="F8426" s="60"/>
      <c r="G8426" s="62"/>
      <c r="H8426" s="60"/>
    </row>
    <row r="8427" spans="1:8">
      <c r="A8427" s="60"/>
      <c r="B8427" s="77"/>
      <c r="C8427" s="60"/>
      <c r="D8427" s="81"/>
      <c r="E8427" s="62"/>
      <c r="F8427" s="60"/>
      <c r="G8427" s="62"/>
      <c r="H8427" s="60"/>
    </row>
    <row r="8428" spans="1:8">
      <c r="A8428" s="60"/>
      <c r="B8428" s="77"/>
      <c r="C8428" s="60"/>
      <c r="D8428" s="81"/>
      <c r="E8428" s="62"/>
      <c r="F8428" s="60"/>
      <c r="G8428" s="62"/>
      <c r="H8428" s="60"/>
    </row>
    <row r="8429" spans="1:8">
      <c r="A8429" s="60"/>
      <c r="B8429" s="77"/>
      <c r="C8429" s="60"/>
      <c r="D8429" s="81"/>
      <c r="E8429" s="62"/>
      <c r="F8429" s="60"/>
      <c r="G8429" s="62"/>
      <c r="H8429" s="60"/>
    </row>
    <row r="8430" spans="1:8">
      <c r="A8430" s="60"/>
      <c r="B8430" s="77"/>
      <c r="C8430" s="60"/>
      <c r="D8430" s="81"/>
      <c r="E8430" s="62"/>
      <c r="F8430" s="60"/>
      <c r="G8430" s="62"/>
      <c r="H8430" s="60"/>
    </row>
    <row r="8431" spans="1:8">
      <c r="A8431" s="60"/>
      <c r="B8431" s="77"/>
      <c r="C8431" s="60"/>
      <c r="D8431" s="81"/>
      <c r="E8431" s="62"/>
      <c r="F8431" s="60"/>
      <c r="G8431" s="62"/>
      <c r="H8431" s="60"/>
    </row>
    <row r="8432" spans="1:8">
      <c r="A8432" s="60"/>
      <c r="B8432" s="77"/>
      <c r="C8432" s="60"/>
      <c r="D8432" s="81"/>
      <c r="E8432" s="62"/>
      <c r="F8432" s="60"/>
      <c r="G8432" s="62"/>
      <c r="H8432" s="60"/>
    </row>
    <row r="8433" spans="1:8">
      <c r="A8433" s="60"/>
      <c r="B8433" s="77"/>
      <c r="C8433" s="60"/>
      <c r="D8433" s="81"/>
      <c r="E8433" s="62"/>
      <c r="F8433" s="60"/>
      <c r="G8433" s="62"/>
      <c r="H8433" s="60"/>
    </row>
    <row r="8434" spans="1:8">
      <c r="A8434" s="60"/>
      <c r="B8434" s="77"/>
      <c r="C8434" s="60"/>
      <c r="D8434" s="81"/>
      <c r="E8434" s="62"/>
      <c r="F8434" s="60"/>
      <c r="G8434" s="62"/>
      <c r="H8434" s="60"/>
    </row>
    <row r="8435" spans="1:8">
      <c r="A8435" s="60"/>
      <c r="B8435" s="77"/>
      <c r="C8435" s="60"/>
      <c r="D8435" s="81"/>
      <c r="E8435" s="62"/>
      <c r="F8435" s="60"/>
      <c r="G8435" s="62"/>
      <c r="H8435" s="60"/>
    </row>
    <row r="8436" spans="1:8">
      <c r="A8436" s="60"/>
      <c r="B8436" s="77"/>
      <c r="C8436" s="60"/>
      <c r="D8436" s="81"/>
      <c r="E8436" s="62"/>
      <c r="F8436" s="60"/>
      <c r="G8436" s="62"/>
      <c r="H8436" s="60"/>
    </row>
    <row r="8437" spans="1:8">
      <c r="A8437" s="60"/>
      <c r="B8437" s="77"/>
      <c r="C8437" s="60"/>
      <c r="D8437" s="81"/>
      <c r="E8437" s="62"/>
      <c r="F8437" s="60"/>
      <c r="G8437" s="62"/>
      <c r="H8437" s="60"/>
    </row>
    <row r="8438" spans="1:8">
      <c r="A8438" s="60"/>
      <c r="B8438" s="77"/>
      <c r="C8438" s="60"/>
      <c r="D8438" s="81"/>
      <c r="E8438" s="62"/>
      <c r="F8438" s="60"/>
      <c r="G8438" s="62"/>
      <c r="H8438" s="60"/>
    </row>
    <row r="8439" spans="1:8">
      <c r="A8439" s="60"/>
      <c r="B8439" s="77"/>
      <c r="C8439" s="60"/>
      <c r="D8439" s="81"/>
      <c r="E8439" s="62"/>
      <c r="F8439" s="60"/>
      <c r="G8439" s="62"/>
      <c r="H8439" s="60"/>
    </row>
    <row r="8440" spans="1:8">
      <c r="A8440" s="60"/>
      <c r="B8440" s="77"/>
      <c r="C8440" s="60"/>
      <c r="D8440" s="81"/>
      <c r="E8440" s="62"/>
      <c r="F8440" s="60"/>
      <c r="G8440" s="62"/>
      <c r="H8440" s="60"/>
    </row>
    <row r="8441" spans="1:8">
      <c r="A8441" s="60"/>
      <c r="B8441" s="77"/>
      <c r="C8441" s="60"/>
      <c r="D8441" s="81"/>
      <c r="E8441" s="62"/>
      <c r="F8441" s="60"/>
      <c r="G8441" s="62"/>
      <c r="H8441" s="60"/>
    </row>
    <row r="8442" spans="1:8">
      <c r="A8442" s="60"/>
      <c r="B8442" s="77"/>
      <c r="C8442" s="60"/>
      <c r="D8442" s="81"/>
      <c r="E8442" s="62"/>
      <c r="F8442" s="60"/>
      <c r="G8442" s="62"/>
      <c r="H8442" s="60"/>
    </row>
    <row r="8443" spans="1:8">
      <c r="A8443" s="60"/>
      <c r="B8443" s="77"/>
      <c r="C8443" s="60"/>
      <c r="D8443" s="81"/>
      <c r="E8443" s="62"/>
      <c r="F8443" s="60"/>
      <c r="G8443" s="62"/>
      <c r="H8443" s="60"/>
    </row>
    <row r="8444" spans="1:8">
      <c r="A8444" s="60"/>
      <c r="B8444" s="77"/>
      <c r="C8444" s="60"/>
      <c r="D8444" s="81"/>
      <c r="E8444" s="62"/>
      <c r="F8444" s="60"/>
      <c r="G8444" s="62"/>
      <c r="H8444" s="60"/>
    </row>
    <row r="8445" spans="1:8">
      <c r="A8445" s="60"/>
      <c r="B8445" s="77"/>
      <c r="C8445" s="60"/>
      <c r="D8445" s="81"/>
      <c r="E8445" s="62"/>
      <c r="F8445" s="60"/>
      <c r="G8445" s="62"/>
      <c r="H8445" s="60"/>
    </row>
    <row r="8446" spans="1:8">
      <c r="A8446" s="60"/>
      <c r="B8446" s="77"/>
      <c r="C8446" s="60"/>
      <c r="D8446" s="81"/>
      <c r="E8446" s="62"/>
      <c r="F8446" s="60"/>
      <c r="G8446" s="62"/>
      <c r="H8446" s="60"/>
    </row>
    <row r="8447" spans="1:8">
      <c r="A8447" s="60"/>
      <c r="B8447" s="77"/>
      <c r="C8447" s="60"/>
      <c r="D8447" s="81"/>
      <c r="E8447" s="62"/>
      <c r="F8447" s="60"/>
      <c r="G8447" s="62"/>
      <c r="H8447" s="60"/>
    </row>
    <row r="8448" spans="1:8">
      <c r="A8448" s="60"/>
      <c r="B8448" s="77"/>
      <c r="C8448" s="60"/>
      <c r="D8448" s="81"/>
      <c r="E8448" s="62"/>
      <c r="F8448" s="60"/>
      <c r="G8448" s="62"/>
      <c r="H8448" s="60"/>
    </row>
    <row r="8449" spans="1:8">
      <c r="A8449" s="60"/>
      <c r="B8449" s="77"/>
      <c r="C8449" s="60"/>
      <c r="D8449" s="81"/>
      <c r="E8449" s="62"/>
      <c r="F8449" s="60"/>
      <c r="G8449" s="62"/>
      <c r="H8449" s="60"/>
    </row>
    <row r="8450" spans="1:8">
      <c r="A8450" s="60"/>
      <c r="B8450" s="77"/>
      <c r="C8450" s="60"/>
      <c r="D8450" s="81"/>
      <c r="E8450" s="62"/>
      <c r="F8450" s="60"/>
      <c r="G8450" s="62"/>
      <c r="H8450" s="60"/>
    </row>
    <row r="8451" spans="1:8">
      <c r="A8451" s="60"/>
      <c r="B8451" s="77"/>
      <c r="C8451" s="60"/>
      <c r="D8451" s="81"/>
      <c r="E8451" s="62"/>
      <c r="F8451" s="60"/>
      <c r="G8451" s="62"/>
      <c r="H8451" s="60"/>
    </row>
    <row r="8452" spans="1:8">
      <c r="A8452" s="60"/>
      <c r="B8452" s="77"/>
      <c r="C8452" s="60"/>
      <c r="D8452" s="81"/>
      <c r="E8452" s="62"/>
      <c r="F8452" s="60"/>
      <c r="G8452" s="62"/>
      <c r="H8452" s="60"/>
    </row>
    <row r="8453" spans="1:8">
      <c r="A8453" s="60"/>
      <c r="B8453" s="77"/>
      <c r="C8453" s="60"/>
      <c r="D8453" s="81"/>
      <c r="E8453" s="62"/>
      <c r="F8453" s="60"/>
      <c r="G8453" s="62"/>
      <c r="H8453" s="60"/>
    </row>
    <row r="8454" spans="1:8">
      <c r="A8454" s="60"/>
      <c r="B8454" s="77"/>
      <c r="C8454" s="60"/>
      <c r="D8454" s="81"/>
      <c r="E8454" s="62"/>
      <c r="F8454" s="60"/>
      <c r="G8454" s="62"/>
      <c r="H8454" s="60"/>
    </row>
    <row r="8455" spans="1:8">
      <c r="A8455" s="60"/>
      <c r="B8455" s="77"/>
      <c r="C8455" s="60"/>
      <c r="D8455" s="81"/>
      <c r="E8455" s="62"/>
      <c r="F8455" s="60"/>
      <c r="G8455" s="62"/>
      <c r="H8455" s="60"/>
    </row>
    <row r="8456" spans="1:8">
      <c r="A8456" s="60"/>
      <c r="B8456" s="77"/>
      <c r="C8456" s="60"/>
      <c r="D8456" s="81"/>
      <c r="E8456" s="62"/>
      <c r="F8456" s="60"/>
      <c r="G8456" s="62"/>
      <c r="H8456" s="60"/>
    </row>
    <row r="8457" spans="1:8">
      <c r="A8457" s="60"/>
      <c r="B8457" s="77"/>
      <c r="C8457" s="60"/>
      <c r="D8457" s="81"/>
      <c r="E8457" s="62"/>
      <c r="F8457" s="60"/>
      <c r="G8457" s="62"/>
      <c r="H8457" s="60"/>
    </row>
    <row r="8458" spans="1:8">
      <c r="A8458" s="60"/>
      <c r="B8458" s="77"/>
      <c r="C8458" s="60"/>
      <c r="D8458" s="81"/>
      <c r="E8458" s="62"/>
      <c r="F8458" s="60"/>
      <c r="G8458" s="62"/>
      <c r="H8458" s="60"/>
    </row>
    <row r="8459" spans="1:8">
      <c r="A8459" s="60"/>
      <c r="B8459" s="77"/>
      <c r="C8459" s="60"/>
      <c r="D8459" s="81"/>
      <c r="E8459" s="62"/>
      <c r="F8459" s="60"/>
      <c r="G8459" s="62"/>
      <c r="H8459" s="60"/>
    </row>
    <row r="8460" spans="1:8">
      <c r="A8460" s="60"/>
      <c r="B8460" s="77"/>
      <c r="C8460" s="60"/>
      <c r="D8460" s="81"/>
      <c r="E8460" s="62"/>
      <c r="F8460" s="60"/>
      <c r="G8460" s="62"/>
      <c r="H8460" s="60"/>
    </row>
    <row r="8461" spans="1:8">
      <c r="A8461" s="60"/>
      <c r="B8461" s="77"/>
      <c r="C8461" s="60"/>
      <c r="D8461" s="81"/>
      <c r="E8461" s="62"/>
      <c r="F8461" s="60"/>
      <c r="G8461" s="62"/>
      <c r="H8461" s="60"/>
    </row>
    <row r="8462" spans="1:8">
      <c r="A8462" s="60"/>
      <c r="B8462" s="77"/>
      <c r="C8462" s="60"/>
      <c r="D8462" s="81"/>
      <c r="E8462" s="62"/>
      <c r="F8462" s="60"/>
      <c r="G8462" s="62"/>
      <c r="H8462" s="60"/>
    </row>
    <row r="8463" spans="1:8">
      <c r="A8463" s="60"/>
      <c r="B8463" s="77"/>
      <c r="C8463" s="60"/>
      <c r="D8463" s="81"/>
      <c r="E8463" s="62"/>
      <c r="F8463" s="60"/>
      <c r="G8463" s="62"/>
      <c r="H8463" s="60"/>
    </row>
    <row r="8464" spans="1:8">
      <c r="A8464" s="60"/>
      <c r="B8464" s="77"/>
      <c r="C8464" s="60"/>
      <c r="D8464" s="81"/>
      <c r="E8464" s="62"/>
      <c r="F8464" s="60"/>
      <c r="G8464" s="62"/>
      <c r="H8464" s="60"/>
    </row>
    <row r="8465" spans="1:8">
      <c r="A8465" s="60"/>
      <c r="B8465" s="77"/>
      <c r="C8465" s="60"/>
      <c r="D8465" s="81"/>
      <c r="E8465" s="62"/>
      <c r="F8465" s="60"/>
      <c r="G8465" s="62"/>
      <c r="H8465" s="60"/>
    </row>
    <row r="8466" spans="1:8">
      <c r="A8466" s="60"/>
      <c r="B8466" s="77"/>
      <c r="C8466" s="60"/>
      <c r="D8466" s="81"/>
      <c r="E8466" s="62"/>
      <c r="F8466" s="60"/>
      <c r="G8466" s="62"/>
      <c r="H8466" s="60"/>
    </row>
    <row r="8467" spans="1:8">
      <c r="A8467" s="60"/>
      <c r="B8467" s="77"/>
      <c r="C8467" s="60"/>
      <c r="D8467" s="81"/>
      <c r="E8467" s="62"/>
      <c r="F8467" s="60"/>
      <c r="G8467" s="62"/>
      <c r="H8467" s="60"/>
    </row>
    <row r="8468" spans="1:8">
      <c r="A8468" s="60"/>
      <c r="B8468" s="77"/>
      <c r="C8468" s="60"/>
      <c r="D8468" s="81"/>
      <c r="E8468" s="62"/>
      <c r="F8468" s="60"/>
      <c r="G8468" s="62"/>
      <c r="H8468" s="60"/>
    </row>
    <row r="8469" spans="1:8">
      <c r="A8469" s="60"/>
      <c r="B8469" s="77"/>
      <c r="C8469" s="60"/>
      <c r="D8469" s="81"/>
      <c r="E8469" s="62"/>
      <c r="F8469" s="60"/>
      <c r="G8469" s="62"/>
      <c r="H8469" s="60"/>
    </row>
    <row r="8470" spans="1:8">
      <c r="A8470" s="60"/>
      <c r="B8470" s="77"/>
      <c r="C8470" s="60"/>
      <c r="D8470" s="81"/>
      <c r="E8470" s="62"/>
      <c r="F8470" s="60"/>
      <c r="G8470" s="62"/>
      <c r="H8470" s="60"/>
    </row>
    <row r="8471" spans="1:8">
      <c r="A8471" s="60"/>
      <c r="B8471" s="77"/>
      <c r="C8471" s="60"/>
      <c r="D8471" s="81"/>
      <c r="E8471" s="62"/>
      <c r="F8471" s="60"/>
      <c r="G8471" s="62"/>
      <c r="H8471" s="60"/>
    </row>
    <row r="8472" spans="1:8">
      <c r="A8472" s="60"/>
      <c r="B8472" s="77"/>
      <c r="C8472" s="60"/>
      <c r="D8472" s="81"/>
      <c r="E8472" s="62"/>
      <c r="F8472" s="60"/>
      <c r="G8472" s="62"/>
      <c r="H8472" s="60"/>
    </row>
    <row r="8473" spans="1:8">
      <c r="A8473" s="60"/>
      <c r="B8473" s="77"/>
      <c r="C8473" s="60"/>
      <c r="D8473" s="81"/>
      <c r="E8473" s="62"/>
      <c r="F8473" s="60"/>
      <c r="G8473" s="62"/>
      <c r="H8473" s="60"/>
    </row>
    <row r="8474" spans="1:8">
      <c r="A8474" s="60"/>
      <c r="B8474" s="77"/>
      <c r="C8474" s="60"/>
      <c r="D8474" s="81"/>
      <c r="E8474" s="62"/>
      <c r="F8474" s="60"/>
      <c r="G8474" s="62"/>
      <c r="H8474" s="60"/>
    </row>
    <row r="8475" spans="1:8">
      <c r="A8475" s="60"/>
      <c r="B8475" s="77"/>
      <c r="C8475" s="60"/>
      <c r="D8475" s="81"/>
      <c r="E8475" s="62"/>
      <c r="F8475" s="60"/>
      <c r="G8475" s="62"/>
      <c r="H8475" s="60"/>
    </row>
    <row r="8476" spans="1:8">
      <c r="A8476" s="60"/>
      <c r="B8476" s="77"/>
      <c r="C8476" s="60"/>
      <c r="D8476" s="81"/>
      <c r="E8476" s="62"/>
      <c r="F8476" s="60"/>
      <c r="G8476" s="62"/>
      <c r="H8476" s="60"/>
    </row>
    <row r="8477" spans="1:8">
      <c r="A8477" s="60"/>
      <c r="B8477" s="77"/>
      <c r="C8477" s="60"/>
      <c r="D8477" s="81"/>
      <c r="E8477" s="62"/>
      <c r="F8477" s="60"/>
      <c r="G8477" s="62"/>
      <c r="H8477" s="60"/>
    </row>
    <row r="8478" spans="1:8">
      <c r="A8478" s="60"/>
      <c r="B8478" s="77"/>
      <c r="C8478" s="60"/>
      <c r="D8478" s="81"/>
      <c r="E8478" s="62"/>
      <c r="F8478" s="60"/>
      <c r="G8478" s="62"/>
      <c r="H8478" s="60"/>
    </row>
    <row r="8479" spans="1:8">
      <c r="A8479" s="60"/>
      <c r="B8479" s="77"/>
      <c r="C8479" s="60"/>
      <c r="D8479" s="81"/>
      <c r="E8479" s="62"/>
      <c r="F8479" s="60"/>
      <c r="G8479" s="62"/>
      <c r="H8479" s="60"/>
    </row>
    <row r="8480" spans="1:8">
      <c r="A8480" s="60"/>
      <c r="B8480" s="77"/>
      <c r="C8480" s="60"/>
      <c r="D8480" s="81"/>
      <c r="E8480" s="62"/>
      <c r="F8480" s="60"/>
      <c r="G8480" s="62"/>
      <c r="H8480" s="60"/>
    </row>
    <row r="8481" spans="1:8">
      <c r="A8481" s="60"/>
      <c r="B8481" s="77"/>
      <c r="C8481" s="60"/>
      <c r="D8481" s="81"/>
      <c r="E8481" s="62"/>
      <c r="F8481" s="60"/>
      <c r="G8481" s="62"/>
      <c r="H8481" s="60"/>
    </row>
    <row r="8482" spans="1:8">
      <c r="A8482" s="60"/>
      <c r="B8482" s="77"/>
      <c r="C8482" s="60"/>
      <c r="D8482" s="81"/>
      <c r="E8482" s="62"/>
      <c r="F8482" s="60"/>
      <c r="G8482" s="62"/>
      <c r="H8482" s="60"/>
    </row>
    <row r="8483" spans="1:8">
      <c r="A8483" s="60"/>
      <c r="B8483" s="77"/>
      <c r="C8483" s="60"/>
      <c r="D8483" s="81"/>
      <c r="E8483" s="62"/>
      <c r="F8483" s="60"/>
      <c r="G8483" s="62"/>
      <c r="H8483" s="60"/>
    </row>
    <row r="8484" spans="1:8">
      <c r="A8484" s="60"/>
      <c r="B8484" s="77"/>
      <c r="C8484" s="60"/>
      <c r="D8484" s="81"/>
      <c r="E8484" s="62"/>
      <c r="F8484" s="60"/>
      <c r="G8484" s="62"/>
      <c r="H8484" s="60"/>
    </row>
    <row r="8485" spans="1:8">
      <c r="A8485" s="60"/>
      <c r="B8485" s="77"/>
      <c r="C8485" s="60"/>
      <c r="D8485" s="81"/>
      <c r="E8485" s="62"/>
      <c r="F8485" s="60"/>
      <c r="G8485" s="62"/>
      <c r="H8485" s="60"/>
    </row>
    <row r="8486" spans="1:8">
      <c r="A8486" s="60"/>
      <c r="B8486" s="77"/>
      <c r="C8486" s="60"/>
      <c r="D8486" s="81"/>
      <c r="E8486" s="62"/>
      <c r="F8486" s="60"/>
      <c r="G8486" s="62"/>
      <c r="H8486" s="60"/>
    </row>
    <row r="8487" spans="1:8">
      <c r="A8487" s="60"/>
      <c r="B8487" s="77"/>
      <c r="C8487" s="60"/>
      <c r="D8487" s="81"/>
      <c r="E8487" s="62"/>
      <c r="F8487" s="60"/>
      <c r="G8487" s="62"/>
      <c r="H8487" s="60"/>
    </row>
    <row r="8488" spans="1:8">
      <c r="A8488" s="60"/>
      <c r="B8488" s="77"/>
      <c r="C8488" s="60"/>
      <c r="D8488" s="81"/>
      <c r="E8488" s="62"/>
      <c r="F8488" s="60"/>
      <c r="G8488" s="62"/>
      <c r="H8488" s="60"/>
    </row>
    <row r="8489" spans="1:8">
      <c r="A8489" s="60"/>
      <c r="B8489" s="77"/>
      <c r="C8489" s="60"/>
      <c r="D8489" s="81"/>
      <c r="E8489" s="62"/>
      <c r="F8489" s="60"/>
      <c r="G8489" s="62"/>
      <c r="H8489" s="60"/>
    </row>
    <row r="8490" spans="1:8">
      <c r="A8490" s="60"/>
      <c r="B8490" s="77"/>
      <c r="C8490" s="60"/>
      <c r="D8490" s="81"/>
      <c r="E8490" s="62"/>
      <c r="F8490" s="60"/>
      <c r="G8490" s="62"/>
      <c r="H8490" s="60"/>
    </row>
    <row r="8491" spans="1:8">
      <c r="A8491" s="60"/>
      <c r="B8491" s="77"/>
      <c r="C8491" s="60"/>
      <c r="D8491" s="81"/>
      <c r="E8491" s="62"/>
      <c r="F8491" s="60"/>
      <c r="G8491" s="62"/>
      <c r="H8491" s="60"/>
    </row>
    <row r="8492" spans="1:8">
      <c r="A8492" s="60"/>
      <c r="B8492" s="77"/>
      <c r="C8492" s="60"/>
      <c r="D8492" s="81"/>
      <c r="E8492" s="62"/>
      <c r="F8492" s="60"/>
      <c r="G8492" s="62"/>
      <c r="H8492" s="60"/>
    </row>
    <row r="8493" spans="1:8">
      <c r="A8493" s="60"/>
      <c r="B8493" s="77"/>
      <c r="C8493" s="60"/>
      <c r="D8493" s="81"/>
      <c r="E8493" s="62"/>
      <c r="F8493" s="60"/>
      <c r="G8493" s="62"/>
      <c r="H8493" s="60"/>
    </row>
    <row r="8494" spans="1:8">
      <c r="A8494" s="60"/>
      <c r="B8494" s="77"/>
      <c r="C8494" s="60"/>
      <c r="D8494" s="81"/>
      <c r="E8494" s="62"/>
      <c r="F8494" s="60"/>
      <c r="G8494" s="62"/>
      <c r="H8494" s="60"/>
    </row>
    <row r="8495" spans="1:8">
      <c r="A8495" s="60"/>
      <c r="B8495" s="77"/>
      <c r="C8495" s="60"/>
      <c r="D8495" s="81"/>
      <c r="E8495" s="62"/>
      <c r="F8495" s="60"/>
      <c r="G8495" s="62"/>
      <c r="H8495" s="60"/>
    </row>
    <row r="8496" spans="1:8">
      <c r="A8496" s="60"/>
      <c r="B8496" s="77"/>
      <c r="C8496" s="60"/>
      <c r="D8496" s="81"/>
      <c r="E8496" s="62"/>
      <c r="F8496" s="60"/>
      <c r="G8496" s="62"/>
      <c r="H8496" s="60"/>
    </row>
    <row r="8497" spans="1:8">
      <c r="A8497" s="60"/>
      <c r="B8497" s="77"/>
      <c r="C8497" s="60"/>
      <c r="D8497" s="81"/>
      <c r="E8497" s="62"/>
      <c r="F8497" s="60"/>
      <c r="G8497" s="62"/>
      <c r="H8497" s="60"/>
    </row>
    <row r="8498" spans="1:8">
      <c r="A8498" s="60"/>
      <c r="B8498" s="77"/>
      <c r="C8498" s="60"/>
      <c r="D8498" s="81"/>
      <c r="E8498" s="62"/>
      <c r="F8498" s="60"/>
      <c r="G8498" s="62"/>
      <c r="H8498" s="60"/>
    </row>
    <row r="8499" spans="1:8">
      <c r="A8499" s="60"/>
      <c r="B8499" s="77"/>
      <c r="C8499" s="60"/>
      <c r="D8499" s="81"/>
      <c r="E8499" s="62"/>
      <c r="F8499" s="60"/>
      <c r="G8499" s="62"/>
      <c r="H8499" s="60"/>
    </row>
    <row r="8500" spans="1:8">
      <c r="A8500" s="60"/>
      <c r="B8500" s="77"/>
      <c r="C8500" s="60"/>
      <c r="D8500" s="81"/>
      <c r="E8500" s="62"/>
      <c r="F8500" s="60"/>
      <c r="G8500" s="62"/>
      <c r="H8500" s="60"/>
    </row>
    <row r="8501" spans="1:8">
      <c r="A8501" s="60"/>
      <c r="B8501" s="77"/>
      <c r="C8501" s="60"/>
      <c r="D8501" s="81"/>
      <c r="E8501" s="62"/>
      <c r="F8501" s="60"/>
      <c r="G8501" s="62"/>
      <c r="H8501" s="60"/>
    </row>
    <row r="8502" spans="1:8">
      <c r="A8502" s="60"/>
      <c r="B8502" s="77"/>
      <c r="C8502" s="60"/>
      <c r="D8502" s="81"/>
      <c r="E8502" s="62"/>
      <c r="F8502" s="60"/>
      <c r="G8502" s="62"/>
      <c r="H8502" s="60"/>
    </row>
    <row r="8503" spans="1:8">
      <c r="A8503" s="60"/>
      <c r="B8503" s="77"/>
      <c r="C8503" s="60"/>
      <c r="D8503" s="81"/>
      <c r="E8503" s="62"/>
      <c r="F8503" s="60"/>
      <c r="G8503" s="62"/>
      <c r="H8503" s="60"/>
    </row>
    <row r="8504" spans="1:8">
      <c r="A8504" s="60"/>
      <c r="B8504" s="77"/>
      <c r="C8504" s="60"/>
      <c r="D8504" s="81"/>
      <c r="E8504" s="62"/>
      <c r="F8504" s="60"/>
      <c r="G8504" s="62"/>
      <c r="H8504" s="60"/>
    </row>
    <row r="8505" spans="1:8">
      <c r="A8505" s="60"/>
      <c r="B8505" s="77"/>
      <c r="C8505" s="60"/>
      <c r="D8505" s="81"/>
      <c r="E8505" s="62"/>
      <c r="F8505" s="60"/>
      <c r="G8505" s="62"/>
      <c r="H8505" s="60"/>
    </row>
    <row r="8506" spans="1:8">
      <c r="A8506" s="60"/>
      <c r="B8506" s="77"/>
      <c r="C8506" s="60"/>
      <c r="D8506" s="81"/>
      <c r="E8506" s="62"/>
      <c r="F8506" s="60"/>
      <c r="G8506" s="62"/>
      <c r="H8506" s="60"/>
    </row>
    <row r="8507" spans="1:8">
      <c r="A8507" s="60"/>
      <c r="B8507" s="77"/>
      <c r="C8507" s="60"/>
      <c r="D8507" s="81"/>
      <c r="E8507" s="62"/>
      <c r="F8507" s="60"/>
      <c r="G8507" s="62"/>
      <c r="H8507" s="60"/>
    </row>
    <row r="8508" spans="1:8">
      <c r="A8508" s="60"/>
      <c r="B8508" s="77"/>
      <c r="C8508" s="60"/>
      <c r="D8508" s="81"/>
      <c r="E8508" s="62"/>
      <c r="F8508" s="60"/>
      <c r="G8508" s="62"/>
      <c r="H8508" s="60"/>
    </row>
    <row r="8509" spans="1:8">
      <c r="A8509" s="60"/>
      <c r="B8509" s="77"/>
      <c r="C8509" s="60"/>
      <c r="D8509" s="81"/>
      <c r="E8509" s="62"/>
      <c r="F8509" s="60"/>
      <c r="G8509" s="62"/>
      <c r="H8509" s="60"/>
    </row>
    <row r="8510" spans="1:8">
      <c r="A8510" s="60"/>
      <c r="B8510" s="77"/>
      <c r="C8510" s="60"/>
      <c r="D8510" s="81"/>
      <c r="E8510" s="62"/>
      <c r="F8510" s="60"/>
      <c r="G8510" s="62"/>
      <c r="H8510" s="60"/>
    </row>
    <row r="8511" spans="1:8">
      <c r="A8511" s="60"/>
      <c r="B8511" s="77"/>
      <c r="C8511" s="60"/>
      <c r="D8511" s="81"/>
      <c r="E8511" s="62"/>
      <c r="F8511" s="60"/>
      <c r="G8511" s="62"/>
      <c r="H8511" s="60"/>
    </row>
    <row r="8512" spans="1:8">
      <c r="A8512" s="60"/>
      <c r="B8512" s="77"/>
      <c r="C8512" s="60"/>
      <c r="D8512" s="81"/>
      <c r="E8512" s="62"/>
      <c r="F8512" s="60"/>
      <c r="G8512" s="62"/>
      <c r="H8512" s="60"/>
    </row>
    <row r="8513" spans="1:8">
      <c r="A8513" s="60"/>
      <c r="B8513" s="77"/>
      <c r="C8513" s="60"/>
      <c r="D8513" s="81"/>
      <c r="E8513" s="62"/>
      <c r="F8513" s="60"/>
      <c r="G8513" s="62"/>
      <c r="H8513" s="60"/>
    </row>
    <row r="8514" spans="1:8">
      <c r="A8514" s="60"/>
      <c r="B8514" s="77"/>
      <c r="C8514" s="60"/>
      <c r="D8514" s="81"/>
      <c r="E8514" s="62"/>
      <c r="F8514" s="60"/>
      <c r="G8514" s="62"/>
      <c r="H8514" s="60"/>
    </row>
    <row r="8515" spans="1:8">
      <c r="A8515" s="60"/>
      <c r="B8515" s="77"/>
      <c r="C8515" s="60"/>
      <c r="D8515" s="81"/>
      <c r="E8515" s="62"/>
      <c r="F8515" s="60"/>
      <c r="G8515" s="62"/>
      <c r="H8515" s="60"/>
    </row>
    <row r="8516" spans="1:8">
      <c r="A8516" s="60"/>
      <c r="B8516" s="77"/>
      <c r="C8516" s="60"/>
      <c r="D8516" s="81"/>
      <c r="E8516" s="62"/>
      <c r="F8516" s="60"/>
      <c r="G8516" s="62"/>
      <c r="H8516" s="60"/>
    </row>
    <row r="8517" spans="1:8">
      <c r="A8517" s="60"/>
      <c r="B8517" s="77"/>
      <c r="C8517" s="60"/>
      <c r="D8517" s="81"/>
      <c r="E8517" s="62"/>
      <c r="F8517" s="60"/>
      <c r="G8517" s="62"/>
      <c r="H8517" s="60"/>
    </row>
    <row r="8518" spans="1:8">
      <c r="A8518" s="60"/>
      <c r="B8518" s="77"/>
      <c r="C8518" s="60"/>
      <c r="D8518" s="81"/>
      <c r="E8518" s="62"/>
      <c r="F8518" s="60"/>
      <c r="G8518" s="62"/>
      <c r="H8518" s="60"/>
    </row>
    <row r="8519" spans="1:8">
      <c r="A8519" s="60"/>
      <c r="B8519" s="77"/>
      <c r="C8519" s="60"/>
      <c r="D8519" s="81"/>
      <c r="E8519" s="62"/>
      <c r="F8519" s="60"/>
      <c r="G8519" s="62"/>
      <c r="H8519" s="60"/>
    </row>
    <row r="8520" spans="1:8">
      <c r="A8520" s="60"/>
      <c r="B8520" s="77"/>
      <c r="C8520" s="60"/>
      <c r="D8520" s="81"/>
      <c r="E8520" s="62"/>
      <c r="F8520" s="60"/>
      <c r="G8520" s="62"/>
      <c r="H8520" s="60"/>
    </row>
    <row r="8521" spans="1:8">
      <c r="A8521" s="60"/>
      <c r="B8521" s="77"/>
      <c r="C8521" s="60"/>
      <c r="D8521" s="81"/>
      <c r="E8521" s="62"/>
      <c r="F8521" s="60"/>
      <c r="G8521" s="62"/>
      <c r="H8521" s="60"/>
    </row>
    <row r="8522" spans="1:8">
      <c r="A8522" s="60"/>
      <c r="B8522" s="77"/>
      <c r="C8522" s="60"/>
      <c r="D8522" s="81"/>
      <c r="E8522" s="62"/>
      <c r="F8522" s="60"/>
      <c r="G8522" s="62"/>
      <c r="H8522" s="60"/>
    </row>
    <row r="8523" spans="1:8">
      <c r="A8523" s="60"/>
      <c r="B8523" s="77"/>
      <c r="C8523" s="60"/>
      <c r="D8523" s="81"/>
      <c r="E8523" s="62"/>
      <c r="F8523" s="60"/>
      <c r="G8523" s="62"/>
      <c r="H8523" s="60"/>
    </row>
    <row r="8524" spans="1:8">
      <c r="A8524" s="60"/>
      <c r="B8524" s="77"/>
      <c r="C8524" s="60"/>
      <c r="D8524" s="81"/>
      <c r="E8524" s="62"/>
      <c r="F8524" s="60"/>
      <c r="G8524" s="62"/>
      <c r="H8524" s="60"/>
    </row>
    <row r="8525" spans="1:8">
      <c r="A8525" s="60"/>
      <c r="B8525" s="77"/>
      <c r="C8525" s="60"/>
      <c r="D8525" s="81"/>
      <c r="E8525" s="62"/>
      <c r="F8525" s="60"/>
      <c r="G8525" s="62"/>
      <c r="H8525" s="60"/>
    </row>
    <row r="8526" spans="1:8">
      <c r="A8526" s="60"/>
      <c r="B8526" s="77"/>
      <c r="C8526" s="60"/>
      <c r="D8526" s="81"/>
      <c r="E8526" s="62"/>
      <c r="F8526" s="60"/>
      <c r="G8526" s="62"/>
      <c r="H8526" s="60"/>
    </row>
    <row r="8527" spans="1:8">
      <c r="A8527" s="60"/>
      <c r="B8527" s="77"/>
      <c r="C8527" s="60"/>
      <c r="D8527" s="81"/>
      <c r="E8527" s="62"/>
      <c r="F8527" s="60"/>
      <c r="G8527" s="62"/>
      <c r="H8527" s="60"/>
    </row>
    <row r="8528" spans="1:8">
      <c r="A8528" s="60"/>
      <c r="B8528" s="77"/>
      <c r="C8528" s="60"/>
      <c r="D8528" s="81"/>
      <c r="E8528" s="62"/>
      <c r="F8528" s="60"/>
      <c r="G8528" s="62"/>
      <c r="H8528" s="60"/>
    </row>
    <row r="8529" spans="1:8">
      <c r="A8529" s="60"/>
      <c r="B8529" s="77"/>
      <c r="C8529" s="60"/>
      <c r="D8529" s="81"/>
      <c r="E8529" s="62"/>
      <c r="F8529" s="60"/>
      <c r="G8529" s="62"/>
      <c r="H8529" s="60"/>
    </row>
    <row r="8530" spans="1:8">
      <c r="A8530" s="60"/>
      <c r="B8530" s="77"/>
      <c r="C8530" s="60"/>
      <c r="D8530" s="81"/>
      <c r="E8530" s="62"/>
      <c r="F8530" s="60"/>
      <c r="G8530" s="62"/>
      <c r="H8530" s="60"/>
    </row>
    <row r="8531" spans="1:8">
      <c r="A8531" s="60"/>
      <c r="B8531" s="77"/>
      <c r="C8531" s="60"/>
      <c r="D8531" s="81"/>
      <c r="E8531" s="62"/>
      <c r="F8531" s="60"/>
      <c r="G8531" s="62"/>
      <c r="H8531" s="60"/>
    </row>
    <row r="8532" spans="1:8">
      <c r="A8532" s="60"/>
      <c r="B8532" s="77"/>
      <c r="C8532" s="60"/>
      <c r="D8532" s="81"/>
      <c r="E8532" s="62"/>
      <c r="F8532" s="60"/>
      <c r="G8532" s="62"/>
      <c r="H8532" s="60"/>
    </row>
    <row r="8533" spans="1:8">
      <c r="A8533" s="60"/>
      <c r="B8533" s="77"/>
      <c r="C8533" s="60"/>
      <c r="D8533" s="81"/>
      <c r="E8533" s="62"/>
      <c r="F8533" s="60"/>
      <c r="G8533" s="62"/>
      <c r="H8533" s="60"/>
    </row>
    <row r="8534" spans="1:8">
      <c r="A8534" s="60"/>
      <c r="B8534" s="77"/>
      <c r="C8534" s="60"/>
      <c r="D8534" s="81"/>
      <c r="E8534" s="62"/>
      <c r="F8534" s="60"/>
      <c r="G8534" s="62"/>
      <c r="H8534" s="60"/>
    </row>
    <row r="8535" spans="1:8">
      <c r="A8535" s="60"/>
      <c r="B8535" s="77"/>
      <c r="C8535" s="60"/>
      <c r="D8535" s="81"/>
      <c r="E8535" s="62"/>
      <c r="F8535" s="60"/>
      <c r="G8535" s="62"/>
      <c r="H8535" s="60"/>
    </row>
    <row r="8536" spans="1:8">
      <c r="A8536" s="60"/>
      <c r="B8536" s="77"/>
      <c r="C8536" s="60"/>
      <c r="D8536" s="81"/>
      <c r="E8536" s="62"/>
      <c r="F8536" s="60"/>
      <c r="G8536" s="62"/>
      <c r="H8536" s="60"/>
    </row>
    <row r="8537" spans="1:8">
      <c r="A8537" s="60"/>
      <c r="B8537" s="77"/>
      <c r="C8537" s="60"/>
      <c r="D8537" s="81"/>
      <c r="E8537" s="62"/>
      <c r="F8537" s="60"/>
      <c r="G8537" s="62"/>
      <c r="H8537" s="60"/>
    </row>
    <row r="8538" spans="1:8">
      <c r="A8538" s="60"/>
      <c r="B8538" s="77"/>
      <c r="C8538" s="60"/>
      <c r="D8538" s="81"/>
      <c r="E8538" s="62"/>
      <c r="F8538" s="60"/>
      <c r="G8538" s="62"/>
      <c r="H8538" s="60"/>
    </row>
    <row r="8539" spans="1:8">
      <c r="A8539" s="60"/>
      <c r="B8539" s="77"/>
      <c r="C8539" s="60"/>
      <c r="D8539" s="81"/>
      <c r="E8539" s="62"/>
      <c r="F8539" s="60"/>
      <c r="G8539" s="62"/>
      <c r="H8539" s="60"/>
    </row>
    <row r="8540" spans="1:8">
      <c r="A8540" s="60"/>
      <c r="B8540" s="77"/>
      <c r="C8540" s="60"/>
      <c r="D8540" s="81"/>
      <c r="E8540" s="62"/>
      <c r="F8540" s="60"/>
      <c r="G8540" s="62"/>
      <c r="H8540" s="60"/>
    </row>
    <row r="8541" spans="1:8">
      <c r="A8541" s="60"/>
      <c r="B8541" s="77"/>
      <c r="C8541" s="60"/>
      <c r="D8541" s="81"/>
      <c r="E8541" s="62"/>
      <c r="F8541" s="60"/>
      <c r="G8541" s="62"/>
      <c r="H8541" s="60"/>
    </row>
    <row r="8542" spans="1:8">
      <c r="A8542" s="60"/>
      <c r="B8542" s="77"/>
      <c r="C8542" s="60"/>
      <c r="D8542" s="81"/>
      <c r="E8542" s="62"/>
      <c r="F8542" s="60"/>
      <c r="G8542" s="62"/>
      <c r="H8542" s="60"/>
    </row>
    <row r="8543" spans="1:8">
      <c r="A8543" s="60"/>
      <c r="B8543" s="77"/>
      <c r="C8543" s="60"/>
      <c r="D8543" s="81"/>
      <c r="E8543" s="62"/>
      <c r="F8543" s="60"/>
      <c r="G8543" s="62"/>
      <c r="H8543" s="60"/>
    </row>
    <row r="8544" spans="1:8">
      <c r="A8544" s="60"/>
      <c r="B8544" s="77"/>
      <c r="C8544" s="60"/>
      <c r="D8544" s="81"/>
      <c r="E8544" s="62"/>
      <c r="F8544" s="60"/>
      <c r="G8544" s="62"/>
      <c r="H8544" s="60"/>
    </row>
    <row r="8545" spans="1:8">
      <c r="A8545" s="60"/>
      <c r="B8545" s="77"/>
      <c r="C8545" s="60"/>
      <c r="D8545" s="81"/>
      <c r="E8545" s="62"/>
      <c r="F8545" s="60"/>
      <c r="G8545" s="62"/>
      <c r="H8545" s="60"/>
    </row>
    <row r="8546" spans="1:8">
      <c r="A8546" s="60"/>
      <c r="B8546" s="77"/>
      <c r="C8546" s="60"/>
      <c r="D8546" s="81"/>
      <c r="E8546" s="62"/>
      <c r="F8546" s="60"/>
      <c r="G8546" s="62"/>
      <c r="H8546" s="60"/>
    </row>
    <row r="8547" spans="1:8">
      <c r="A8547" s="60"/>
      <c r="B8547" s="77"/>
      <c r="C8547" s="60"/>
      <c r="D8547" s="81"/>
      <c r="E8547" s="62"/>
      <c r="F8547" s="60"/>
      <c r="G8547" s="62"/>
      <c r="H8547" s="60"/>
    </row>
    <row r="8548" spans="1:8">
      <c r="A8548" s="60"/>
      <c r="B8548" s="77"/>
      <c r="C8548" s="60"/>
      <c r="D8548" s="81"/>
      <c r="E8548" s="62"/>
      <c r="F8548" s="60"/>
      <c r="G8548" s="62"/>
      <c r="H8548" s="60"/>
    </row>
    <row r="8549" spans="1:8">
      <c r="A8549" s="60"/>
      <c r="B8549" s="77"/>
      <c r="C8549" s="60"/>
      <c r="D8549" s="81"/>
      <c r="E8549" s="62"/>
      <c r="F8549" s="60"/>
      <c r="G8549" s="62"/>
      <c r="H8549" s="60"/>
    </row>
    <row r="8550" spans="1:8">
      <c r="A8550" s="60"/>
      <c r="B8550" s="77"/>
      <c r="C8550" s="60"/>
      <c r="D8550" s="81"/>
      <c r="E8550" s="62"/>
      <c r="F8550" s="60"/>
      <c r="G8550" s="62"/>
      <c r="H8550" s="60"/>
    </row>
    <row r="8551" spans="1:8">
      <c r="A8551" s="60"/>
      <c r="B8551" s="77"/>
      <c r="C8551" s="60"/>
      <c r="D8551" s="81"/>
      <c r="E8551" s="62"/>
      <c r="F8551" s="60"/>
      <c r="G8551" s="62"/>
      <c r="H8551" s="60"/>
    </row>
    <row r="8552" spans="1:8">
      <c r="A8552" s="60"/>
      <c r="B8552" s="77"/>
      <c r="C8552" s="60"/>
      <c r="D8552" s="81"/>
      <c r="E8552" s="62"/>
      <c r="F8552" s="60"/>
      <c r="G8552" s="62"/>
      <c r="H8552" s="60"/>
    </row>
    <row r="8553" spans="1:8">
      <c r="A8553" s="60"/>
      <c r="B8553" s="77"/>
      <c r="C8553" s="60"/>
      <c r="D8553" s="81"/>
      <c r="E8553" s="62"/>
      <c r="F8553" s="60"/>
      <c r="G8553" s="62"/>
      <c r="H8553" s="60"/>
    </row>
    <row r="8554" spans="1:8">
      <c r="A8554" s="60"/>
      <c r="B8554" s="77"/>
      <c r="C8554" s="60"/>
      <c r="D8554" s="81"/>
      <c r="E8554" s="62"/>
      <c r="F8554" s="60"/>
      <c r="G8554" s="62"/>
      <c r="H8554" s="60"/>
    </row>
    <row r="8555" spans="1:8">
      <c r="A8555" s="60"/>
      <c r="B8555" s="77"/>
      <c r="C8555" s="60"/>
      <c r="D8555" s="81"/>
      <c r="E8555" s="62"/>
      <c r="F8555" s="60"/>
      <c r="G8555" s="62"/>
      <c r="H8555" s="60"/>
    </row>
    <row r="8556" spans="1:8">
      <c r="A8556" s="60"/>
      <c r="B8556" s="77"/>
      <c r="C8556" s="60"/>
      <c r="D8556" s="81"/>
      <c r="E8556" s="62"/>
      <c r="F8556" s="60"/>
      <c r="G8556" s="62"/>
      <c r="H8556" s="60"/>
    </row>
    <row r="8557" spans="1:8">
      <c r="A8557" s="60"/>
      <c r="B8557" s="77"/>
      <c r="C8557" s="60"/>
      <c r="D8557" s="81"/>
      <c r="E8557" s="62"/>
      <c r="F8557" s="60"/>
      <c r="G8557" s="62"/>
      <c r="H8557" s="60"/>
    </row>
    <row r="8558" spans="1:8">
      <c r="A8558" s="60"/>
      <c r="B8558" s="77"/>
      <c r="C8558" s="60"/>
      <c r="D8558" s="81"/>
      <c r="E8558" s="62"/>
      <c r="F8558" s="60"/>
      <c r="G8558" s="62"/>
      <c r="H8558" s="60"/>
    </row>
    <row r="8559" spans="1:8">
      <c r="A8559" s="60"/>
      <c r="B8559" s="77"/>
      <c r="C8559" s="60"/>
      <c r="D8559" s="81"/>
      <c r="E8559" s="62"/>
      <c r="F8559" s="60"/>
      <c r="G8559" s="62"/>
      <c r="H8559" s="60"/>
    </row>
    <row r="8560" spans="1:8">
      <c r="A8560" s="60"/>
      <c r="B8560" s="77"/>
      <c r="C8560" s="60"/>
      <c r="D8560" s="81"/>
      <c r="E8560" s="62"/>
      <c r="F8560" s="60"/>
      <c r="G8560" s="62"/>
      <c r="H8560" s="60"/>
    </row>
    <row r="8561" spans="1:8">
      <c r="A8561" s="60"/>
      <c r="B8561" s="77"/>
      <c r="C8561" s="60"/>
      <c r="D8561" s="81"/>
      <c r="E8561" s="62"/>
      <c r="F8561" s="60"/>
      <c r="G8561" s="62"/>
      <c r="H8561" s="60"/>
    </row>
    <row r="8562" spans="1:8">
      <c r="A8562" s="60"/>
      <c r="B8562" s="77"/>
      <c r="C8562" s="60"/>
      <c r="D8562" s="81"/>
      <c r="E8562" s="62"/>
      <c r="F8562" s="60"/>
      <c r="G8562" s="62"/>
      <c r="H8562" s="60"/>
    </row>
    <row r="8563" spans="1:8">
      <c r="A8563" s="60"/>
      <c r="B8563" s="77"/>
      <c r="C8563" s="60"/>
      <c r="D8563" s="81"/>
      <c r="E8563" s="62"/>
      <c r="F8563" s="60"/>
      <c r="G8563" s="62"/>
      <c r="H8563" s="60"/>
    </row>
    <row r="8564" spans="1:8">
      <c r="A8564" s="60"/>
      <c r="B8564" s="77"/>
      <c r="C8564" s="60"/>
      <c r="D8564" s="81"/>
      <c r="E8564" s="62"/>
      <c r="F8564" s="60"/>
      <c r="G8564" s="62"/>
      <c r="H8564" s="60"/>
    </row>
    <row r="8565" spans="1:8">
      <c r="A8565" s="60"/>
      <c r="B8565" s="77"/>
      <c r="C8565" s="60"/>
      <c r="D8565" s="81"/>
      <c r="E8565" s="62"/>
      <c r="F8565" s="60"/>
      <c r="G8565" s="62"/>
      <c r="H8565" s="60"/>
    </row>
    <row r="8566" spans="1:8">
      <c r="A8566" s="60"/>
      <c r="B8566" s="77"/>
      <c r="C8566" s="60"/>
      <c r="D8566" s="81"/>
      <c r="E8566" s="62"/>
      <c r="F8566" s="60"/>
      <c r="G8566" s="62"/>
      <c r="H8566" s="60"/>
    </row>
    <row r="8567" spans="1:8">
      <c r="A8567" s="60"/>
      <c r="B8567" s="77"/>
      <c r="C8567" s="60"/>
      <c r="D8567" s="81"/>
      <c r="E8567" s="62"/>
      <c r="F8567" s="60"/>
      <c r="G8567" s="62"/>
      <c r="H8567" s="60"/>
    </row>
    <row r="8568" spans="1:8">
      <c r="A8568" s="60"/>
      <c r="B8568" s="77"/>
      <c r="C8568" s="60"/>
      <c r="D8568" s="81"/>
      <c r="E8568" s="62"/>
      <c r="F8568" s="60"/>
      <c r="G8568" s="62"/>
      <c r="H8568" s="60"/>
    </row>
    <row r="8569" spans="1:8">
      <c r="A8569" s="60"/>
      <c r="B8569" s="77"/>
      <c r="C8569" s="60"/>
      <c r="D8569" s="81"/>
      <c r="E8569" s="62"/>
      <c r="F8569" s="60"/>
      <c r="G8569" s="62"/>
      <c r="H8569" s="60"/>
    </row>
    <row r="8570" spans="1:8">
      <c r="A8570" s="60"/>
      <c r="B8570" s="77"/>
      <c r="C8570" s="60"/>
      <c r="D8570" s="81"/>
      <c r="E8570" s="62"/>
      <c r="F8570" s="60"/>
      <c r="G8570" s="62"/>
      <c r="H8570" s="60"/>
    </row>
    <row r="8571" spans="1:8">
      <c r="A8571" s="60"/>
      <c r="B8571" s="77"/>
      <c r="C8571" s="60"/>
      <c r="D8571" s="81"/>
      <c r="E8571" s="62"/>
      <c r="F8571" s="60"/>
      <c r="G8571" s="62"/>
      <c r="H8571" s="60"/>
    </row>
    <row r="8572" spans="1:8">
      <c r="A8572" s="60"/>
      <c r="B8572" s="77"/>
      <c r="C8572" s="60"/>
      <c r="D8572" s="81"/>
      <c r="E8572" s="62"/>
      <c r="F8572" s="60"/>
      <c r="G8572" s="62"/>
      <c r="H8572" s="60"/>
    </row>
    <row r="8573" spans="1:8">
      <c r="A8573" s="60"/>
      <c r="B8573" s="77"/>
      <c r="C8573" s="60"/>
      <c r="D8573" s="81"/>
      <c r="E8573" s="62"/>
      <c r="F8573" s="60"/>
      <c r="G8573" s="62"/>
      <c r="H8573" s="60"/>
    </row>
    <row r="8574" spans="1:8">
      <c r="A8574" s="60"/>
      <c r="B8574" s="77"/>
      <c r="C8574" s="60"/>
      <c r="D8574" s="81"/>
      <c r="E8574" s="62"/>
      <c r="F8574" s="60"/>
      <c r="G8574" s="62"/>
      <c r="H8574" s="60"/>
    </row>
    <row r="8575" spans="1:8">
      <c r="A8575" s="60"/>
      <c r="B8575" s="77"/>
      <c r="C8575" s="60"/>
      <c r="D8575" s="81"/>
      <c r="E8575" s="62"/>
      <c r="F8575" s="60"/>
      <c r="G8575" s="62"/>
      <c r="H8575" s="60"/>
    </row>
    <row r="8576" spans="1:8">
      <c r="A8576" s="60"/>
      <c r="B8576" s="77"/>
      <c r="C8576" s="60"/>
      <c r="D8576" s="81"/>
      <c r="E8576" s="62"/>
      <c r="F8576" s="60"/>
      <c r="G8576" s="62"/>
      <c r="H8576" s="60"/>
    </row>
    <row r="8577" spans="1:8">
      <c r="A8577" s="60"/>
      <c r="B8577" s="77"/>
      <c r="C8577" s="60"/>
      <c r="D8577" s="81"/>
      <c r="E8577" s="62"/>
      <c r="F8577" s="60"/>
      <c r="G8577" s="62"/>
      <c r="H8577" s="60"/>
    </row>
    <row r="8578" spans="1:8">
      <c r="A8578" s="60"/>
      <c r="B8578" s="77"/>
      <c r="C8578" s="60"/>
      <c r="D8578" s="81"/>
      <c r="E8578" s="62"/>
      <c r="F8578" s="60"/>
      <c r="G8578" s="62"/>
      <c r="H8578" s="60"/>
    </row>
    <row r="8579" spans="1:8">
      <c r="A8579" s="60"/>
      <c r="B8579" s="77"/>
      <c r="C8579" s="60"/>
      <c r="D8579" s="81"/>
      <c r="E8579" s="62"/>
      <c r="F8579" s="60"/>
      <c r="G8579" s="62"/>
      <c r="H8579" s="60"/>
    </row>
    <row r="8580" spans="1:8">
      <c r="A8580" s="60"/>
      <c r="B8580" s="77"/>
      <c r="C8580" s="60"/>
      <c r="D8580" s="81"/>
      <c r="E8580" s="62"/>
      <c r="F8580" s="60"/>
      <c r="G8580" s="62"/>
      <c r="H8580" s="60"/>
    </row>
    <row r="8581" spans="1:8">
      <c r="A8581" s="60"/>
      <c r="B8581" s="77"/>
      <c r="C8581" s="60"/>
      <c r="D8581" s="81"/>
      <c r="E8581" s="62"/>
      <c r="F8581" s="60"/>
      <c r="G8581" s="62"/>
      <c r="H8581" s="60"/>
    </row>
    <row r="8582" spans="1:8">
      <c r="A8582" s="60"/>
      <c r="B8582" s="77"/>
      <c r="C8582" s="60"/>
      <c r="D8582" s="81"/>
      <c r="E8582" s="62"/>
      <c r="F8582" s="60"/>
      <c r="G8582" s="62"/>
      <c r="H8582" s="60"/>
    </row>
    <row r="8583" spans="1:8">
      <c r="A8583" s="60"/>
      <c r="B8583" s="77"/>
      <c r="C8583" s="60"/>
      <c r="D8583" s="81"/>
      <c r="E8583" s="62"/>
      <c r="F8583" s="60"/>
      <c r="G8583" s="62"/>
      <c r="H8583" s="60"/>
    </row>
    <row r="8584" spans="1:8">
      <c r="A8584" s="60"/>
      <c r="B8584" s="77"/>
      <c r="C8584" s="60"/>
      <c r="D8584" s="81"/>
      <c r="E8584" s="62"/>
      <c r="F8584" s="60"/>
      <c r="G8584" s="62"/>
      <c r="H8584" s="60"/>
    </row>
    <row r="8585" spans="1:8">
      <c r="A8585" s="60"/>
      <c r="B8585" s="77"/>
      <c r="C8585" s="60"/>
      <c r="D8585" s="81"/>
      <c r="E8585" s="62"/>
      <c r="F8585" s="60"/>
      <c r="G8585" s="62"/>
      <c r="H8585" s="60"/>
    </row>
    <row r="8586" spans="1:8">
      <c r="A8586" s="60"/>
      <c r="B8586" s="77"/>
      <c r="C8586" s="60"/>
      <c r="D8586" s="81"/>
      <c r="E8586" s="62"/>
      <c r="F8586" s="60"/>
      <c r="G8586" s="62"/>
      <c r="H8586" s="60"/>
    </row>
    <row r="8587" spans="1:8">
      <c r="A8587" s="60"/>
      <c r="B8587" s="77"/>
      <c r="C8587" s="60"/>
      <c r="D8587" s="81"/>
      <c r="E8587" s="62"/>
      <c r="F8587" s="60"/>
      <c r="G8587" s="62"/>
      <c r="H8587" s="60"/>
    </row>
    <row r="8588" spans="1:8">
      <c r="A8588" s="60"/>
      <c r="B8588" s="77"/>
      <c r="C8588" s="60"/>
      <c r="D8588" s="81"/>
      <c r="E8588" s="62"/>
      <c r="F8588" s="60"/>
      <c r="G8588" s="62"/>
      <c r="H8588" s="60"/>
    </row>
    <row r="8589" spans="1:8">
      <c r="A8589" s="60"/>
      <c r="B8589" s="77"/>
      <c r="C8589" s="60"/>
      <c r="D8589" s="81"/>
      <c r="E8589" s="62"/>
      <c r="F8589" s="60"/>
      <c r="G8589" s="62"/>
      <c r="H8589" s="60"/>
    </row>
    <row r="8590" spans="1:8">
      <c r="A8590" s="60"/>
      <c r="B8590" s="77"/>
      <c r="C8590" s="60"/>
      <c r="D8590" s="81"/>
      <c r="E8590" s="62"/>
      <c r="F8590" s="60"/>
      <c r="G8590" s="62"/>
      <c r="H8590" s="60"/>
    </row>
    <row r="8591" spans="1:8">
      <c r="A8591" s="60"/>
      <c r="B8591" s="77"/>
      <c r="C8591" s="60"/>
      <c r="D8591" s="81"/>
      <c r="E8591" s="62"/>
      <c r="F8591" s="60"/>
      <c r="G8591" s="62"/>
      <c r="H8591" s="60"/>
    </row>
    <row r="8592" spans="1:8">
      <c r="A8592" s="60"/>
      <c r="B8592" s="77"/>
      <c r="C8592" s="60"/>
      <c r="D8592" s="81"/>
      <c r="E8592" s="62"/>
      <c r="F8592" s="60"/>
      <c r="G8592" s="62"/>
      <c r="H8592" s="60"/>
    </row>
    <row r="8593" spans="1:8">
      <c r="A8593" s="60"/>
      <c r="B8593" s="77"/>
      <c r="C8593" s="60"/>
      <c r="D8593" s="81"/>
      <c r="E8593" s="62"/>
      <c r="F8593" s="60"/>
      <c r="G8593" s="62"/>
      <c r="H8593" s="60"/>
    </row>
    <row r="8594" spans="1:8">
      <c r="A8594" s="60"/>
      <c r="B8594" s="77"/>
      <c r="C8594" s="60"/>
      <c r="D8594" s="81"/>
      <c r="E8594" s="62"/>
      <c r="F8594" s="60"/>
      <c r="G8594" s="62"/>
      <c r="H8594" s="60"/>
    </row>
    <row r="8595" spans="1:8">
      <c r="A8595" s="60"/>
      <c r="B8595" s="77"/>
      <c r="C8595" s="60"/>
      <c r="D8595" s="81"/>
      <c r="E8595" s="62"/>
      <c r="F8595" s="60"/>
      <c r="G8595" s="62"/>
      <c r="H8595" s="60"/>
    </row>
    <row r="8596" spans="1:8">
      <c r="A8596" s="60"/>
      <c r="B8596" s="77"/>
      <c r="C8596" s="60"/>
      <c r="D8596" s="81"/>
      <c r="E8596" s="62"/>
      <c r="F8596" s="60"/>
      <c r="G8596" s="62"/>
      <c r="H8596" s="60"/>
    </row>
    <row r="8597" spans="1:8">
      <c r="A8597" s="60"/>
      <c r="B8597" s="77"/>
      <c r="C8597" s="60"/>
      <c r="D8597" s="81"/>
      <c r="E8597" s="62"/>
      <c r="F8597" s="60"/>
      <c r="G8597" s="62"/>
      <c r="H8597" s="60"/>
    </row>
    <row r="8598" spans="1:8">
      <c r="A8598" s="60"/>
      <c r="B8598" s="77"/>
      <c r="C8598" s="60"/>
      <c r="D8598" s="81"/>
      <c r="E8598" s="62"/>
      <c r="F8598" s="60"/>
      <c r="G8598" s="62"/>
      <c r="H8598" s="60"/>
    </row>
    <row r="8599" spans="1:8">
      <c r="A8599" s="60"/>
      <c r="B8599" s="77"/>
      <c r="C8599" s="60"/>
      <c r="D8599" s="81"/>
      <c r="E8599" s="62"/>
      <c r="F8599" s="60"/>
      <c r="G8599" s="62"/>
      <c r="H8599" s="60"/>
    </row>
    <row r="8600" spans="1:8">
      <c r="A8600" s="60"/>
      <c r="B8600" s="77"/>
      <c r="C8600" s="60"/>
      <c r="D8600" s="81"/>
      <c r="E8600" s="62"/>
      <c r="F8600" s="60"/>
      <c r="G8600" s="62"/>
      <c r="H8600" s="60"/>
    </row>
    <row r="8601" spans="1:8">
      <c r="A8601" s="60"/>
      <c r="B8601" s="77"/>
      <c r="C8601" s="60"/>
      <c r="D8601" s="81"/>
      <c r="E8601" s="62"/>
      <c r="F8601" s="60"/>
      <c r="G8601" s="62"/>
      <c r="H8601" s="60"/>
    </row>
    <row r="8602" spans="1:8">
      <c r="A8602" s="60"/>
      <c r="B8602" s="77"/>
      <c r="C8602" s="60"/>
      <c r="D8602" s="81"/>
      <c r="E8602" s="62"/>
      <c r="F8602" s="60"/>
      <c r="G8602" s="62"/>
      <c r="H8602" s="60"/>
    </row>
    <row r="8603" spans="1:8">
      <c r="A8603" s="60"/>
      <c r="B8603" s="77"/>
      <c r="C8603" s="60"/>
      <c r="D8603" s="81"/>
      <c r="E8603" s="62"/>
      <c r="F8603" s="60"/>
      <c r="G8603" s="62"/>
      <c r="H8603" s="60"/>
    </row>
    <row r="8604" spans="1:8">
      <c r="A8604" s="60"/>
      <c r="B8604" s="77"/>
      <c r="C8604" s="60"/>
      <c r="D8604" s="81"/>
      <c r="E8604" s="62"/>
      <c r="F8604" s="60"/>
      <c r="G8604" s="62"/>
      <c r="H8604" s="60"/>
    </row>
    <row r="8605" spans="1:8">
      <c r="A8605" s="60"/>
      <c r="B8605" s="77"/>
      <c r="C8605" s="60"/>
      <c r="D8605" s="81"/>
      <c r="E8605" s="62"/>
      <c r="F8605" s="60"/>
      <c r="G8605" s="62"/>
      <c r="H8605" s="60"/>
    </row>
    <row r="8606" spans="1:8">
      <c r="A8606" s="60"/>
      <c r="B8606" s="77"/>
      <c r="C8606" s="60"/>
      <c r="D8606" s="81"/>
      <c r="E8606" s="62"/>
      <c r="F8606" s="60"/>
      <c r="G8606" s="62"/>
      <c r="H8606" s="60"/>
    </row>
    <row r="8607" spans="1:8">
      <c r="A8607" s="60"/>
      <c r="B8607" s="77"/>
      <c r="C8607" s="60"/>
      <c r="D8607" s="81"/>
      <c r="E8607" s="62"/>
      <c r="F8607" s="60"/>
      <c r="G8607" s="62"/>
      <c r="H8607" s="60"/>
    </row>
    <row r="8608" spans="1:8">
      <c r="A8608" s="60"/>
      <c r="B8608" s="77"/>
      <c r="C8608" s="60"/>
      <c r="D8608" s="81"/>
      <c r="E8608" s="62"/>
      <c r="F8608" s="60"/>
      <c r="G8608" s="62"/>
      <c r="H8608" s="60"/>
    </row>
    <row r="8609" spans="1:8">
      <c r="A8609" s="60"/>
      <c r="B8609" s="77"/>
      <c r="C8609" s="60"/>
      <c r="D8609" s="81"/>
      <c r="E8609" s="62"/>
      <c r="F8609" s="60"/>
      <c r="G8609" s="62"/>
      <c r="H8609" s="60"/>
    </row>
    <row r="8610" spans="1:8">
      <c r="A8610" s="60"/>
      <c r="B8610" s="77"/>
      <c r="C8610" s="60"/>
      <c r="D8610" s="81"/>
      <c r="E8610" s="62"/>
      <c r="F8610" s="60"/>
      <c r="G8610" s="62"/>
      <c r="H8610" s="60"/>
    </row>
    <row r="8611" spans="1:8">
      <c r="A8611" s="60"/>
      <c r="B8611" s="77"/>
      <c r="C8611" s="60"/>
      <c r="D8611" s="81"/>
      <c r="E8611" s="62"/>
      <c r="F8611" s="60"/>
      <c r="G8611" s="62"/>
      <c r="H8611" s="60"/>
    </row>
    <row r="8612" spans="1:8">
      <c r="A8612" s="60"/>
      <c r="B8612" s="77"/>
      <c r="C8612" s="60"/>
      <c r="D8612" s="81"/>
      <c r="E8612" s="62"/>
      <c r="F8612" s="60"/>
      <c r="G8612" s="62"/>
      <c r="H8612" s="60"/>
    </row>
    <row r="8613" spans="1:8">
      <c r="A8613" s="60"/>
      <c r="B8613" s="77"/>
      <c r="C8613" s="60"/>
      <c r="D8613" s="81"/>
      <c r="E8613" s="62"/>
      <c r="F8613" s="60"/>
      <c r="G8613" s="62"/>
      <c r="H8613" s="60"/>
    </row>
    <row r="8614" spans="1:8">
      <c r="A8614" s="60"/>
      <c r="B8614" s="77"/>
      <c r="C8614" s="60"/>
      <c r="D8614" s="81"/>
      <c r="E8614" s="62"/>
      <c r="F8614" s="60"/>
      <c r="G8614" s="62"/>
      <c r="H8614" s="60"/>
    </row>
    <row r="8615" spans="1:8">
      <c r="A8615" s="60"/>
      <c r="B8615" s="77"/>
      <c r="C8615" s="60"/>
      <c r="D8615" s="81"/>
      <c r="E8615" s="62"/>
      <c r="F8615" s="60"/>
      <c r="G8615" s="62"/>
      <c r="H8615" s="60"/>
    </row>
    <row r="8616" spans="1:8">
      <c r="A8616" s="60"/>
      <c r="B8616" s="77"/>
      <c r="C8616" s="60"/>
      <c r="D8616" s="81"/>
      <c r="E8616" s="62"/>
      <c r="F8616" s="60"/>
      <c r="G8616" s="62"/>
      <c r="H8616" s="60"/>
    </row>
    <row r="8617" spans="1:8">
      <c r="A8617" s="60"/>
      <c r="B8617" s="77"/>
      <c r="C8617" s="60"/>
      <c r="D8617" s="81"/>
      <c r="E8617" s="62"/>
      <c r="F8617" s="60"/>
      <c r="G8617" s="62"/>
      <c r="H8617" s="60"/>
    </row>
    <row r="8618" spans="1:8">
      <c r="A8618" s="60"/>
      <c r="B8618" s="77"/>
      <c r="C8618" s="60"/>
      <c r="D8618" s="81"/>
      <c r="E8618" s="62"/>
      <c r="F8618" s="60"/>
      <c r="G8618" s="62"/>
      <c r="H8618" s="60"/>
    </row>
    <row r="8619" spans="1:8">
      <c r="A8619" s="60"/>
      <c r="B8619" s="77"/>
      <c r="C8619" s="60"/>
      <c r="D8619" s="81"/>
      <c r="E8619" s="62"/>
      <c r="F8619" s="60"/>
      <c r="G8619" s="62"/>
      <c r="H8619" s="60"/>
    </row>
    <row r="8620" spans="1:8">
      <c r="A8620" s="60"/>
      <c r="B8620" s="77"/>
      <c r="C8620" s="60"/>
      <c r="D8620" s="81"/>
      <c r="E8620" s="62"/>
      <c r="F8620" s="60"/>
      <c r="G8620" s="62"/>
      <c r="H8620" s="60"/>
    </row>
    <row r="8621" spans="1:8">
      <c r="A8621" s="60"/>
      <c r="B8621" s="77"/>
      <c r="C8621" s="60"/>
      <c r="D8621" s="81"/>
      <c r="E8621" s="62"/>
      <c r="F8621" s="60"/>
      <c r="G8621" s="62"/>
      <c r="H8621" s="60"/>
    </row>
    <row r="8622" spans="1:8">
      <c r="A8622" s="60"/>
      <c r="B8622" s="77"/>
      <c r="C8622" s="60"/>
      <c r="D8622" s="81"/>
      <c r="E8622" s="62"/>
      <c r="F8622" s="60"/>
      <c r="G8622" s="62"/>
      <c r="H8622" s="60"/>
    </row>
    <row r="8623" spans="1:8">
      <c r="A8623" s="60"/>
      <c r="B8623" s="77"/>
      <c r="C8623" s="60"/>
      <c r="D8623" s="81"/>
      <c r="E8623" s="62"/>
      <c r="F8623" s="60"/>
      <c r="G8623" s="62"/>
      <c r="H8623" s="60"/>
    </row>
    <row r="8624" spans="1:8">
      <c r="A8624" s="60"/>
      <c r="B8624" s="77"/>
      <c r="C8624" s="60"/>
      <c r="D8624" s="81"/>
      <c r="E8624" s="62"/>
      <c r="F8624" s="60"/>
      <c r="G8624" s="62"/>
      <c r="H8624" s="60"/>
    </row>
    <row r="8625" spans="1:8">
      <c r="A8625" s="60"/>
      <c r="B8625" s="77"/>
      <c r="C8625" s="60"/>
      <c r="D8625" s="81"/>
      <c r="E8625" s="62"/>
      <c r="F8625" s="60"/>
      <c r="G8625" s="62"/>
      <c r="H8625" s="60"/>
    </row>
    <row r="8626" spans="1:8">
      <c r="A8626" s="60"/>
      <c r="B8626" s="77"/>
      <c r="C8626" s="60"/>
      <c r="D8626" s="81"/>
      <c r="E8626" s="62"/>
      <c r="F8626" s="60"/>
      <c r="G8626" s="62"/>
      <c r="H8626" s="60"/>
    </row>
    <row r="8627" spans="1:8">
      <c r="A8627" s="60"/>
      <c r="B8627" s="77"/>
      <c r="C8627" s="60"/>
      <c r="D8627" s="81"/>
      <c r="E8627" s="62"/>
      <c r="F8627" s="60"/>
      <c r="G8627" s="62"/>
      <c r="H8627" s="60"/>
    </row>
    <row r="8628" spans="1:8">
      <c r="A8628" s="60"/>
      <c r="B8628" s="77"/>
      <c r="C8628" s="60"/>
      <c r="D8628" s="81"/>
      <c r="E8628" s="62"/>
      <c r="F8628" s="60"/>
      <c r="G8628" s="62"/>
      <c r="H8628" s="60"/>
    </row>
    <row r="8629" spans="1:8">
      <c r="A8629" s="60"/>
      <c r="B8629" s="77"/>
      <c r="C8629" s="60"/>
      <c r="D8629" s="81"/>
      <c r="E8629" s="62"/>
      <c r="F8629" s="60"/>
      <c r="G8629" s="62"/>
      <c r="H8629" s="60"/>
    </row>
    <row r="8630" spans="1:8">
      <c r="A8630" s="60"/>
      <c r="B8630" s="77"/>
      <c r="C8630" s="60"/>
      <c r="D8630" s="81"/>
      <c r="E8630" s="62"/>
      <c r="F8630" s="60"/>
      <c r="G8630" s="62"/>
      <c r="H8630" s="60"/>
    </row>
    <row r="8631" spans="1:8">
      <c r="A8631" s="60"/>
      <c r="B8631" s="77"/>
      <c r="C8631" s="60"/>
      <c r="D8631" s="81"/>
      <c r="E8631" s="62"/>
      <c r="F8631" s="60"/>
      <c r="G8631" s="62"/>
      <c r="H8631" s="60"/>
    </row>
    <row r="8632" spans="1:8">
      <c r="A8632" s="60"/>
      <c r="B8632" s="77"/>
      <c r="C8632" s="60"/>
      <c r="D8632" s="81"/>
      <c r="E8632" s="62"/>
      <c r="F8632" s="60"/>
      <c r="G8632" s="62"/>
      <c r="H8632" s="60"/>
    </row>
    <row r="8633" spans="1:8">
      <c r="A8633" s="60"/>
      <c r="B8633" s="77"/>
      <c r="C8633" s="60"/>
      <c r="D8633" s="81"/>
      <c r="E8633" s="62"/>
      <c r="F8633" s="60"/>
      <c r="G8633" s="62"/>
      <c r="H8633" s="60"/>
    </row>
    <row r="8634" spans="1:8">
      <c r="A8634" s="60"/>
      <c r="B8634" s="77"/>
      <c r="C8634" s="60"/>
      <c r="D8634" s="81"/>
      <c r="E8634" s="62"/>
      <c r="F8634" s="60"/>
      <c r="G8634" s="62"/>
      <c r="H8634" s="60"/>
    </row>
    <row r="8635" spans="1:8">
      <c r="A8635" s="60"/>
      <c r="B8635" s="77"/>
      <c r="C8635" s="60"/>
      <c r="D8635" s="81"/>
      <c r="E8635" s="62"/>
      <c r="F8635" s="60"/>
      <c r="G8635" s="62"/>
      <c r="H8635" s="60"/>
    </row>
    <row r="8636" spans="1:8">
      <c r="A8636" s="60"/>
      <c r="B8636" s="77"/>
      <c r="C8636" s="60"/>
      <c r="D8636" s="81"/>
      <c r="E8636" s="62"/>
      <c r="F8636" s="60"/>
      <c r="G8636" s="62"/>
      <c r="H8636" s="60"/>
    </row>
    <row r="8637" spans="1:8">
      <c r="A8637" s="60"/>
      <c r="B8637" s="77"/>
      <c r="C8637" s="60"/>
      <c r="D8637" s="81"/>
      <c r="E8637" s="62"/>
      <c r="F8637" s="60"/>
      <c r="G8637" s="62"/>
      <c r="H8637" s="60"/>
    </row>
    <row r="8638" spans="1:8">
      <c r="A8638" s="60"/>
      <c r="B8638" s="77"/>
      <c r="C8638" s="60"/>
      <c r="D8638" s="81"/>
      <c r="E8638" s="62"/>
      <c r="F8638" s="60"/>
      <c r="G8638" s="62"/>
      <c r="H8638" s="60"/>
    </row>
    <row r="8639" spans="1:8">
      <c r="A8639" s="60"/>
      <c r="B8639" s="77"/>
      <c r="C8639" s="60"/>
      <c r="D8639" s="81"/>
      <c r="E8639" s="62"/>
      <c r="F8639" s="60"/>
      <c r="G8639" s="62"/>
      <c r="H8639" s="60"/>
    </row>
    <row r="8640" spans="1:8">
      <c r="A8640" s="60"/>
      <c r="B8640" s="77"/>
      <c r="C8640" s="60"/>
      <c r="D8640" s="81"/>
      <c r="E8640" s="62"/>
      <c r="F8640" s="60"/>
      <c r="G8640" s="62"/>
      <c r="H8640" s="60"/>
    </row>
    <row r="8641" spans="1:8">
      <c r="A8641" s="60"/>
      <c r="B8641" s="77"/>
      <c r="C8641" s="60"/>
      <c r="D8641" s="81"/>
      <c r="E8641" s="62"/>
      <c r="F8641" s="60"/>
      <c r="G8641" s="62"/>
      <c r="H8641" s="60"/>
    </row>
    <row r="8642" spans="1:8">
      <c r="A8642" s="60"/>
      <c r="B8642" s="77"/>
      <c r="C8642" s="60"/>
      <c r="D8642" s="81"/>
      <c r="E8642" s="62"/>
      <c r="F8642" s="60"/>
      <c r="G8642" s="62"/>
      <c r="H8642" s="60"/>
    </row>
    <row r="8643" spans="1:8">
      <c r="A8643" s="60"/>
      <c r="B8643" s="77"/>
      <c r="C8643" s="60"/>
      <c r="D8643" s="81"/>
      <c r="E8643" s="62"/>
      <c r="F8643" s="60"/>
      <c r="G8643" s="62"/>
      <c r="H8643" s="60"/>
    </row>
    <row r="8644" spans="1:8">
      <c r="A8644" s="60"/>
      <c r="B8644" s="77"/>
      <c r="C8644" s="60"/>
      <c r="D8644" s="81"/>
      <c r="E8644" s="62"/>
      <c r="F8644" s="60"/>
      <c r="G8644" s="62"/>
      <c r="H8644" s="60"/>
    </row>
    <row r="8645" spans="1:8">
      <c r="A8645" s="60"/>
      <c r="B8645" s="77"/>
      <c r="C8645" s="60"/>
      <c r="D8645" s="81"/>
      <c r="E8645" s="62"/>
      <c r="F8645" s="60"/>
      <c r="G8645" s="62"/>
      <c r="H8645" s="60"/>
    </row>
    <row r="8646" spans="1:8">
      <c r="A8646" s="60"/>
      <c r="B8646" s="77"/>
      <c r="C8646" s="60"/>
      <c r="D8646" s="81"/>
      <c r="E8646" s="62"/>
      <c r="F8646" s="60"/>
      <c r="G8646" s="62"/>
      <c r="H8646" s="60"/>
    </row>
    <row r="8647" spans="1:8">
      <c r="A8647" s="60"/>
      <c r="B8647" s="77"/>
      <c r="C8647" s="60"/>
      <c r="D8647" s="81"/>
      <c r="E8647" s="62"/>
      <c r="F8647" s="60"/>
      <c r="G8647" s="62"/>
      <c r="H8647" s="60"/>
    </row>
    <row r="8648" spans="1:8">
      <c r="A8648" s="60"/>
      <c r="B8648" s="77"/>
      <c r="C8648" s="60"/>
      <c r="D8648" s="81"/>
      <c r="E8648" s="62"/>
      <c r="F8648" s="60"/>
      <c r="G8648" s="62"/>
      <c r="H8648" s="60"/>
    </row>
    <row r="8649" spans="1:8">
      <c r="A8649" s="60"/>
      <c r="B8649" s="77"/>
      <c r="C8649" s="60"/>
      <c r="D8649" s="81"/>
      <c r="E8649" s="62"/>
      <c r="F8649" s="60"/>
      <c r="G8649" s="62"/>
      <c r="H8649" s="60"/>
    </row>
    <row r="8650" spans="1:8">
      <c r="A8650" s="60"/>
      <c r="B8650" s="77"/>
      <c r="C8650" s="60"/>
      <c r="D8650" s="81"/>
      <c r="E8650" s="62"/>
      <c r="F8650" s="60"/>
      <c r="G8650" s="62"/>
      <c r="H8650" s="60"/>
    </row>
    <row r="8651" spans="1:8">
      <c r="A8651" s="60"/>
      <c r="B8651" s="77"/>
      <c r="C8651" s="60"/>
      <c r="D8651" s="81"/>
      <c r="E8651" s="62"/>
      <c r="F8651" s="60"/>
      <c r="G8651" s="62"/>
      <c r="H8651" s="60"/>
    </row>
    <row r="8652" spans="1:8">
      <c r="A8652" s="60"/>
      <c r="B8652" s="77"/>
      <c r="C8652" s="60"/>
      <c r="D8652" s="81"/>
      <c r="E8652" s="62"/>
      <c r="F8652" s="60"/>
      <c r="G8652" s="62"/>
      <c r="H8652" s="60"/>
    </row>
    <row r="8653" spans="1:8">
      <c r="A8653" s="60"/>
      <c r="B8653" s="77"/>
      <c r="C8653" s="60"/>
      <c r="D8653" s="81"/>
      <c r="E8653" s="62"/>
      <c r="F8653" s="60"/>
      <c r="G8653" s="62"/>
      <c r="H8653" s="60"/>
    </row>
    <row r="8654" spans="1:8">
      <c r="A8654" s="60"/>
      <c r="B8654" s="77"/>
      <c r="C8654" s="60"/>
      <c r="D8654" s="81"/>
      <c r="E8654" s="62"/>
      <c r="F8654" s="60"/>
      <c r="G8654" s="62"/>
      <c r="H8654" s="60"/>
    </row>
    <row r="8655" spans="1:8">
      <c r="A8655" s="60"/>
      <c r="B8655" s="77"/>
      <c r="C8655" s="60"/>
      <c r="D8655" s="81"/>
      <c r="E8655" s="62"/>
      <c r="F8655" s="60"/>
      <c r="G8655" s="62"/>
      <c r="H8655" s="60"/>
    </row>
    <row r="8656" spans="1:8">
      <c r="A8656" s="60"/>
      <c r="B8656" s="77"/>
      <c r="C8656" s="60"/>
      <c r="D8656" s="81"/>
      <c r="E8656" s="62"/>
      <c r="F8656" s="60"/>
      <c r="G8656" s="62"/>
      <c r="H8656" s="60"/>
    </row>
    <row r="8657" spans="1:8">
      <c r="A8657" s="60"/>
      <c r="B8657" s="77"/>
      <c r="C8657" s="60"/>
      <c r="D8657" s="81"/>
      <c r="E8657" s="62"/>
      <c r="F8657" s="60"/>
      <c r="G8657" s="62"/>
      <c r="H8657" s="60"/>
    </row>
    <row r="8658" spans="1:8">
      <c r="A8658" s="60"/>
      <c r="B8658" s="77"/>
      <c r="C8658" s="60"/>
      <c r="D8658" s="81"/>
      <c r="E8658" s="62"/>
      <c r="F8658" s="60"/>
      <c r="G8658" s="62"/>
      <c r="H8658" s="60"/>
    </row>
    <row r="8659" spans="1:8">
      <c r="A8659" s="60"/>
      <c r="B8659" s="77"/>
      <c r="C8659" s="60"/>
      <c r="D8659" s="81"/>
      <c r="E8659" s="62"/>
      <c r="F8659" s="60"/>
      <c r="G8659" s="62"/>
      <c r="H8659" s="60"/>
    </row>
    <row r="8660" spans="1:8">
      <c r="A8660" s="60"/>
      <c r="B8660" s="77"/>
      <c r="C8660" s="60"/>
      <c r="D8660" s="81"/>
      <c r="E8660" s="62"/>
      <c r="F8660" s="60"/>
      <c r="G8660" s="62"/>
      <c r="H8660" s="60"/>
    </row>
    <row r="8661" spans="1:8">
      <c r="A8661" s="60"/>
      <c r="B8661" s="77"/>
      <c r="C8661" s="60"/>
      <c r="D8661" s="81"/>
      <c r="E8661" s="62"/>
      <c r="F8661" s="60"/>
      <c r="G8661" s="62"/>
      <c r="H8661" s="60"/>
    </row>
    <row r="8662" spans="1:8">
      <c r="A8662" s="60"/>
      <c r="B8662" s="77"/>
      <c r="C8662" s="60"/>
      <c r="D8662" s="81"/>
      <c r="E8662" s="62"/>
      <c r="F8662" s="60"/>
      <c r="G8662" s="62"/>
      <c r="H8662" s="60"/>
    </row>
    <row r="8663" spans="1:8">
      <c r="A8663" s="60"/>
      <c r="B8663" s="77"/>
      <c r="C8663" s="60"/>
      <c r="D8663" s="81"/>
      <c r="E8663" s="62"/>
      <c r="F8663" s="60"/>
      <c r="G8663" s="62"/>
      <c r="H8663" s="60"/>
    </row>
    <row r="8664" spans="1:8">
      <c r="A8664" s="60"/>
      <c r="B8664" s="77"/>
      <c r="C8664" s="60"/>
      <c r="D8664" s="81"/>
      <c r="E8664" s="62"/>
      <c r="F8664" s="60"/>
      <c r="G8664" s="62"/>
      <c r="H8664" s="60"/>
    </row>
    <row r="8665" spans="1:8">
      <c r="A8665" s="60"/>
      <c r="B8665" s="77"/>
      <c r="C8665" s="60"/>
      <c r="D8665" s="81"/>
      <c r="E8665" s="62"/>
      <c r="F8665" s="60"/>
      <c r="G8665" s="62"/>
      <c r="H8665" s="60"/>
    </row>
    <row r="8666" spans="1:8">
      <c r="A8666" s="60"/>
      <c r="B8666" s="77"/>
      <c r="C8666" s="60"/>
      <c r="D8666" s="81"/>
      <c r="E8666" s="62"/>
      <c r="F8666" s="60"/>
      <c r="G8666" s="62"/>
      <c r="H8666" s="60"/>
    </row>
    <row r="8667" spans="1:8">
      <c r="A8667" s="60"/>
      <c r="B8667" s="77"/>
      <c r="C8667" s="60"/>
      <c r="D8667" s="81"/>
      <c r="E8667" s="62"/>
      <c r="F8667" s="60"/>
      <c r="G8667" s="62"/>
      <c r="H8667" s="60"/>
    </row>
    <row r="8668" spans="1:8">
      <c r="A8668" s="60"/>
      <c r="B8668" s="77"/>
      <c r="C8668" s="60"/>
      <c r="D8668" s="81"/>
      <c r="E8668" s="62"/>
      <c r="F8668" s="60"/>
      <c r="G8668" s="62"/>
      <c r="H8668" s="60"/>
    </row>
    <row r="8669" spans="1:8">
      <c r="A8669" s="60"/>
      <c r="B8669" s="77"/>
      <c r="C8669" s="60"/>
      <c r="D8669" s="81"/>
      <c r="E8669" s="62"/>
      <c r="F8669" s="60"/>
      <c r="G8669" s="62"/>
      <c r="H8669" s="60"/>
    </row>
    <row r="8670" spans="1:8">
      <c r="A8670" s="60"/>
      <c r="B8670" s="77"/>
      <c r="C8670" s="60"/>
      <c r="D8670" s="81"/>
      <c r="E8670" s="62"/>
      <c r="F8670" s="60"/>
      <c r="G8670" s="62"/>
      <c r="H8670" s="60"/>
    </row>
    <row r="8671" spans="1:8">
      <c r="A8671" s="60"/>
      <c r="B8671" s="77"/>
      <c r="C8671" s="60"/>
      <c r="D8671" s="81"/>
      <c r="E8671" s="62"/>
      <c r="F8671" s="60"/>
      <c r="G8671" s="62"/>
      <c r="H8671" s="60"/>
    </row>
    <row r="8672" spans="1:8">
      <c r="A8672" s="60"/>
      <c r="B8672" s="77"/>
      <c r="C8672" s="60"/>
      <c r="D8672" s="81"/>
      <c r="E8672" s="62"/>
      <c r="F8672" s="60"/>
      <c r="G8672" s="62"/>
      <c r="H8672" s="60"/>
    </row>
    <row r="8673" spans="1:8">
      <c r="A8673" s="60"/>
      <c r="B8673" s="77"/>
      <c r="C8673" s="60"/>
      <c r="D8673" s="81"/>
      <c r="E8673" s="62"/>
      <c r="F8673" s="60"/>
      <c r="G8673" s="62"/>
      <c r="H8673" s="60"/>
    </row>
    <row r="8674" spans="1:8">
      <c r="A8674" s="60"/>
      <c r="B8674" s="77"/>
      <c r="C8674" s="60"/>
      <c r="D8674" s="81"/>
      <c r="E8674" s="62"/>
      <c r="F8674" s="60"/>
      <c r="G8674" s="62"/>
      <c r="H8674" s="60"/>
    </row>
    <row r="8675" spans="1:8">
      <c r="A8675" s="60"/>
      <c r="B8675" s="77"/>
      <c r="C8675" s="60"/>
      <c r="D8675" s="81"/>
      <c r="E8675" s="62"/>
      <c r="F8675" s="60"/>
      <c r="G8675" s="62"/>
      <c r="H8675" s="60"/>
    </row>
    <row r="8676" spans="1:8">
      <c r="A8676" s="60"/>
      <c r="B8676" s="77"/>
      <c r="C8676" s="60"/>
      <c r="D8676" s="81"/>
      <c r="E8676" s="62"/>
      <c r="F8676" s="60"/>
      <c r="G8676" s="62"/>
      <c r="H8676" s="60"/>
    </row>
    <row r="8677" spans="1:8">
      <c r="A8677" s="60"/>
      <c r="B8677" s="77"/>
      <c r="C8677" s="60"/>
      <c r="D8677" s="81"/>
      <c r="E8677" s="62"/>
      <c r="F8677" s="60"/>
      <c r="G8677" s="62"/>
      <c r="H8677" s="60"/>
    </row>
    <row r="8678" spans="1:8">
      <c r="A8678" s="60"/>
      <c r="B8678" s="77"/>
      <c r="C8678" s="60"/>
      <c r="D8678" s="81"/>
      <c r="E8678" s="62"/>
      <c r="F8678" s="60"/>
      <c r="G8678" s="62"/>
      <c r="H8678" s="60"/>
    </row>
    <row r="8679" spans="1:8">
      <c r="A8679" s="60"/>
      <c r="B8679" s="77"/>
      <c r="C8679" s="60"/>
      <c r="D8679" s="81"/>
      <c r="E8679" s="62"/>
      <c r="F8679" s="60"/>
      <c r="G8679" s="62"/>
      <c r="H8679" s="60"/>
    </row>
    <row r="8680" spans="1:8">
      <c r="A8680" s="60"/>
      <c r="B8680" s="77"/>
      <c r="C8680" s="60"/>
      <c r="D8680" s="81"/>
      <c r="E8680" s="62"/>
      <c r="F8680" s="60"/>
      <c r="G8680" s="62"/>
      <c r="H8680" s="60"/>
    </row>
    <row r="8681" spans="1:8">
      <c r="A8681" s="60"/>
      <c r="B8681" s="77"/>
      <c r="C8681" s="60"/>
      <c r="D8681" s="81"/>
      <c r="E8681" s="62"/>
      <c r="F8681" s="60"/>
      <c r="G8681" s="62"/>
      <c r="H8681" s="60"/>
    </row>
    <row r="8682" spans="1:8">
      <c r="A8682" s="60"/>
      <c r="B8682" s="77"/>
      <c r="C8682" s="60"/>
      <c r="D8682" s="81"/>
      <c r="E8682" s="62"/>
      <c r="F8682" s="60"/>
      <c r="G8682" s="62"/>
      <c r="H8682" s="60"/>
    </row>
    <row r="8683" spans="1:8">
      <c r="A8683" s="60"/>
      <c r="B8683" s="77"/>
      <c r="C8683" s="60"/>
      <c r="D8683" s="81"/>
      <c r="E8683" s="62"/>
      <c r="F8683" s="60"/>
      <c r="G8683" s="62"/>
      <c r="H8683" s="60"/>
    </row>
    <row r="8684" spans="1:8">
      <c r="A8684" s="60"/>
      <c r="B8684" s="77"/>
      <c r="C8684" s="60"/>
      <c r="D8684" s="81"/>
      <c r="E8684" s="62"/>
      <c r="F8684" s="60"/>
      <c r="G8684" s="62"/>
      <c r="H8684" s="60"/>
    </row>
    <row r="8685" spans="1:8">
      <c r="A8685" s="60"/>
      <c r="B8685" s="77"/>
      <c r="C8685" s="60"/>
      <c r="D8685" s="81"/>
      <c r="E8685" s="62"/>
      <c r="F8685" s="60"/>
      <c r="G8685" s="62"/>
      <c r="H8685" s="60"/>
    </row>
    <row r="8686" spans="1:8">
      <c r="A8686" s="60"/>
      <c r="B8686" s="77"/>
      <c r="C8686" s="60"/>
      <c r="D8686" s="81"/>
      <c r="E8686" s="62"/>
      <c r="F8686" s="60"/>
      <c r="G8686" s="62"/>
      <c r="H8686" s="60"/>
    </row>
    <row r="8687" spans="1:8">
      <c r="A8687" s="60"/>
      <c r="B8687" s="77"/>
      <c r="C8687" s="60"/>
      <c r="D8687" s="81"/>
      <c r="E8687" s="62"/>
      <c r="F8687" s="60"/>
      <c r="G8687" s="62"/>
      <c r="H8687" s="60"/>
    </row>
    <row r="8688" spans="1:8">
      <c r="A8688" s="60"/>
      <c r="B8688" s="77"/>
      <c r="C8688" s="60"/>
      <c r="D8688" s="81"/>
      <c r="E8688" s="62"/>
      <c r="F8688" s="60"/>
      <c r="G8688" s="62"/>
      <c r="H8688" s="60"/>
    </row>
    <row r="8689" spans="1:8">
      <c r="A8689" s="60"/>
      <c r="B8689" s="77"/>
      <c r="C8689" s="60"/>
      <c r="D8689" s="81"/>
      <c r="E8689" s="62"/>
      <c r="F8689" s="60"/>
      <c r="G8689" s="62"/>
      <c r="H8689" s="60"/>
    </row>
    <row r="8690" spans="1:8">
      <c r="A8690" s="60"/>
      <c r="B8690" s="77"/>
      <c r="C8690" s="60"/>
      <c r="D8690" s="81"/>
      <c r="E8690" s="62"/>
      <c r="F8690" s="60"/>
      <c r="G8690" s="62"/>
      <c r="H8690" s="60"/>
    </row>
    <row r="8691" spans="1:8">
      <c r="A8691" s="60"/>
      <c r="B8691" s="77"/>
      <c r="C8691" s="60"/>
      <c r="D8691" s="81"/>
      <c r="E8691" s="62"/>
      <c r="F8691" s="60"/>
      <c r="G8691" s="62"/>
      <c r="H8691" s="60"/>
    </row>
    <row r="8692" spans="1:8">
      <c r="A8692" s="60"/>
      <c r="B8692" s="77"/>
      <c r="C8692" s="60"/>
      <c r="D8692" s="81"/>
      <c r="E8692" s="62"/>
      <c r="F8692" s="60"/>
      <c r="G8692" s="62"/>
      <c r="H8692" s="60"/>
    </row>
    <row r="8693" spans="1:8">
      <c r="A8693" s="60"/>
      <c r="B8693" s="77"/>
      <c r="C8693" s="60"/>
      <c r="D8693" s="81"/>
      <c r="E8693" s="62"/>
      <c r="F8693" s="60"/>
      <c r="G8693" s="62"/>
      <c r="H8693" s="60"/>
    </row>
    <row r="8694" spans="1:8">
      <c r="A8694" s="60"/>
      <c r="B8694" s="77"/>
      <c r="C8694" s="60"/>
      <c r="D8694" s="81"/>
      <c r="E8694" s="62"/>
      <c r="F8694" s="60"/>
      <c r="G8694" s="62"/>
      <c r="H8694" s="60"/>
    </row>
    <row r="8695" spans="1:8">
      <c r="A8695" s="60"/>
      <c r="B8695" s="77"/>
      <c r="C8695" s="60"/>
      <c r="D8695" s="81"/>
      <c r="E8695" s="62"/>
      <c r="F8695" s="60"/>
      <c r="G8695" s="62"/>
      <c r="H8695" s="60"/>
    </row>
    <row r="8696" spans="1:8">
      <c r="A8696" s="60"/>
      <c r="B8696" s="77"/>
      <c r="C8696" s="60"/>
      <c r="D8696" s="81"/>
      <c r="E8696" s="62"/>
      <c r="F8696" s="60"/>
      <c r="G8696" s="62"/>
      <c r="H8696" s="60"/>
    </row>
    <row r="8697" spans="1:8">
      <c r="A8697" s="60"/>
      <c r="B8697" s="77"/>
      <c r="C8697" s="60"/>
      <c r="D8697" s="81"/>
      <c r="E8697" s="62"/>
      <c r="F8697" s="60"/>
      <c r="G8697" s="62"/>
      <c r="H8697" s="60"/>
    </row>
    <row r="8698" spans="1:8">
      <c r="A8698" s="60"/>
      <c r="B8698" s="77"/>
      <c r="C8698" s="60"/>
      <c r="D8698" s="81"/>
      <c r="E8698" s="62"/>
      <c r="F8698" s="60"/>
      <c r="G8698" s="62"/>
      <c r="H8698" s="60"/>
    </row>
    <row r="8699" spans="1:8">
      <c r="A8699" s="60"/>
      <c r="B8699" s="77"/>
      <c r="C8699" s="60"/>
      <c r="D8699" s="81"/>
      <c r="E8699" s="62"/>
      <c r="F8699" s="60"/>
      <c r="G8699" s="62"/>
      <c r="H8699" s="60"/>
    </row>
    <row r="8700" spans="1:8">
      <c r="A8700" s="60"/>
      <c r="B8700" s="77"/>
      <c r="C8700" s="60"/>
      <c r="D8700" s="81"/>
      <c r="E8700" s="62"/>
      <c r="F8700" s="60"/>
      <c r="G8700" s="62"/>
      <c r="H8700" s="60"/>
    </row>
    <row r="8701" spans="1:8">
      <c r="A8701" s="60"/>
      <c r="B8701" s="77"/>
      <c r="C8701" s="60"/>
      <c r="D8701" s="81"/>
      <c r="E8701" s="62"/>
      <c r="F8701" s="60"/>
      <c r="G8701" s="62"/>
      <c r="H8701" s="60"/>
    </row>
    <row r="8702" spans="1:8">
      <c r="A8702" s="60"/>
      <c r="B8702" s="77"/>
      <c r="C8702" s="60"/>
      <c r="D8702" s="81"/>
      <c r="E8702" s="62"/>
      <c r="F8702" s="60"/>
      <c r="G8702" s="62"/>
      <c r="H8702" s="60"/>
    </row>
    <row r="8703" spans="1:8">
      <c r="A8703" s="60"/>
      <c r="B8703" s="77"/>
      <c r="C8703" s="60"/>
      <c r="D8703" s="81"/>
      <c r="E8703" s="62"/>
      <c r="F8703" s="60"/>
      <c r="G8703" s="62"/>
      <c r="H8703" s="60"/>
    </row>
    <row r="8704" spans="1:8">
      <c r="A8704" s="60"/>
      <c r="B8704" s="77"/>
      <c r="C8704" s="60"/>
      <c r="D8704" s="81"/>
      <c r="E8704" s="62"/>
      <c r="F8704" s="60"/>
      <c r="G8704" s="62"/>
      <c r="H8704" s="60"/>
    </row>
    <row r="8705" spans="1:8">
      <c r="A8705" s="60"/>
      <c r="B8705" s="77"/>
      <c r="C8705" s="60"/>
      <c r="D8705" s="81"/>
      <c r="E8705" s="62"/>
      <c r="F8705" s="60"/>
      <c r="G8705" s="62"/>
      <c r="H8705" s="60"/>
    </row>
    <row r="8706" spans="1:8">
      <c r="A8706" s="60"/>
      <c r="B8706" s="77"/>
      <c r="C8706" s="60"/>
      <c r="D8706" s="81"/>
      <c r="E8706" s="62"/>
      <c r="F8706" s="60"/>
      <c r="G8706" s="62"/>
      <c r="H8706" s="60"/>
    </row>
    <row r="8707" spans="1:8">
      <c r="A8707" s="60"/>
      <c r="B8707" s="77"/>
      <c r="C8707" s="60"/>
      <c r="D8707" s="81"/>
      <c r="E8707" s="62"/>
      <c r="F8707" s="60"/>
      <c r="G8707" s="62"/>
      <c r="H8707" s="60"/>
    </row>
    <row r="8708" spans="1:8">
      <c r="A8708" s="60"/>
      <c r="B8708" s="77"/>
      <c r="C8708" s="60"/>
      <c r="D8708" s="81"/>
      <c r="E8708" s="62"/>
      <c r="F8708" s="60"/>
      <c r="G8708" s="62"/>
      <c r="H8708" s="60"/>
    </row>
    <row r="8709" spans="1:8">
      <c r="A8709" s="60"/>
      <c r="B8709" s="77"/>
      <c r="C8709" s="60"/>
      <c r="D8709" s="81"/>
      <c r="E8709" s="62"/>
      <c r="F8709" s="60"/>
      <c r="G8709" s="62"/>
      <c r="H8709" s="60"/>
    </row>
    <row r="8710" spans="1:8">
      <c r="A8710" s="60"/>
      <c r="B8710" s="77"/>
      <c r="C8710" s="60"/>
      <c r="D8710" s="81"/>
      <c r="E8710" s="62"/>
      <c r="F8710" s="60"/>
      <c r="G8710" s="62"/>
      <c r="H8710" s="60"/>
    </row>
    <row r="8711" spans="1:8">
      <c r="A8711" s="60"/>
      <c r="B8711" s="77"/>
      <c r="C8711" s="60"/>
      <c r="D8711" s="81"/>
      <c r="E8711" s="62"/>
      <c r="F8711" s="60"/>
      <c r="G8711" s="62"/>
      <c r="H8711" s="60"/>
    </row>
    <row r="8712" spans="1:8">
      <c r="A8712" s="60"/>
      <c r="B8712" s="77"/>
      <c r="C8712" s="60"/>
      <c r="D8712" s="81"/>
      <c r="E8712" s="62"/>
      <c r="F8712" s="60"/>
      <c r="G8712" s="62"/>
      <c r="H8712" s="60"/>
    </row>
    <row r="8713" spans="1:8">
      <c r="A8713" s="60"/>
      <c r="B8713" s="77"/>
      <c r="C8713" s="60"/>
      <c r="D8713" s="81"/>
      <c r="E8713" s="62"/>
      <c r="F8713" s="60"/>
      <c r="G8713" s="62"/>
      <c r="H8713" s="60"/>
    </row>
    <row r="8714" spans="1:8">
      <c r="A8714" s="60"/>
      <c r="B8714" s="77"/>
      <c r="C8714" s="60"/>
      <c r="D8714" s="81"/>
      <c r="E8714" s="62"/>
      <c r="F8714" s="60"/>
      <c r="G8714" s="62"/>
      <c r="H8714" s="60"/>
    </row>
    <row r="8715" spans="1:8">
      <c r="A8715" s="60"/>
      <c r="B8715" s="77"/>
      <c r="C8715" s="60"/>
      <c r="D8715" s="81"/>
      <c r="E8715" s="62"/>
      <c r="F8715" s="60"/>
      <c r="G8715" s="62"/>
      <c r="H8715" s="60"/>
    </row>
    <row r="8716" spans="1:8">
      <c r="A8716" s="60"/>
      <c r="B8716" s="77"/>
      <c r="C8716" s="60"/>
      <c r="D8716" s="81"/>
      <c r="E8716" s="62"/>
      <c r="F8716" s="60"/>
      <c r="G8716" s="62"/>
      <c r="H8716" s="60"/>
    </row>
    <row r="8717" spans="1:8">
      <c r="A8717" s="60"/>
      <c r="B8717" s="77"/>
      <c r="C8717" s="60"/>
      <c r="D8717" s="81"/>
      <c r="E8717" s="62"/>
      <c r="F8717" s="60"/>
      <c r="G8717" s="62"/>
      <c r="H8717" s="60"/>
    </row>
    <row r="8718" spans="1:8">
      <c r="A8718" s="60"/>
      <c r="B8718" s="77"/>
      <c r="C8718" s="60"/>
      <c r="D8718" s="81"/>
      <c r="E8718" s="62"/>
      <c r="F8718" s="60"/>
      <c r="G8718" s="62"/>
      <c r="H8718" s="60"/>
    </row>
    <row r="8719" spans="1:8">
      <c r="A8719" s="60"/>
      <c r="B8719" s="77"/>
      <c r="C8719" s="60"/>
      <c r="D8719" s="81"/>
      <c r="E8719" s="62"/>
      <c r="F8719" s="60"/>
      <c r="G8719" s="62"/>
      <c r="H8719" s="60"/>
    </row>
    <row r="8720" spans="1:8">
      <c r="A8720" s="60"/>
      <c r="B8720" s="77"/>
      <c r="C8720" s="60"/>
      <c r="D8720" s="81"/>
      <c r="E8720" s="62"/>
      <c r="F8720" s="60"/>
      <c r="G8720" s="62"/>
      <c r="H8720" s="60"/>
    </row>
    <row r="8721" spans="1:8">
      <c r="A8721" s="60"/>
      <c r="B8721" s="77"/>
      <c r="C8721" s="60"/>
      <c r="D8721" s="81"/>
      <c r="E8721" s="62"/>
      <c r="F8721" s="60"/>
      <c r="G8721" s="62"/>
      <c r="H8721" s="60"/>
    </row>
    <row r="8722" spans="1:8">
      <c r="A8722" s="60"/>
      <c r="B8722" s="77"/>
      <c r="C8722" s="60"/>
      <c r="D8722" s="81"/>
      <c r="E8722" s="62"/>
      <c r="F8722" s="60"/>
      <c r="G8722" s="62"/>
      <c r="H8722" s="60"/>
    </row>
    <row r="8723" spans="1:8">
      <c r="A8723" s="60"/>
      <c r="B8723" s="77"/>
      <c r="C8723" s="60"/>
      <c r="D8723" s="81"/>
      <c r="E8723" s="62"/>
      <c r="F8723" s="60"/>
      <c r="G8723" s="62"/>
      <c r="H8723" s="60"/>
    </row>
    <row r="8724" spans="1:8">
      <c r="A8724" s="60"/>
      <c r="B8724" s="77"/>
      <c r="C8724" s="60"/>
      <c r="D8724" s="81"/>
      <c r="E8724" s="62"/>
      <c r="F8724" s="60"/>
      <c r="G8724" s="62"/>
      <c r="H8724" s="60"/>
    </row>
    <row r="8725" spans="1:8">
      <c r="A8725" s="60"/>
      <c r="B8725" s="77"/>
      <c r="C8725" s="60"/>
      <c r="D8725" s="81"/>
      <c r="E8725" s="62"/>
      <c r="F8725" s="60"/>
      <c r="G8725" s="62"/>
      <c r="H8725" s="60"/>
    </row>
    <row r="8726" spans="1:8">
      <c r="A8726" s="60"/>
      <c r="B8726" s="77"/>
      <c r="C8726" s="60"/>
      <c r="D8726" s="81"/>
      <c r="E8726" s="62"/>
      <c r="F8726" s="60"/>
      <c r="G8726" s="62"/>
      <c r="H8726" s="60"/>
    </row>
    <row r="8727" spans="1:8">
      <c r="A8727" s="60"/>
      <c r="B8727" s="77"/>
      <c r="C8727" s="60"/>
      <c r="D8727" s="81"/>
      <c r="E8727" s="62"/>
      <c r="F8727" s="60"/>
      <c r="G8727" s="62"/>
      <c r="H8727" s="60"/>
    </row>
    <row r="8728" spans="1:8">
      <c r="A8728" s="60"/>
      <c r="B8728" s="77"/>
      <c r="C8728" s="60"/>
      <c r="D8728" s="81"/>
      <c r="E8728" s="62"/>
      <c r="F8728" s="60"/>
      <c r="G8728" s="62"/>
      <c r="H8728" s="60"/>
    </row>
    <row r="8729" spans="1:8">
      <c r="A8729" s="60"/>
      <c r="B8729" s="77"/>
      <c r="C8729" s="60"/>
      <c r="D8729" s="81"/>
      <c r="E8729" s="62"/>
      <c r="F8729" s="60"/>
      <c r="G8729" s="62"/>
      <c r="H8729" s="60"/>
    </row>
    <row r="8730" spans="1:8">
      <c r="A8730" s="60"/>
      <c r="B8730" s="77"/>
      <c r="C8730" s="60"/>
      <c r="D8730" s="81"/>
      <c r="E8730" s="62"/>
      <c r="F8730" s="60"/>
      <c r="G8730" s="62"/>
      <c r="H8730" s="60"/>
    </row>
    <row r="8731" spans="1:8">
      <c r="A8731" s="60"/>
      <c r="B8731" s="77"/>
      <c r="C8731" s="60"/>
      <c r="D8731" s="81"/>
      <c r="E8731" s="62"/>
      <c r="F8731" s="60"/>
      <c r="G8731" s="62"/>
      <c r="H8731" s="60"/>
    </row>
    <row r="8732" spans="1:8">
      <c r="A8732" s="60"/>
      <c r="B8732" s="77"/>
      <c r="C8732" s="60"/>
      <c r="D8732" s="81"/>
      <c r="E8732" s="62"/>
      <c r="F8732" s="60"/>
      <c r="G8732" s="62"/>
      <c r="H8732" s="60"/>
    </row>
    <row r="8733" spans="1:8">
      <c r="A8733" s="60"/>
      <c r="B8733" s="77"/>
      <c r="C8733" s="60"/>
      <c r="D8733" s="81"/>
      <c r="E8733" s="62"/>
      <c r="F8733" s="60"/>
      <c r="G8733" s="62"/>
      <c r="H8733" s="60"/>
    </row>
    <row r="8734" spans="1:8">
      <c r="A8734" s="60"/>
      <c r="B8734" s="77"/>
      <c r="C8734" s="60"/>
      <c r="D8734" s="81"/>
      <c r="E8734" s="62"/>
      <c r="F8734" s="60"/>
      <c r="G8734" s="62"/>
      <c r="H8734" s="60"/>
    </row>
    <row r="8735" spans="1:8">
      <c r="A8735" s="60"/>
      <c r="B8735" s="77"/>
      <c r="C8735" s="60"/>
      <c r="D8735" s="81"/>
      <c r="E8735" s="62"/>
      <c r="F8735" s="60"/>
      <c r="G8735" s="62"/>
      <c r="H8735" s="60"/>
    </row>
    <row r="8736" spans="1:8">
      <c r="A8736" s="60"/>
      <c r="B8736" s="77"/>
      <c r="C8736" s="60"/>
      <c r="D8736" s="81"/>
      <c r="E8736" s="62"/>
      <c r="F8736" s="60"/>
      <c r="G8736" s="62"/>
      <c r="H8736" s="60"/>
    </row>
    <row r="8737" spans="1:8">
      <c r="A8737" s="60"/>
      <c r="B8737" s="77"/>
      <c r="C8737" s="60"/>
      <c r="D8737" s="81"/>
      <c r="E8737" s="62"/>
      <c r="F8737" s="60"/>
      <c r="G8737" s="62"/>
      <c r="H8737" s="60"/>
    </row>
    <row r="8738" spans="1:8">
      <c r="A8738" s="60"/>
      <c r="B8738" s="77"/>
      <c r="C8738" s="60"/>
      <c r="D8738" s="81"/>
      <c r="E8738" s="62"/>
      <c r="F8738" s="60"/>
      <c r="G8738" s="62"/>
      <c r="H8738" s="60"/>
    </row>
    <row r="8739" spans="1:8">
      <c r="A8739" s="60"/>
      <c r="B8739" s="77"/>
      <c r="C8739" s="60"/>
      <c r="D8739" s="81"/>
      <c r="E8739" s="62"/>
      <c r="F8739" s="60"/>
      <c r="G8739" s="62"/>
      <c r="H8739" s="60"/>
    </row>
    <row r="8740" spans="1:8">
      <c r="A8740" s="60"/>
      <c r="B8740" s="77"/>
      <c r="C8740" s="60"/>
      <c r="D8740" s="81"/>
      <c r="E8740" s="62"/>
      <c r="F8740" s="60"/>
      <c r="G8740" s="62"/>
      <c r="H8740" s="60"/>
    </row>
    <row r="8741" spans="1:8">
      <c r="A8741" s="60"/>
      <c r="B8741" s="77"/>
      <c r="C8741" s="60"/>
      <c r="D8741" s="81"/>
      <c r="E8741" s="62"/>
      <c r="F8741" s="60"/>
      <c r="G8741" s="62"/>
      <c r="H8741" s="60"/>
    </row>
    <row r="8742" spans="1:8">
      <c r="A8742" s="60"/>
      <c r="B8742" s="77"/>
      <c r="C8742" s="60"/>
      <c r="D8742" s="81"/>
      <c r="E8742" s="62"/>
      <c r="F8742" s="60"/>
      <c r="G8742" s="62"/>
      <c r="H8742" s="60"/>
    </row>
    <row r="8743" spans="1:8">
      <c r="A8743" s="60"/>
      <c r="B8743" s="77"/>
      <c r="C8743" s="60"/>
      <c r="D8743" s="81"/>
      <c r="E8743" s="62"/>
      <c r="F8743" s="60"/>
      <c r="G8743" s="62"/>
      <c r="H8743" s="60"/>
    </row>
    <row r="8744" spans="1:8">
      <c r="A8744" s="60"/>
      <c r="B8744" s="77"/>
      <c r="C8744" s="60"/>
      <c r="D8744" s="81"/>
      <c r="E8744" s="62"/>
      <c r="F8744" s="60"/>
      <c r="G8744" s="62"/>
      <c r="H8744" s="60"/>
    </row>
    <row r="8745" spans="1:8">
      <c r="A8745" s="60"/>
      <c r="B8745" s="77"/>
      <c r="C8745" s="60"/>
      <c r="D8745" s="81"/>
      <c r="E8745" s="62"/>
      <c r="F8745" s="60"/>
      <c r="G8745" s="62"/>
      <c r="H8745" s="60"/>
    </row>
    <row r="8746" spans="1:8">
      <c r="A8746" s="60"/>
      <c r="B8746" s="77"/>
      <c r="C8746" s="60"/>
      <c r="D8746" s="81"/>
      <c r="E8746" s="62"/>
      <c r="F8746" s="60"/>
      <c r="G8746" s="62"/>
      <c r="H8746" s="60"/>
    </row>
    <row r="8747" spans="1:8">
      <c r="A8747" s="60"/>
      <c r="B8747" s="77"/>
      <c r="C8747" s="60"/>
      <c r="D8747" s="81"/>
      <c r="E8747" s="62"/>
      <c r="F8747" s="60"/>
      <c r="G8747" s="62"/>
      <c r="H8747" s="60"/>
    </row>
    <row r="8748" spans="1:8">
      <c r="A8748" s="60"/>
      <c r="B8748" s="77"/>
      <c r="C8748" s="60"/>
      <c r="D8748" s="81"/>
      <c r="E8748" s="62"/>
      <c r="F8748" s="60"/>
      <c r="G8748" s="62"/>
      <c r="H8748" s="60"/>
    </row>
    <row r="8749" spans="1:8">
      <c r="A8749" s="60"/>
      <c r="B8749" s="77"/>
      <c r="C8749" s="60"/>
      <c r="D8749" s="81"/>
      <c r="E8749" s="62"/>
      <c r="F8749" s="60"/>
      <c r="G8749" s="62"/>
      <c r="H8749" s="60"/>
    </row>
    <row r="8750" spans="1:8">
      <c r="A8750" s="60"/>
      <c r="B8750" s="77"/>
      <c r="C8750" s="60"/>
      <c r="D8750" s="81"/>
      <c r="E8750" s="62"/>
      <c r="F8750" s="60"/>
      <c r="G8750" s="62"/>
      <c r="H8750" s="60"/>
    </row>
    <row r="8751" spans="1:8">
      <c r="A8751" s="60"/>
      <c r="B8751" s="77"/>
      <c r="C8751" s="60"/>
      <c r="D8751" s="81"/>
      <c r="E8751" s="62"/>
      <c r="F8751" s="60"/>
      <c r="G8751" s="62"/>
      <c r="H8751" s="60"/>
    </row>
    <row r="8752" spans="1:8">
      <c r="A8752" s="60"/>
      <c r="B8752" s="77"/>
      <c r="C8752" s="60"/>
      <c r="D8752" s="81"/>
      <c r="E8752" s="62"/>
      <c r="F8752" s="60"/>
      <c r="G8752" s="62"/>
      <c r="H8752" s="60"/>
    </row>
    <row r="8753" spans="1:8">
      <c r="A8753" s="60"/>
      <c r="B8753" s="77"/>
      <c r="C8753" s="60"/>
      <c r="D8753" s="81"/>
      <c r="E8753" s="62"/>
      <c r="F8753" s="60"/>
      <c r="G8753" s="62"/>
      <c r="H8753" s="60"/>
    </row>
    <row r="8754" spans="1:8">
      <c r="A8754" s="60"/>
      <c r="B8754" s="77"/>
      <c r="C8754" s="60"/>
      <c r="D8754" s="81"/>
      <c r="E8754" s="62"/>
      <c r="F8754" s="60"/>
      <c r="G8754" s="62"/>
      <c r="H8754" s="60"/>
    </row>
    <row r="8755" spans="1:8">
      <c r="A8755" s="60"/>
      <c r="B8755" s="77"/>
      <c r="C8755" s="60"/>
      <c r="D8755" s="81"/>
      <c r="E8755" s="62"/>
      <c r="F8755" s="60"/>
      <c r="G8755" s="62"/>
      <c r="H8755" s="60"/>
    </row>
    <row r="8756" spans="1:8">
      <c r="A8756" s="60"/>
      <c r="B8756" s="77"/>
      <c r="C8756" s="60"/>
      <c r="D8756" s="81"/>
      <c r="E8756" s="62"/>
      <c r="F8756" s="60"/>
      <c r="G8756" s="62"/>
      <c r="H8756" s="60"/>
    </row>
    <row r="8757" spans="1:8">
      <c r="A8757" s="60"/>
      <c r="B8757" s="77"/>
      <c r="C8757" s="60"/>
      <c r="D8757" s="81"/>
      <c r="E8757" s="62"/>
      <c r="F8757" s="60"/>
      <c r="G8757" s="62"/>
      <c r="H8757" s="60"/>
    </row>
    <row r="8758" spans="1:8">
      <c r="A8758" s="60"/>
      <c r="B8758" s="77"/>
      <c r="C8758" s="60"/>
      <c r="D8758" s="81"/>
      <c r="E8758" s="62"/>
      <c r="F8758" s="60"/>
      <c r="G8758" s="62"/>
      <c r="H8758" s="60"/>
    </row>
    <row r="8759" spans="1:8">
      <c r="A8759" s="60"/>
      <c r="B8759" s="77"/>
      <c r="C8759" s="60"/>
      <c r="D8759" s="81"/>
      <c r="E8759" s="62"/>
      <c r="F8759" s="60"/>
      <c r="G8759" s="62"/>
      <c r="H8759" s="60"/>
    </row>
    <row r="8760" spans="1:8">
      <c r="A8760" s="60"/>
      <c r="B8760" s="77"/>
      <c r="C8760" s="60"/>
      <c r="D8760" s="81"/>
      <c r="E8760" s="62"/>
      <c r="F8760" s="60"/>
      <c r="G8760" s="62"/>
      <c r="H8760" s="60"/>
    </row>
    <row r="8761" spans="1:8">
      <c r="A8761" s="60"/>
      <c r="B8761" s="77"/>
      <c r="C8761" s="60"/>
      <c r="D8761" s="81"/>
      <c r="E8761" s="62"/>
      <c r="F8761" s="60"/>
      <c r="G8761" s="62"/>
      <c r="H8761" s="60"/>
    </row>
    <row r="8762" spans="1:8">
      <c r="A8762" s="60"/>
      <c r="B8762" s="77"/>
      <c r="C8762" s="60"/>
      <c r="D8762" s="81"/>
      <c r="E8762" s="62"/>
      <c r="F8762" s="60"/>
      <c r="G8762" s="62"/>
      <c r="H8762" s="60"/>
    </row>
    <row r="8763" spans="1:8">
      <c r="A8763" s="60"/>
      <c r="B8763" s="77"/>
      <c r="C8763" s="60"/>
      <c r="D8763" s="81"/>
      <c r="E8763" s="62"/>
      <c r="F8763" s="60"/>
      <c r="G8763" s="62"/>
      <c r="H8763" s="60"/>
    </row>
    <row r="8764" spans="1:8">
      <c r="A8764" s="60"/>
      <c r="B8764" s="77"/>
      <c r="C8764" s="60"/>
      <c r="D8764" s="81"/>
      <c r="E8764" s="62"/>
      <c r="F8764" s="60"/>
      <c r="G8764" s="62"/>
      <c r="H8764" s="60"/>
    </row>
    <row r="8765" spans="1:8">
      <c r="A8765" s="60"/>
      <c r="B8765" s="77"/>
      <c r="C8765" s="60"/>
      <c r="D8765" s="81"/>
      <c r="E8765" s="62"/>
      <c r="F8765" s="60"/>
      <c r="G8765" s="62"/>
      <c r="H8765" s="60"/>
    </row>
    <row r="8766" spans="1:8">
      <c r="A8766" s="60"/>
      <c r="B8766" s="77"/>
      <c r="C8766" s="60"/>
      <c r="D8766" s="81"/>
      <c r="E8766" s="62"/>
      <c r="F8766" s="60"/>
      <c r="G8766" s="62"/>
      <c r="H8766" s="60"/>
    </row>
    <row r="8767" spans="1:8">
      <c r="A8767" s="60"/>
      <c r="B8767" s="77"/>
      <c r="C8767" s="60"/>
      <c r="D8767" s="81"/>
      <c r="E8767" s="62"/>
      <c r="F8767" s="60"/>
      <c r="G8767" s="62"/>
      <c r="H8767" s="60"/>
    </row>
    <row r="8768" spans="1:8">
      <c r="A8768" s="60"/>
      <c r="B8768" s="77"/>
      <c r="C8768" s="60"/>
      <c r="D8768" s="81"/>
      <c r="E8768" s="62"/>
      <c r="F8768" s="60"/>
      <c r="G8768" s="62"/>
      <c r="H8768" s="60"/>
    </row>
    <row r="8769" spans="1:8">
      <c r="A8769" s="60"/>
      <c r="B8769" s="77"/>
      <c r="C8769" s="60"/>
      <c r="D8769" s="81"/>
      <c r="E8769" s="62"/>
      <c r="F8769" s="60"/>
      <c r="G8769" s="62"/>
      <c r="H8769" s="60"/>
    </row>
    <row r="8770" spans="1:8">
      <c r="A8770" s="60"/>
      <c r="B8770" s="77"/>
      <c r="C8770" s="60"/>
      <c r="D8770" s="81"/>
      <c r="E8770" s="62"/>
      <c r="F8770" s="60"/>
      <c r="G8770" s="62"/>
      <c r="H8770" s="60"/>
    </row>
    <row r="8771" spans="1:8">
      <c r="A8771" s="60"/>
      <c r="B8771" s="77"/>
      <c r="C8771" s="60"/>
      <c r="D8771" s="81"/>
      <c r="E8771" s="62"/>
      <c r="F8771" s="60"/>
      <c r="G8771" s="62"/>
      <c r="H8771" s="60"/>
    </row>
    <row r="8772" spans="1:8">
      <c r="A8772" s="60"/>
      <c r="B8772" s="77"/>
      <c r="C8772" s="60"/>
      <c r="D8772" s="81"/>
      <c r="E8772" s="62"/>
      <c r="F8772" s="60"/>
      <c r="G8772" s="62"/>
      <c r="H8772" s="60"/>
    </row>
    <row r="8773" spans="1:8">
      <c r="A8773" s="60"/>
      <c r="B8773" s="77"/>
      <c r="C8773" s="60"/>
      <c r="D8773" s="81"/>
      <c r="E8773" s="62"/>
      <c r="F8773" s="60"/>
      <c r="G8773" s="62"/>
      <c r="H8773" s="60"/>
    </row>
    <row r="8774" spans="1:8">
      <c r="A8774" s="60"/>
      <c r="B8774" s="77"/>
      <c r="C8774" s="60"/>
      <c r="D8774" s="81"/>
      <c r="E8774" s="62"/>
      <c r="F8774" s="60"/>
      <c r="G8774" s="62"/>
      <c r="H8774" s="60"/>
    </row>
    <row r="8775" spans="1:8">
      <c r="A8775" s="60"/>
      <c r="B8775" s="77"/>
      <c r="C8775" s="60"/>
      <c r="D8775" s="81"/>
      <c r="E8775" s="62"/>
      <c r="F8775" s="60"/>
      <c r="G8775" s="62"/>
      <c r="H8775" s="60"/>
    </row>
    <row r="8776" spans="1:8">
      <c r="A8776" s="60"/>
      <c r="B8776" s="77"/>
      <c r="C8776" s="60"/>
      <c r="D8776" s="81"/>
      <c r="E8776" s="62"/>
      <c r="F8776" s="60"/>
      <c r="G8776" s="62"/>
      <c r="H8776" s="60"/>
    </row>
    <row r="8777" spans="1:8">
      <c r="A8777" s="60"/>
      <c r="B8777" s="77"/>
      <c r="C8777" s="60"/>
      <c r="D8777" s="81"/>
      <c r="E8777" s="62"/>
      <c r="F8777" s="60"/>
      <c r="G8777" s="62"/>
      <c r="H8777" s="60"/>
    </row>
    <row r="8778" spans="1:8">
      <c r="A8778" s="60"/>
      <c r="B8778" s="77"/>
      <c r="C8778" s="60"/>
      <c r="D8778" s="81"/>
      <c r="E8778" s="62"/>
      <c r="F8778" s="60"/>
      <c r="G8778" s="62"/>
      <c r="H8778" s="60"/>
    </row>
    <row r="8779" spans="1:8">
      <c r="A8779" s="60"/>
      <c r="B8779" s="77"/>
      <c r="C8779" s="60"/>
      <c r="D8779" s="81"/>
      <c r="E8779" s="62"/>
      <c r="F8779" s="60"/>
      <c r="G8779" s="62"/>
      <c r="H8779" s="60"/>
    </row>
    <row r="8780" spans="1:8">
      <c r="A8780" s="60"/>
      <c r="B8780" s="77"/>
      <c r="C8780" s="60"/>
      <c r="D8780" s="81"/>
      <c r="E8780" s="62"/>
      <c r="F8780" s="60"/>
      <c r="G8780" s="62"/>
      <c r="H8780" s="60"/>
    </row>
    <row r="8781" spans="1:8">
      <c r="A8781" s="60"/>
      <c r="B8781" s="77"/>
      <c r="C8781" s="60"/>
      <c r="D8781" s="81"/>
      <c r="E8781" s="62"/>
      <c r="F8781" s="60"/>
      <c r="G8781" s="62"/>
      <c r="H8781" s="60"/>
    </row>
    <row r="8782" spans="1:8">
      <c r="A8782" s="60"/>
      <c r="B8782" s="77"/>
      <c r="C8782" s="60"/>
      <c r="D8782" s="81"/>
      <c r="E8782" s="62"/>
      <c r="F8782" s="60"/>
      <c r="G8782" s="62"/>
      <c r="H8782" s="60"/>
    </row>
    <row r="8783" spans="1:8">
      <c r="A8783" s="60"/>
      <c r="B8783" s="77"/>
      <c r="C8783" s="60"/>
      <c r="D8783" s="81"/>
      <c r="E8783" s="62"/>
      <c r="F8783" s="60"/>
      <c r="G8783" s="62"/>
      <c r="H8783" s="60"/>
    </row>
    <row r="8784" spans="1:8">
      <c r="A8784" s="60"/>
      <c r="B8784" s="77"/>
      <c r="C8784" s="60"/>
      <c r="D8784" s="81"/>
      <c r="E8784" s="62"/>
      <c r="F8784" s="60"/>
      <c r="G8784" s="62"/>
      <c r="H8784" s="60"/>
    </row>
    <row r="8785" spans="1:8">
      <c r="A8785" s="60"/>
      <c r="B8785" s="77"/>
      <c r="C8785" s="60"/>
      <c r="D8785" s="81"/>
      <c r="E8785" s="62"/>
      <c r="F8785" s="60"/>
      <c r="G8785" s="62"/>
      <c r="H8785" s="60"/>
    </row>
    <row r="8786" spans="1:8">
      <c r="A8786" s="60"/>
      <c r="B8786" s="77"/>
      <c r="C8786" s="60"/>
      <c r="D8786" s="81"/>
      <c r="E8786" s="62"/>
      <c r="F8786" s="60"/>
      <c r="G8786" s="62"/>
      <c r="H8786" s="60"/>
    </row>
    <row r="8787" spans="1:8">
      <c r="A8787" s="60"/>
      <c r="B8787" s="77"/>
      <c r="C8787" s="60"/>
      <c r="D8787" s="81"/>
      <c r="E8787" s="62"/>
      <c r="F8787" s="60"/>
      <c r="G8787" s="62"/>
      <c r="H8787" s="60"/>
    </row>
    <row r="8788" spans="1:8">
      <c r="A8788" s="60"/>
      <c r="B8788" s="77"/>
      <c r="C8788" s="60"/>
      <c r="D8788" s="81"/>
      <c r="E8788" s="62"/>
      <c r="F8788" s="60"/>
      <c r="G8788" s="62"/>
      <c r="H8788" s="60"/>
    </row>
    <row r="8789" spans="1:8">
      <c r="A8789" s="60"/>
      <c r="B8789" s="77"/>
      <c r="C8789" s="60"/>
      <c r="D8789" s="81"/>
      <c r="E8789" s="62"/>
      <c r="F8789" s="60"/>
      <c r="G8789" s="62"/>
      <c r="H8789" s="60"/>
    </row>
    <row r="8790" spans="1:8">
      <c r="A8790" s="60"/>
      <c r="B8790" s="77"/>
      <c r="C8790" s="60"/>
      <c r="D8790" s="81"/>
      <c r="E8790" s="62"/>
      <c r="F8790" s="60"/>
      <c r="G8790" s="62"/>
      <c r="H8790" s="60"/>
    </row>
    <row r="8791" spans="1:8">
      <c r="A8791" s="60"/>
      <c r="B8791" s="77"/>
      <c r="C8791" s="60"/>
      <c r="D8791" s="81"/>
      <c r="E8791" s="62"/>
      <c r="F8791" s="60"/>
      <c r="G8791" s="62"/>
      <c r="H8791" s="60"/>
    </row>
    <row r="8792" spans="1:8">
      <c r="A8792" s="60"/>
      <c r="B8792" s="77"/>
      <c r="C8792" s="60"/>
      <c r="D8792" s="81"/>
      <c r="E8792" s="62"/>
      <c r="F8792" s="60"/>
      <c r="G8792" s="62"/>
      <c r="H8792" s="60"/>
    </row>
    <row r="8793" spans="1:8">
      <c r="A8793" s="60"/>
      <c r="B8793" s="77"/>
      <c r="C8793" s="60"/>
      <c r="D8793" s="81"/>
      <c r="E8793" s="62"/>
      <c r="F8793" s="60"/>
      <c r="G8793" s="62"/>
      <c r="H8793" s="60"/>
    </row>
    <row r="8794" spans="1:8">
      <c r="A8794" s="60"/>
      <c r="B8794" s="77"/>
      <c r="C8794" s="60"/>
      <c r="D8794" s="81"/>
      <c r="E8794" s="62"/>
      <c r="F8794" s="60"/>
      <c r="G8794" s="62"/>
      <c r="H8794" s="60"/>
    </row>
    <row r="8795" spans="1:8">
      <c r="A8795" s="60"/>
      <c r="B8795" s="77"/>
      <c r="C8795" s="60"/>
      <c r="D8795" s="81"/>
      <c r="E8795" s="62"/>
      <c r="F8795" s="60"/>
      <c r="G8795" s="62"/>
      <c r="H8795" s="60"/>
    </row>
    <row r="8796" spans="1:8">
      <c r="A8796" s="60"/>
      <c r="B8796" s="77"/>
      <c r="C8796" s="60"/>
      <c r="D8796" s="81"/>
      <c r="E8796" s="62"/>
      <c r="F8796" s="60"/>
      <c r="G8796" s="62"/>
      <c r="H8796" s="60"/>
    </row>
    <row r="8797" spans="1:8">
      <c r="A8797" s="60"/>
      <c r="B8797" s="77"/>
      <c r="C8797" s="60"/>
      <c r="D8797" s="81"/>
      <c r="E8797" s="62"/>
      <c r="F8797" s="60"/>
      <c r="G8797" s="62"/>
      <c r="H8797" s="60"/>
    </row>
    <row r="8798" spans="1:8">
      <c r="A8798" s="60"/>
      <c r="B8798" s="77"/>
      <c r="C8798" s="60"/>
      <c r="D8798" s="81"/>
      <c r="E8798" s="62"/>
      <c r="F8798" s="60"/>
      <c r="G8798" s="62"/>
      <c r="H8798" s="60"/>
    </row>
    <row r="8799" spans="1:8">
      <c r="A8799" s="60"/>
      <c r="B8799" s="77"/>
      <c r="C8799" s="60"/>
      <c r="D8799" s="81"/>
      <c r="E8799" s="62"/>
      <c r="F8799" s="60"/>
      <c r="G8799" s="62"/>
      <c r="H8799" s="60"/>
    </row>
    <row r="8800" spans="1:8">
      <c r="A8800" s="60"/>
      <c r="B8800" s="77"/>
      <c r="C8800" s="60"/>
      <c r="D8800" s="81"/>
      <c r="E8800" s="62"/>
      <c r="F8800" s="60"/>
      <c r="G8800" s="62"/>
      <c r="H8800" s="60"/>
    </row>
    <row r="8801" spans="1:8">
      <c r="A8801" s="60"/>
      <c r="B8801" s="77"/>
      <c r="C8801" s="60"/>
      <c r="D8801" s="81"/>
      <c r="E8801" s="62"/>
      <c r="F8801" s="60"/>
      <c r="G8801" s="62"/>
      <c r="H8801" s="60"/>
    </row>
    <row r="8802" spans="1:8">
      <c r="A8802" s="60"/>
      <c r="B8802" s="77"/>
      <c r="C8802" s="60"/>
      <c r="D8802" s="81"/>
      <c r="E8802" s="62"/>
      <c r="F8802" s="60"/>
      <c r="G8802" s="62"/>
      <c r="H8802" s="60"/>
    </row>
    <row r="8803" spans="1:8">
      <c r="A8803" s="60"/>
      <c r="B8803" s="77"/>
      <c r="C8803" s="60"/>
      <c r="D8803" s="81"/>
      <c r="E8803" s="62"/>
      <c r="F8803" s="60"/>
      <c r="G8803" s="62"/>
      <c r="H8803" s="60"/>
    </row>
    <row r="8804" spans="1:8">
      <c r="A8804" s="60"/>
      <c r="B8804" s="77"/>
      <c r="C8804" s="60"/>
      <c r="D8804" s="81"/>
      <c r="E8804" s="62"/>
      <c r="F8804" s="60"/>
      <c r="G8804" s="62"/>
      <c r="H8804" s="60"/>
    </row>
    <row r="8805" spans="1:8">
      <c r="A8805" s="60"/>
      <c r="B8805" s="77"/>
      <c r="C8805" s="60"/>
      <c r="D8805" s="81"/>
      <c r="E8805" s="62"/>
      <c r="F8805" s="60"/>
      <c r="G8805" s="62"/>
      <c r="H8805" s="60"/>
    </row>
    <row r="8806" spans="1:8">
      <c r="A8806" s="60"/>
      <c r="B8806" s="77"/>
      <c r="C8806" s="60"/>
      <c r="D8806" s="81"/>
      <c r="E8806" s="62"/>
      <c r="F8806" s="60"/>
      <c r="G8806" s="62"/>
      <c r="H8806" s="60"/>
    </row>
    <row r="8807" spans="1:8">
      <c r="A8807" s="60"/>
      <c r="B8807" s="77"/>
      <c r="C8807" s="60"/>
      <c r="D8807" s="81"/>
      <c r="E8807" s="62"/>
      <c r="F8807" s="60"/>
      <c r="G8807" s="62"/>
      <c r="H8807" s="60"/>
    </row>
    <row r="8808" spans="1:8">
      <c r="A8808" s="60"/>
      <c r="B8808" s="77"/>
      <c r="C8808" s="60"/>
      <c r="D8808" s="81"/>
      <c r="E8808" s="62"/>
      <c r="F8808" s="60"/>
      <c r="G8808" s="62"/>
      <c r="H8808" s="60"/>
    </row>
    <row r="8809" spans="1:8">
      <c r="A8809" s="60"/>
      <c r="B8809" s="77"/>
      <c r="C8809" s="60"/>
      <c r="D8809" s="81"/>
      <c r="E8809" s="62"/>
      <c r="F8809" s="60"/>
      <c r="G8809" s="62"/>
      <c r="H8809" s="60"/>
    </row>
    <row r="8810" spans="1:8">
      <c r="A8810" s="60"/>
      <c r="B8810" s="77"/>
      <c r="C8810" s="60"/>
      <c r="D8810" s="81"/>
      <c r="E8810" s="62"/>
      <c r="F8810" s="60"/>
      <c r="G8810" s="62"/>
      <c r="H8810" s="60"/>
    </row>
    <row r="8811" spans="1:8">
      <c r="A8811" s="60"/>
      <c r="B8811" s="77"/>
      <c r="C8811" s="60"/>
      <c r="D8811" s="81"/>
      <c r="E8811" s="62"/>
      <c r="F8811" s="60"/>
      <c r="G8811" s="62"/>
      <c r="H8811" s="60"/>
    </row>
    <row r="8812" spans="1:8">
      <c r="A8812" s="60"/>
      <c r="B8812" s="77"/>
      <c r="C8812" s="60"/>
      <c r="D8812" s="81"/>
      <c r="E8812" s="62"/>
      <c r="F8812" s="60"/>
      <c r="G8812" s="62"/>
      <c r="H8812" s="60"/>
    </row>
    <row r="8813" spans="1:8">
      <c r="A8813" s="60"/>
      <c r="B8813" s="77"/>
      <c r="C8813" s="60"/>
      <c r="D8813" s="81"/>
      <c r="E8813" s="62"/>
      <c r="F8813" s="60"/>
      <c r="G8813" s="62"/>
      <c r="H8813" s="60"/>
    </row>
    <row r="8814" spans="1:8">
      <c r="A8814" s="60"/>
      <c r="B8814" s="77"/>
      <c r="C8814" s="60"/>
      <c r="D8814" s="81"/>
      <c r="E8814" s="62"/>
      <c r="F8814" s="60"/>
      <c r="G8814" s="62"/>
      <c r="H8814" s="60"/>
    </row>
    <row r="8815" spans="1:8">
      <c r="A8815" s="60"/>
      <c r="B8815" s="77"/>
      <c r="C8815" s="60"/>
      <c r="D8815" s="81"/>
      <c r="E8815" s="62"/>
      <c r="F8815" s="60"/>
      <c r="G8815" s="62"/>
      <c r="H8815" s="60"/>
    </row>
    <row r="8816" spans="1:8">
      <c r="A8816" s="60"/>
      <c r="B8816" s="77"/>
      <c r="C8816" s="60"/>
      <c r="D8816" s="81"/>
      <c r="E8816" s="62"/>
      <c r="F8816" s="60"/>
      <c r="G8816" s="62"/>
      <c r="H8816" s="60"/>
    </row>
    <row r="8817" spans="1:8">
      <c r="A8817" s="60"/>
      <c r="B8817" s="77"/>
      <c r="C8817" s="60"/>
      <c r="D8817" s="81"/>
      <c r="E8817" s="62"/>
      <c r="F8817" s="60"/>
      <c r="G8817" s="62"/>
      <c r="H8817" s="60"/>
    </row>
    <row r="8818" spans="1:8">
      <c r="A8818" s="60"/>
      <c r="B8818" s="77"/>
      <c r="C8818" s="60"/>
      <c r="D8818" s="81"/>
      <c r="E8818" s="62"/>
      <c r="F8818" s="60"/>
      <c r="G8818" s="62"/>
      <c r="H8818" s="60"/>
    </row>
    <row r="8819" spans="1:8">
      <c r="A8819" s="60"/>
      <c r="B8819" s="77"/>
      <c r="C8819" s="60"/>
      <c r="D8819" s="81"/>
      <c r="E8819" s="62"/>
      <c r="F8819" s="60"/>
      <c r="G8819" s="62"/>
      <c r="H8819" s="60"/>
    </row>
    <row r="8820" spans="1:8">
      <c r="A8820" s="60"/>
      <c r="B8820" s="77"/>
      <c r="C8820" s="60"/>
      <c r="D8820" s="81"/>
      <c r="E8820" s="62"/>
      <c r="F8820" s="60"/>
      <c r="G8820" s="62"/>
      <c r="H8820" s="60"/>
    </row>
    <row r="8821" spans="1:8">
      <c r="A8821" s="60"/>
      <c r="B8821" s="77"/>
      <c r="C8821" s="60"/>
      <c r="D8821" s="81"/>
      <c r="E8821" s="62"/>
      <c r="F8821" s="60"/>
      <c r="G8821" s="62"/>
      <c r="H8821" s="60"/>
    </row>
    <row r="8822" spans="1:8">
      <c r="A8822" s="60"/>
      <c r="B8822" s="77"/>
      <c r="C8822" s="60"/>
      <c r="D8822" s="81"/>
      <c r="E8822" s="62"/>
      <c r="F8822" s="60"/>
      <c r="G8822" s="62"/>
      <c r="H8822" s="60"/>
    </row>
    <row r="8823" spans="1:8">
      <c r="A8823" s="60"/>
      <c r="B8823" s="77"/>
      <c r="C8823" s="60"/>
      <c r="D8823" s="81"/>
      <c r="E8823" s="62"/>
      <c r="F8823" s="60"/>
      <c r="G8823" s="62"/>
      <c r="H8823" s="60"/>
    </row>
    <row r="8824" spans="1:8">
      <c r="A8824" s="60"/>
      <c r="B8824" s="77"/>
      <c r="C8824" s="60"/>
      <c r="D8824" s="81"/>
      <c r="E8824" s="62"/>
      <c r="F8824" s="60"/>
      <c r="G8824" s="62"/>
      <c r="H8824" s="60"/>
    </row>
    <row r="8825" spans="1:8">
      <c r="A8825" s="60"/>
      <c r="B8825" s="77"/>
      <c r="C8825" s="60"/>
      <c r="D8825" s="81"/>
      <c r="E8825" s="62"/>
      <c r="F8825" s="60"/>
      <c r="G8825" s="62"/>
      <c r="H8825" s="60"/>
    </row>
    <row r="8826" spans="1:8">
      <c r="A8826" s="60"/>
      <c r="B8826" s="77"/>
      <c r="C8826" s="60"/>
      <c r="D8826" s="81"/>
      <c r="E8826" s="62"/>
      <c r="F8826" s="60"/>
      <c r="G8826" s="62"/>
      <c r="H8826" s="60"/>
    </row>
    <row r="8827" spans="1:8">
      <c r="A8827" s="60"/>
      <c r="B8827" s="77"/>
      <c r="C8827" s="60"/>
      <c r="D8827" s="81"/>
      <c r="E8827" s="62"/>
      <c r="F8827" s="60"/>
      <c r="G8827" s="62"/>
      <c r="H8827" s="60"/>
    </row>
    <row r="8828" spans="1:8">
      <c r="A8828" s="60"/>
      <c r="B8828" s="77"/>
      <c r="C8828" s="60"/>
      <c r="D8828" s="81"/>
      <c r="E8828" s="62"/>
      <c r="F8828" s="60"/>
      <c r="G8828" s="62"/>
      <c r="H8828" s="60"/>
    </row>
    <row r="8829" spans="1:8">
      <c r="A8829" s="60"/>
      <c r="B8829" s="77"/>
      <c r="C8829" s="60"/>
      <c r="D8829" s="81"/>
      <c r="E8829" s="62"/>
      <c r="F8829" s="60"/>
      <c r="G8829" s="62"/>
      <c r="H8829" s="60"/>
    </row>
    <row r="8830" spans="1:8">
      <c r="A8830" s="60"/>
      <c r="B8830" s="77"/>
      <c r="C8830" s="60"/>
      <c r="D8830" s="81"/>
      <c r="E8830" s="62"/>
      <c r="F8830" s="60"/>
      <c r="G8830" s="62"/>
      <c r="H8830" s="60"/>
    </row>
    <row r="8831" spans="1:8">
      <c r="A8831" s="60"/>
      <c r="B8831" s="77"/>
      <c r="C8831" s="60"/>
      <c r="D8831" s="81"/>
      <c r="E8831" s="62"/>
      <c r="F8831" s="60"/>
      <c r="G8831" s="62"/>
      <c r="H8831" s="60"/>
    </row>
    <row r="8832" spans="1:8">
      <c r="A8832" s="60"/>
      <c r="B8832" s="77"/>
      <c r="C8832" s="60"/>
      <c r="D8832" s="81"/>
      <c r="E8832" s="62"/>
      <c r="F8832" s="60"/>
      <c r="G8832" s="62"/>
      <c r="H8832" s="60"/>
    </row>
    <row r="8833" spans="1:8">
      <c r="A8833" s="60"/>
      <c r="B8833" s="77"/>
      <c r="C8833" s="60"/>
      <c r="D8833" s="81"/>
      <c r="E8833" s="62"/>
      <c r="F8833" s="60"/>
      <c r="G8833" s="62"/>
      <c r="H8833" s="60"/>
    </row>
    <row r="8834" spans="1:8">
      <c r="A8834" s="60"/>
      <c r="B8834" s="77"/>
      <c r="C8834" s="60"/>
      <c r="D8834" s="81"/>
      <c r="E8834" s="62"/>
      <c r="F8834" s="60"/>
      <c r="G8834" s="62"/>
      <c r="H8834" s="60"/>
    </row>
    <row r="8835" spans="1:8">
      <c r="A8835" s="60"/>
      <c r="B8835" s="77"/>
      <c r="C8835" s="60"/>
      <c r="D8835" s="81"/>
      <c r="E8835" s="62"/>
      <c r="F8835" s="60"/>
      <c r="G8835" s="62"/>
      <c r="H8835" s="60"/>
    </row>
    <row r="8836" spans="1:8">
      <c r="A8836" s="60"/>
      <c r="B8836" s="77"/>
      <c r="C8836" s="60"/>
      <c r="D8836" s="81"/>
      <c r="E8836" s="62"/>
      <c r="F8836" s="60"/>
      <c r="G8836" s="62"/>
      <c r="H8836" s="60"/>
    </row>
    <row r="8837" spans="1:8">
      <c r="A8837" s="60"/>
      <c r="B8837" s="77"/>
      <c r="C8837" s="60"/>
      <c r="D8837" s="81"/>
      <c r="E8837" s="62"/>
      <c r="F8837" s="60"/>
      <c r="G8837" s="62"/>
      <c r="H8837" s="60"/>
    </row>
    <row r="8838" spans="1:8">
      <c r="A8838" s="60"/>
      <c r="B8838" s="77"/>
      <c r="C8838" s="60"/>
      <c r="D8838" s="81"/>
      <c r="E8838" s="62"/>
      <c r="F8838" s="60"/>
      <c r="G8838" s="62"/>
      <c r="H8838" s="60"/>
    </row>
    <row r="8839" spans="1:8">
      <c r="A8839" s="60"/>
      <c r="B8839" s="77"/>
      <c r="C8839" s="60"/>
      <c r="D8839" s="81"/>
      <c r="E8839" s="62"/>
      <c r="F8839" s="60"/>
      <c r="G8839" s="62"/>
      <c r="H8839" s="60"/>
    </row>
    <row r="8840" spans="1:8">
      <c r="A8840" s="60"/>
      <c r="B8840" s="77"/>
      <c r="C8840" s="60"/>
      <c r="D8840" s="81"/>
      <c r="E8840" s="62"/>
      <c r="F8840" s="60"/>
      <c r="G8840" s="62"/>
      <c r="H8840" s="60"/>
    </row>
    <row r="8841" spans="1:8">
      <c r="A8841" s="60"/>
      <c r="B8841" s="77"/>
      <c r="C8841" s="60"/>
      <c r="D8841" s="81"/>
      <c r="E8841" s="62"/>
      <c r="F8841" s="60"/>
      <c r="G8841" s="62"/>
      <c r="H8841" s="60"/>
    </row>
    <row r="8842" spans="1:8">
      <c r="A8842" s="60"/>
      <c r="B8842" s="77"/>
      <c r="C8842" s="60"/>
      <c r="D8842" s="81"/>
      <c r="E8842" s="62"/>
      <c r="F8842" s="60"/>
      <c r="G8842" s="62"/>
      <c r="H8842" s="60"/>
    </row>
    <row r="8843" spans="1:8">
      <c r="A8843" s="60"/>
      <c r="B8843" s="77"/>
      <c r="C8843" s="60"/>
      <c r="D8843" s="81"/>
      <c r="E8843" s="62"/>
      <c r="F8843" s="60"/>
      <c r="G8843" s="62"/>
      <c r="H8843" s="60"/>
    </row>
    <row r="8844" spans="1:8">
      <c r="A8844" s="60"/>
      <c r="B8844" s="77"/>
      <c r="C8844" s="60"/>
      <c r="D8844" s="81"/>
      <c r="E8844" s="62"/>
      <c r="F8844" s="60"/>
      <c r="G8844" s="62"/>
      <c r="H8844" s="60"/>
    </row>
    <row r="8845" spans="1:8">
      <c r="A8845" s="60"/>
      <c r="B8845" s="77"/>
      <c r="C8845" s="60"/>
      <c r="D8845" s="81"/>
      <c r="E8845" s="62"/>
      <c r="F8845" s="60"/>
      <c r="G8845" s="62"/>
      <c r="H8845" s="60"/>
    </row>
    <row r="8846" spans="1:8">
      <c r="A8846" s="60"/>
      <c r="B8846" s="77"/>
      <c r="C8846" s="60"/>
      <c r="D8846" s="81"/>
      <c r="E8846" s="62"/>
      <c r="F8846" s="60"/>
      <c r="G8846" s="62"/>
      <c r="H8846" s="60"/>
    </row>
    <row r="8847" spans="1:8">
      <c r="A8847" s="60"/>
      <c r="B8847" s="77"/>
      <c r="C8847" s="60"/>
      <c r="D8847" s="81"/>
      <c r="E8847" s="62"/>
      <c r="F8847" s="60"/>
      <c r="G8847" s="62"/>
      <c r="H8847" s="60"/>
    </row>
    <row r="8848" spans="1:8">
      <c r="A8848" s="60"/>
      <c r="B8848" s="77"/>
      <c r="C8848" s="60"/>
      <c r="D8848" s="81"/>
      <c r="E8848" s="62"/>
      <c r="F8848" s="60"/>
      <c r="G8848" s="62"/>
      <c r="H8848" s="60"/>
    </row>
    <row r="8849" spans="1:8">
      <c r="A8849" s="60"/>
      <c r="B8849" s="77"/>
      <c r="C8849" s="60"/>
      <c r="D8849" s="81"/>
      <c r="E8849" s="62"/>
      <c r="F8849" s="60"/>
      <c r="G8849" s="62"/>
      <c r="H8849" s="60"/>
    </row>
    <row r="8850" spans="1:8">
      <c r="A8850" s="60"/>
      <c r="B8850" s="77"/>
      <c r="C8850" s="60"/>
      <c r="D8850" s="81"/>
      <c r="E8850" s="62"/>
      <c r="F8850" s="60"/>
      <c r="G8850" s="62"/>
      <c r="H8850" s="60"/>
    </row>
    <row r="8851" spans="1:8">
      <c r="A8851" s="60"/>
      <c r="B8851" s="77"/>
      <c r="C8851" s="60"/>
      <c r="D8851" s="81"/>
      <c r="E8851" s="62"/>
      <c r="F8851" s="60"/>
      <c r="G8851" s="62"/>
      <c r="H8851" s="60"/>
    </row>
    <row r="8852" spans="1:8">
      <c r="A8852" s="60"/>
      <c r="B8852" s="77"/>
      <c r="C8852" s="60"/>
      <c r="D8852" s="81"/>
      <c r="E8852" s="62"/>
      <c r="F8852" s="60"/>
      <c r="G8852" s="62"/>
      <c r="H8852" s="60"/>
    </row>
    <row r="8853" spans="1:8">
      <c r="A8853" s="60"/>
      <c r="B8853" s="77"/>
      <c r="C8853" s="60"/>
      <c r="D8853" s="81"/>
      <c r="E8853" s="62"/>
      <c r="F8853" s="60"/>
      <c r="G8853" s="62"/>
      <c r="H8853" s="60"/>
    </row>
    <row r="8854" spans="1:8">
      <c r="A8854" s="60"/>
      <c r="B8854" s="77"/>
      <c r="C8854" s="60"/>
      <c r="D8854" s="81"/>
      <c r="E8854" s="62"/>
      <c r="F8854" s="60"/>
      <c r="G8854" s="62"/>
      <c r="H8854" s="60"/>
    </row>
    <row r="8855" spans="1:8">
      <c r="A8855" s="60"/>
      <c r="B8855" s="77"/>
      <c r="C8855" s="60"/>
      <c r="D8855" s="81"/>
      <c r="E8855" s="62"/>
      <c r="F8855" s="60"/>
      <c r="G8855" s="62"/>
      <c r="H8855" s="60"/>
    </row>
    <row r="8856" spans="1:8">
      <c r="A8856" s="60"/>
      <c r="B8856" s="77"/>
      <c r="C8856" s="60"/>
      <c r="D8856" s="81"/>
      <c r="E8856" s="62"/>
      <c r="F8856" s="60"/>
      <c r="G8856" s="62"/>
      <c r="H8856" s="60"/>
    </row>
    <row r="8857" spans="1:8">
      <c r="A8857" s="60"/>
      <c r="B8857" s="77"/>
      <c r="C8857" s="60"/>
      <c r="D8857" s="81"/>
      <c r="E8857" s="62"/>
      <c r="F8857" s="60"/>
      <c r="G8857" s="62"/>
      <c r="H8857" s="60"/>
    </row>
    <row r="8858" spans="1:8">
      <c r="A8858" s="60"/>
      <c r="B8858" s="77"/>
      <c r="C8858" s="60"/>
      <c r="D8858" s="81"/>
      <c r="E8858" s="62"/>
      <c r="F8858" s="60"/>
      <c r="G8858" s="62"/>
      <c r="H8858" s="60"/>
    </row>
    <row r="8859" spans="1:8">
      <c r="A8859" s="60"/>
      <c r="B8859" s="77"/>
      <c r="C8859" s="60"/>
      <c r="D8859" s="81"/>
      <c r="E8859" s="62"/>
      <c r="F8859" s="60"/>
      <c r="G8859" s="62"/>
      <c r="H8859" s="60"/>
    </row>
    <row r="8860" spans="1:8">
      <c r="A8860" s="60"/>
      <c r="B8860" s="77"/>
      <c r="C8860" s="60"/>
      <c r="D8860" s="81"/>
      <c r="E8860" s="62"/>
      <c r="F8860" s="60"/>
      <c r="G8860" s="62"/>
      <c r="H8860" s="60"/>
    </row>
    <row r="8861" spans="1:8">
      <c r="A8861" s="60"/>
      <c r="B8861" s="77"/>
      <c r="C8861" s="60"/>
      <c r="D8861" s="81"/>
      <c r="E8861" s="62"/>
      <c r="F8861" s="60"/>
      <c r="G8861" s="62"/>
      <c r="H8861" s="60"/>
    </row>
    <row r="8862" spans="1:8">
      <c r="A8862" s="60"/>
      <c r="B8862" s="77"/>
      <c r="C8862" s="60"/>
      <c r="D8862" s="81"/>
      <c r="E8862" s="62"/>
      <c r="F8862" s="60"/>
      <c r="G8862" s="62"/>
      <c r="H8862" s="60"/>
    </row>
    <row r="8863" spans="1:8">
      <c r="A8863" s="60"/>
      <c r="B8863" s="77"/>
      <c r="C8863" s="60"/>
      <c r="D8863" s="81"/>
      <c r="E8863" s="62"/>
      <c r="F8863" s="60"/>
      <c r="G8863" s="62"/>
      <c r="H8863" s="60"/>
    </row>
    <row r="8864" spans="1:8">
      <c r="A8864" s="60"/>
      <c r="B8864" s="77"/>
      <c r="C8864" s="60"/>
      <c r="D8864" s="81"/>
      <c r="E8864" s="62"/>
      <c r="F8864" s="60"/>
      <c r="G8864" s="62"/>
      <c r="H8864" s="60"/>
    </row>
    <row r="8865" spans="1:8">
      <c r="A8865" s="60"/>
      <c r="B8865" s="77"/>
      <c r="C8865" s="60"/>
      <c r="D8865" s="81"/>
      <c r="E8865" s="62"/>
      <c r="F8865" s="60"/>
      <c r="G8865" s="62"/>
      <c r="H8865" s="60"/>
    </row>
    <row r="8866" spans="1:8">
      <c r="A8866" s="60"/>
      <c r="B8866" s="77"/>
      <c r="C8866" s="60"/>
      <c r="D8866" s="81"/>
      <c r="E8866" s="62"/>
      <c r="F8866" s="60"/>
      <c r="G8866" s="62"/>
      <c r="H8866" s="60"/>
    </row>
    <row r="8867" spans="1:8">
      <c r="A8867" s="60"/>
      <c r="B8867" s="77"/>
      <c r="C8867" s="60"/>
      <c r="D8867" s="81"/>
      <c r="E8867" s="62"/>
      <c r="F8867" s="60"/>
      <c r="G8867" s="62"/>
      <c r="H8867" s="60"/>
    </row>
    <row r="8868" spans="1:8">
      <c r="A8868" s="60"/>
      <c r="B8868" s="77"/>
      <c r="C8868" s="60"/>
      <c r="D8868" s="81"/>
      <c r="E8868" s="62"/>
      <c r="F8868" s="60"/>
      <c r="G8868" s="62"/>
      <c r="H8868" s="60"/>
    </row>
    <row r="8869" spans="1:8">
      <c r="A8869" s="60"/>
      <c r="B8869" s="77"/>
      <c r="C8869" s="60"/>
      <c r="D8869" s="81"/>
      <c r="E8869" s="62"/>
      <c r="F8869" s="60"/>
      <c r="G8869" s="62"/>
      <c r="H8869" s="60"/>
    </row>
    <row r="8870" spans="1:8">
      <c r="A8870" s="60"/>
      <c r="B8870" s="77"/>
      <c r="C8870" s="60"/>
      <c r="D8870" s="81"/>
      <c r="E8870" s="62"/>
      <c r="F8870" s="60"/>
      <c r="G8870" s="62"/>
      <c r="H8870" s="60"/>
    </row>
    <row r="8871" spans="1:8">
      <c r="A8871" s="60"/>
      <c r="B8871" s="77"/>
      <c r="C8871" s="60"/>
      <c r="D8871" s="81"/>
      <c r="E8871" s="62"/>
      <c r="F8871" s="60"/>
      <c r="G8871" s="62"/>
      <c r="H8871" s="60"/>
    </row>
    <row r="8872" spans="1:8">
      <c r="A8872" s="60"/>
      <c r="B8872" s="77"/>
      <c r="C8872" s="60"/>
      <c r="D8872" s="81"/>
      <c r="E8872" s="62"/>
      <c r="F8872" s="60"/>
      <c r="G8872" s="62"/>
      <c r="H8872" s="60"/>
    </row>
    <row r="8873" spans="1:8">
      <c r="A8873" s="60"/>
      <c r="B8873" s="77"/>
      <c r="C8873" s="60"/>
      <c r="D8873" s="81"/>
      <c r="E8873" s="62"/>
      <c r="F8873" s="60"/>
      <c r="G8873" s="62"/>
      <c r="H8873" s="60"/>
    </row>
    <row r="8874" spans="1:8">
      <c r="A8874" s="60"/>
      <c r="B8874" s="77"/>
      <c r="C8874" s="60"/>
      <c r="D8874" s="81"/>
      <c r="E8874" s="62"/>
      <c r="F8874" s="60"/>
      <c r="G8874" s="62"/>
      <c r="H8874" s="60"/>
    </row>
    <row r="8875" spans="1:8">
      <c r="A8875" s="60"/>
      <c r="B8875" s="77"/>
      <c r="C8875" s="60"/>
      <c r="D8875" s="81"/>
      <c r="E8875" s="62"/>
      <c r="F8875" s="60"/>
      <c r="G8875" s="62"/>
      <c r="H8875" s="60"/>
    </row>
    <row r="8876" spans="1:8">
      <c r="A8876" s="60"/>
      <c r="B8876" s="77"/>
      <c r="C8876" s="60"/>
      <c r="D8876" s="81"/>
      <c r="E8876" s="62"/>
      <c r="F8876" s="60"/>
      <c r="G8876" s="62"/>
      <c r="H8876" s="60"/>
    </row>
    <row r="8877" spans="1:8">
      <c r="A8877" s="60"/>
      <c r="B8877" s="77"/>
      <c r="C8877" s="60"/>
      <c r="D8877" s="81"/>
      <c r="E8877" s="62"/>
      <c r="F8877" s="60"/>
      <c r="G8877" s="62"/>
      <c r="H8877" s="60"/>
    </row>
    <row r="8878" spans="1:8">
      <c r="A8878" s="60"/>
      <c r="B8878" s="77"/>
      <c r="C8878" s="60"/>
      <c r="D8878" s="81"/>
      <c r="E8878" s="62"/>
      <c r="F8878" s="60"/>
      <c r="G8878" s="62"/>
      <c r="H8878" s="60"/>
    </row>
    <row r="8879" spans="1:8">
      <c r="A8879" s="60"/>
      <c r="B8879" s="77"/>
      <c r="C8879" s="60"/>
      <c r="D8879" s="81"/>
      <c r="E8879" s="62"/>
      <c r="F8879" s="60"/>
      <c r="G8879" s="62"/>
      <c r="H8879" s="60"/>
    </row>
    <row r="8880" spans="1:8">
      <c r="A8880" s="60"/>
      <c r="B8880" s="77"/>
      <c r="C8880" s="60"/>
      <c r="D8880" s="81"/>
      <c r="E8880" s="62"/>
      <c r="F8880" s="60"/>
      <c r="G8880" s="62"/>
      <c r="H8880" s="60"/>
    </row>
    <row r="8881" spans="1:8">
      <c r="A8881" s="60"/>
      <c r="B8881" s="77"/>
      <c r="C8881" s="60"/>
      <c r="D8881" s="81"/>
      <c r="E8881" s="62"/>
      <c r="F8881" s="60"/>
      <c r="G8881" s="62"/>
      <c r="H8881" s="60"/>
    </row>
    <row r="8882" spans="1:8">
      <c r="A8882" s="60"/>
      <c r="B8882" s="77"/>
      <c r="C8882" s="60"/>
      <c r="D8882" s="81"/>
      <c r="E8882" s="62"/>
      <c r="F8882" s="60"/>
      <c r="G8882" s="62"/>
      <c r="H8882" s="60"/>
    </row>
    <row r="8883" spans="1:8">
      <c r="A8883" s="60"/>
      <c r="B8883" s="77"/>
      <c r="C8883" s="60"/>
      <c r="D8883" s="81"/>
      <c r="E8883" s="62"/>
      <c r="F8883" s="60"/>
      <c r="G8883" s="62"/>
      <c r="H8883" s="60"/>
    </row>
    <row r="8884" spans="1:8">
      <c r="A8884" s="60"/>
      <c r="B8884" s="77"/>
      <c r="C8884" s="60"/>
      <c r="D8884" s="81"/>
      <c r="E8884" s="62"/>
      <c r="F8884" s="60"/>
      <c r="G8884" s="62"/>
      <c r="H8884" s="60"/>
    </row>
    <row r="8885" spans="1:8">
      <c r="A8885" s="60"/>
      <c r="B8885" s="77"/>
      <c r="C8885" s="60"/>
      <c r="D8885" s="81"/>
      <c r="E8885" s="62"/>
      <c r="F8885" s="60"/>
      <c r="G8885" s="62"/>
      <c r="H8885" s="60"/>
    </row>
    <row r="8886" spans="1:8">
      <c r="A8886" s="60"/>
      <c r="B8886" s="77"/>
      <c r="C8886" s="60"/>
      <c r="D8886" s="81"/>
      <c r="E8886" s="62"/>
      <c r="F8886" s="60"/>
      <c r="G8886" s="62"/>
      <c r="H8886" s="60"/>
    </row>
    <row r="8887" spans="1:8">
      <c r="A8887" s="60"/>
      <c r="B8887" s="77"/>
      <c r="C8887" s="60"/>
      <c r="D8887" s="81"/>
      <c r="E8887" s="62"/>
      <c r="F8887" s="60"/>
      <c r="G8887" s="62"/>
      <c r="H8887" s="60"/>
    </row>
    <row r="8888" spans="1:8">
      <c r="A8888" s="60"/>
      <c r="B8888" s="77"/>
      <c r="C8888" s="60"/>
      <c r="D8888" s="81"/>
      <c r="E8888" s="62"/>
      <c r="F8888" s="60"/>
      <c r="G8888" s="62"/>
      <c r="H8888" s="60"/>
    </row>
    <row r="8889" spans="1:8">
      <c r="A8889" s="60"/>
      <c r="B8889" s="77"/>
      <c r="C8889" s="60"/>
      <c r="D8889" s="81"/>
      <c r="E8889" s="62"/>
      <c r="F8889" s="60"/>
      <c r="G8889" s="62"/>
      <c r="H8889" s="60"/>
    </row>
    <row r="8890" spans="1:8">
      <c r="A8890" s="60"/>
      <c r="B8890" s="77"/>
      <c r="C8890" s="60"/>
      <c r="D8890" s="81"/>
      <c r="E8890" s="62"/>
      <c r="F8890" s="60"/>
      <c r="G8890" s="62"/>
      <c r="H8890" s="60"/>
    </row>
    <row r="8891" spans="1:8">
      <c r="A8891" s="60"/>
      <c r="B8891" s="77"/>
      <c r="C8891" s="60"/>
      <c r="D8891" s="81"/>
      <c r="E8891" s="62"/>
      <c r="F8891" s="60"/>
      <c r="G8891" s="62"/>
      <c r="H8891" s="60"/>
    </row>
    <row r="8892" spans="1:8">
      <c r="A8892" s="60"/>
      <c r="B8892" s="77"/>
      <c r="C8892" s="60"/>
      <c r="D8892" s="81"/>
      <c r="E8892" s="62"/>
      <c r="F8892" s="60"/>
      <c r="G8892" s="62"/>
      <c r="H8892" s="60"/>
    </row>
    <row r="8893" spans="1:8">
      <c r="A8893" s="60"/>
      <c r="B8893" s="77"/>
      <c r="C8893" s="60"/>
      <c r="D8893" s="81"/>
      <c r="E8893" s="62"/>
      <c r="F8893" s="60"/>
      <c r="G8893" s="62"/>
      <c r="H8893" s="60"/>
    </row>
    <row r="8894" spans="1:8">
      <c r="A8894" s="60"/>
      <c r="B8894" s="77"/>
      <c r="C8894" s="60"/>
      <c r="D8894" s="81"/>
      <c r="E8894" s="62"/>
      <c r="F8894" s="60"/>
      <c r="G8894" s="62"/>
      <c r="H8894" s="60"/>
    </row>
    <row r="8895" spans="1:8">
      <c r="A8895" s="60"/>
      <c r="B8895" s="77"/>
      <c r="C8895" s="60"/>
      <c r="D8895" s="81"/>
      <c r="E8895" s="62"/>
      <c r="F8895" s="60"/>
      <c r="G8895" s="62"/>
      <c r="H8895" s="60"/>
    </row>
    <row r="8896" spans="1:8">
      <c r="A8896" s="60"/>
      <c r="B8896" s="77"/>
      <c r="C8896" s="60"/>
      <c r="D8896" s="81"/>
      <c r="E8896" s="62"/>
      <c r="F8896" s="60"/>
      <c r="G8896" s="62"/>
      <c r="H8896" s="60"/>
    </row>
    <row r="8897" spans="1:8">
      <c r="A8897" s="60"/>
      <c r="B8897" s="77"/>
      <c r="C8897" s="60"/>
      <c r="D8897" s="81"/>
      <c r="E8897" s="62"/>
      <c r="F8897" s="60"/>
      <c r="G8897" s="62"/>
      <c r="H8897" s="60"/>
    </row>
    <row r="8898" spans="1:8">
      <c r="A8898" s="60"/>
      <c r="B8898" s="77"/>
      <c r="C8898" s="60"/>
      <c r="D8898" s="81"/>
      <c r="E8898" s="62"/>
      <c r="F8898" s="60"/>
      <c r="G8898" s="62"/>
      <c r="H8898" s="60"/>
    </row>
    <row r="8899" spans="1:8">
      <c r="A8899" s="60"/>
      <c r="B8899" s="77"/>
      <c r="C8899" s="60"/>
      <c r="D8899" s="81"/>
      <c r="E8899" s="62"/>
      <c r="F8899" s="60"/>
      <c r="G8899" s="62"/>
      <c r="H8899" s="60"/>
    </row>
    <row r="8900" spans="1:8">
      <c r="A8900" s="60"/>
      <c r="B8900" s="77"/>
      <c r="C8900" s="60"/>
      <c r="D8900" s="81"/>
      <c r="E8900" s="62"/>
      <c r="F8900" s="60"/>
      <c r="G8900" s="62"/>
      <c r="H8900" s="60"/>
    </row>
    <row r="8901" spans="1:8">
      <c r="A8901" s="60"/>
      <c r="B8901" s="77"/>
      <c r="C8901" s="60"/>
      <c r="D8901" s="81"/>
      <c r="E8901" s="62"/>
      <c r="F8901" s="60"/>
      <c r="G8901" s="62"/>
      <c r="H8901" s="60"/>
    </row>
    <row r="8902" spans="1:8">
      <c r="A8902" s="60"/>
      <c r="B8902" s="77"/>
      <c r="C8902" s="60"/>
      <c r="D8902" s="81"/>
      <c r="E8902" s="62"/>
      <c r="F8902" s="60"/>
      <c r="G8902" s="62"/>
      <c r="H8902" s="60"/>
    </row>
    <row r="8903" spans="1:8">
      <c r="A8903" s="60"/>
      <c r="B8903" s="77"/>
      <c r="C8903" s="60"/>
      <c r="D8903" s="81"/>
      <c r="E8903" s="62"/>
      <c r="F8903" s="60"/>
      <c r="G8903" s="62"/>
      <c r="H8903" s="60"/>
    </row>
    <row r="8904" spans="1:8">
      <c r="A8904" s="60"/>
      <c r="B8904" s="77"/>
      <c r="C8904" s="60"/>
      <c r="D8904" s="81"/>
      <c r="E8904" s="62"/>
      <c r="F8904" s="60"/>
      <c r="G8904" s="62"/>
      <c r="H8904" s="60"/>
    </row>
    <row r="8905" spans="1:8">
      <c r="A8905" s="60"/>
      <c r="B8905" s="77"/>
      <c r="C8905" s="60"/>
      <c r="D8905" s="81"/>
      <c r="E8905" s="62"/>
      <c r="F8905" s="60"/>
      <c r="G8905" s="62"/>
      <c r="H8905" s="60"/>
    </row>
    <row r="8906" spans="1:8">
      <c r="A8906" s="60"/>
      <c r="B8906" s="77"/>
      <c r="C8906" s="60"/>
      <c r="D8906" s="81"/>
      <c r="E8906" s="62"/>
      <c r="F8906" s="60"/>
      <c r="G8906" s="62"/>
      <c r="H8906" s="60"/>
    </row>
    <row r="8907" spans="1:8">
      <c r="A8907" s="60"/>
      <c r="B8907" s="77"/>
      <c r="C8907" s="60"/>
      <c r="D8907" s="81"/>
      <c r="E8907" s="62"/>
      <c r="F8907" s="60"/>
      <c r="G8907" s="62"/>
      <c r="H8907" s="60"/>
    </row>
    <row r="8908" spans="1:8">
      <c r="A8908" s="60"/>
      <c r="B8908" s="77"/>
      <c r="C8908" s="60"/>
      <c r="D8908" s="81"/>
      <c r="E8908" s="62"/>
      <c r="F8908" s="60"/>
      <c r="G8908" s="62"/>
      <c r="H8908" s="60"/>
    </row>
    <row r="8909" spans="1:8">
      <c r="A8909" s="60"/>
      <c r="B8909" s="77"/>
      <c r="C8909" s="60"/>
      <c r="D8909" s="81"/>
      <c r="E8909" s="62"/>
      <c r="F8909" s="60"/>
      <c r="G8909" s="62"/>
      <c r="H8909" s="60"/>
    </row>
    <row r="8910" spans="1:8">
      <c r="A8910" s="60"/>
      <c r="B8910" s="77"/>
      <c r="C8910" s="60"/>
      <c r="D8910" s="81"/>
      <c r="E8910" s="62"/>
      <c r="F8910" s="60"/>
      <c r="G8910" s="62"/>
      <c r="H8910" s="60"/>
    </row>
    <row r="8911" spans="1:8">
      <c r="A8911" s="60"/>
      <c r="B8911" s="77"/>
      <c r="C8911" s="60"/>
      <c r="D8911" s="81"/>
      <c r="E8911" s="62"/>
      <c r="F8911" s="60"/>
      <c r="G8911" s="62"/>
      <c r="H8911" s="60"/>
    </row>
    <row r="8912" spans="1:8">
      <c r="A8912" s="60"/>
      <c r="B8912" s="77"/>
      <c r="C8912" s="60"/>
      <c r="D8912" s="81"/>
      <c r="E8912" s="62"/>
      <c r="F8912" s="60"/>
      <c r="G8912" s="62"/>
      <c r="H8912" s="60"/>
    </row>
    <row r="8913" spans="1:8">
      <c r="A8913" s="60"/>
      <c r="B8913" s="77"/>
      <c r="C8913" s="60"/>
      <c r="D8913" s="81"/>
      <c r="E8913" s="62"/>
      <c r="F8913" s="60"/>
      <c r="G8913" s="62"/>
      <c r="H8913" s="60"/>
    </row>
    <row r="8914" spans="1:8">
      <c r="A8914" s="60"/>
      <c r="B8914" s="77"/>
      <c r="C8914" s="60"/>
      <c r="D8914" s="81"/>
      <c r="E8914" s="62"/>
      <c r="F8914" s="60"/>
      <c r="G8914" s="62"/>
      <c r="H8914" s="60"/>
    </row>
    <row r="8915" spans="1:8">
      <c r="A8915" s="60"/>
      <c r="B8915" s="77"/>
      <c r="C8915" s="60"/>
      <c r="D8915" s="81"/>
      <c r="E8915" s="62"/>
      <c r="F8915" s="60"/>
      <c r="G8915" s="62"/>
      <c r="H8915" s="60"/>
    </row>
    <row r="8916" spans="1:8">
      <c r="A8916" s="60"/>
      <c r="B8916" s="77"/>
      <c r="C8916" s="60"/>
      <c r="D8916" s="81"/>
      <c r="E8916" s="62"/>
      <c r="F8916" s="60"/>
      <c r="G8916" s="62"/>
      <c r="H8916" s="60"/>
    </row>
    <row r="8917" spans="1:8">
      <c r="A8917" s="60"/>
      <c r="B8917" s="77"/>
      <c r="C8917" s="60"/>
      <c r="D8917" s="81"/>
      <c r="E8917" s="62"/>
      <c r="F8917" s="60"/>
      <c r="G8917" s="62"/>
      <c r="H8917" s="60"/>
    </row>
    <row r="8918" spans="1:8">
      <c r="A8918" s="60"/>
      <c r="B8918" s="77"/>
      <c r="C8918" s="60"/>
      <c r="D8918" s="81"/>
      <c r="E8918" s="62"/>
      <c r="F8918" s="60"/>
      <c r="G8918" s="62"/>
      <c r="H8918" s="60"/>
    </row>
    <row r="8919" spans="1:8">
      <c r="A8919" s="60"/>
      <c r="B8919" s="77"/>
      <c r="C8919" s="60"/>
      <c r="D8919" s="81"/>
      <c r="E8919" s="62"/>
      <c r="F8919" s="60"/>
      <c r="G8919" s="62"/>
      <c r="H8919" s="60"/>
    </row>
    <row r="8920" spans="1:8">
      <c r="A8920" s="60"/>
      <c r="B8920" s="77"/>
      <c r="C8920" s="60"/>
      <c r="D8920" s="81"/>
      <c r="E8920" s="62"/>
      <c r="F8920" s="60"/>
      <c r="G8920" s="62"/>
      <c r="H8920" s="60"/>
    </row>
    <row r="8921" spans="1:8">
      <c r="A8921" s="60"/>
      <c r="B8921" s="77"/>
      <c r="C8921" s="60"/>
      <c r="D8921" s="81"/>
      <c r="E8921" s="62"/>
      <c r="F8921" s="60"/>
      <c r="G8921" s="62"/>
      <c r="H8921" s="60"/>
    </row>
    <row r="8922" spans="1:8">
      <c r="A8922" s="60"/>
      <c r="B8922" s="77"/>
      <c r="C8922" s="60"/>
      <c r="D8922" s="81"/>
      <c r="E8922" s="62"/>
      <c r="F8922" s="60"/>
      <c r="G8922" s="62"/>
      <c r="H8922" s="60"/>
    </row>
    <row r="8923" spans="1:8">
      <c r="A8923" s="60"/>
      <c r="B8923" s="77"/>
      <c r="C8923" s="60"/>
      <c r="D8923" s="81"/>
      <c r="E8923" s="62"/>
      <c r="F8923" s="60"/>
      <c r="G8923" s="62"/>
      <c r="H8923" s="60"/>
    </row>
    <row r="8924" spans="1:8">
      <c r="A8924" s="60"/>
      <c r="B8924" s="77"/>
      <c r="C8924" s="60"/>
      <c r="D8924" s="81"/>
      <c r="E8924" s="62"/>
      <c r="F8924" s="60"/>
      <c r="G8924" s="62"/>
      <c r="H8924" s="60"/>
    </row>
    <row r="8925" spans="1:8">
      <c r="A8925" s="60"/>
      <c r="B8925" s="77"/>
      <c r="C8925" s="60"/>
      <c r="D8925" s="81"/>
      <c r="E8925" s="62"/>
      <c r="F8925" s="60"/>
      <c r="G8925" s="62"/>
      <c r="H8925" s="60"/>
    </row>
    <row r="8926" spans="1:8">
      <c r="A8926" s="60"/>
      <c r="B8926" s="77"/>
      <c r="C8926" s="60"/>
      <c r="D8926" s="81"/>
      <c r="E8926" s="62"/>
      <c r="F8926" s="60"/>
      <c r="G8926" s="62"/>
      <c r="H8926" s="60"/>
    </row>
    <row r="8927" spans="1:8">
      <c r="A8927" s="60"/>
      <c r="B8927" s="77"/>
      <c r="C8927" s="60"/>
      <c r="D8927" s="81"/>
      <c r="E8927" s="62"/>
      <c r="F8927" s="60"/>
      <c r="G8927" s="62"/>
      <c r="H8927" s="60"/>
    </row>
    <row r="8928" spans="1:8">
      <c r="A8928" s="60"/>
      <c r="B8928" s="77"/>
      <c r="C8928" s="60"/>
      <c r="D8928" s="81"/>
      <c r="E8928" s="62"/>
      <c r="F8928" s="60"/>
      <c r="G8928" s="62"/>
      <c r="H8928" s="60"/>
    </row>
    <row r="8929" spans="1:8">
      <c r="A8929" s="60"/>
      <c r="B8929" s="77"/>
      <c r="C8929" s="60"/>
      <c r="D8929" s="81"/>
      <c r="E8929" s="62"/>
      <c r="F8929" s="60"/>
      <c r="G8929" s="62"/>
      <c r="H8929" s="60"/>
    </row>
    <row r="8930" spans="1:8">
      <c r="A8930" s="60"/>
      <c r="B8930" s="77"/>
      <c r="C8930" s="60"/>
      <c r="D8930" s="81"/>
      <c r="E8930" s="62"/>
      <c r="F8930" s="60"/>
      <c r="G8930" s="62"/>
      <c r="H8930" s="60"/>
    </row>
    <row r="8931" spans="1:8">
      <c r="A8931" s="60"/>
      <c r="B8931" s="77"/>
      <c r="C8931" s="60"/>
      <c r="D8931" s="81"/>
      <c r="E8931" s="62"/>
      <c r="F8931" s="60"/>
      <c r="G8931" s="62"/>
      <c r="H8931" s="60"/>
    </row>
    <row r="8932" spans="1:8">
      <c r="A8932" s="60"/>
      <c r="B8932" s="77"/>
      <c r="C8932" s="60"/>
      <c r="D8932" s="81"/>
      <c r="E8932" s="62"/>
      <c r="F8932" s="60"/>
      <c r="G8932" s="62"/>
      <c r="H8932" s="60"/>
    </row>
    <row r="8933" spans="1:8">
      <c r="A8933" s="60"/>
      <c r="B8933" s="77"/>
      <c r="C8933" s="60"/>
      <c r="D8933" s="81"/>
      <c r="E8933" s="62"/>
      <c r="F8933" s="60"/>
      <c r="G8933" s="62"/>
      <c r="H8933" s="60"/>
    </row>
    <row r="8934" spans="1:8">
      <c r="A8934" s="60"/>
      <c r="B8934" s="77"/>
      <c r="C8934" s="60"/>
      <c r="D8934" s="81"/>
      <c r="E8934" s="62"/>
      <c r="F8934" s="60"/>
      <c r="G8934" s="62"/>
      <c r="H8934" s="60"/>
    </row>
    <row r="8935" spans="1:8">
      <c r="A8935" s="60"/>
      <c r="B8935" s="77"/>
      <c r="C8935" s="60"/>
      <c r="D8935" s="81"/>
      <c r="E8935" s="62"/>
      <c r="F8935" s="60"/>
      <c r="G8935" s="62"/>
      <c r="H8935" s="60"/>
    </row>
    <row r="8936" spans="1:8">
      <c r="A8936" s="60"/>
      <c r="B8936" s="77"/>
      <c r="C8936" s="60"/>
      <c r="D8936" s="81"/>
      <c r="E8936" s="62"/>
      <c r="F8936" s="60"/>
      <c r="G8936" s="62"/>
      <c r="H8936" s="60"/>
    </row>
    <row r="8937" spans="1:8">
      <c r="A8937" s="60"/>
      <c r="B8937" s="77"/>
      <c r="C8937" s="60"/>
      <c r="D8937" s="81"/>
      <c r="E8937" s="62"/>
      <c r="F8937" s="60"/>
      <c r="G8937" s="62"/>
      <c r="H8937" s="60"/>
    </row>
    <row r="8938" spans="1:8">
      <c r="A8938" s="60"/>
      <c r="B8938" s="77"/>
      <c r="C8938" s="60"/>
      <c r="D8938" s="81"/>
      <c r="E8938" s="62"/>
      <c r="F8938" s="60"/>
      <c r="G8938" s="62"/>
      <c r="H8938" s="60"/>
    </row>
    <row r="8939" spans="1:8">
      <c r="A8939" s="60"/>
      <c r="B8939" s="77"/>
      <c r="C8939" s="60"/>
      <c r="D8939" s="81"/>
      <c r="E8939" s="62"/>
      <c r="F8939" s="60"/>
      <c r="G8939" s="62"/>
      <c r="H8939" s="60"/>
    </row>
    <row r="8940" spans="1:8">
      <c r="A8940" s="60"/>
      <c r="B8940" s="77"/>
      <c r="C8940" s="60"/>
      <c r="D8940" s="81"/>
      <c r="E8940" s="62"/>
      <c r="F8940" s="60"/>
      <c r="G8940" s="62"/>
      <c r="H8940" s="60"/>
    </row>
    <row r="8941" spans="1:8">
      <c r="A8941" s="60"/>
      <c r="B8941" s="77"/>
      <c r="C8941" s="60"/>
      <c r="D8941" s="81"/>
      <c r="E8941" s="62"/>
      <c r="F8941" s="60"/>
      <c r="G8941" s="62"/>
      <c r="H8941" s="60"/>
    </row>
    <row r="8942" spans="1:8">
      <c r="A8942" s="60"/>
      <c r="B8942" s="77"/>
      <c r="C8942" s="60"/>
      <c r="D8942" s="81"/>
      <c r="E8942" s="62"/>
      <c r="F8942" s="60"/>
      <c r="G8942" s="62"/>
      <c r="H8942" s="60"/>
    </row>
    <row r="8943" spans="1:8">
      <c r="A8943" s="60"/>
      <c r="B8943" s="77"/>
      <c r="C8943" s="60"/>
      <c r="D8943" s="81"/>
      <c r="E8943" s="62"/>
      <c r="F8943" s="60"/>
      <c r="G8943" s="62"/>
      <c r="H8943" s="60"/>
    </row>
    <row r="8944" spans="1:8">
      <c r="A8944" s="60"/>
      <c r="B8944" s="77"/>
      <c r="C8944" s="60"/>
      <c r="D8944" s="81"/>
      <c r="E8944" s="62"/>
      <c r="F8944" s="60"/>
      <c r="G8944" s="62"/>
      <c r="H8944" s="60"/>
    </row>
    <row r="8945" spans="1:8">
      <c r="A8945" s="60"/>
      <c r="B8945" s="77"/>
      <c r="C8945" s="60"/>
      <c r="D8945" s="81"/>
      <c r="E8945" s="62"/>
      <c r="F8945" s="60"/>
      <c r="G8945" s="62"/>
      <c r="H8945" s="60"/>
    </row>
    <row r="8946" spans="1:8">
      <c r="A8946" s="60"/>
      <c r="B8946" s="77"/>
      <c r="C8946" s="60"/>
      <c r="D8946" s="81"/>
      <c r="E8946" s="62"/>
      <c r="F8946" s="60"/>
      <c r="G8946" s="62"/>
      <c r="H8946" s="60"/>
    </row>
    <row r="8947" spans="1:8">
      <c r="A8947" s="60"/>
      <c r="B8947" s="77"/>
      <c r="C8947" s="60"/>
      <c r="D8947" s="81"/>
      <c r="E8947" s="62"/>
      <c r="F8947" s="60"/>
      <c r="G8947" s="62"/>
      <c r="H8947" s="60"/>
    </row>
    <row r="8948" spans="1:8">
      <c r="A8948" s="60"/>
      <c r="B8948" s="77"/>
      <c r="C8948" s="60"/>
      <c r="D8948" s="81"/>
      <c r="E8948" s="62"/>
      <c r="F8948" s="60"/>
      <c r="G8948" s="62"/>
      <c r="H8948" s="60"/>
    </row>
    <row r="8949" spans="1:8">
      <c r="A8949" s="60"/>
      <c r="B8949" s="77"/>
      <c r="C8949" s="60"/>
      <c r="D8949" s="81"/>
      <c r="E8949" s="62"/>
      <c r="F8949" s="60"/>
      <c r="G8949" s="62"/>
      <c r="H8949" s="60"/>
    </row>
    <row r="8950" spans="1:8">
      <c r="A8950" s="60"/>
      <c r="B8950" s="77"/>
      <c r="C8950" s="60"/>
      <c r="D8950" s="81"/>
      <c r="E8950" s="62"/>
      <c r="F8950" s="60"/>
      <c r="G8950" s="62"/>
      <c r="H8950" s="60"/>
    </row>
    <row r="8951" spans="1:8">
      <c r="A8951" s="60"/>
      <c r="B8951" s="77"/>
      <c r="C8951" s="60"/>
      <c r="D8951" s="81"/>
      <c r="E8951" s="62"/>
      <c r="F8951" s="60"/>
      <c r="G8951" s="62"/>
      <c r="H8951" s="60"/>
    </row>
    <row r="8952" spans="1:8">
      <c r="A8952" s="60"/>
      <c r="B8952" s="77"/>
      <c r="C8952" s="60"/>
      <c r="D8952" s="81"/>
      <c r="E8952" s="62"/>
      <c r="F8952" s="60"/>
      <c r="G8952" s="62"/>
      <c r="H8952" s="60"/>
    </row>
    <row r="8953" spans="1:8">
      <c r="A8953" s="60"/>
      <c r="B8953" s="77"/>
      <c r="C8953" s="60"/>
      <c r="D8953" s="81"/>
      <c r="E8953" s="62"/>
      <c r="F8953" s="60"/>
      <c r="G8953" s="62"/>
      <c r="H8953" s="60"/>
    </row>
    <row r="8954" spans="1:8">
      <c r="A8954" s="60"/>
      <c r="B8954" s="77"/>
      <c r="C8954" s="60"/>
      <c r="D8954" s="81"/>
      <c r="E8954" s="62"/>
      <c r="F8954" s="60"/>
      <c r="G8954" s="62"/>
      <c r="H8954" s="60"/>
    </row>
    <row r="8955" spans="1:8">
      <c r="A8955" s="60"/>
      <c r="B8955" s="77"/>
      <c r="C8955" s="60"/>
      <c r="D8955" s="81"/>
      <c r="E8955" s="62"/>
      <c r="F8955" s="60"/>
      <c r="G8955" s="62"/>
      <c r="H8955" s="60"/>
    </row>
    <row r="8956" spans="1:8">
      <c r="A8956" s="60"/>
      <c r="B8956" s="77"/>
      <c r="C8956" s="60"/>
      <c r="D8956" s="81"/>
      <c r="E8956" s="62"/>
      <c r="F8956" s="60"/>
      <c r="G8956" s="62"/>
      <c r="H8956" s="60"/>
    </row>
    <row r="8957" spans="1:8">
      <c r="A8957" s="60"/>
      <c r="B8957" s="77"/>
      <c r="C8957" s="60"/>
      <c r="D8957" s="81"/>
      <c r="E8957" s="62"/>
      <c r="F8957" s="60"/>
      <c r="G8957" s="62"/>
      <c r="H8957" s="60"/>
    </row>
    <row r="8958" spans="1:8">
      <c r="A8958" s="60"/>
      <c r="B8958" s="77"/>
      <c r="C8958" s="60"/>
      <c r="D8958" s="81"/>
      <c r="E8958" s="62"/>
      <c r="F8958" s="60"/>
      <c r="G8958" s="62"/>
      <c r="H8958" s="60"/>
    </row>
    <row r="8959" spans="1:8">
      <c r="A8959" s="60"/>
      <c r="B8959" s="77"/>
      <c r="C8959" s="60"/>
      <c r="D8959" s="81"/>
      <c r="E8959" s="62"/>
      <c r="F8959" s="60"/>
      <c r="G8959" s="62"/>
      <c r="H8959" s="60"/>
    </row>
    <row r="8960" spans="1:8">
      <c r="A8960" s="60"/>
      <c r="B8960" s="77"/>
      <c r="C8960" s="60"/>
      <c r="D8960" s="81"/>
      <c r="E8960" s="62"/>
      <c r="F8960" s="60"/>
      <c r="G8960" s="62"/>
      <c r="H8960" s="60"/>
    </row>
    <row r="8961" spans="1:8">
      <c r="A8961" s="60"/>
      <c r="B8961" s="77"/>
      <c r="C8961" s="60"/>
      <c r="D8961" s="81"/>
      <c r="E8961" s="62"/>
      <c r="F8961" s="60"/>
      <c r="G8961" s="62"/>
      <c r="H8961" s="60"/>
    </row>
    <row r="8962" spans="1:8">
      <c r="A8962" s="60"/>
      <c r="B8962" s="77"/>
      <c r="C8962" s="60"/>
      <c r="D8962" s="81"/>
      <c r="E8962" s="62"/>
      <c r="F8962" s="60"/>
      <c r="G8962" s="62"/>
      <c r="H8962" s="60"/>
    </row>
    <row r="8963" spans="1:8">
      <c r="A8963" s="60"/>
      <c r="B8963" s="77"/>
      <c r="C8963" s="60"/>
      <c r="D8963" s="81"/>
      <c r="E8963" s="62"/>
      <c r="F8963" s="60"/>
      <c r="G8963" s="62"/>
      <c r="H8963" s="60"/>
    </row>
    <row r="8964" spans="1:8">
      <c r="A8964" s="60"/>
      <c r="B8964" s="77"/>
      <c r="C8964" s="60"/>
      <c r="D8964" s="81"/>
      <c r="E8964" s="62"/>
      <c r="F8964" s="60"/>
      <c r="G8964" s="62"/>
      <c r="H8964" s="60"/>
    </row>
    <row r="8965" spans="1:8">
      <c r="A8965" s="60"/>
      <c r="B8965" s="77"/>
      <c r="C8965" s="60"/>
      <c r="D8965" s="81"/>
      <c r="E8965" s="62"/>
      <c r="F8965" s="60"/>
      <c r="G8965" s="62"/>
      <c r="H8965" s="60"/>
    </row>
    <row r="8966" spans="1:8">
      <c r="A8966" s="60"/>
      <c r="B8966" s="77"/>
      <c r="C8966" s="60"/>
      <c r="D8966" s="81"/>
      <c r="E8966" s="62"/>
      <c r="F8966" s="60"/>
      <c r="G8966" s="62"/>
      <c r="H8966" s="60"/>
    </row>
    <row r="8967" spans="1:8">
      <c r="A8967" s="60"/>
      <c r="B8967" s="77"/>
      <c r="C8967" s="60"/>
      <c r="D8967" s="81"/>
      <c r="E8967" s="62"/>
      <c r="F8967" s="60"/>
      <c r="G8967" s="62"/>
      <c r="H8967" s="60"/>
    </row>
    <row r="8968" spans="1:8">
      <c r="A8968" s="60"/>
      <c r="B8968" s="77"/>
      <c r="C8968" s="60"/>
      <c r="D8968" s="81"/>
      <c r="E8968" s="62"/>
      <c r="F8968" s="60"/>
      <c r="G8968" s="62"/>
      <c r="H8968" s="60"/>
    </row>
    <row r="8969" spans="1:8">
      <c r="A8969" s="60"/>
      <c r="B8969" s="77"/>
      <c r="C8969" s="60"/>
      <c r="D8969" s="81"/>
      <c r="E8969" s="62"/>
      <c r="F8969" s="60"/>
      <c r="G8969" s="62"/>
      <c r="H8969" s="60"/>
    </row>
    <row r="8970" spans="1:8">
      <c r="A8970" s="60"/>
      <c r="B8970" s="77"/>
      <c r="C8970" s="60"/>
      <c r="D8970" s="81"/>
      <c r="E8970" s="62"/>
      <c r="F8970" s="60"/>
      <c r="G8970" s="62"/>
      <c r="H8970" s="60"/>
    </row>
    <row r="8971" spans="1:8">
      <c r="A8971" s="60"/>
      <c r="B8971" s="77"/>
      <c r="C8971" s="60"/>
      <c r="D8971" s="81"/>
      <c r="E8971" s="62"/>
      <c r="F8971" s="60"/>
      <c r="G8971" s="62"/>
      <c r="H8971" s="60"/>
    </row>
    <row r="8972" spans="1:8">
      <c r="A8972" s="60"/>
      <c r="B8972" s="77"/>
      <c r="C8972" s="60"/>
      <c r="D8972" s="81"/>
      <c r="E8972" s="62"/>
      <c r="F8972" s="60"/>
      <c r="G8972" s="62"/>
      <c r="H8972" s="60"/>
    </row>
    <row r="8973" spans="1:8">
      <c r="A8973" s="60"/>
      <c r="B8973" s="77"/>
      <c r="C8973" s="60"/>
      <c r="D8973" s="81"/>
      <c r="E8973" s="62"/>
      <c r="F8973" s="60"/>
      <c r="G8973" s="62"/>
      <c r="H8973" s="60"/>
    </row>
    <row r="8974" spans="1:8">
      <c r="A8974" s="60"/>
      <c r="B8974" s="77"/>
      <c r="C8974" s="60"/>
      <c r="D8974" s="81"/>
      <c r="E8974" s="62"/>
      <c r="F8974" s="60"/>
      <c r="G8974" s="62"/>
      <c r="H8974" s="60"/>
    </row>
    <row r="8975" spans="1:8">
      <c r="A8975" s="60"/>
      <c r="B8975" s="77"/>
      <c r="C8975" s="60"/>
      <c r="D8975" s="81"/>
      <c r="E8975" s="62"/>
      <c r="F8975" s="60"/>
      <c r="G8975" s="62"/>
      <c r="H8975" s="60"/>
    </row>
    <row r="8976" spans="1:8">
      <c r="A8976" s="60"/>
      <c r="B8976" s="77"/>
      <c r="C8976" s="60"/>
      <c r="D8976" s="81"/>
      <c r="E8976" s="62"/>
      <c r="F8976" s="60"/>
      <c r="G8976" s="62"/>
      <c r="H8976" s="60"/>
    </row>
    <row r="8977" spans="1:8">
      <c r="A8977" s="60"/>
      <c r="B8977" s="77"/>
      <c r="C8977" s="60"/>
      <c r="D8977" s="81"/>
      <c r="E8977" s="62"/>
      <c r="F8977" s="60"/>
      <c r="G8977" s="62"/>
      <c r="H8977" s="60"/>
    </row>
    <row r="8978" spans="1:8">
      <c r="A8978" s="60"/>
      <c r="B8978" s="77"/>
      <c r="C8978" s="60"/>
      <c r="D8978" s="81"/>
      <c r="E8978" s="62"/>
      <c r="F8978" s="60"/>
      <c r="G8978" s="62"/>
      <c r="H8978" s="60"/>
    </row>
    <row r="8979" spans="1:8">
      <c r="A8979" s="60"/>
      <c r="B8979" s="77"/>
      <c r="C8979" s="60"/>
      <c r="D8979" s="81"/>
      <c r="E8979" s="62"/>
      <c r="F8979" s="60"/>
      <c r="G8979" s="62"/>
      <c r="H8979" s="60"/>
    </row>
    <row r="8980" spans="1:8">
      <c r="A8980" s="60"/>
      <c r="B8980" s="77"/>
      <c r="C8980" s="60"/>
      <c r="D8980" s="81"/>
      <c r="E8980" s="62"/>
      <c r="F8980" s="60"/>
      <c r="G8980" s="62"/>
      <c r="H8980" s="60"/>
    </row>
    <row r="8981" spans="1:8">
      <c r="A8981" s="60"/>
      <c r="B8981" s="77"/>
      <c r="C8981" s="60"/>
      <c r="D8981" s="81"/>
      <c r="E8981" s="62"/>
      <c r="F8981" s="60"/>
      <c r="G8981" s="62"/>
      <c r="H8981" s="60"/>
    </row>
    <row r="8982" spans="1:8">
      <c r="A8982" s="60"/>
      <c r="B8982" s="77"/>
      <c r="C8982" s="60"/>
      <c r="D8982" s="81"/>
      <c r="E8982" s="62"/>
      <c r="F8982" s="60"/>
      <c r="G8982" s="62"/>
      <c r="H8982" s="60"/>
    </row>
    <row r="8983" spans="1:8">
      <c r="A8983" s="60"/>
      <c r="B8983" s="77"/>
      <c r="C8983" s="60"/>
      <c r="D8983" s="81"/>
      <c r="E8983" s="62"/>
      <c r="F8983" s="60"/>
      <c r="G8983" s="62"/>
      <c r="H8983" s="60"/>
    </row>
    <row r="8984" spans="1:8">
      <c r="A8984" s="60"/>
      <c r="B8984" s="77"/>
      <c r="C8984" s="60"/>
      <c r="D8984" s="81"/>
      <c r="E8984" s="62"/>
      <c r="F8984" s="60"/>
      <c r="G8984" s="62"/>
      <c r="H8984" s="60"/>
    </row>
    <row r="8985" spans="1:8">
      <c r="A8985" s="60"/>
      <c r="B8985" s="77"/>
      <c r="C8985" s="60"/>
      <c r="D8985" s="81"/>
      <c r="E8985" s="62"/>
      <c r="F8985" s="60"/>
      <c r="G8985" s="62"/>
      <c r="H8985" s="60"/>
    </row>
    <row r="8986" spans="1:8">
      <c r="A8986" s="60"/>
      <c r="B8986" s="77"/>
      <c r="C8986" s="60"/>
      <c r="D8986" s="81"/>
      <c r="E8986" s="62"/>
      <c r="F8986" s="60"/>
      <c r="G8986" s="62"/>
      <c r="H8986" s="60"/>
    </row>
    <row r="8987" spans="1:8">
      <c r="A8987" s="60"/>
      <c r="B8987" s="77"/>
      <c r="C8987" s="60"/>
      <c r="D8987" s="81"/>
      <c r="E8987" s="62"/>
      <c r="F8987" s="60"/>
      <c r="G8987" s="62"/>
      <c r="H8987" s="60"/>
    </row>
    <row r="8988" spans="1:8">
      <c r="A8988" s="60"/>
      <c r="B8988" s="77"/>
      <c r="C8988" s="60"/>
      <c r="D8988" s="81"/>
      <c r="E8988" s="62"/>
      <c r="F8988" s="60"/>
      <c r="G8988" s="62"/>
      <c r="H8988" s="60"/>
    </row>
    <row r="8989" spans="1:8">
      <c r="A8989" s="60"/>
      <c r="B8989" s="77"/>
      <c r="C8989" s="60"/>
      <c r="D8989" s="81"/>
      <c r="E8989" s="62"/>
      <c r="F8989" s="60"/>
      <c r="G8989" s="62"/>
      <c r="H8989" s="60"/>
    </row>
    <row r="8990" spans="1:8">
      <c r="A8990" s="60"/>
      <c r="B8990" s="77"/>
      <c r="C8990" s="60"/>
      <c r="D8990" s="81"/>
      <c r="E8990" s="62"/>
      <c r="F8990" s="60"/>
      <c r="G8990" s="62"/>
      <c r="H8990" s="60"/>
    </row>
    <row r="8991" spans="1:8">
      <c r="A8991" s="60"/>
      <c r="B8991" s="77"/>
      <c r="C8991" s="60"/>
      <c r="D8991" s="81"/>
      <c r="E8991" s="62"/>
      <c r="F8991" s="60"/>
      <c r="G8991" s="62"/>
      <c r="H8991" s="60"/>
    </row>
    <row r="8992" spans="1:8">
      <c r="A8992" s="60"/>
      <c r="B8992" s="77"/>
      <c r="C8992" s="60"/>
      <c r="D8992" s="81"/>
      <c r="E8992" s="62"/>
      <c r="F8992" s="60"/>
      <c r="G8992" s="62"/>
      <c r="H8992" s="60"/>
    </row>
    <row r="8993" spans="1:8">
      <c r="A8993" s="60"/>
      <c r="B8993" s="77"/>
      <c r="C8993" s="60"/>
      <c r="D8993" s="81"/>
      <c r="E8993" s="62"/>
      <c r="F8993" s="60"/>
      <c r="G8993" s="62"/>
      <c r="H8993" s="60"/>
    </row>
    <row r="8994" spans="1:8">
      <c r="A8994" s="60"/>
      <c r="B8994" s="77"/>
      <c r="C8994" s="60"/>
      <c r="D8994" s="81"/>
      <c r="E8994" s="62"/>
      <c r="F8994" s="60"/>
      <c r="G8994" s="62"/>
      <c r="H8994" s="60"/>
    </row>
    <row r="8995" spans="1:8">
      <c r="A8995" s="60"/>
      <c r="B8995" s="77"/>
      <c r="C8995" s="60"/>
      <c r="D8995" s="81"/>
      <c r="E8995" s="62"/>
      <c r="F8995" s="60"/>
      <c r="G8995" s="62"/>
      <c r="H8995" s="60"/>
    </row>
    <row r="8996" spans="1:8">
      <c r="A8996" s="60"/>
      <c r="B8996" s="77"/>
      <c r="C8996" s="60"/>
      <c r="D8996" s="81"/>
      <c r="E8996" s="62"/>
      <c r="F8996" s="60"/>
      <c r="G8996" s="62"/>
      <c r="H8996" s="60"/>
    </row>
    <row r="8997" spans="1:8">
      <c r="A8997" s="60"/>
      <c r="B8997" s="77"/>
      <c r="C8997" s="60"/>
      <c r="D8997" s="81"/>
      <c r="E8997" s="62"/>
      <c r="F8997" s="60"/>
      <c r="G8997" s="62"/>
      <c r="H8997" s="60"/>
    </row>
    <row r="8998" spans="1:8">
      <c r="A8998" s="60"/>
      <c r="B8998" s="77"/>
      <c r="C8998" s="60"/>
      <c r="D8998" s="81"/>
      <c r="E8998" s="62"/>
      <c r="F8998" s="60"/>
      <c r="G8998" s="62"/>
      <c r="H8998" s="60"/>
    </row>
    <row r="8999" spans="1:8">
      <c r="A8999" s="60"/>
      <c r="B8999" s="77"/>
      <c r="C8999" s="60"/>
      <c r="D8999" s="81"/>
      <c r="E8999" s="62"/>
      <c r="F8999" s="60"/>
      <c r="G8999" s="62"/>
      <c r="H8999" s="60"/>
    </row>
    <row r="9000" spans="1:8">
      <c r="A9000" s="60"/>
      <c r="B9000" s="77"/>
      <c r="C9000" s="60"/>
      <c r="D9000" s="81"/>
      <c r="E9000" s="62"/>
      <c r="F9000" s="60"/>
      <c r="G9000" s="62"/>
      <c r="H9000" s="60"/>
    </row>
    <row r="9001" spans="1:8">
      <c r="A9001" s="60"/>
      <c r="B9001" s="77"/>
      <c r="C9001" s="60"/>
      <c r="D9001" s="81"/>
      <c r="E9001" s="62"/>
      <c r="F9001" s="60"/>
      <c r="G9001" s="62"/>
      <c r="H9001" s="60"/>
    </row>
    <row r="9002" spans="1:8">
      <c r="A9002" s="60"/>
      <c r="B9002" s="77"/>
      <c r="C9002" s="60"/>
      <c r="D9002" s="81"/>
      <c r="E9002" s="62"/>
      <c r="F9002" s="60"/>
      <c r="G9002" s="62"/>
      <c r="H9002" s="60"/>
    </row>
    <row r="9003" spans="1:8">
      <c r="A9003" s="60"/>
      <c r="B9003" s="77"/>
      <c r="C9003" s="60"/>
      <c r="D9003" s="81"/>
      <c r="E9003" s="62"/>
      <c r="F9003" s="60"/>
      <c r="G9003" s="62"/>
      <c r="H9003" s="60"/>
    </row>
    <row r="9004" spans="1:8">
      <c r="A9004" s="60"/>
      <c r="B9004" s="77"/>
      <c r="C9004" s="60"/>
      <c r="D9004" s="81"/>
      <c r="E9004" s="62"/>
      <c r="F9004" s="60"/>
      <c r="G9004" s="62"/>
      <c r="H9004" s="60"/>
    </row>
    <row r="9005" spans="1:8">
      <c r="A9005" s="60"/>
      <c r="B9005" s="77"/>
      <c r="C9005" s="60"/>
      <c r="D9005" s="81"/>
      <c r="E9005" s="62"/>
      <c r="F9005" s="60"/>
      <c r="G9005" s="62"/>
      <c r="H9005" s="60"/>
    </row>
    <row r="9006" spans="1:8">
      <c r="A9006" s="60"/>
      <c r="B9006" s="77"/>
      <c r="C9006" s="60"/>
      <c r="D9006" s="81"/>
      <c r="E9006" s="62"/>
      <c r="F9006" s="60"/>
      <c r="G9006" s="62"/>
      <c r="H9006" s="60"/>
    </row>
    <row r="9007" spans="1:8">
      <c r="A9007" s="60"/>
      <c r="B9007" s="77"/>
      <c r="C9007" s="60"/>
      <c r="D9007" s="81"/>
      <c r="E9007" s="62"/>
      <c r="F9007" s="60"/>
      <c r="G9007" s="62"/>
      <c r="H9007" s="60"/>
    </row>
    <row r="9008" spans="1:8">
      <c r="A9008" s="60"/>
      <c r="B9008" s="77"/>
      <c r="C9008" s="60"/>
      <c r="D9008" s="81"/>
      <c r="E9008" s="62"/>
      <c r="F9008" s="60"/>
      <c r="G9008" s="62"/>
      <c r="H9008" s="60"/>
    </row>
    <row r="9009" spans="1:8">
      <c r="A9009" s="60"/>
      <c r="B9009" s="77"/>
      <c r="C9009" s="60"/>
      <c r="D9009" s="81"/>
      <c r="E9009" s="62"/>
      <c r="F9009" s="60"/>
      <c r="G9009" s="62"/>
      <c r="H9009" s="60"/>
    </row>
    <row r="9010" spans="1:8">
      <c r="A9010" s="60"/>
      <c r="B9010" s="77"/>
      <c r="C9010" s="60"/>
      <c r="D9010" s="81"/>
      <c r="E9010" s="62"/>
      <c r="F9010" s="60"/>
      <c r="G9010" s="62"/>
      <c r="H9010" s="60"/>
    </row>
    <row r="9011" spans="1:8">
      <c r="A9011" s="60"/>
      <c r="B9011" s="77"/>
      <c r="C9011" s="60"/>
      <c r="D9011" s="81"/>
      <c r="E9011" s="62"/>
      <c r="F9011" s="60"/>
      <c r="G9011" s="62"/>
      <c r="H9011" s="60"/>
    </row>
    <row r="9012" spans="1:8">
      <c r="A9012" s="60"/>
      <c r="B9012" s="77"/>
      <c r="C9012" s="60"/>
      <c r="D9012" s="81"/>
      <c r="E9012" s="62"/>
      <c r="F9012" s="60"/>
      <c r="G9012" s="62"/>
      <c r="H9012" s="60"/>
    </row>
    <row r="9013" spans="1:8">
      <c r="A9013" s="60"/>
      <c r="B9013" s="77"/>
      <c r="C9013" s="60"/>
      <c r="D9013" s="81"/>
      <c r="E9013" s="62"/>
      <c r="F9013" s="60"/>
      <c r="G9013" s="62"/>
      <c r="H9013" s="60"/>
    </row>
    <row r="9014" spans="1:8">
      <c r="A9014" s="60"/>
      <c r="B9014" s="77"/>
      <c r="C9014" s="60"/>
      <c r="D9014" s="81"/>
      <c r="E9014" s="62"/>
      <c r="F9014" s="60"/>
      <c r="G9014" s="62"/>
      <c r="H9014" s="60"/>
    </row>
    <row r="9015" spans="1:8">
      <c r="A9015" s="60"/>
      <c r="B9015" s="77"/>
      <c r="C9015" s="60"/>
      <c r="D9015" s="81"/>
      <c r="E9015" s="62"/>
      <c r="F9015" s="60"/>
      <c r="G9015" s="62"/>
      <c r="H9015" s="60"/>
    </row>
    <row r="9016" spans="1:8">
      <c r="A9016" s="60"/>
      <c r="B9016" s="77"/>
      <c r="C9016" s="60"/>
      <c r="D9016" s="81"/>
      <c r="E9016" s="62"/>
      <c r="F9016" s="60"/>
      <c r="G9016" s="62"/>
      <c r="H9016" s="60"/>
    </row>
    <row r="9017" spans="1:8">
      <c r="A9017" s="60"/>
      <c r="B9017" s="77"/>
      <c r="C9017" s="60"/>
      <c r="D9017" s="81"/>
      <c r="E9017" s="62"/>
      <c r="F9017" s="60"/>
      <c r="G9017" s="62"/>
      <c r="H9017" s="60"/>
    </row>
    <row r="9018" spans="1:8">
      <c r="A9018" s="60"/>
      <c r="B9018" s="77"/>
      <c r="C9018" s="60"/>
      <c r="D9018" s="81"/>
      <c r="E9018" s="62"/>
      <c r="F9018" s="60"/>
      <c r="G9018" s="62"/>
      <c r="H9018" s="60"/>
    </row>
    <row r="9019" spans="1:8">
      <c r="A9019" s="60"/>
      <c r="B9019" s="77"/>
      <c r="C9019" s="60"/>
      <c r="D9019" s="81"/>
      <c r="E9019" s="62"/>
      <c r="F9019" s="60"/>
      <c r="G9019" s="62"/>
      <c r="H9019" s="60"/>
    </row>
    <row r="9020" spans="1:8">
      <c r="A9020" s="60"/>
      <c r="B9020" s="77"/>
      <c r="C9020" s="60"/>
      <c r="D9020" s="81"/>
      <c r="E9020" s="62"/>
      <c r="F9020" s="60"/>
      <c r="G9020" s="62"/>
      <c r="H9020" s="60"/>
    </row>
    <row r="9021" spans="1:8">
      <c r="A9021" s="60"/>
      <c r="B9021" s="77"/>
      <c r="C9021" s="60"/>
      <c r="D9021" s="81"/>
      <c r="E9021" s="62"/>
      <c r="F9021" s="60"/>
      <c r="G9021" s="62"/>
      <c r="H9021" s="60"/>
    </row>
    <row r="9022" spans="1:8">
      <c r="A9022" s="60"/>
      <c r="B9022" s="77"/>
      <c r="C9022" s="60"/>
      <c r="D9022" s="81"/>
      <c r="E9022" s="62"/>
      <c r="F9022" s="60"/>
      <c r="G9022" s="62"/>
      <c r="H9022" s="60"/>
    </row>
    <row r="9023" spans="1:8">
      <c r="A9023" s="60"/>
      <c r="B9023" s="77"/>
      <c r="C9023" s="60"/>
      <c r="D9023" s="81"/>
      <c r="E9023" s="62"/>
      <c r="F9023" s="60"/>
      <c r="G9023" s="62"/>
      <c r="H9023" s="60"/>
    </row>
    <row r="9024" spans="1:8">
      <c r="A9024" s="60"/>
      <c r="B9024" s="77"/>
      <c r="C9024" s="60"/>
      <c r="D9024" s="81"/>
      <c r="E9024" s="62"/>
      <c r="F9024" s="60"/>
      <c r="G9024" s="62"/>
      <c r="H9024" s="60"/>
    </row>
    <row r="9025" spans="1:8">
      <c r="A9025" s="60"/>
      <c r="B9025" s="77"/>
      <c r="C9025" s="60"/>
      <c r="D9025" s="81"/>
      <c r="E9025" s="62"/>
      <c r="F9025" s="60"/>
      <c r="G9025" s="62"/>
      <c r="H9025" s="60"/>
    </row>
    <row r="9026" spans="1:8">
      <c r="A9026" s="60"/>
      <c r="B9026" s="77"/>
      <c r="C9026" s="60"/>
      <c r="D9026" s="81"/>
      <c r="E9026" s="62"/>
      <c r="F9026" s="60"/>
      <c r="G9026" s="62"/>
      <c r="H9026" s="60"/>
    </row>
    <row r="9027" spans="1:8">
      <c r="A9027" s="60"/>
      <c r="B9027" s="77"/>
      <c r="C9027" s="60"/>
      <c r="D9027" s="81"/>
      <c r="E9027" s="62"/>
      <c r="F9027" s="60"/>
      <c r="G9027" s="62"/>
      <c r="H9027" s="60"/>
    </row>
    <row r="9028" spans="1:8">
      <c r="A9028" s="60"/>
      <c r="B9028" s="77"/>
      <c r="C9028" s="60"/>
      <c r="D9028" s="81"/>
      <c r="E9028" s="62"/>
      <c r="F9028" s="60"/>
      <c r="G9028" s="62"/>
      <c r="H9028" s="60"/>
    </row>
    <row r="9029" spans="1:8">
      <c r="A9029" s="60"/>
      <c r="B9029" s="77"/>
      <c r="C9029" s="60"/>
      <c r="D9029" s="81"/>
      <c r="E9029" s="62"/>
      <c r="F9029" s="60"/>
      <c r="G9029" s="62"/>
      <c r="H9029" s="60"/>
    </row>
    <row r="9030" spans="1:8">
      <c r="A9030" s="60"/>
      <c r="B9030" s="77"/>
      <c r="C9030" s="60"/>
      <c r="D9030" s="81"/>
      <c r="E9030" s="62"/>
      <c r="F9030" s="60"/>
      <c r="G9030" s="62"/>
      <c r="H9030" s="60"/>
    </row>
    <row r="9031" spans="1:8">
      <c r="A9031" s="60"/>
      <c r="B9031" s="77"/>
      <c r="C9031" s="60"/>
      <c r="D9031" s="81"/>
      <c r="E9031" s="62"/>
      <c r="F9031" s="60"/>
      <c r="G9031" s="62"/>
      <c r="H9031" s="60"/>
    </row>
    <row r="9032" spans="1:8">
      <c r="A9032" s="60"/>
      <c r="B9032" s="77"/>
      <c r="C9032" s="60"/>
      <c r="D9032" s="81"/>
      <c r="E9032" s="62"/>
      <c r="F9032" s="60"/>
      <c r="G9032" s="62"/>
      <c r="H9032" s="60"/>
    </row>
    <row r="9033" spans="1:8">
      <c r="A9033" s="60"/>
      <c r="B9033" s="77"/>
      <c r="C9033" s="60"/>
      <c r="D9033" s="81"/>
      <c r="E9033" s="62"/>
      <c r="F9033" s="60"/>
      <c r="G9033" s="62"/>
      <c r="H9033" s="60"/>
    </row>
    <row r="9034" spans="1:8">
      <c r="A9034" s="60"/>
      <c r="B9034" s="77"/>
      <c r="C9034" s="60"/>
      <c r="D9034" s="81"/>
      <c r="E9034" s="62"/>
      <c r="F9034" s="60"/>
      <c r="G9034" s="62"/>
      <c r="H9034" s="60"/>
    </row>
    <row r="9035" spans="1:8">
      <c r="A9035" s="60"/>
      <c r="B9035" s="77"/>
      <c r="C9035" s="60"/>
      <c r="D9035" s="81"/>
      <c r="E9035" s="62"/>
      <c r="F9035" s="60"/>
      <c r="G9035" s="62"/>
      <c r="H9035" s="60"/>
    </row>
    <row r="9036" spans="1:8">
      <c r="A9036" s="60"/>
      <c r="B9036" s="77"/>
      <c r="C9036" s="60"/>
      <c r="D9036" s="81"/>
      <c r="E9036" s="62"/>
      <c r="F9036" s="60"/>
      <c r="G9036" s="62"/>
      <c r="H9036" s="60"/>
    </row>
    <row r="9037" spans="1:8">
      <c r="A9037" s="60"/>
      <c r="B9037" s="77"/>
      <c r="C9037" s="60"/>
      <c r="D9037" s="81"/>
      <c r="E9037" s="62"/>
      <c r="F9037" s="60"/>
      <c r="G9037" s="62"/>
      <c r="H9037" s="60"/>
    </row>
    <row r="9038" spans="1:8">
      <c r="A9038" s="60"/>
      <c r="B9038" s="77"/>
      <c r="C9038" s="60"/>
      <c r="D9038" s="81"/>
      <c r="E9038" s="62"/>
      <c r="F9038" s="60"/>
      <c r="G9038" s="62"/>
      <c r="H9038" s="60"/>
    </row>
    <row r="9039" spans="1:8">
      <c r="A9039" s="60"/>
      <c r="B9039" s="77"/>
      <c r="C9039" s="60"/>
      <c r="D9039" s="81"/>
      <c r="E9039" s="62"/>
      <c r="F9039" s="60"/>
      <c r="G9039" s="62"/>
      <c r="H9039" s="60"/>
    </row>
    <row r="9040" spans="1:8">
      <c r="A9040" s="60"/>
      <c r="B9040" s="77"/>
      <c r="C9040" s="60"/>
      <c r="D9040" s="81"/>
      <c r="E9040" s="62"/>
      <c r="F9040" s="60"/>
      <c r="G9040" s="62"/>
      <c r="H9040" s="60"/>
    </row>
    <row r="9041" spans="1:8">
      <c r="A9041" s="60"/>
      <c r="B9041" s="77"/>
      <c r="C9041" s="60"/>
      <c r="D9041" s="81"/>
      <c r="E9041" s="62"/>
      <c r="F9041" s="60"/>
      <c r="G9041" s="62"/>
      <c r="H9041" s="60"/>
    </row>
    <row r="9042" spans="1:8">
      <c r="A9042" s="60"/>
      <c r="B9042" s="77"/>
      <c r="C9042" s="60"/>
      <c r="D9042" s="81"/>
      <c r="E9042" s="62"/>
      <c r="F9042" s="60"/>
      <c r="G9042" s="62"/>
      <c r="H9042" s="60"/>
    </row>
    <row r="9043" spans="1:8">
      <c r="A9043" s="60"/>
      <c r="B9043" s="77"/>
      <c r="C9043" s="60"/>
      <c r="D9043" s="81"/>
      <c r="E9043" s="62"/>
      <c r="F9043" s="60"/>
      <c r="G9043" s="62"/>
      <c r="H9043" s="60"/>
    </row>
    <row r="9044" spans="1:8">
      <c r="A9044" s="60"/>
      <c r="B9044" s="77"/>
      <c r="C9044" s="60"/>
      <c r="D9044" s="81"/>
      <c r="E9044" s="62"/>
      <c r="F9044" s="60"/>
      <c r="G9044" s="62"/>
      <c r="H9044" s="60"/>
    </row>
    <row r="9045" spans="1:8">
      <c r="A9045" s="60"/>
      <c r="B9045" s="77"/>
      <c r="C9045" s="60"/>
      <c r="D9045" s="81"/>
      <c r="E9045" s="62"/>
      <c r="F9045" s="60"/>
      <c r="G9045" s="62"/>
      <c r="H9045" s="60"/>
    </row>
    <row r="9046" spans="1:8">
      <c r="A9046" s="60"/>
      <c r="B9046" s="77"/>
      <c r="C9046" s="60"/>
      <c r="D9046" s="81"/>
      <c r="E9046" s="62"/>
      <c r="F9046" s="60"/>
      <c r="G9046" s="62"/>
      <c r="H9046" s="60"/>
    </row>
    <row r="9047" spans="1:8">
      <c r="A9047" s="60"/>
      <c r="B9047" s="77"/>
      <c r="C9047" s="60"/>
      <c r="D9047" s="81"/>
      <c r="E9047" s="62"/>
      <c r="F9047" s="60"/>
      <c r="G9047" s="62"/>
      <c r="H9047" s="60"/>
    </row>
    <row r="9048" spans="1:8">
      <c r="A9048" s="60"/>
      <c r="B9048" s="77"/>
      <c r="C9048" s="60"/>
      <c r="D9048" s="81"/>
      <c r="E9048" s="62"/>
      <c r="F9048" s="60"/>
      <c r="G9048" s="62"/>
      <c r="H9048" s="60"/>
    </row>
    <row r="9049" spans="1:8">
      <c r="A9049" s="60"/>
      <c r="B9049" s="77"/>
      <c r="C9049" s="60"/>
      <c r="D9049" s="81"/>
      <c r="E9049" s="62"/>
      <c r="F9049" s="60"/>
      <c r="G9049" s="62"/>
      <c r="H9049" s="60"/>
    </row>
    <row r="9050" spans="1:8">
      <c r="A9050" s="60"/>
      <c r="B9050" s="77"/>
      <c r="C9050" s="60"/>
      <c r="D9050" s="81"/>
      <c r="E9050" s="62"/>
      <c r="F9050" s="60"/>
      <c r="G9050" s="62"/>
      <c r="H9050" s="60"/>
    </row>
    <row r="9051" spans="1:8">
      <c r="A9051" s="60"/>
      <c r="B9051" s="77"/>
      <c r="C9051" s="60"/>
      <c r="D9051" s="81"/>
      <c r="E9051" s="62"/>
      <c r="F9051" s="60"/>
      <c r="G9051" s="62"/>
      <c r="H9051" s="60"/>
    </row>
    <row r="9052" spans="1:8">
      <c r="A9052" s="60"/>
      <c r="B9052" s="77"/>
      <c r="C9052" s="60"/>
      <c r="D9052" s="81"/>
      <c r="E9052" s="62"/>
      <c r="F9052" s="60"/>
      <c r="G9052" s="62"/>
      <c r="H9052" s="60"/>
    </row>
    <row r="9053" spans="1:8">
      <c r="A9053" s="60"/>
      <c r="B9053" s="77"/>
      <c r="C9053" s="60"/>
      <c r="D9053" s="81"/>
      <c r="E9053" s="62"/>
      <c r="F9053" s="60"/>
      <c r="G9053" s="62"/>
      <c r="H9053" s="60"/>
    </row>
    <row r="9054" spans="1:8">
      <c r="A9054" s="60"/>
      <c r="B9054" s="77"/>
      <c r="C9054" s="60"/>
      <c r="D9054" s="81"/>
      <c r="E9054" s="62"/>
      <c r="F9054" s="60"/>
      <c r="G9054" s="62"/>
      <c r="H9054" s="60"/>
    </row>
    <row r="9055" spans="1:8">
      <c r="A9055" s="60"/>
      <c r="B9055" s="77"/>
      <c r="C9055" s="60"/>
      <c r="D9055" s="81"/>
      <c r="E9055" s="62"/>
      <c r="F9055" s="60"/>
      <c r="G9055" s="62"/>
      <c r="H9055" s="60"/>
    </row>
    <row r="9056" spans="1:8">
      <c r="A9056" s="60"/>
      <c r="B9056" s="77"/>
      <c r="C9056" s="60"/>
      <c r="D9056" s="81"/>
      <c r="E9056" s="62"/>
      <c r="F9056" s="60"/>
      <c r="G9056" s="62"/>
      <c r="H9056" s="60"/>
    </row>
    <row r="9057" spans="1:8">
      <c r="A9057" s="60"/>
      <c r="B9057" s="77"/>
      <c r="C9057" s="60"/>
      <c r="D9057" s="81"/>
      <c r="E9057" s="62"/>
      <c r="F9057" s="60"/>
      <c r="G9057" s="62"/>
      <c r="H9057" s="60"/>
    </row>
    <row r="9058" spans="1:8">
      <c r="A9058" s="60"/>
      <c r="B9058" s="77"/>
      <c r="C9058" s="60"/>
      <c r="D9058" s="81"/>
      <c r="E9058" s="62"/>
      <c r="F9058" s="60"/>
      <c r="G9058" s="62"/>
      <c r="H9058" s="60"/>
    </row>
    <row r="9059" spans="1:8">
      <c r="A9059" s="60"/>
      <c r="B9059" s="77"/>
      <c r="C9059" s="60"/>
      <c r="D9059" s="81"/>
      <c r="E9059" s="62"/>
      <c r="F9059" s="60"/>
      <c r="G9059" s="62"/>
      <c r="H9059" s="60"/>
    </row>
    <row r="9060" spans="1:8">
      <c r="A9060" s="60"/>
      <c r="B9060" s="77"/>
      <c r="C9060" s="60"/>
      <c r="D9060" s="81"/>
      <c r="E9060" s="62"/>
      <c r="F9060" s="60"/>
      <c r="G9060" s="62"/>
      <c r="H9060" s="60"/>
    </row>
    <row r="9061" spans="1:8">
      <c r="A9061" s="60"/>
      <c r="B9061" s="77"/>
      <c r="C9061" s="60"/>
      <c r="D9061" s="81"/>
      <c r="E9061" s="62"/>
      <c r="F9061" s="60"/>
      <c r="G9061" s="62"/>
      <c r="H9061" s="60"/>
    </row>
    <row r="9062" spans="1:8">
      <c r="A9062" s="60"/>
      <c r="B9062" s="77"/>
      <c r="C9062" s="60"/>
      <c r="D9062" s="81"/>
      <c r="E9062" s="62"/>
      <c r="F9062" s="60"/>
      <c r="G9062" s="62"/>
      <c r="H9062" s="60"/>
    </row>
    <row r="9063" spans="1:8">
      <c r="A9063" s="60"/>
      <c r="B9063" s="77"/>
      <c r="C9063" s="60"/>
      <c r="D9063" s="81"/>
      <c r="E9063" s="62"/>
      <c r="F9063" s="60"/>
      <c r="G9063" s="62"/>
      <c r="H9063" s="60"/>
    </row>
    <row r="9064" spans="1:8">
      <c r="A9064" s="60"/>
      <c r="B9064" s="77"/>
      <c r="C9064" s="60"/>
      <c r="D9064" s="81"/>
      <c r="E9064" s="62"/>
      <c r="F9064" s="60"/>
      <c r="G9064" s="62"/>
      <c r="H9064" s="60"/>
    </row>
    <row r="9065" spans="1:8">
      <c r="A9065" s="60"/>
      <c r="B9065" s="77"/>
      <c r="C9065" s="60"/>
      <c r="D9065" s="81"/>
      <c r="E9065" s="62"/>
      <c r="F9065" s="60"/>
      <c r="G9065" s="62"/>
      <c r="H9065" s="60"/>
    </row>
    <row r="9066" spans="1:8">
      <c r="A9066" s="60"/>
      <c r="B9066" s="77"/>
      <c r="C9066" s="60"/>
      <c r="D9066" s="81"/>
      <c r="E9066" s="62"/>
      <c r="F9066" s="60"/>
      <c r="G9066" s="62"/>
      <c r="H9066" s="60"/>
    </row>
    <row r="9067" spans="1:8">
      <c r="A9067" s="60"/>
      <c r="B9067" s="77"/>
      <c r="C9067" s="60"/>
      <c r="D9067" s="81"/>
      <c r="E9067" s="62"/>
      <c r="F9067" s="60"/>
      <c r="G9067" s="62"/>
      <c r="H9067" s="60"/>
    </row>
    <row r="9068" spans="1:8">
      <c r="A9068" s="60"/>
      <c r="B9068" s="77"/>
      <c r="C9068" s="60"/>
      <c r="D9068" s="81"/>
      <c r="E9068" s="62"/>
      <c r="F9068" s="60"/>
      <c r="G9068" s="62"/>
      <c r="H9068" s="60"/>
    </row>
    <row r="9069" spans="1:8">
      <c r="A9069" s="60"/>
      <c r="B9069" s="77"/>
      <c r="C9069" s="60"/>
      <c r="D9069" s="81"/>
      <c r="E9069" s="62"/>
      <c r="F9069" s="60"/>
      <c r="G9069" s="62"/>
      <c r="H9069" s="60"/>
    </row>
    <row r="9070" spans="1:8">
      <c r="A9070" s="60"/>
      <c r="B9070" s="77"/>
      <c r="C9070" s="60"/>
      <c r="D9070" s="81"/>
      <c r="E9070" s="62"/>
      <c r="F9070" s="60"/>
      <c r="G9070" s="62"/>
      <c r="H9070" s="60"/>
    </row>
    <row r="9071" spans="1:8">
      <c r="A9071" s="60"/>
      <c r="B9071" s="77"/>
      <c r="C9071" s="60"/>
      <c r="D9071" s="81"/>
      <c r="E9071" s="62"/>
      <c r="F9071" s="60"/>
      <c r="G9071" s="62"/>
      <c r="H9071" s="60"/>
    </row>
    <row r="9072" spans="1:8">
      <c r="A9072" s="60"/>
      <c r="B9072" s="77"/>
      <c r="C9072" s="60"/>
      <c r="D9072" s="81"/>
      <c r="E9072" s="62"/>
      <c r="F9072" s="60"/>
      <c r="G9072" s="62"/>
      <c r="H9072" s="60"/>
    </row>
    <row r="9073" spans="1:8">
      <c r="A9073" s="60"/>
      <c r="B9073" s="77"/>
      <c r="C9073" s="60"/>
      <c r="D9073" s="81"/>
      <c r="E9073" s="62"/>
      <c r="F9073" s="60"/>
      <c r="G9073" s="62"/>
      <c r="H9073" s="60"/>
    </row>
    <row r="9074" spans="1:8">
      <c r="A9074" s="60"/>
      <c r="B9074" s="77"/>
      <c r="C9074" s="60"/>
      <c r="D9074" s="81"/>
      <c r="E9074" s="62"/>
      <c r="F9074" s="60"/>
      <c r="G9074" s="62"/>
      <c r="H9074" s="60"/>
    </row>
    <row r="9075" spans="1:8">
      <c r="A9075" s="60"/>
      <c r="B9075" s="77"/>
      <c r="C9075" s="60"/>
      <c r="D9075" s="81"/>
      <c r="E9075" s="62"/>
      <c r="F9075" s="60"/>
      <c r="G9075" s="62"/>
      <c r="H9075" s="60"/>
    </row>
    <row r="9076" spans="1:8">
      <c r="A9076" s="60"/>
      <c r="B9076" s="77"/>
      <c r="C9076" s="60"/>
      <c r="D9076" s="81"/>
      <c r="E9076" s="62"/>
      <c r="F9076" s="60"/>
      <c r="G9076" s="62"/>
      <c r="H9076" s="60"/>
    </row>
    <row r="9077" spans="1:8">
      <c r="A9077" s="60"/>
      <c r="B9077" s="77"/>
      <c r="C9077" s="60"/>
      <c r="D9077" s="81"/>
      <c r="E9077" s="62"/>
      <c r="F9077" s="60"/>
      <c r="G9077" s="62"/>
      <c r="H9077" s="60"/>
    </row>
    <row r="9078" spans="1:8">
      <c r="A9078" s="60"/>
      <c r="B9078" s="77"/>
      <c r="C9078" s="60"/>
      <c r="D9078" s="81"/>
      <c r="E9078" s="62"/>
      <c r="F9078" s="60"/>
      <c r="G9078" s="62"/>
      <c r="H9078" s="60"/>
    </row>
    <row r="9079" spans="1:8">
      <c r="A9079" s="60"/>
      <c r="B9079" s="77"/>
      <c r="C9079" s="60"/>
      <c r="D9079" s="81"/>
      <c r="E9079" s="62"/>
      <c r="F9079" s="60"/>
      <c r="G9079" s="62"/>
      <c r="H9079" s="60"/>
    </row>
    <row r="9080" spans="1:8">
      <c r="A9080" s="60"/>
      <c r="B9080" s="77"/>
      <c r="C9080" s="60"/>
      <c r="D9080" s="81"/>
      <c r="E9080" s="62"/>
      <c r="F9080" s="60"/>
      <c r="G9080" s="62"/>
      <c r="H9080" s="60"/>
    </row>
    <row r="9081" spans="1:8">
      <c r="A9081" s="60"/>
      <c r="B9081" s="77"/>
      <c r="C9081" s="60"/>
      <c r="D9081" s="81"/>
      <c r="E9081" s="62"/>
      <c r="F9081" s="60"/>
      <c r="G9081" s="62"/>
      <c r="H9081" s="60"/>
    </row>
    <row r="9082" spans="1:8">
      <c r="A9082" s="60"/>
      <c r="B9082" s="77"/>
      <c r="C9082" s="60"/>
      <c r="D9082" s="81"/>
      <c r="E9082" s="62"/>
      <c r="F9082" s="60"/>
      <c r="G9082" s="62"/>
      <c r="H9082" s="60"/>
    </row>
    <row r="9083" spans="1:8">
      <c r="A9083" s="60"/>
      <c r="B9083" s="77"/>
      <c r="C9083" s="60"/>
      <c r="D9083" s="81"/>
      <c r="E9083" s="62"/>
      <c r="F9083" s="60"/>
      <c r="G9083" s="62"/>
      <c r="H9083" s="60"/>
    </row>
    <row r="9084" spans="1:8">
      <c r="A9084" s="60"/>
      <c r="B9084" s="77"/>
      <c r="C9084" s="60"/>
      <c r="D9084" s="81"/>
      <c r="E9084" s="62"/>
      <c r="F9084" s="60"/>
      <c r="G9084" s="62"/>
      <c r="H9084" s="60"/>
    </row>
    <row r="9085" spans="1:8">
      <c r="A9085" s="60"/>
      <c r="B9085" s="77"/>
      <c r="C9085" s="60"/>
      <c r="D9085" s="81"/>
      <c r="E9085" s="62"/>
      <c r="F9085" s="60"/>
      <c r="G9085" s="62"/>
      <c r="H9085" s="60"/>
    </row>
    <row r="9086" spans="1:8">
      <c r="A9086" s="60"/>
      <c r="B9086" s="77"/>
      <c r="C9086" s="60"/>
      <c r="D9086" s="81"/>
      <c r="E9086" s="62"/>
      <c r="F9086" s="60"/>
      <c r="G9086" s="62"/>
      <c r="H9086" s="60"/>
    </row>
    <row r="9087" spans="1:8">
      <c r="A9087" s="60"/>
      <c r="B9087" s="77"/>
      <c r="C9087" s="60"/>
      <c r="D9087" s="81"/>
      <c r="E9087" s="62"/>
      <c r="F9087" s="60"/>
      <c r="G9087" s="62"/>
      <c r="H9087" s="60"/>
    </row>
    <row r="9088" spans="1:8">
      <c r="A9088" s="60"/>
      <c r="B9088" s="77"/>
      <c r="C9088" s="60"/>
      <c r="D9088" s="81"/>
      <c r="E9088" s="62"/>
      <c r="F9088" s="60"/>
      <c r="G9088" s="62"/>
      <c r="H9088" s="60"/>
    </row>
    <row r="9089" spans="1:8">
      <c r="A9089" s="60"/>
      <c r="B9089" s="77"/>
      <c r="C9089" s="60"/>
      <c r="D9089" s="81"/>
      <c r="E9089" s="62"/>
      <c r="F9089" s="60"/>
      <c r="G9089" s="62"/>
      <c r="H9089" s="60"/>
    </row>
    <row r="9090" spans="1:8">
      <c r="A9090" s="60"/>
      <c r="B9090" s="77"/>
      <c r="C9090" s="60"/>
      <c r="D9090" s="81"/>
      <c r="E9090" s="62"/>
      <c r="F9090" s="60"/>
      <c r="G9090" s="62"/>
      <c r="H9090" s="60"/>
    </row>
    <row r="9091" spans="1:8">
      <c r="A9091" s="60"/>
      <c r="B9091" s="77"/>
      <c r="C9091" s="60"/>
      <c r="D9091" s="81"/>
      <c r="E9091" s="62"/>
      <c r="F9091" s="60"/>
      <c r="G9091" s="62"/>
      <c r="H9091" s="60"/>
    </row>
    <row r="9092" spans="1:8">
      <c r="A9092" s="60"/>
      <c r="B9092" s="77"/>
      <c r="C9092" s="60"/>
      <c r="D9092" s="81"/>
      <c r="E9092" s="62"/>
      <c r="F9092" s="60"/>
      <c r="G9092" s="62"/>
      <c r="H9092" s="60"/>
    </row>
    <row r="9093" spans="1:8">
      <c r="A9093" s="60"/>
      <c r="B9093" s="77"/>
      <c r="C9093" s="60"/>
      <c r="D9093" s="81"/>
      <c r="E9093" s="62"/>
      <c r="F9093" s="60"/>
      <c r="G9093" s="62"/>
      <c r="H9093" s="60"/>
    </row>
    <row r="9094" spans="1:8">
      <c r="A9094" s="60"/>
      <c r="B9094" s="77"/>
      <c r="C9094" s="60"/>
      <c r="D9094" s="81"/>
      <c r="E9094" s="62"/>
      <c r="F9094" s="60"/>
      <c r="G9094" s="62"/>
      <c r="H9094" s="60"/>
    </row>
    <row r="9095" spans="1:8">
      <c r="A9095" s="60"/>
      <c r="B9095" s="77"/>
      <c r="C9095" s="60"/>
      <c r="D9095" s="81"/>
      <c r="E9095" s="62"/>
      <c r="F9095" s="60"/>
      <c r="G9095" s="62"/>
      <c r="H9095" s="60"/>
    </row>
    <row r="9096" spans="1:8">
      <c r="A9096" s="60"/>
      <c r="B9096" s="77"/>
      <c r="C9096" s="60"/>
      <c r="D9096" s="81"/>
      <c r="E9096" s="62"/>
      <c r="F9096" s="60"/>
      <c r="G9096" s="62"/>
      <c r="H9096" s="60"/>
    </row>
    <row r="9097" spans="1:8">
      <c r="A9097" s="60"/>
      <c r="B9097" s="77"/>
      <c r="C9097" s="60"/>
      <c r="D9097" s="81"/>
      <c r="E9097" s="62"/>
      <c r="F9097" s="60"/>
      <c r="G9097" s="62"/>
      <c r="H9097" s="60"/>
    </row>
    <row r="9098" spans="1:8">
      <c r="A9098" s="60"/>
      <c r="B9098" s="77"/>
      <c r="C9098" s="60"/>
      <c r="D9098" s="81"/>
      <c r="E9098" s="62"/>
      <c r="F9098" s="60"/>
      <c r="G9098" s="62"/>
      <c r="H9098" s="60"/>
    </row>
    <row r="9099" spans="1:8">
      <c r="A9099" s="60"/>
      <c r="B9099" s="77"/>
      <c r="C9099" s="60"/>
      <c r="D9099" s="81"/>
      <c r="E9099" s="62"/>
      <c r="F9099" s="60"/>
      <c r="G9099" s="62"/>
      <c r="H9099" s="60"/>
    </row>
    <row r="9100" spans="1:8">
      <c r="A9100" s="60"/>
      <c r="B9100" s="77"/>
      <c r="C9100" s="60"/>
      <c r="D9100" s="81"/>
      <c r="E9100" s="62"/>
      <c r="F9100" s="60"/>
      <c r="G9100" s="62"/>
      <c r="H9100" s="60"/>
    </row>
    <row r="9101" spans="1:8">
      <c r="A9101" s="60"/>
      <c r="B9101" s="77"/>
      <c r="C9101" s="60"/>
      <c r="D9101" s="81"/>
      <c r="E9101" s="62"/>
      <c r="F9101" s="60"/>
      <c r="G9101" s="62"/>
      <c r="H9101" s="60"/>
    </row>
    <row r="9102" spans="1:8">
      <c r="A9102" s="60"/>
      <c r="B9102" s="77"/>
      <c r="C9102" s="60"/>
      <c r="D9102" s="81"/>
      <c r="E9102" s="62"/>
      <c r="F9102" s="60"/>
      <c r="G9102" s="62"/>
      <c r="H9102" s="60"/>
    </row>
    <row r="9103" spans="1:8">
      <c r="A9103" s="60"/>
      <c r="B9103" s="77"/>
      <c r="C9103" s="60"/>
      <c r="D9103" s="81"/>
      <c r="E9103" s="62"/>
      <c r="F9103" s="60"/>
      <c r="G9103" s="62"/>
      <c r="H9103" s="60"/>
    </row>
    <row r="9104" spans="1:8">
      <c r="A9104" s="60"/>
      <c r="B9104" s="77"/>
      <c r="C9104" s="60"/>
      <c r="D9104" s="81"/>
      <c r="E9104" s="62"/>
      <c r="F9104" s="60"/>
      <c r="G9104" s="62"/>
      <c r="H9104" s="60"/>
    </row>
    <row r="9105" spans="1:8">
      <c r="A9105" s="60"/>
      <c r="B9105" s="77"/>
      <c r="C9105" s="60"/>
      <c r="D9105" s="81"/>
      <c r="E9105" s="62"/>
      <c r="F9105" s="60"/>
      <c r="G9105" s="62"/>
      <c r="H9105" s="60"/>
    </row>
    <row r="9106" spans="1:8">
      <c r="A9106" s="60"/>
      <c r="B9106" s="77"/>
      <c r="C9106" s="60"/>
      <c r="D9106" s="81"/>
      <c r="E9106" s="62"/>
      <c r="F9106" s="60"/>
      <c r="G9106" s="62"/>
      <c r="H9106" s="60"/>
    </row>
    <row r="9107" spans="1:8">
      <c r="A9107" s="60"/>
      <c r="B9107" s="77"/>
      <c r="C9107" s="60"/>
      <c r="D9107" s="81"/>
      <c r="E9107" s="62"/>
      <c r="F9107" s="60"/>
      <c r="G9107" s="62"/>
      <c r="H9107" s="60"/>
    </row>
    <row r="9108" spans="1:8">
      <c r="A9108" s="60"/>
      <c r="B9108" s="77"/>
      <c r="C9108" s="60"/>
      <c r="D9108" s="81"/>
      <c r="E9108" s="62"/>
      <c r="F9108" s="60"/>
      <c r="G9108" s="62"/>
      <c r="H9108" s="60"/>
    </row>
    <row r="9109" spans="1:8">
      <c r="A9109" s="60"/>
      <c r="B9109" s="77"/>
      <c r="C9109" s="60"/>
      <c r="D9109" s="81"/>
      <c r="E9109" s="62"/>
      <c r="F9109" s="60"/>
      <c r="G9109" s="62"/>
      <c r="H9109" s="60"/>
    </row>
    <row r="9110" spans="1:8">
      <c r="A9110" s="60"/>
      <c r="B9110" s="77"/>
      <c r="C9110" s="60"/>
      <c r="D9110" s="81"/>
      <c r="E9110" s="62"/>
      <c r="F9110" s="60"/>
      <c r="G9110" s="62"/>
      <c r="H9110" s="60"/>
    </row>
    <row r="9111" spans="1:8">
      <c r="A9111" s="60"/>
      <c r="B9111" s="77"/>
      <c r="C9111" s="60"/>
      <c r="D9111" s="81"/>
      <c r="E9111" s="62"/>
      <c r="F9111" s="60"/>
      <c r="G9111" s="62"/>
      <c r="H9111" s="60"/>
    </row>
    <row r="9112" spans="1:8">
      <c r="A9112" s="60"/>
      <c r="B9112" s="77"/>
      <c r="C9112" s="60"/>
      <c r="D9112" s="81"/>
      <c r="E9112" s="62"/>
      <c r="F9112" s="60"/>
      <c r="G9112" s="62"/>
      <c r="H9112" s="60"/>
    </row>
    <row r="9113" spans="1:8">
      <c r="A9113" s="60"/>
      <c r="B9113" s="77"/>
      <c r="C9113" s="60"/>
      <c r="D9113" s="81"/>
      <c r="E9113" s="62"/>
      <c r="F9113" s="60"/>
      <c r="G9113" s="62"/>
      <c r="H9113" s="60"/>
    </row>
    <row r="9114" spans="1:8">
      <c r="A9114" s="60"/>
      <c r="B9114" s="77"/>
      <c r="C9114" s="60"/>
      <c r="D9114" s="81"/>
      <c r="E9114" s="62"/>
      <c r="F9114" s="60"/>
      <c r="G9114" s="62"/>
      <c r="H9114" s="60"/>
    </row>
    <row r="9115" spans="1:8">
      <c r="A9115" s="60"/>
      <c r="B9115" s="77"/>
      <c r="C9115" s="60"/>
      <c r="D9115" s="81"/>
      <c r="E9115" s="62"/>
      <c r="F9115" s="60"/>
      <c r="G9115" s="62"/>
      <c r="H9115" s="60"/>
    </row>
    <row r="9116" spans="1:8">
      <c r="A9116" s="60"/>
      <c r="B9116" s="77"/>
      <c r="C9116" s="60"/>
      <c r="D9116" s="81"/>
      <c r="E9116" s="62"/>
      <c r="F9116" s="60"/>
      <c r="G9116" s="62"/>
      <c r="H9116" s="60"/>
    </row>
    <row r="9117" spans="1:8">
      <c r="A9117" s="60"/>
      <c r="B9117" s="77"/>
      <c r="C9117" s="60"/>
      <c r="D9117" s="81"/>
      <c r="E9117" s="62"/>
      <c r="F9117" s="60"/>
      <c r="G9117" s="62"/>
      <c r="H9117" s="60"/>
    </row>
    <row r="9118" spans="1:8">
      <c r="A9118" s="60"/>
      <c r="B9118" s="77"/>
      <c r="C9118" s="60"/>
      <c r="D9118" s="81"/>
      <c r="E9118" s="62"/>
      <c r="F9118" s="60"/>
      <c r="G9118" s="62"/>
      <c r="H9118" s="60"/>
    </row>
    <row r="9119" spans="1:8">
      <c r="A9119" s="60"/>
      <c r="B9119" s="77"/>
      <c r="C9119" s="60"/>
      <c r="D9119" s="81"/>
      <c r="E9119" s="62"/>
      <c r="F9119" s="60"/>
      <c r="G9119" s="62"/>
      <c r="H9119" s="60"/>
    </row>
    <row r="9120" spans="1:8">
      <c r="A9120" s="60"/>
      <c r="B9120" s="77"/>
      <c r="C9120" s="60"/>
      <c r="D9120" s="81"/>
      <c r="E9120" s="62"/>
      <c r="F9120" s="60"/>
      <c r="G9120" s="62"/>
      <c r="H9120" s="60"/>
    </row>
    <row r="9121" spans="1:8">
      <c r="A9121" s="60"/>
      <c r="B9121" s="77"/>
      <c r="C9121" s="60"/>
      <c r="D9121" s="81"/>
      <c r="E9121" s="62"/>
      <c r="F9121" s="60"/>
      <c r="G9121" s="62"/>
      <c r="H9121" s="60"/>
    </row>
    <row r="9122" spans="1:8">
      <c r="A9122" s="60"/>
      <c r="B9122" s="77"/>
      <c r="C9122" s="60"/>
      <c r="D9122" s="81"/>
      <c r="E9122" s="62"/>
      <c r="F9122" s="60"/>
      <c r="G9122" s="62"/>
      <c r="H9122" s="60"/>
    </row>
    <row r="9123" spans="1:8">
      <c r="A9123" s="60"/>
      <c r="B9123" s="77"/>
      <c r="C9123" s="60"/>
      <c r="D9123" s="81"/>
      <c r="E9123" s="62"/>
      <c r="F9123" s="60"/>
      <c r="G9123" s="62"/>
      <c r="H9123" s="60"/>
    </row>
    <row r="9124" spans="1:8">
      <c r="A9124" s="60"/>
      <c r="B9124" s="77"/>
      <c r="C9124" s="60"/>
      <c r="D9124" s="81"/>
      <c r="E9124" s="62"/>
      <c r="F9124" s="60"/>
      <c r="G9124" s="62"/>
      <c r="H9124" s="60"/>
    </row>
    <row r="9125" spans="1:8">
      <c r="A9125" s="60"/>
      <c r="B9125" s="77"/>
      <c r="C9125" s="60"/>
      <c r="D9125" s="81"/>
      <c r="E9125" s="62"/>
      <c r="F9125" s="60"/>
      <c r="G9125" s="62"/>
      <c r="H9125" s="60"/>
    </row>
    <row r="9126" spans="1:8">
      <c r="A9126" s="60"/>
      <c r="B9126" s="77"/>
      <c r="C9126" s="60"/>
      <c r="D9126" s="81"/>
      <c r="E9126" s="62"/>
      <c r="F9126" s="60"/>
      <c r="G9126" s="62"/>
      <c r="H9126" s="60"/>
    </row>
    <row r="9127" spans="1:8">
      <c r="A9127" s="60"/>
      <c r="B9127" s="77"/>
      <c r="C9127" s="60"/>
      <c r="D9127" s="81"/>
      <c r="E9127" s="62"/>
      <c r="F9127" s="60"/>
      <c r="G9127" s="62"/>
      <c r="H9127" s="60"/>
    </row>
    <row r="9128" spans="1:8">
      <c r="A9128" s="60"/>
      <c r="B9128" s="77"/>
      <c r="C9128" s="60"/>
      <c r="D9128" s="81"/>
      <c r="E9128" s="62"/>
      <c r="F9128" s="60"/>
      <c r="G9128" s="62"/>
      <c r="H9128" s="60"/>
    </row>
    <row r="9129" spans="1:8">
      <c r="A9129" s="60"/>
      <c r="B9129" s="77"/>
      <c r="C9129" s="60"/>
      <c r="D9129" s="81"/>
      <c r="E9129" s="62"/>
      <c r="F9129" s="60"/>
      <c r="G9129" s="62"/>
      <c r="H9129" s="60"/>
    </row>
    <row r="9130" spans="1:8">
      <c r="A9130" s="60"/>
      <c r="B9130" s="77"/>
      <c r="C9130" s="60"/>
      <c r="D9130" s="81"/>
      <c r="E9130" s="62"/>
      <c r="F9130" s="60"/>
      <c r="G9130" s="62"/>
      <c r="H9130" s="60"/>
    </row>
    <row r="9131" spans="1:8">
      <c r="A9131" s="60"/>
      <c r="B9131" s="77"/>
      <c r="C9131" s="60"/>
      <c r="D9131" s="81"/>
      <c r="E9131" s="62"/>
      <c r="F9131" s="60"/>
      <c r="G9131" s="62"/>
      <c r="H9131" s="60"/>
    </row>
    <row r="9132" spans="1:8">
      <c r="A9132" s="60"/>
      <c r="B9132" s="77"/>
      <c r="C9132" s="60"/>
      <c r="D9132" s="81"/>
      <c r="E9132" s="62"/>
      <c r="F9132" s="60"/>
      <c r="G9132" s="62"/>
      <c r="H9132" s="60"/>
    </row>
    <row r="9133" spans="1:8">
      <c r="A9133" s="60"/>
      <c r="B9133" s="77"/>
      <c r="C9133" s="60"/>
      <c r="D9133" s="81"/>
      <c r="E9133" s="62"/>
      <c r="F9133" s="60"/>
      <c r="G9133" s="62"/>
      <c r="H9133" s="60"/>
    </row>
    <row r="9134" spans="1:8">
      <c r="A9134" s="60"/>
      <c r="B9134" s="77"/>
      <c r="C9134" s="60"/>
      <c r="D9134" s="81"/>
      <c r="E9134" s="62"/>
      <c r="F9134" s="60"/>
      <c r="G9134" s="62"/>
      <c r="H9134" s="60"/>
    </row>
    <row r="9135" spans="1:8">
      <c r="A9135" s="60"/>
      <c r="B9135" s="77"/>
      <c r="C9135" s="60"/>
      <c r="D9135" s="81"/>
      <c r="E9135" s="62"/>
      <c r="F9135" s="60"/>
      <c r="G9135" s="62"/>
      <c r="H9135" s="60"/>
    </row>
    <row r="9136" spans="1:8">
      <c r="A9136" s="60"/>
      <c r="B9136" s="77"/>
      <c r="C9136" s="60"/>
      <c r="D9136" s="81"/>
      <c r="E9136" s="62"/>
      <c r="F9136" s="60"/>
      <c r="G9136" s="62"/>
      <c r="H9136" s="60"/>
    </row>
    <row r="9137" spans="1:8">
      <c r="A9137" s="60"/>
      <c r="B9137" s="77"/>
      <c r="C9137" s="60"/>
      <c r="D9137" s="81"/>
      <c r="E9137" s="62"/>
      <c r="F9137" s="60"/>
      <c r="G9137" s="62"/>
      <c r="H9137" s="60"/>
    </row>
    <row r="9138" spans="1:8">
      <c r="A9138" s="60"/>
      <c r="B9138" s="77"/>
      <c r="C9138" s="60"/>
      <c r="D9138" s="81"/>
      <c r="E9138" s="62"/>
      <c r="F9138" s="60"/>
      <c r="G9138" s="62"/>
      <c r="H9138" s="60"/>
    </row>
    <row r="9139" spans="1:8">
      <c r="A9139" s="60"/>
      <c r="B9139" s="77"/>
      <c r="C9139" s="60"/>
      <c r="D9139" s="81"/>
      <c r="E9139" s="62"/>
      <c r="F9139" s="60"/>
      <c r="G9139" s="62"/>
      <c r="H9139" s="60"/>
    </row>
    <row r="9140" spans="1:8">
      <c r="A9140" s="60"/>
      <c r="B9140" s="77"/>
      <c r="C9140" s="60"/>
      <c r="D9140" s="81"/>
      <c r="E9140" s="62"/>
      <c r="F9140" s="60"/>
      <c r="G9140" s="62"/>
      <c r="H9140" s="60"/>
    </row>
    <row r="9141" spans="1:8">
      <c r="A9141" s="60"/>
      <c r="B9141" s="77"/>
      <c r="C9141" s="60"/>
      <c r="D9141" s="81"/>
      <c r="E9141" s="62"/>
      <c r="F9141" s="60"/>
      <c r="G9141" s="62"/>
      <c r="H9141" s="60"/>
    </row>
    <row r="9142" spans="1:8">
      <c r="A9142" s="60"/>
      <c r="B9142" s="77"/>
      <c r="C9142" s="60"/>
      <c r="D9142" s="81"/>
      <c r="E9142" s="62"/>
      <c r="F9142" s="60"/>
      <c r="G9142" s="62"/>
      <c r="H9142" s="60"/>
    </row>
    <row r="9143" spans="1:8">
      <c r="A9143" s="60"/>
      <c r="B9143" s="77"/>
      <c r="C9143" s="60"/>
      <c r="D9143" s="81"/>
      <c r="E9143" s="62"/>
      <c r="F9143" s="60"/>
      <c r="G9143" s="62"/>
      <c r="H9143" s="60"/>
    </row>
    <row r="9144" spans="1:8">
      <c r="A9144" s="60"/>
      <c r="B9144" s="77"/>
      <c r="C9144" s="60"/>
      <c r="D9144" s="81"/>
      <c r="E9144" s="62"/>
      <c r="F9144" s="60"/>
      <c r="G9144" s="62"/>
      <c r="H9144" s="60"/>
    </row>
    <row r="9145" spans="1:8">
      <c r="A9145" s="60"/>
      <c r="B9145" s="77"/>
      <c r="C9145" s="60"/>
      <c r="D9145" s="81"/>
      <c r="E9145" s="62"/>
      <c r="F9145" s="60"/>
      <c r="G9145" s="62"/>
      <c r="H9145" s="60"/>
    </row>
    <row r="9146" spans="1:8">
      <c r="A9146" s="60"/>
      <c r="B9146" s="77"/>
      <c r="C9146" s="60"/>
      <c r="D9146" s="81"/>
      <c r="E9146" s="62"/>
      <c r="F9146" s="60"/>
      <c r="G9146" s="62"/>
      <c r="H9146" s="60"/>
    </row>
    <row r="9147" spans="1:8">
      <c r="A9147" s="60"/>
      <c r="B9147" s="77"/>
      <c r="C9147" s="60"/>
      <c r="D9147" s="81"/>
      <c r="E9147" s="62"/>
      <c r="F9147" s="60"/>
      <c r="G9147" s="62"/>
      <c r="H9147" s="60"/>
    </row>
    <row r="9148" spans="1:8">
      <c r="A9148" s="60"/>
      <c r="B9148" s="77"/>
      <c r="C9148" s="60"/>
      <c r="D9148" s="81"/>
      <c r="E9148" s="62"/>
      <c r="F9148" s="60"/>
      <c r="G9148" s="62"/>
      <c r="H9148" s="60"/>
    </row>
    <row r="9149" spans="1:8">
      <c r="A9149" s="60"/>
      <c r="B9149" s="77"/>
      <c r="C9149" s="60"/>
      <c r="D9149" s="81"/>
      <c r="E9149" s="62"/>
      <c r="F9149" s="60"/>
      <c r="G9149" s="62"/>
      <c r="H9149" s="60"/>
    </row>
    <row r="9150" spans="1:8">
      <c r="A9150" s="60"/>
      <c r="B9150" s="77"/>
      <c r="C9150" s="60"/>
      <c r="D9150" s="81"/>
      <c r="E9150" s="62"/>
      <c r="F9150" s="60"/>
      <c r="G9150" s="62"/>
      <c r="H9150" s="60"/>
    </row>
    <row r="9151" spans="1:8">
      <c r="A9151" s="60"/>
      <c r="B9151" s="77"/>
      <c r="C9151" s="60"/>
      <c r="D9151" s="81"/>
      <c r="E9151" s="62"/>
      <c r="F9151" s="60"/>
      <c r="G9151" s="62"/>
      <c r="H9151" s="60"/>
    </row>
    <row r="9152" spans="1:8">
      <c r="A9152" s="60"/>
      <c r="B9152" s="77"/>
      <c r="C9152" s="60"/>
      <c r="D9152" s="81"/>
      <c r="E9152" s="62"/>
      <c r="F9152" s="60"/>
      <c r="G9152" s="62"/>
      <c r="H9152" s="60"/>
    </row>
    <row r="9153" spans="1:8">
      <c r="A9153" s="60"/>
      <c r="B9153" s="77"/>
      <c r="C9153" s="60"/>
      <c r="D9153" s="81"/>
      <c r="E9153" s="62"/>
      <c r="F9153" s="60"/>
      <c r="G9153" s="62"/>
      <c r="H9153" s="60"/>
    </row>
    <row r="9154" spans="1:8">
      <c r="A9154" s="60"/>
      <c r="B9154" s="77"/>
      <c r="C9154" s="60"/>
      <c r="D9154" s="81"/>
      <c r="E9154" s="62"/>
      <c r="F9154" s="60"/>
      <c r="G9154" s="62"/>
      <c r="H9154" s="60"/>
    </row>
    <row r="9155" spans="1:8">
      <c r="A9155" s="60"/>
      <c r="B9155" s="77"/>
      <c r="C9155" s="60"/>
      <c r="D9155" s="81"/>
      <c r="E9155" s="62"/>
      <c r="F9155" s="60"/>
      <c r="G9155" s="62"/>
      <c r="H9155" s="60"/>
    </row>
    <row r="9156" spans="1:8">
      <c r="A9156" s="60"/>
      <c r="B9156" s="77"/>
      <c r="C9156" s="60"/>
      <c r="D9156" s="81"/>
      <c r="E9156" s="62"/>
      <c r="F9156" s="60"/>
      <c r="G9156" s="62"/>
      <c r="H9156" s="60"/>
    </row>
    <row r="9157" spans="1:8">
      <c r="A9157" s="60"/>
      <c r="B9157" s="77"/>
      <c r="C9157" s="60"/>
      <c r="D9157" s="81"/>
      <c r="E9157" s="62"/>
      <c r="F9157" s="60"/>
      <c r="G9157" s="62"/>
      <c r="H9157" s="60"/>
    </row>
    <row r="9158" spans="1:8">
      <c r="A9158" s="60"/>
      <c r="B9158" s="77"/>
      <c r="C9158" s="60"/>
      <c r="D9158" s="81"/>
      <c r="E9158" s="62"/>
      <c r="F9158" s="60"/>
      <c r="G9158" s="62"/>
      <c r="H9158" s="60"/>
    </row>
    <row r="9159" spans="1:8">
      <c r="A9159" s="60"/>
      <c r="B9159" s="77"/>
      <c r="C9159" s="60"/>
      <c r="D9159" s="81"/>
      <c r="E9159" s="62"/>
      <c r="F9159" s="60"/>
      <c r="G9159" s="62"/>
      <c r="H9159" s="60"/>
    </row>
    <row r="9160" spans="1:8">
      <c r="A9160" s="60"/>
      <c r="B9160" s="77"/>
      <c r="C9160" s="60"/>
      <c r="D9160" s="81"/>
      <c r="E9160" s="62"/>
      <c r="F9160" s="60"/>
      <c r="G9160" s="62"/>
      <c r="H9160" s="60"/>
    </row>
    <row r="9161" spans="1:8">
      <c r="A9161" s="60"/>
      <c r="B9161" s="77"/>
      <c r="C9161" s="60"/>
      <c r="D9161" s="81"/>
      <c r="E9161" s="62"/>
      <c r="F9161" s="60"/>
      <c r="G9161" s="62"/>
      <c r="H9161" s="60"/>
    </row>
    <row r="9162" spans="1:8">
      <c r="A9162" s="60"/>
      <c r="B9162" s="77"/>
      <c r="C9162" s="60"/>
      <c r="D9162" s="81"/>
      <c r="E9162" s="62"/>
      <c r="F9162" s="60"/>
      <c r="G9162" s="62"/>
      <c r="H9162" s="60"/>
    </row>
    <row r="9163" spans="1:8">
      <c r="A9163" s="60"/>
      <c r="B9163" s="77"/>
      <c r="C9163" s="60"/>
      <c r="D9163" s="81"/>
      <c r="E9163" s="62"/>
      <c r="F9163" s="60"/>
      <c r="G9163" s="62"/>
      <c r="H9163" s="60"/>
    </row>
    <row r="9164" spans="1:8">
      <c r="A9164" s="60"/>
      <c r="B9164" s="77"/>
      <c r="C9164" s="60"/>
      <c r="D9164" s="81"/>
      <c r="E9164" s="62"/>
      <c r="F9164" s="60"/>
      <c r="G9164" s="62"/>
      <c r="H9164" s="60"/>
    </row>
    <row r="9165" spans="1:8">
      <c r="A9165" s="60"/>
      <c r="B9165" s="77"/>
      <c r="C9165" s="60"/>
      <c r="D9165" s="81"/>
      <c r="E9165" s="62"/>
      <c r="F9165" s="60"/>
      <c r="G9165" s="62"/>
      <c r="H9165" s="60"/>
    </row>
    <row r="9166" spans="1:8">
      <c r="A9166" s="60"/>
      <c r="B9166" s="77"/>
      <c r="C9166" s="60"/>
      <c r="D9166" s="81"/>
      <c r="E9166" s="62"/>
      <c r="F9166" s="60"/>
      <c r="G9166" s="62"/>
      <c r="H9166" s="60"/>
    </row>
    <row r="9167" spans="1:8">
      <c r="A9167" s="60"/>
      <c r="B9167" s="77"/>
      <c r="C9167" s="60"/>
      <c r="D9167" s="81"/>
      <c r="E9167" s="62"/>
      <c r="F9167" s="60"/>
      <c r="G9167" s="62"/>
      <c r="H9167" s="60"/>
    </row>
    <row r="9168" spans="1:8">
      <c r="A9168" s="60"/>
      <c r="B9168" s="77"/>
      <c r="C9168" s="60"/>
      <c r="D9168" s="81"/>
      <c r="E9168" s="62"/>
      <c r="F9168" s="60"/>
      <c r="G9168" s="62"/>
      <c r="H9168" s="60"/>
    </row>
    <row r="9169" spans="1:8">
      <c r="A9169" s="60"/>
      <c r="B9169" s="77"/>
      <c r="C9169" s="60"/>
      <c r="D9169" s="81"/>
      <c r="E9169" s="62"/>
      <c r="F9169" s="60"/>
      <c r="G9169" s="62"/>
      <c r="H9169" s="60"/>
    </row>
    <row r="9170" spans="1:8">
      <c r="A9170" s="60"/>
      <c r="B9170" s="77"/>
      <c r="C9170" s="60"/>
      <c r="D9170" s="81"/>
      <c r="E9170" s="62"/>
      <c r="F9170" s="60"/>
      <c r="G9170" s="62"/>
      <c r="H9170" s="60"/>
    </row>
    <row r="9171" spans="1:8">
      <c r="A9171" s="60"/>
      <c r="B9171" s="77"/>
      <c r="C9171" s="60"/>
      <c r="D9171" s="81"/>
      <c r="E9171" s="62"/>
      <c r="F9171" s="60"/>
      <c r="G9171" s="62"/>
      <c r="H9171" s="60"/>
    </row>
    <row r="9172" spans="1:8">
      <c r="A9172" s="60"/>
      <c r="B9172" s="77"/>
      <c r="C9172" s="60"/>
      <c r="D9172" s="81"/>
      <c r="E9172" s="62"/>
      <c r="F9172" s="60"/>
      <c r="G9172" s="62"/>
      <c r="H9172" s="60"/>
    </row>
    <row r="9173" spans="1:8">
      <c r="A9173" s="60"/>
      <c r="B9173" s="77"/>
      <c r="C9173" s="60"/>
      <c r="D9173" s="81"/>
      <c r="E9173" s="62"/>
      <c r="F9173" s="60"/>
      <c r="G9173" s="62"/>
      <c r="H9173" s="60"/>
    </row>
    <row r="9174" spans="1:8">
      <c r="A9174" s="60"/>
      <c r="B9174" s="77"/>
      <c r="C9174" s="60"/>
      <c r="D9174" s="81"/>
      <c r="E9174" s="62"/>
      <c r="F9174" s="60"/>
      <c r="G9174" s="62"/>
      <c r="H9174" s="60"/>
    </row>
    <row r="9175" spans="1:8">
      <c r="A9175" s="60"/>
      <c r="B9175" s="77"/>
      <c r="C9175" s="60"/>
      <c r="D9175" s="81"/>
      <c r="E9175" s="62"/>
      <c r="F9175" s="60"/>
      <c r="G9175" s="62"/>
      <c r="H9175" s="60"/>
    </row>
    <row r="9176" spans="1:8">
      <c r="A9176" s="60"/>
      <c r="B9176" s="77"/>
      <c r="C9176" s="60"/>
      <c r="D9176" s="81"/>
      <c r="E9176" s="62"/>
      <c r="F9176" s="60"/>
      <c r="G9176" s="62"/>
      <c r="H9176" s="60"/>
    </row>
    <row r="9177" spans="1:8">
      <c r="A9177" s="60"/>
      <c r="B9177" s="77"/>
      <c r="C9177" s="60"/>
      <c r="D9177" s="81"/>
      <c r="E9177" s="62"/>
      <c r="F9177" s="60"/>
      <c r="G9177" s="62"/>
      <c r="H9177" s="60"/>
    </row>
    <row r="9178" spans="1:8">
      <c r="A9178" s="60"/>
      <c r="B9178" s="77"/>
      <c r="C9178" s="60"/>
      <c r="D9178" s="81"/>
      <c r="E9178" s="62"/>
      <c r="F9178" s="60"/>
      <c r="G9178" s="62"/>
      <c r="H9178" s="60"/>
    </row>
    <row r="9179" spans="1:8">
      <c r="A9179" s="60"/>
      <c r="B9179" s="77"/>
      <c r="C9179" s="60"/>
      <c r="D9179" s="81"/>
      <c r="E9179" s="62"/>
      <c r="F9179" s="60"/>
      <c r="G9179" s="62"/>
      <c r="H9179" s="60"/>
    </row>
    <row r="9180" spans="1:8">
      <c r="A9180" s="60"/>
      <c r="B9180" s="77"/>
      <c r="C9180" s="60"/>
      <c r="D9180" s="81"/>
      <c r="E9180" s="62"/>
      <c r="F9180" s="60"/>
      <c r="G9180" s="62"/>
      <c r="H9180" s="60"/>
    </row>
    <row r="9181" spans="1:8">
      <c r="A9181" s="60"/>
      <c r="B9181" s="77"/>
      <c r="C9181" s="60"/>
      <c r="D9181" s="81"/>
      <c r="E9181" s="62"/>
      <c r="F9181" s="60"/>
      <c r="G9181" s="62"/>
      <c r="H9181" s="60"/>
    </row>
    <row r="9182" spans="1:8">
      <c r="A9182" s="60"/>
      <c r="B9182" s="77"/>
      <c r="C9182" s="60"/>
      <c r="D9182" s="81"/>
      <c r="E9182" s="62"/>
      <c r="F9182" s="60"/>
      <c r="G9182" s="62"/>
      <c r="H9182" s="60"/>
    </row>
    <row r="9183" spans="1:8">
      <c r="A9183" s="60"/>
      <c r="B9183" s="77"/>
      <c r="C9183" s="60"/>
      <c r="D9183" s="81"/>
      <c r="E9183" s="62"/>
      <c r="F9183" s="60"/>
      <c r="G9183" s="62"/>
      <c r="H9183" s="60"/>
    </row>
    <row r="9184" spans="1:8">
      <c r="A9184" s="60"/>
      <c r="B9184" s="77"/>
      <c r="C9184" s="60"/>
      <c r="D9184" s="81"/>
      <c r="E9184" s="62"/>
      <c r="F9184" s="60"/>
      <c r="G9184" s="62"/>
      <c r="H9184" s="60"/>
    </row>
    <row r="9185" spans="1:8">
      <c r="A9185" s="60"/>
      <c r="B9185" s="77"/>
      <c r="C9185" s="60"/>
      <c r="D9185" s="81"/>
      <c r="E9185" s="62"/>
      <c r="F9185" s="60"/>
      <c r="G9185" s="62"/>
      <c r="H9185" s="60"/>
    </row>
    <row r="9186" spans="1:8">
      <c r="A9186" s="60"/>
      <c r="B9186" s="77"/>
      <c r="C9186" s="60"/>
      <c r="D9186" s="81"/>
      <c r="E9186" s="62"/>
      <c r="F9186" s="60"/>
      <c r="G9186" s="62"/>
      <c r="H9186" s="60"/>
    </row>
    <row r="9187" spans="1:8">
      <c r="A9187" s="60"/>
      <c r="B9187" s="77"/>
      <c r="C9187" s="60"/>
      <c r="D9187" s="81"/>
      <c r="E9187" s="62"/>
      <c r="F9187" s="60"/>
      <c r="G9187" s="62"/>
      <c r="H9187" s="60"/>
    </row>
    <row r="9188" spans="1:8">
      <c r="A9188" s="60"/>
      <c r="B9188" s="77"/>
      <c r="C9188" s="60"/>
      <c r="D9188" s="81"/>
      <c r="E9188" s="62"/>
      <c r="F9188" s="60"/>
      <c r="G9188" s="62"/>
      <c r="H9188" s="60"/>
    </row>
    <row r="9189" spans="1:8">
      <c r="A9189" s="60"/>
      <c r="B9189" s="77"/>
      <c r="C9189" s="60"/>
      <c r="D9189" s="81"/>
      <c r="E9189" s="62"/>
      <c r="F9189" s="60"/>
      <c r="G9189" s="62"/>
      <c r="H9189" s="60"/>
    </row>
    <row r="9190" spans="1:8">
      <c r="A9190" s="60"/>
      <c r="B9190" s="77"/>
      <c r="C9190" s="60"/>
      <c r="D9190" s="81"/>
      <c r="E9190" s="62"/>
      <c r="F9190" s="60"/>
      <c r="G9190" s="62"/>
      <c r="H9190" s="60"/>
    </row>
    <row r="9191" spans="1:8">
      <c r="A9191" s="60"/>
      <c r="B9191" s="77"/>
      <c r="C9191" s="60"/>
      <c r="D9191" s="81"/>
      <c r="E9191" s="62"/>
      <c r="F9191" s="60"/>
      <c r="G9191" s="62"/>
      <c r="H9191" s="60"/>
    </row>
    <row r="9192" spans="1:8">
      <c r="A9192" s="60"/>
      <c r="B9192" s="77"/>
      <c r="C9192" s="60"/>
      <c r="D9192" s="81"/>
      <c r="E9192" s="62"/>
      <c r="F9192" s="60"/>
      <c r="G9192" s="62"/>
      <c r="H9192" s="60"/>
    </row>
    <row r="9193" spans="1:8">
      <c r="A9193" s="60"/>
      <c r="B9193" s="77"/>
      <c r="C9193" s="60"/>
      <c r="D9193" s="81"/>
      <c r="E9193" s="62"/>
      <c r="F9193" s="60"/>
      <c r="G9193" s="62"/>
      <c r="H9193" s="60"/>
    </row>
    <row r="9194" spans="1:8">
      <c r="A9194" s="60"/>
      <c r="B9194" s="77"/>
      <c r="C9194" s="60"/>
      <c r="D9194" s="81"/>
      <c r="E9194" s="62"/>
      <c r="F9194" s="60"/>
      <c r="G9194" s="62"/>
      <c r="H9194" s="60"/>
    </row>
    <row r="9195" spans="1:8">
      <c r="A9195" s="60"/>
      <c r="B9195" s="77"/>
      <c r="C9195" s="60"/>
      <c r="D9195" s="81"/>
      <c r="E9195" s="62"/>
      <c r="F9195" s="60"/>
      <c r="G9195" s="62"/>
      <c r="H9195" s="60"/>
    </row>
    <row r="9196" spans="1:8">
      <c r="A9196" s="60"/>
      <c r="B9196" s="77"/>
      <c r="C9196" s="60"/>
      <c r="D9196" s="81"/>
      <c r="E9196" s="62"/>
      <c r="F9196" s="60"/>
      <c r="G9196" s="62"/>
      <c r="H9196" s="60"/>
    </row>
    <row r="9197" spans="1:8">
      <c r="A9197" s="60"/>
      <c r="B9197" s="77"/>
      <c r="C9197" s="60"/>
      <c r="D9197" s="81"/>
      <c r="E9197" s="62"/>
      <c r="F9197" s="60"/>
      <c r="G9197" s="62"/>
      <c r="H9197" s="60"/>
    </row>
    <row r="9198" spans="1:8">
      <c r="A9198" s="60"/>
      <c r="B9198" s="77"/>
      <c r="C9198" s="60"/>
      <c r="D9198" s="81"/>
      <c r="E9198" s="62"/>
      <c r="F9198" s="60"/>
      <c r="G9198" s="62"/>
      <c r="H9198" s="60"/>
    </row>
    <row r="9199" spans="1:8">
      <c r="A9199" s="60"/>
      <c r="B9199" s="77"/>
      <c r="C9199" s="60"/>
      <c r="D9199" s="81"/>
      <c r="E9199" s="62"/>
      <c r="F9199" s="60"/>
      <c r="G9199" s="62"/>
      <c r="H9199" s="60"/>
    </row>
    <row r="9200" spans="1:8">
      <c r="A9200" s="60"/>
      <c r="B9200" s="77"/>
      <c r="C9200" s="60"/>
      <c r="D9200" s="81"/>
      <c r="E9200" s="62"/>
      <c r="F9200" s="60"/>
      <c r="G9200" s="62"/>
      <c r="H9200" s="60"/>
    </row>
    <row r="9201" spans="1:8">
      <c r="A9201" s="60"/>
      <c r="B9201" s="77"/>
      <c r="C9201" s="60"/>
      <c r="D9201" s="81"/>
      <c r="E9201" s="62"/>
      <c r="F9201" s="60"/>
      <c r="G9201" s="62"/>
      <c r="H9201" s="60"/>
    </row>
    <row r="9202" spans="1:8">
      <c r="A9202" s="60"/>
      <c r="B9202" s="77"/>
      <c r="C9202" s="60"/>
      <c r="D9202" s="81"/>
      <c r="E9202" s="62"/>
      <c r="F9202" s="60"/>
      <c r="G9202" s="62"/>
      <c r="H9202" s="60"/>
    </row>
    <row r="9203" spans="1:8">
      <c r="A9203" s="60"/>
      <c r="B9203" s="77"/>
      <c r="C9203" s="60"/>
      <c r="D9203" s="81"/>
      <c r="E9203" s="62"/>
      <c r="F9203" s="60"/>
      <c r="G9203" s="62"/>
      <c r="H9203" s="60"/>
    </row>
    <row r="9204" spans="1:8">
      <c r="A9204" s="60"/>
      <c r="B9204" s="77"/>
      <c r="C9204" s="60"/>
      <c r="D9204" s="81"/>
      <c r="E9204" s="62"/>
      <c r="F9204" s="60"/>
      <c r="G9204" s="62"/>
      <c r="H9204" s="60"/>
    </row>
    <row r="9205" spans="1:8">
      <c r="A9205" s="60"/>
      <c r="B9205" s="77"/>
      <c r="C9205" s="60"/>
      <c r="D9205" s="81"/>
      <c r="E9205" s="62"/>
      <c r="F9205" s="60"/>
      <c r="G9205" s="62"/>
      <c r="H9205" s="60"/>
    </row>
    <row r="9206" spans="1:8">
      <c r="A9206" s="60"/>
      <c r="B9206" s="77"/>
      <c r="C9206" s="60"/>
      <c r="D9206" s="81"/>
      <c r="E9206" s="62"/>
      <c r="F9206" s="60"/>
      <c r="G9206" s="62"/>
      <c r="H9206" s="60"/>
    </row>
    <row r="9207" spans="1:8">
      <c r="A9207" s="60"/>
      <c r="B9207" s="77"/>
      <c r="C9207" s="60"/>
      <c r="D9207" s="81"/>
      <c r="E9207" s="62"/>
      <c r="F9207" s="60"/>
      <c r="G9207" s="62"/>
      <c r="H9207" s="60"/>
    </row>
    <row r="9208" spans="1:8">
      <c r="A9208" s="60"/>
      <c r="B9208" s="77"/>
      <c r="C9208" s="60"/>
      <c r="D9208" s="81"/>
      <c r="E9208" s="62"/>
      <c r="F9208" s="60"/>
      <c r="G9208" s="62"/>
      <c r="H9208" s="60"/>
    </row>
    <row r="9209" spans="1:8">
      <c r="A9209" s="60"/>
      <c r="B9209" s="77"/>
      <c r="C9209" s="60"/>
      <c r="D9209" s="81"/>
      <c r="E9209" s="62"/>
      <c r="F9209" s="60"/>
      <c r="G9209" s="62"/>
      <c r="H9209" s="60"/>
    </row>
    <row r="9210" spans="1:8">
      <c r="A9210" s="60"/>
      <c r="B9210" s="77"/>
      <c r="C9210" s="60"/>
      <c r="D9210" s="81"/>
      <c r="E9210" s="62"/>
      <c r="F9210" s="60"/>
      <c r="G9210" s="62"/>
      <c r="H9210" s="60"/>
    </row>
    <row r="9211" spans="1:8">
      <c r="A9211" s="60"/>
      <c r="B9211" s="77"/>
      <c r="C9211" s="60"/>
      <c r="D9211" s="81"/>
      <c r="E9211" s="62"/>
      <c r="F9211" s="60"/>
      <c r="G9211" s="62"/>
      <c r="H9211" s="60"/>
    </row>
    <row r="9212" spans="1:8">
      <c r="A9212" s="60"/>
      <c r="B9212" s="77"/>
      <c r="C9212" s="60"/>
      <c r="D9212" s="81"/>
      <c r="E9212" s="62"/>
      <c r="F9212" s="60"/>
      <c r="G9212" s="62"/>
      <c r="H9212" s="60"/>
    </row>
    <row r="9213" spans="1:8">
      <c r="A9213" s="60"/>
      <c r="B9213" s="77"/>
      <c r="C9213" s="60"/>
      <c r="D9213" s="81"/>
      <c r="E9213" s="62"/>
      <c r="F9213" s="60"/>
      <c r="G9213" s="62"/>
      <c r="H9213" s="60"/>
    </row>
    <row r="9214" spans="1:8">
      <c r="A9214" s="60"/>
      <c r="B9214" s="77"/>
      <c r="C9214" s="60"/>
      <c r="D9214" s="81"/>
      <c r="E9214" s="62"/>
      <c r="F9214" s="60"/>
      <c r="G9214" s="62"/>
      <c r="H9214" s="60"/>
    </row>
    <row r="9215" spans="1:8">
      <c r="A9215" s="60"/>
      <c r="B9215" s="77"/>
      <c r="C9215" s="60"/>
      <c r="D9215" s="81"/>
      <c r="E9215" s="62"/>
      <c r="F9215" s="60"/>
      <c r="G9215" s="62"/>
      <c r="H9215" s="60"/>
    </row>
    <row r="9216" spans="1:8">
      <c r="A9216" s="60"/>
      <c r="B9216" s="77"/>
      <c r="C9216" s="60"/>
      <c r="D9216" s="81"/>
      <c r="E9216" s="62"/>
      <c r="F9216" s="60"/>
      <c r="G9216" s="62"/>
      <c r="H9216" s="60"/>
    </row>
    <row r="9217" spans="1:8">
      <c r="A9217" s="60"/>
      <c r="B9217" s="77"/>
      <c r="C9217" s="60"/>
      <c r="D9217" s="81"/>
      <c r="E9217" s="62"/>
      <c r="F9217" s="60"/>
      <c r="G9217" s="62"/>
      <c r="H9217" s="60"/>
    </row>
    <row r="9218" spans="1:8">
      <c r="A9218" s="60"/>
      <c r="B9218" s="77"/>
      <c r="C9218" s="60"/>
      <c r="D9218" s="81"/>
      <c r="E9218" s="62"/>
      <c r="F9218" s="60"/>
      <c r="G9218" s="62"/>
      <c r="H9218" s="60"/>
    </row>
    <row r="9219" spans="1:8">
      <c r="A9219" s="60"/>
      <c r="B9219" s="77"/>
      <c r="C9219" s="60"/>
      <c r="D9219" s="81"/>
      <c r="E9219" s="62"/>
      <c r="F9219" s="60"/>
      <c r="G9219" s="62"/>
      <c r="H9219" s="60"/>
    </row>
    <row r="9220" spans="1:8">
      <c r="A9220" s="60"/>
      <c r="B9220" s="77"/>
      <c r="C9220" s="60"/>
      <c r="D9220" s="81"/>
      <c r="E9220" s="62"/>
      <c r="F9220" s="60"/>
      <c r="G9220" s="62"/>
      <c r="H9220" s="60"/>
    </row>
    <row r="9221" spans="1:8">
      <c r="A9221" s="60"/>
      <c r="B9221" s="77"/>
      <c r="C9221" s="60"/>
      <c r="D9221" s="81"/>
      <c r="E9221" s="62"/>
      <c r="F9221" s="60"/>
      <c r="G9221" s="62"/>
      <c r="H9221" s="60"/>
    </row>
    <row r="9222" spans="1:8">
      <c r="A9222" s="60"/>
      <c r="B9222" s="77"/>
      <c r="C9222" s="60"/>
      <c r="D9222" s="81"/>
      <c r="E9222" s="62"/>
      <c r="F9222" s="60"/>
      <c r="G9222" s="62"/>
      <c r="H9222" s="60"/>
    </row>
    <row r="9223" spans="1:8">
      <c r="A9223" s="60"/>
      <c r="B9223" s="77"/>
      <c r="C9223" s="60"/>
      <c r="D9223" s="81"/>
      <c r="E9223" s="62"/>
      <c r="F9223" s="60"/>
      <c r="G9223" s="62"/>
      <c r="H9223" s="60"/>
    </row>
    <row r="9224" spans="1:8">
      <c r="A9224" s="60"/>
      <c r="B9224" s="77"/>
      <c r="C9224" s="60"/>
      <c r="D9224" s="81"/>
      <c r="E9224" s="62"/>
      <c r="F9224" s="60"/>
      <c r="G9224" s="62"/>
      <c r="H9224" s="60"/>
    </row>
    <row r="9225" spans="1:8">
      <c r="A9225" s="60"/>
      <c r="B9225" s="77"/>
      <c r="C9225" s="60"/>
      <c r="D9225" s="81"/>
      <c r="E9225" s="62"/>
      <c r="F9225" s="60"/>
      <c r="G9225" s="62"/>
      <c r="H9225" s="60"/>
    </row>
    <row r="9226" spans="1:8">
      <c r="A9226" s="60"/>
      <c r="B9226" s="77"/>
      <c r="C9226" s="60"/>
      <c r="D9226" s="81"/>
      <c r="E9226" s="62"/>
      <c r="F9226" s="60"/>
      <c r="G9226" s="62"/>
      <c r="H9226" s="60"/>
    </row>
    <row r="9227" spans="1:8">
      <c r="A9227" s="60"/>
      <c r="B9227" s="77"/>
      <c r="C9227" s="60"/>
      <c r="D9227" s="81"/>
      <c r="E9227" s="62"/>
      <c r="F9227" s="60"/>
      <c r="G9227" s="62"/>
      <c r="H9227" s="60"/>
    </row>
    <row r="9228" spans="1:8">
      <c r="A9228" s="60"/>
      <c r="B9228" s="77"/>
      <c r="C9228" s="60"/>
      <c r="D9228" s="81"/>
      <c r="E9228" s="62"/>
      <c r="F9228" s="60"/>
      <c r="G9228" s="62"/>
      <c r="H9228" s="60"/>
    </row>
    <row r="9229" spans="1:8">
      <c r="A9229" s="60"/>
      <c r="B9229" s="77"/>
      <c r="C9229" s="60"/>
      <c r="D9229" s="81"/>
      <c r="E9229" s="62"/>
      <c r="F9229" s="60"/>
      <c r="G9229" s="62"/>
      <c r="H9229" s="60"/>
    </row>
    <row r="9230" spans="1:8">
      <c r="A9230" s="60"/>
      <c r="B9230" s="77"/>
      <c r="C9230" s="60"/>
      <c r="D9230" s="81"/>
      <c r="E9230" s="62"/>
      <c r="F9230" s="60"/>
      <c r="G9230" s="62"/>
      <c r="H9230" s="60"/>
    </row>
    <row r="9231" spans="1:8">
      <c r="A9231" s="60"/>
      <c r="B9231" s="77"/>
      <c r="C9231" s="60"/>
      <c r="D9231" s="81"/>
      <c r="E9231" s="62"/>
      <c r="F9231" s="60"/>
      <c r="G9231" s="62"/>
      <c r="H9231" s="60"/>
    </row>
    <row r="9232" spans="1:8">
      <c r="A9232" s="60"/>
      <c r="B9232" s="77"/>
      <c r="C9232" s="60"/>
      <c r="D9232" s="81"/>
      <c r="E9232" s="62"/>
      <c r="F9232" s="60"/>
      <c r="G9232" s="62"/>
      <c r="H9232" s="60"/>
    </row>
    <row r="9233" spans="1:8">
      <c r="A9233" s="60"/>
      <c r="B9233" s="77"/>
      <c r="C9233" s="60"/>
      <c r="D9233" s="81"/>
      <c r="E9233" s="62"/>
      <c r="F9233" s="60"/>
      <c r="G9233" s="62"/>
      <c r="H9233" s="60"/>
    </row>
    <row r="9234" spans="1:8">
      <c r="A9234" s="60"/>
      <c r="B9234" s="77"/>
      <c r="C9234" s="60"/>
      <c r="D9234" s="81"/>
      <c r="E9234" s="62"/>
      <c r="F9234" s="60"/>
      <c r="G9234" s="62"/>
      <c r="H9234" s="60"/>
    </row>
    <row r="9235" spans="1:8">
      <c r="A9235" s="60"/>
      <c r="B9235" s="77"/>
      <c r="C9235" s="60"/>
      <c r="D9235" s="81"/>
      <c r="E9235" s="62"/>
      <c r="F9235" s="60"/>
      <c r="G9235" s="62"/>
      <c r="H9235" s="60"/>
    </row>
    <row r="9236" spans="1:8">
      <c r="A9236" s="60"/>
      <c r="B9236" s="77"/>
      <c r="C9236" s="60"/>
      <c r="D9236" s="81"/>
      <c r="E9236" s="62"/>
      <c r="F9236" s="60"/>
      <c r="G9236" s="62"/>
      <c r="H9236" s="60"/>
    </row>
    <row r="9237" spans="1:8">
      <c r="A9237" s="60"/>
      <c r="B9237" s="77"/>
      <c r="C9237" s="60"/>
      <c r="D9237" s="81"/>
      <c r="E9237" s="62"/>
      <c r="F9237" s="60"/>
      <c r="G9237" s="62"/>
      <c r="H9237" s="60"/>
    </row>
    <row r="9238" spans="1:8">
      <c r="A9238" s="60"/>
      <c r="B9238" s="77"/>
      <c r="C9238" s="60"/>
      <c r="D9238" s="81"/>
      <c r="E9238" s="62"/>
      <c r="F9238" s="60"/>
      <c r="G9238" s="62"/>
      <c r="H9238" s="60"/>
    </row>
    <row r="9239" spans="1:8">
      <c r="A9239" s="60"/>
      <c r="B9239" s="77"/>
      <c r="C9239" s="60"/>
      <c r="D9239" s="81"/>
      <c r="E9239" s="62"/>
      <c r="F9239" s="60"/>
      <c r="G9239" s="62"/>
      <c r="H9239" s="60"/>
    </row>
    <row r="9240" spans="1:8">
      <c r="A9240" s="60"/>
      <c r="B9240" s="77"/>
      <c r="C9240" s="60"/>
      <c r="D9240" s="81"/>
      <c r="E9240" s="62"/>
      <c r="F9240" s="60"/>
      <c r="G9240" s="62"/>
      <c r="H9240" s="60"/>
    </row>
    <row r="9241" spans="1:8">
      <c r="A9241" s="60"/>
      <c r="B9241" s="77"/>
      <c r="C9241" s="60"/>
      <c r="D9241" s="81"/>
      <c r="E9241" s="62"/>
      <c r="F9241" s="60"/>
      <c r="G9241" s="62"/>
      <c r="H9241" s="60"/>
    </row>
    <row r="9242" spans="1:8">
      <c r="A9242" s="60"/>
      <c r="B9242" s="77"/>
      <c r="C9242" s="60"/>
      <c r="D9242" s="81"/>
      <c r="E9242" s="62"/>
      <c r="F9242" s="60"/>
      <c r="G9242" s="62"/>
      <c r="H9242" s="60"/>
    </row>
    <row r="9243" spans="1:8">
      <c r="A9243" s="60"/>
      <c r="B9243" s="77"/>
      <c r="C9243" s="60"/>
      <c r="D9243" s="81"/>
      <c r="E9243" s="62"/>
      <c r="F9243" s="60"/>
      <c r="G9243" s="62"/>
      <c r="H9243" s="60"/>
    </row>
    <row r="9244" spans="1:8">
      <c r="A9244" s="60"/>
      <c r="B9244" s="77"/>
      <c r="C9244" s="60"/>
      <c r="D9244" s="81"/>
      <c r="E9244" s="62"/>
      <c r="F9244" s="60"/>
      <c r="G9244" s="62"/>
      <c r="H9244" s="60"/>
    </row>
    <row r="9245" spans="1:8">
      <c r="A9245" s="60"/>
      <c r="B9245" s="77"/>
      <c r="C9245" s="60"/>
      <c r="D9245" s="81"/>
      <c r="E9245" s="62"/>
      <c r="F9245" s="60"/>
      <c r="G9245" s="62"/>
      <c r="H9245" s="60"/>
    </row>
    <row r="9246" spans="1:8">
      <c r="A9246" s="60"/>
      <c r="B9246" s="77"/>
      <c r="C9246" s="60"/>
      <c r="D9246" s="81"/>
      <c r="E9246" s="62"/>
      <c r="F9246" s="60"/>
      <c r="G9246" s="62"/>
      <c r="H9246" s="60"/>
    </row>
    <row r="9247" spans="1:8">
      <c r="A9247" s="60"/>
      <c r="B9247" s="77"/>
      <c r="C9247" s="60"/>
      <c r="D9247" s="81"/>
      <c r="E9247" s="62"/>
      <c r="F9247" s="60"/>
      <c r="G9247" s="62"/>
      <c r="H9247" s="60"/>
    </row>
    <row r="9248" spans="1:8">
      <c r="A9248" s="60"/>
      <c r="B9248" s="77"/>
      <c r="C9248" s="60"/>
      <c r="D9248" s="81"/>
      <c r="E9248" s="62"/>
      <c r="F9248" s="60"/>
      <c r="G9248" s="62"/>
      <c r="H9248" s="60"/>
    </row>
    <row r="9249" spans="1:8">
      <c r="A9249" s="60"/>
      <c r="B9249" s="77"/>
      <c r="C9249" s="60"/>
      <c r="D9249" s="81"/>
      <c r="E9249" s="62"/>
      <c r="F9249" s="60"/>
      <c r="G9249" s="62"/>
      <c r="H9249" s="60"/>
    </row>
    <row r="9250" spans="1:8">
      <c r="A9250" s="60"/>
      <c r="B9250" s="77"/>
      <c r="C9250" s="60"/>
      <c r="D9250" s="81"/>
      <c r="E9250" s="62"/>
      <c r="F9250" s="60"/>
      <c r="G9250" s="62"/>
      <c r="H9250" s="60"/>
    </row>
    <row r="9251" spans="1:8">
      <c r="A9251" s="60"/>
      <c r="B9251" s="77"/>
      <c r="C9251" s="60"/>
      <c r="D9251" s="81"/>
      <c r="E9251" s="62"/>
      <c r="F9251" s="60"/>
      <c r="G9251" s="62"/>
      <c r="H9251" s="60"/>
    </row>
    <row r="9252" spans="1:8">
      <c r="A9252" s="60"/>
      <c r="B9252" s="77"/>
      <c r="C9252" s="60"/>
      <c r="D9252" s="81"/>
      <c r="E9252" s="62"/>
      <c r="F9252" s="60"/>
      <c r="G9252" s="62"/>
      <c r="H9252" s="60"/>
    </row>
    <row r="9253" spans="1:8">
      <c r="A9253" s="60"/>
      <c r="B9253" s="77"/>
      <c r="C9253" s="60"/>
      <c r="D9253" s="81"/>
      <c r="E9253" s="62"/>
      <c r="F9253" s="60"/>
      <c r="G9253" s="62"/>
      <c r="H9253" s="60"/>
    </row>
    <row r="9254" spans="1:8">
      <c r="A9254" s="60"/>
      <c r="B9254" s="77"/>
      <c r="C9254" s="60"/>
      <c r="D9254" s="81"/>
      <c r="E9254" s="62"/>
      <c r="F9254" s="60"/>
      <c r="G9254" s="62"/>
      <c r="H9254" s="60"/>
    </row>
    <row r="9255" spans="1:8">
      <c r="A9255" s="60"/>
      <c r="B9255" s="77"/>
      <c r="C9255" s="60"/>
      <c r="D9255" s="81"/>
      <c r="E9255" s="62"/>
      <c r="F9255" s="60"/>
      <c r="G9255" s="62"/>
      <c r="H9255" s="60"/>
    </row>
    <row r="9256" spans="1:8">
      <c r="A9256" s="60"/>
      <c r="B9256" s="77"/>
      <c r="C9256" s="60"/>
      <c r="D9256" s="81"/>
      <c r="E9256" s="62"/>
      <c r="F9256" s="60"/>
      <c r="G9256" s="62"/>
      <c r="H9256" s="60"/>
    </row>
    <row r="9257" spans="1:8">
      <c r="A9257" s="60"/>
      <c r="B9257" s="77"/>
      <c r="C9257" s="60"/>
      <c r="D9257" s="81"/>
      <c r="E9257" s="62"/>
      <c r="F9257" s="60"/>
      <c r="G9257" s="62"/>
      <c r="H9257" s="60"/>
    </row>
    <row r="9258" spans="1:8">
      <c r="A9258" s="60"/>
      <c r="B9258" s="77"/>
      <c r="C9258" s="60"/>
      <c r="D9258" s="81"/>
      <c r="E9258" s="62"/>
      <c r="F9258" s="60"/>
      <c r="G9258" s="62"/>
      <c r="H9258" s="60"/>
    </row>
    <row r="9259" spans="1:8">
      <c r="A9259" s="60"/>
      <c r="B9259" s="77"/>
      <c r="C9259" s="60"/>
      <c r="D9259" s="81"/>
      <c r="E9259" s="62"/>
      <c r="F9259" s="60"/>
      <c r="G9259" s="62"/>
      <c r="H9259" s="60"/>
    </row>
    <row r="9260" spans="1:8">
      <c r="A9260" s="60"/>
      <c r="B9260" s="77"/>
      <c r="C9260" s="60"/>
      <c r="D9260" s="81"/>
      <c r="E9260" s="62"/>
      <c r="F9260" s="60"/>
      <c r="G9260" s="62"/>
      <c r="H9260" s="60"/>
    </row>
    <row r="9261" spans="1:8">
      <c r="A9261" s="60"/>
      <c r="B9261" s="77"/>
      <c r="C9261" s="60"/>
      <c r="D9261" s="81"/>
      <c r="E9261" s="62"/>
      <c r="F9261" s="60"/>
      <c r="G9261" s="62"/>
      <c r="H9261" s="60"/>
    </row>
    <row r="9262" spans="1:8">
      <c r="A9262" s="60"/>
      <c r="B9262" s="77"/>
      <c r="C9262" s="60"/>
      <c r="D9262" s="81"/>
      <c r="E9262" s="62"/>
      <c r="F9262" s="60"/>
      <c r="G9262" s="62"/>
      <c r="H9262" s="60"/>
    </row>
    <row r="9263" spans="1:8">
      <c r="A9263" s="60"/>
      <c r="B9263" s="77"/>
      <c r="C9263" s="60"/>
      <c r="D9263" s="81"/>
      <c r="E9263" s="62"/>
      <c r="F9263" s="60"/>
      <c r="G9263" s="62"/>
      <c r="H9263" s="60"/>
    </row>
    <row r="9264" spans="1:8">
      <c r="A9264" s="60"/>
      <c r="B9264" s="77"/>
      <c r="C9264" s="60"/>
      <c r="D9264" s="81"/>
      <c r="E9264" s="62"/>
      <c r="F9264" s="60"/>
      <c r="G9264" s="62"/>
      <c r="H9264" s="60"/>
    </row>
    <row r="9265" spans="1:8">
      <c r="A9265" s="60"/>
      <c r="B9265" s="77"/>
      <c r="C9265" s="60"/>
      <c r="D9265" s="81"/>
      <c r="E9265" s="62"/>
      <c r="F9265" s="60"/>
      <c r="G9265" s="62"/>
      <c r="H9265" s="60"/>
    </row>
    <row r="9266" spans="1:8">
      <c r="A9266" s="60"/>
      <c r="B9266" s="77"/>
      <c r="C9266" s="60"/>
      <c r="D9266" s="81"/>
      <c r="E9266" s="62"/>
      <c r="F9266" s="60"/>
      <c r="G9266" s="62"/>
      <c r="H9266" s="60"/>
    </row>
    <row r="9267" spans="1:8">
      <c r="A9267" s="60"/>
      <c r="B9267" s="77"/>
      <c r="C9267" s="60"/>
      <c r="D9267" s="81"/>
      <c r="E9267" s="62"/>
      <c r="F9267" s="60"/>
      <c r="G9267" s="62"/>
      <c r="H9267" s="60"/>
    </row>
    <row r="9268" spans="1:8">
      <c r="A9268" s="60"/>
      <c r="B9268" s="77"/>
      <c r="C9268" s="60"/>
      <c r="D9268" s="81"/>
      <c r="E9268" s="62"/>
      <c r="F9268" s="60"/>
      <c r="G9268" s="62"/>
      <c r="H9268" s="60"/>
    </row>
    <row r="9269" spans="1:8">
      <c r="A9269" s="60"/>
      <c r="B9269" s="77"/>
      <c r="C9269" s="60"/>
      <c r="D9269" s="81"/>
      <c r="E9269" s="62"/>
      <c r="F9269" s="60"/>
      <c r="G9269" s="62"/>
      <c r="H9269" s="60"/>
    </row>
    <row r="9270" spans="1:8">
      <c r="A9270" s="60"/>
      <c r="B9270" s="77"/>
      <c r="C9270" s="60"/>
      <c r="D9270" s="81"/>
      <c r="E9270" s="62"/>
      <c r="F9270" s="60"/>
      <c r="G9270" s="62"/>
      <c r="H9270" s="60"/>
    </row>
    <row r="9271" spans="1:8">
      <c r="A9271" s="60"/>
      <c r="B9271" s="77"/>
      <c r="C9271" s="60"/>
      <c r="D9271" s="81"/>
      <c r="E9271" s="62"/>
      <c r="F9271" s="60"/>
      <c r="G9271" s="62"/>
      <c r="H9271" s="60"/>
    </row>
    <row r="9272" spans="1:8">
      <c r="A9272" s="60"/>
      <c r="B9272" s="77"/>
      <c r="C9272" s="60"/>
      <c r="D9272" s="81"/>
      <c r="E9272" s="62"/>
      <c r="F9272" s="60"/>
      <c r="G9272" s="62"/>
      <c r="H9272" s="60"/>
    </row>
    <row r="9273" spans="1:8">
      <c r="A9273" s="60"/>
      <c r="B9273" s="77"/>
      <c r="C9273" s="60"/>
      <c r="D9273" s="81"/>
      <c r="E9273" s="62"/>
      <c r="F9273" s="60"/>
      <c r="G9273" s="62"/>
      <c r="H9273" s="60"/>
    </row>
    <row r="9274" spans="1:8">
      <c r="A9274" s="60"/>
      <c r="B9274" s="77"/>
      <c r="C9274" s="60"/>
      <c r="D9274" s="81"/>
      <c r="E9274" s="62"/>
      <c r="F9274" s="60"/>
      <c r="G9274" s="62"/>
      <c r="H9274" s="60"/>
    </row>
    <row r="9275" spans="1:8">
      <c r="A9275" s="60"/>
      <c r="B9275" s="77"/>
      <c r="C9275" s="60"/>
      <c r="D9275" s="81"/>
      <c r="E9275" s="62"/>
      <c r="F9275" s="60"/>
      <c r="G9275" s="62"/>
      <c r="H9275" s="60"/>
    </row>
    <row r="9276" spans="1:8">
      <c r="A9276" s="60"/>
      <c r="B9276" s="77"/>
      <c r="C9276" s="60"/>
      <c r="D9276" s="81"/>
      <c r="E9276" s="62"/>
      <c r="F9276" s="60"/>
      <c r="G9276" s="62"/>
      <c r="H9276" s="60"/>
    </row>
    <row r="9277" spans="1:8">
      <c r="A9277" s="60"/>
      <c r="B9277" s="77"/>
      <c r="C9277" s="60"/>
      <c r="D9277" s="81"/>
      <c r="E9277" s="62"/>
      <c r="F9277" s="60"/>
      <c r="G9277" s="62"/>
      <c r="H9277" s="60"/>
    </row>
    <row r="9278" spans="1:8">
      <c r="A9278" s="60"/>
      <c r="B9278" s="77"/>
      <c r="C9278" s="60"/>
      <c r="D9278" s="81"/>
      <c r="E9278" s="62"/>
      <c r="F9278" s="60"/>
      <c r="G9278" s="62"/>
      <c r="H9278" s="60"/>
    </row>
    <row r="9279" spans="1:8">
      <c r="A9279" s="60"/>
      <c r="B9279" s="77"/>
      <c r="C9279" s="60"/>
      <c r="D9279" s="81"/>
      <c r="E9279" s="62"/>
      <c r="F9279" s="60"/>
      <c r="G9279" s="62"/>
      <c r="H9279" s="60"/>
    </row>
    <row r="9280" spans="1:8">
      <c r="A9280" s="60"/>
      <c r="B9280" s="77"/>
      <c r="C9280" s="60"/>
      <c r="D9280" s="81"/>
      <c r="E9280" s="62"/>
      <c r="F9280" s="60"/>
      <c r="G9280" s="62"/>
      <c r="H9280" s="60"/>
    </row>
    <row r="9281" spans="1:8">
      <c r="A9281" s="60"/>
      <c r="B9281" s="77"/>
      <c r="C9281" s="60"/>
      <c r="D9281" s="81"/>
      <c r="E9281" s="62"/>
      <c r="F9281" s="60"/>
      <c r="G9281" s="62"/>
      <c r="H9281" s="60"/>
    </row>
    <row r="9282" spans="1:8">
      <c r="A9282" s="60"/>
      <c r="B9282" s="77"/>
      <c r="C9282" s="60"/>
      <c r="D9282" s="81"/>
      <c r="E9282" s="62"/>
      <c r="F9282" s="60"/>
      <c r="G9282" s="62"/>
      <c r="H9282" s="60"/>
    </row>
    <row r="9283" spans="1:8">
      <c r="A9283" s="60"/>
      <c r="B9283" s="77"/>
      <c r="C9283" s="60"/>
      <c r="D9283" s="81"/>
      <c r="E9283" s="62"/>
      <c r="F9283" s="60"/>
      <c r="G9283" s="62"/>
      <c r="H9283" s="60"/>
    </row>
    <row r="9284" spans="1:8">
      <c r="A9284" s="60"/>
      <c r="B9284" s="77"/>
      <c r="C9284" s="60"/>
      <c r="D9284" s="81"/>
      <c r="E9284" s="62"/>
      <c r="F9284" s="60"/>
      <c r="G9284" s="62"/>
      <c r="H9284" s="60"/>
    </row>
    <row r="9285" spans="1:8">
      <c r="A9285" s="60"/>
      <c r="B9285" s="77"/>
      <c r="C9285" s="60"/>
      <c r="D9285" s="81"/>
      <c r="E9285" s="62"/>
      <c r="F9285" s="60"/>
      <c r="G9285" s="62"/>
      <c r="H9285" s="60"/>
    </row>
    <row r="9286" spans="1:8">
      <c r="A9286" s="60"/>
      <c r="B9286" s="77"/>
      <c r="C9286" s="60"/>
      <c r="D9286" s="81"/>
      <c r="E9286" s="62"/>
      <c r="F9286" s="60"/>
      <c r="G9286" s="62"/>
      <c r="H9286" s="60"/>
    </row>
    <row r="9287" spans="1:8">
      <c r="A9287" s="60"/>
      <c r="B9287" s="77"/>
      <c r="C9287" s="60"/>
      <c r="D9287" s="81"/>
      <c r="E9287" s="62"/>
      <c r="F9287" s="60"/>
      <c r="G9287" s="62"/>
      <c r="H9287" s="60"/>
    </row>
    <row r="9288" spans="1:8">
      <c r="A9288" s="60"/>
      <c r="B9288" s="77"/>
      <c r="C9288" s="60"/>
      <c r="D9288" s="81"/>
      <c r="E9288" s="62"/>
      <c r="F9288" s="60"/>
      <c r="G9288" s="62"/>
      <c r="H9288" s="60"/>
    </row>
    <row r="9289" spans="1:8">
      <c r="A9289" s="60"/>
      <c r="B9289" s="77"/>
      <c r="C9289" s="60"/>
      <c r="D9289" s="81"/>
      <c r="E9289" s="62"/>
      <c r="F9289" s="60"/>
      <c r="G9289" s="62"/>
      <c r="H9289" s="60"/>
    </row>
    <row r="9290" spans="1:8">
      <c r="A9290" s="60"/>
      <c r="B9290" s="77"/>
      <c r="C9290" s="60"/>
      <c r="D9290" s="81"/>
      <c r="E9290" s="62"/>
      <c r="F9290" s="60"/>
      <c r="G9290" s="62"/>
      <c r="H9290" s="60"/>
    </row>
    <row r="9291" spans="1:8">
      <c r="A9291" s="60"/>
      <c r="B9291" s="77"/>
      <c r="C9291" s="60"/>
      <c r="D9291" s="81"/>
      <c r="E9291" s="62"/>
      <c r="F9291" s="60"/>
      <c r="G9291" s="62"/>
      <c r="H9291" s="60"/>
    </row>
    <row r="9292" spans="1:8">
      <c r="A9292" s="60"/>
      <c r="B9292" s="77"/>
      <c r="C9292" s="60"/>
      <c r="D9292" s="81"/>
      <c r="E9292" s="62"/>
      <c r="F9292" s="60"/>
      <c r="G9292" s="62"/>
      <c r="H9292" s="60"/>
    </row>
    <row r="9293" spans="1:8">
      <c r="A9293" s="60"/>
      <c r="B9293" s="77"/>
      <c r="C9293" s="60"/>
      <c r="D9293" s="81"/>
      <c r="E9293" s="62"/>
      <c r="F9293" s="60"/>
      <c r="G9293" s="62"/>
      <c r="H9293" s="60"/>
    </row>
    <row r="9294" spans="1:8">
      <c r="A9294" s="60"/>
      <c r="B9294" s="77"/>
      <c r="C9294" s="60"/>
      <c r="D9294" s="81"/>
      <c r="E9294" s="62"/>
      <c r="F9294" s="60"/>
      <c r="G9294" s="62"/>
      <c r="H9294" s="60"/>
    </row>
    <row r="9295" spans="1:8">
      <c r="A9295" s="60"/>
      <c r="B9295" s="77"/>
      <c r="C9295" s="60"/>
      <c r="D9295" s="81"/>
      <c r="E9295" s="62"/>
      <c r="F9295" s="60"/>
      <c r="G9295" s="62"/>
      <c r="H9295" s="60"/>
    </row>
    <row r="9296" spans="1:8">
      <c r="A9296" s="60"/>
      <c r="B9296" s="77"/>
      <c r="C9296" s="60"/>
      <c r="D9296" s="81"/>
      <c r="E9296" s="62"/>
      <c r="F9296" s="60"/>
      <c r="G9296" s="62"/>
      <c r="H9296" s="60"/>
    </row>
    <row r="9297" spans="1:8">
      <c r="A9297" s="60"/>
      <c r="B9297" s="77"/>
      <c r="C9297" s="60"/>
      <c r="D9297" s="81"/>
      <c r="E9297" s="62"/>
      <c r="F9297" s="60"/>
      <c r="G9297" s="62"/>
      <c r="H9297" s="60"/>
    </row>
    <row r="9298" spans="1:8">
      <c r="A9298" s="60"/>
      <c r="B9298" s="77"/>
      <c r="C9298" s="60"/>
      <c r="D9298" s="81"/>
      <c r="E9298" s="62"/>
      <c r="F9298" s="60"/>
      <c r="G9298" s="62"/>
      <c r="H9298" s="60"/>
    </row>
    <row r="9299" spans="1:8">
      <c r="A9299" s="60"/>
      <c r="B9299" s="77"/>
      <c r="C9299" s="60"/>
      <c r="D9299" s="81"/>
      <c r="E9299" s="62"/>
      <c r="F9299" s="60"/>
      <c r="G9299" s="62"/>
      <c r="H9299" s="60"/>
    </row>
    <row r="9300" spans="1:8">
      <c r="A9300" s="60"/>
      <c r="B9300" s="77"/>
      <c r="C9300" s="60"/>
      <c r="D9300" s="81"/>
      <c r="E9300" s="62"/>
      <c r="F9300" s="60"/>
      <c r="G9300" s="62"/>
      <c r="H9300" s="60"/>
    </row>
    <row r="9301" spans="1:8">
      <c r="A9301" s="60"/>
      <c r="B9301" s="77"/>
      <c r="C9301" s="60"/>
      <c r="D9301" s="81"/>
      <c r="E9301" s="62"/>
      <c r="F9301" s="60"/>
      <c r="G9301" s="62"/>
      <c r="H9301" s="60"/>
    </row>
    <row r="9302" spans="1:8">
      <c r="A9302" s="60"/>
      <c r="B9302" s="77"/>
      <c r="C9302" s="60"/>
      <c r="D9302" s="81"/>
      <c r="E9302" s="62"/>
      <c r="F9302" s="60"/>
      <c r="G9302" s="62"/>
      <c r="H9302" s="60"/>
    </row>
    <row r="9303" spans="1:8">
      <c r="A9303" s="60"/>
      <c r="B9303" s="77"/>
      <c r="C9303" s="60"/>
      <c r="D9303" s="81"/>
      <c r="E9303" s="62"/>
      <c r="F9303" s="60"/>
      <c r="G9303" s="62"/>
      <c r="H9303" s="60"/>
    </row>
    <row r="9304" spans="1:8">
      <c r="A9304" s="60"/>
      <c r="B9304" s="77"/>
      <c r="C9304" s="60"/>
      <c r="D9304" s="81"/>
      <c r="E9304" s="62"/>
      <c r="F9304" s="60"/>
      <c r="G9304" s="62"/>
      <c r="H9304" s="60"/>
    </row>
    <row r="9305" spans="1:8">
      <c r="A9305" s="60"/>
      <c r="B9305" s="77"/>
      <c r="C9305" s="60"/>
      <c r="D9305" s="81"/>
      <c r="E9305" s="62"/>
      <c r="F9305" s="60"/>
      <c r="G9305" s="62"/>
      <c r="H9305" s="60"/>
    </row>
    <row r="9306" spans="1:8">
      <c r="A9306" s="60"/>
      <c r="B9306" s="77"/>
      <c r="C9306" s="60"/>
      <c r="D9306" s="81"/>
      <c r="E9306" s="62"/>
      <c r="F9306" s="60"/>
      <c r="G9306" s="62"/>
      <c r="H9306" s="60"/>
    </row>
    <row r="9307" spans="1:8">
      <c r="A9307" s="60"/>
      <c r="B9307" s="77"/>
      <c r="C9307" s="60"/>
      <c r="D9307" s="81"/>
      <c r="E9307" s="62"/>
      <c r="F9307" s="60"/>
      <c r="G9307" s="62"/>
      <c r="H9307" s="60"/>
    </row>
    <row r="9308" spans="1:8">
      <c r="A9308" s="60"/>
      <c r="B9308" s="77"/>
      <c r="C9308" s="60"/>
      <c r="D9308" s="81"/>
      <c r="E9308" s="62"/>
      <c r="F9308" s="60"/>
      <c r="G9308" s="62"/>
      <c r="H9308" s="60"/>
    </row>
    <row r="9309" spans="1:8">
      <c r="A9309" s="60"/>
      <c r="B9309" s="77"/>
      <c r="C9309" s="60"/>
      <c r="D9309" s="81"/>
      <c r="E9309" s="62"/>
      <c r="F9309" s="60"/>
      <c r="G9309" s="62"/>
      <c r="H9309" s="60"/>
    </row>
    <row r="9310" spans="1:8">
      <c r="A9310" s="60"/>
      <c r="B9310" s="77"/>
      <c r="C9310" s="60"/>
      <c r="D9310" s="81"/>
      <c r="E9310" s="62"/>
      <c r="F9310" s="60"/>
      <c r="G9310" s="62"/>
      <c r="H9310" s="60"/>
    </row>
    <row r="9311" spans="1:8">
      <c r="A9311" s="60"/>
      <c r="B9311" s="77"/>
      <c r="C9311" s="60"/>
      <c r="D9311" s="81"/>
      <c r="E9311" s="62"/>
      <c r="F9311" s="60"/>
      <c r="G9311" s="62"/>
      <c r="H9311" s="60"/>
    </row>
    <row r="9312" spans="1:8">
      <c r="A9312" s="60"/>
      <c r="B9312" s="77"/>
      <c r="C9312" s="60"/>
      <c r="D9312" s="81"/>
      <c r="E9312" s="62"/>
      <c r="F9312" s="60"/>
      <c r="G9312" s="62"/>
      <c r="H9312" s="60"/>
    </row>
    <row r="9313" spans="1:8">
      <c r="A9313" s="60"/>
      <c r="B9313" s="77"/>
      <c r="C9313" s="60"/>
      <c r="D9313" s="81"/>
      <c r="E9313" s="62"/>
      <c r="F9313" s="60"/>
      <c r="G9313" s="62"/>
      <c r="H9313" s="60"/>
    </row>
    <row r="9314" spans="1:8">
      <c r="A9314" s="60"/>
      <c r="B9314" s="77"/>
      <c r="C9314" s="60"/>
      <c r="D9314" s="81"/>
      <c r="E9314" s="62"/>
      <c r="F9314" s="60"/>
      <c r="G9314" s="62"/>
      <c r="H9314" s="60"/>
    </row>
    <row r="9315" spans="1:8">
      <c r="A9315" s="60"/>
      <c r="B9315" s="77"/>
      <c r="C9315" s="60"/>
      <c r="D9315" s="81"/>
      <c r="E9315" s="62"/>
      <c r="F9315" s="60"/>
      <c r="G9315" s="62"/>
      <c r="H9315" s="60"/>
    </row>
    <row r="9316" spans="1:8">
      <c r="A9316" s="60"/>
      <c r="B9316" s="77"/>
      <c r="C9316" s="60"/>
      <c r="D9316" s="81"/>
      <c r="E9316" s="62"/>
      <c r="F9316" s="60"/>
      <c r="G9316" s="62"/>
      <c r="H9316" s="60"/>
    </row>
    <row r="9317" spans="1:8">
      <c r="A9317" s="60"/>
      <c r="B9317" s="77"/>
      <c r="C9317" s="60"/>
      <c r="D9317" s="81"/>
      <c r="E9317" s="62"/>
      <c r="F9317" s="60"/>
      <c r="G9317" s="62"/>
      <c r="H9317" s="60"/>
    </row>
    <row r="9318" spans="1:8">
      <c r="A9318" s="60"/>
      <c r="B9318" s="77"/>
      <c r="C9318" s="60"/>
      <c r="D9318" s="81"/>
      <c r="E9318" s="62"/>
      <c r="F9318" s="60"/>
      <c r="G9318" s="62"/>
      <c r="H9318" s="60"/>
    </row>
    <row r="9319" spans="1:8">
      <c r="A9319" s="60"/>
      <c r="B9319" s="77"/>
      <c r="C9319" s="60"/>
      <c r="D9319" s="81"/>
      <c r="E9319" s="62"/>
      <c r="F9319" s="60"/>
      <c r="G9319" s="62"/>
      <c r="H9319" s="60"/>
    </row>
    <row r="9320" spans="1:8">
      <c r="A9320" s="60"/>
      <c r="B9320" s="77"/>
      <c r="C9320" s="60"/>
      <c r="D9320" s="81"/>
      <c r="E9320" s="62"/>
      <c r="F9320" s="60"/>
      <c r="G9320" s="62"/>
      <c r="H9320" s="60"/>
    </row>
    <row r="9321" spans="1:8">
      <c r="A9321" s="60"/>
      <c r="B9321" s="77"/>
      <c r="C9321" s="60"/>
      <c r="D9321" s="81"/>
      <c r="E9321" s="62"/>
      <c r="F9321" s="60"/>
      <c r="G9321" s="62"/>
      <c r="H9321" s="60"/>
    </row>
    <row r="9322" spans="1:8">
      <c r="A9322" s="60"/>
      <c r="B9322" s="77"/>
      <c r="C9322" s="60"/>
      <c r="D9322" s="81"/>
      <c r="E9322" s="62"/>
      <c r="F9322" s="60"/>
      <c r="G9322" s="62"/>
      <c r="H9322" s="60"/>
    </row>
    <row r="9323" spans="1:8">
      <c r="A9323" s="60"/>
      <c r="B9323" s="77"/>
      <c r="C9323" s="60"/>
      <c r="D9323" s="81"/>
      <c r="E9323" s="62"/>
      <c r="F9323" s="60"/>
      <c r="G9323" s="62"/>
      <c r="H9323" s="60"/>
    </row>
    <row r="9324" spans="1:8">
      <c r="A9324" s="60"/>
      <c r="B9324" s="77"/>
      <c r="C9324" s="60"/>
      <c r="D9324" s="81"/>
      <c r="E9324" s="62"/>
      <c r="F9324" s="60"/>
      <c r="G9324" s="62"/>
      <c r="H9324" s="60"/>
    </row>
    <row r="9325" spans="1:8">
      <c r="A9325" s="60"/>
      <c r="B9325" s="77"/>
      <c r="C9325" s="60"/>
      <c r="D9325" s="81"/>
      <c r="E9325" s="62"/>
      <c r="F9325" s="60"/>
      <c r="G9325" s="62"/>
      <c r="H9325" s="60"/>
    </row>
    <row r="9326" spans="1:8">
      <c r="A9326" s="60"/>
      <c r="B9326" s="77"/>
      <c r="C9326" s="60"/>
      <c r="D9326" s="81"/>
      <c r="E9326" s="62"/>
      <c r="F9326" s="60"/>
      <c r="G9326" s="62"/>
      <c r="H9326" s="60"/>
    </row>
    <row r="9327" spans="1:8">
      <c r="A9327" s="60"/>
      <c r="B9327" s="77"/>
      <c r="C9327" s="60"/>
      <c r="D9327" s="81"/>
      <c r="E9327" s="62"/>
      <c r="F9327" s="60"/>
      <c r="G9327" s="62"/>
      <c r="H9327" s="60"/>
    </row>
    <row r="9328" spans="1:8">
      <c r="A9328" s="60"/>
      <c r="B9328" s="77"/>
      <c r="C9328" s="60"/>
      <c r="D9328" s="81"/>
      <c r="E9328" s="62"/>
      <c r="F9328" s="60"/>
      <c r="G9328" s="62"/>
      <c r="H9328" s="60"/>
    </row>
    <row r="9329" spans="1:8">
      <c r="A9329" s="60"/>
      <c r="B9329" s="77"/>
      <c r="C9329" s="60"/>
      <c r="D9329" s="81"/>
      <c r="E9329" s="62"/>
      <c r="F9329" s="60"/>
      <c r="G9329" s="62"/>
      <c r="H9329" s="60"/>
    </row>
    <row r="9330" spans="1:8">
      <c r="A9330" s="60"/>
      <c r="B9330" s="77"/>
      <c r="C9330" s="60"/>
      <c r="D9330" s="81"/>
      <c r="E9330" s="62"/>
      <c r="F9330" s="60"/>
      <c r="G9330" s="62"/>
      <c r="H9330" s="60"/>
    </row>
    <row r="9331" spans="1:8">
      <c r="A9331" s="60"/>
      <c r="B9331" s="77"/>
      <c r="C9331" s="60"/>
      <c r="D9331" s="81"/>
      <c r="E9331" s="62"/>
      <c r="F9331" s="60"/>
      <c r="G9331" s="62"/>
      <c r="H9331" s="60"/>
    </row>
    <row r="9332" spans="1:8">
      <c r="A9332" s="60"/>
      <c r="B9332" s="77"/>
      <c r="C9332" s="60"/>
      <c r="D9332" s="81"/>
      <c r="E9332" s="62"/>
      <c r="F9332" s="60"/>
      <c r="G9332" s="62"/>
      <c r="H9332" s="60"/>
    </row>
    <row r="9333" spans="1:8">
      <c r="A9333" s="60"/>
      <c r="B9333" s="77"/>
      <c r="C9333" s="60"/>
      <c r="D9333" s="81"/>
      <c r="E9333" s="62"/>
      <c r="F9333" s="60"/>
      <c r="G9333" s="62"/>
      <c r="H9333" s="60"/>
    </row>
    <row r="9334" spans="1:8">
      <c r="A9334" s="60"/>
      <c r="B9334" s="77"/>
      <c r="C9334" s="60"/>
      <c r="D9334" s="81"/>
      <c r="E9334" s="62"/>
      <c r="F9334" s="60"/>
      <c r="G9334" s="62"/>
      <c r="H9334" s="60"/>
    </row>
    <row r="9335" spans="1:8">
      <c r="A9335" s="60"/>
      <c r="B9335" s="77"/>
      <c r="C9335" s="60"/>
      <c r="D9335" s="81"/>
      <c r="E9335" s="62"/>
      <c r="F9335" s="60"/>
      <c r="G9335" s="62"/>
      <c r="H9335" s="60"/>
    </row>
    <row r="9336" spans="1:8">
      <c r="A9336" s="60"/>
      <c r="B9336" s="77"/>
      <c r="C9336" s="60"/>
      <c r="D9336" s="81"/>
      <c r="E9336" s="62"/>
      <c r="F9336" s="60"/>
      <c r="G9336" s="62"/>
      <c r="H9336" s="60"/>
    </row>
    <row r="9337" spans="1:8">
      <c r="A9337" s="60"/>
      <c r="B9337" s="77"/>
      <c r="C9337" s="60"/>
      <c r="D9337" s="81"/>
      <c r="E9337" s="62"/>
      <c r="F9337" s="60"/>
      <c r="G9337" s="62"/>
      <c r="H9337" s="60"/>
    </row>
    <row r="9338" spans="1:8">
      <c r="A9338" s="60"/>
      <c r="B9338" s="77"/>
      <c r="C9338" s="60"/>
      <c r="D9338" s="81"/>
      <c r="E9338" s="62"/>
      <c r="F9338" s="60"/>
      <c r="G9338" s="62"/>
      <c r="H9338" s="60"/>
    </row>
    <row r="9339" spans="1:8">
      <c r="A9339" s="60"/>
      <c r="B9339" s="77"/>
      <c r="C9339" s="60"/>
      <c r="D9339" s="81"/>
      <c r="E9339" s="62"/>
      <c r="F9339" s="60"/>
      <c r="G9339" s="62"/>
      <c r="H9339" s="60"/>
    </row>
    <row r="9340" spans="1:8">
      <c r="A9340" s="60"/>
      <c r="B9340" s="77"/>
      <c r="C9340" s="60"/>
      <c r="D9340" s="81"/>
      <c r="E9340" s="62"/>
      <c r="F9340" s="60"/>
      <c r="G9340" s="62"/>
      <c r="H9340" s="60"/>
    </row>
    <row r="9341" spans="1:8">
      <c r="A9341" s="60"/>
      <c r="B9341" s="77"/>
      <c r="C9341" s="60"/>
      <c r="D9341" s="81"/>
      <c r="E9341" s="62"/>
      <c r="F9341" s="60"/>
      <c r="G9341" s="62"/>
      <c r="H9341" s="60"/>
    </row>
    <row r="9342" spans="1:8">
      <c r="A9342" s="60"/>
      <c r="B9342" s="77"/>
      <c r="C9342" s="60"/>
      <c r="D9342" s="81"/>
      <c r="E9342" s="62"/>
      <c r="F9342" s="60"/>
      <c r="G9342" s="62"/>
      <c r="H9342" s="60"/>
    </row>
    <row r="9343" spans="1:8">
      <c r="A9343" s="60"/>
      <c r="B9343" s="77"/>
      <c r="C9343" s="60"/>
      <c r="D9343" s="81"/>
      <c r="E9343" s="62"/>
      <c r="F9343" s="60"/>
      <c r="G9343" s="62"/>
      <c r="H9343" s="60"/>
    </row>
    <row r="9344" spans="1:8">
      <c r="A9344" s="60"/>
      <c r="B9344" s="77"/>
      <c r="C9344" s="60"/>
      <c r="D9344" s="81"/>
      <c r="E9344" s="62"/>
      <c r="F9344" s="60"/>
      <c r="G9344" s="62"/>
      <c r="H9344" s="60"/>
    </row>
    <row r="9345" spans="1:8">
      <c r="A9345" s="60"/>
      <c r="B9345" s="77"/>
      <c r="C9345" s="60"/>
      <c r="D9345" s="81"/>
      <c r="E9345" s="62"/>
      <c r="F9345" s="60"/>
      <c r="G9345" s="62"/>
      <c r="H9345" s="60"/>
    </row>
    <row r="9346" spans="1:8">
      <c r="A9346" s="60"/>
      <c r="B9346" s="77"/>
      <c r="C9346" s="60"/>
      <c r="D9346" s="81"/>
      <c r="E9346" s="62"/>
      <c r="F9346" s="60"/>
      <c r="G9346" s="62"/>
      <c r="H9346" s="60"/>
    </row>
    <row r="9347" spans="1:8">
      <c r="A9347" s="60"/>
      <c r="B9347" s="77"/>
      <c r="C9347" s="60"/>
      <c r="D9347" s="81"/>
      <c r="E9347" s="62"/>
      <c r="F9347" s="60"/>
      <c r="G9347" s="62"/>
      <c r="H9347" s="60"/>
    </row>
    <row r="9348" spans="1:8">
      <c r="A9348" s="60"/>
      <c r="B9348" s="77"/>
      <c r="C9348" s="60"/>
      <c r="D9348" s="81"/>
      <c r="E9348" s="62"/>
      <c r="F9348" s="60"/>
      <c r="G9348" s="62"/>
      <c r="H9348" s="60"/>
    </row>
    <row r="9349" spans="1:8">
      <c r="A9349" s="60"/>
      <c r="B9349" s="77"/>
      <c r="C9349" s="60"/>
      <c r="D9349" s="81"/>
      <c r="E9349" s="62"/>
      <c r="F9349" s="60"/>
      <c r="G9349" s="62"/>
      <c r="H9349" s="60"/>
    </row>
    <row r="9350" spans="1:8">
      <c r="A9350" s="60"/>
      <c r="B9350" s="77"/>
      <c r="C9350" s="60"/>
      <c r="D9350" s="81"/>
      <c r="E9350" s="62"/>
      <c r="F9350" s="60"/>
      <c r="G9350" s="62"/>
      <c r="H9350" s="60"/>
    </row>
    <row r="9351" spans="1:8">
      <c r="A9351" s="60"/>
      <c r="B9351" s="77"/>
      <c r="C9351" s="60"/>
      <c r="D9351" s="81"/>
      <c r="E9351" s="62"/>
      <c r="F9351" s="60"/>
      <c r="G9351" s="62"/>
      <c r="H9351" s="60"/>
    </row>
    <row r="9352" spans="1:8">
      <c r="A9352" s="60"/>
      <c r="B9352" s="77"/>
      <c r="C9352" s="60"/>
      <c r="D9352" s="81"/>
      <c r="E9352" s="62"/>
      <c r="F9352" s="60"/>
      <c r="G9352" s="62"/>
      <c r="H9352" s="60"/>
    </row>
    <row r="9353" spans="1:8">
      <c r="A9353" s="60"/>
      <c r="B9353" s="77"/>
      <c r="C9353" s="60"/>
      <c r="D9353" s="81"/>
      <c r="E9353" s="62"/>
      <c r="F9353" s="60"/>
      <c r="G9353" s="62"/>
      <c r="H9353" s="60"/>
    </row>
    <row r="9354" spans="1:8">
      <c r="A9354" s="60"/>
      <c r="B9354" s="77"/>
      <c r="C9354" s="60"/>
      <c r="D9354" s="81"/>
      <c r="E9354" s="62"/>
      <c r="F9354" s="60"/>
      <c r="G9354" s="62"/>
      <c r="H9354" s="60"/>
    </row>
    <row r="9355" spans="1:8">
      <c r="A9355" s="60"/>
      <c r="B9355" s="77"/>
      <c r="C9355" s="60"/>
      <c r="D9355" s="81"/>
      <c r="E9355" s="62"/>
      <c r="F9355" s="60"/>
      <c r="G9355" s="62"/>
      <c r="H9355" s="60"/>
    </row>
    <row r="9356" spans="1:8">
      <c r="A9356" s="60"/>
      <c r="B9356" s="77"/>
      <c r="C9356" s="60"/>
      <c r="D9356" s="81"/>
      <c r="E9356" s="62"/>
      <c r="F9356" s="60"/>
      <c r="G9356" s="62"/>
      <c r="H9356" s="60"/>
    </row>
    <row r="9357" spans="1:8">
      <c r="A9357" s="60"/>
      <c r="B9357" s="77"/>
      <c r="C9357" s="60"/>
      <c r="D9357" s="81"/>
      <c r="E9357" s="62"/>
      <c r="F9357" s="60"/>
      <c r="G9357" s="62"/>
      <c r="H9357" s="60"/>
    </row>
    <row r="9358" spans="1:8">
      <c r="A9358" s="60"/>
      <c r="B9358" s="77"/>
      <c r="C9358" s="60"/>
      <c r="D9358" s="81"/>
      <c r="E9358" s="62"/>
      <c r="F9358" s="60"/>
      <c r="G9358" s="62"/>
      <c r="H9358" s="60"/>
    </row>
    <row r="9359" spans="1:8">
      <c r="A9359" s="60"/>
      <c r="B9359" s="77"/>
      <c r="C9359" s="60"/>
      <c r="D9359" s="81"/>
      <c r="E9359" s="62"/>
      <c r="F9359" s="60"/>
      <c r="G9359" s="62"/>
      <c r="H9359" s="60"/>
    </row>
    <row r="9360" spans="1:8">
      <c r="A9360" s="60"/>
      <c r="B9360" s="77"/>
      <c r="C9360" s="60"/>
      <c r="D9360" s="81"/>
      <c r="E9360" s="62"/>
      <c r="F9360" s="60"/>
      <c r="G9360" s="62"/>
      <c r="H9360" s="60"/>
    </row>
    <row r="9361" spans="1:8">
      <c r="A9361" s="60"/>
      <c r="B9361" s="77"/>
      <c r="C9361" s="60"/>
      <c r="D9361" s="81"/>
      <c r="E9361" s="62"/>
      <c r="F9361" s="60"/>
      <c r="G9361" s="62"/>
      <c r="H9361" s="60"/>
    </row>
    <row r="9362" spans="1:8">
      <c r="A9362" s="60"/>
      <c r="B9362" s="77"/>
      <c r="C9362" s="60"/>
      <c r="D9362" s="81"/>
      <c r="E9362" s="62"/>
      <c r="F9362" s="60"/>
      <c r="G9362" s="62"/>
      <c r="H9362" s="60"/>
    </row>
    <row r="9363" spans="1:8">
      <c r="A9363" s="60"/>
      <c r="B9363" s="77"/>
      <c r="C9363" s="60"/>
      <c r="D9363" s="81"/>
      <c r="E9363" s="62"/>
      <c r="F9363" s="60"/>
      <c r="G9363" s="62"/>
      <c r="H9363" s="60"/>
    </row>
    <row r="9364" spans="1:8">
      <c r="A9364" s="60"/>
      <c r="B9364" s="77"/>
      <c r="C9364" s="60"/>
      <c r="D9364" s="81"/>
      <c r="E9364" s="62"/>
      <c r="F9364" s="60"/>
      <c r="G9364" s="62"/>
      <c r="H9364" s="60"/>
    </row>
    <row r="9365" spans="1:8">
      <c r="A9365" s="60"/>
      <c r="B9365" s="77"/>
      <c r="C9365" s="60"/>
      <c r="D9365" s="81"/>
      <c r="E9365" s="62"/>
      <c r="F9365" s="60"/>
      <c r="G9365" s="62"/>
      <c r="H9365" s="60"/>
    </row>
    <row r="9366" spans="1:8">
      <c r="A9366" s="60"/>
      <c r="B9366" s="77"/>
      <c r="C9366" s="60"/>
      <c r="D9366" s="81"/>
      <c r="E9366" s="62"/>
      <c r="F9366" s="60"/>
      <c r="G9366" s="62"/>
      <c r="H9366" s="60"/>
    </row>
    <row r="9367" spans="1:8">
      <c r="A9367" s="60"/>
      <c r="B9367" s="77"/>
      <c r="C9367" s="60"/>
      <c r="D9367" s="81"/>
      <c r="E9367" s="62"/>
      <c r="F9367" s="60"/>
      <c r="G9367" s="62"/>
      <c r="H9367" s="60"/>
    </row>
    <row r="9368" spans="1:8">
      <c r="A9368" s="60"/>
      <c r="B9368" s="77"/>
      <c r="C9368" s="60"/>
      <c r="D9368" s="81"/>
      <c r="E9368" s="62"/>
      <c r="F9368" s="60"/>
      <c r="G9368" s="62"/>
      <c r="H9368" s="60"/>
    </row>
    <row r="9369" spans="1:8">
      <c r="A9369" s="60"/>
      <c r="B9369" s="77"/>
      <c r="C9369" s="60"/>
      <c r="D9369" s="81"/>
      <c r="E9369" s="62"/>
      <c r="F9369" s="60"/>
      <c r="G9369" s="62"/>
      <c r="H9369" s="60"/>
    </row>
    <row r="9370" spans="1:8">
      <c r="A9370" s="60"/>
      <c r="B9370" s="77"/>
      <c r="C9370" s="60"/>
      <c r="D9370" s="81"/>
      <c r="E9370" s="62"/>
      <c r="F9370" s="60"/>
      <c r="G9370" s="62"/>
      <c r="H9370" s="60"/>
    </row>
    <row r="9371" spans="1:8">
      <c r="A9371" s="60"/>
      <c r="B9371" s="77"/>
      <c r="C9371" s="60"/>
      <c r="D9371" s="81"/>
      <c r="E9371" s="62"/>
      <c r="F9371" s="60"/>
      <c r="G9371" s="62"/>
      <c r="H9371" s="60"/>
    </row>
    <row r="9372" spans="1:8">
      <c r="A9372" s="60"/>
      <c r="B9372" s="77"/>
      <c r="C9372" s="60"/>
      <c r="D9372" s="81"/>
      <c r="E9372" s="62"/>
      <c r="F9372" s="60"/>
      <c r="G9372" s="62"/>
      <c r="H9372" s="60"/>
    </row>
    <row r="9373" spans="1:8">
      <c r="A9373" s="60"/>
      <c r="B9373" s="77"/>
      <c r="C9373" s="60"/>
      <c r="D9373" s="81"/>
      <c r="E9373" s="62"/>
      <c r="F9373" s="60"/>
      <c r="G9373" s="62"/>
      <c r="H9373" s="60"/>
    </row>
    <row r="9374" spans="1:8">
      <c r="A9374" s="60"/>
      <c r="B9374" s="77"/>
      <c r="C9374" s="60"/>
      <c r="D9374" s="81"/>
      <c r="E9374" s="62"/>
      <c r="F9374" s="60"/>
      <c r="G9374" s="62"/>
      <c r="H9374" s="60"/>
    </row>
    <row r="9375" spans="1:8">
      <c r="A9375" s="60"/>
      <c r="B9375" s="77"/>
      <c r="C9375" s="60"/>
      <c r="D9375" s="81"/>
      <c r="E9375" s="62"/>
      <c r="F9375" s="60"/>
      <c r="G9375" s="62"/>
      <c r="H9375" s="60"/>
    </row>
    <row r="9376" spans="1:8">
      <c r="A9376" s="60"/>
      <c r="B9376" s="77"/>
      <c r="C9376" s="60"/>
      <c r="D9376" s="81"/>
      <c r="E9376" s="62"/>
      <c r="F9376" s="60"/>
      <c r="G9376" s="62"/>
      <c r="H9376" s="60"/>
    </row>
    <row r="9377" spans="1:8">
      <c r="A9377" s="60"/>
      <c r="B9377" s="77"/>
      <c r="C9377" s="60"/>
      <c r="D9377" s="81"/>
      <c r="E9377" s="62"/>
      <c r="F9377" s="60"/>
      <c r="G9377" s="62"/>
      <c r="H9377" s="60"/>
    </row>
    <row r="9378" spans="1:8">
      <c r="A9378" s="60"/>
      <c r="B9378" s="77"/>
      <c r="C9378" s="60"/>
      <c r="D9378" s="81"/>
      <c r="E9378" s="62"/>
      <c r="F9378" s="60"/>
      <c r="G9378" s="62"/>
      <c r="H9378" s="60"/>
    </row>
    <row r="9379" spans="1:8">
      <c r="A9379" s="60"/>
      <c r="B9379" s="77"/>
      <c r="C9379" s="60"/>
      <c r="D9379" s="81"/>
      <c r="E9379" s="62"/>
      <c r="F9379" s="60"/>
      <c r="G9379" s="62"/>
      <c r="H9379" s="60"/>
    </row>
    <row r="9380" spans="1:8">
      <c r="A9380" s="60"/>
      <c r="B9380" s="77"/>
      <c r="C9380" s="60"/>
      <c r="D9380" s="81"/>
      <c r="E9380" s="62"/>
      <c r="F9380" s="60"/>
      <c r="G9380" s="62"/>
      <c r="H9380" s="60"/>
    </row>
    <row r="9381" spans="1:8">
      <c r="A9381" s="60"/>
      <c r="B9381" s="77"/>
      <c r="C9381" s="60"/>
      <c r="D9381" s="81"/>
      <c r="E9381" s="62"/>
      <c r="F9381" s="60"/>
      <c r="G9381" s="62"/>
      <c r="H9381" s="60"/>
    </row>
    <row r="9382" spans="1:8">
      <c r="A9382" s="60"/>
      <c r="B9382" s="77"/>
      <c r="C9382" s="60"/>
      <c r="D9382" s="81"/>
      <c r="E9382" s="62"/>
      <c r="F9382" s="60"/>
      <c r="G9382" s="62"/>
      <c r="H9382" s="60"/>
    </row>
    <row r="9383" spans="1:8">
      <c r="A9383" s="60"/>
      <c r="B9383" s="77"/>
      <c r="C9383" s="60"/>
      <c r="D9383" s="81"/>
      <c r="E9383" s="62"/>
      <c r="F9383" s="60"/>
      <c r="G9383" s="62"/>
      <c r="H9383" s="60"/>
    </row>
    <row r="9384" spans="1:8">
      <c r="A9384" s="60"/>
      <c r="B9384" s="77"/>
      <c r="C9384" s="60"/>
      <c r="D9384" s="81"/>
      <c r="E9384" s="62"/>
      <c r="F9384" s="60"/>
      <c r="G9384" s="62"/>
      <c r="H9384" s="60"/>
    </row>
    <row r="9385" spans="1:8">
      <c r="A9385" s="60"/>
      <c r="B9385" s="77"/>
      <c r="C9385" s="60"/>
      <c r="D9385" s="81"/>
      <c r="E9385" s="62"/>
      <c r="F9385" s="60"/>
      <c r="G9385" s="62"/>
      <c r="H9385" s="60"/>
    </row>
    <row r="9386" spans="1:8">
      <c r="A9386" s="60"/>
      <c r="B9386" s="77"/>
      <c r="C9386" s="60"/>
      <c r="D9386" s="81"/>
      <c r="E9386" s="62"/>
      <c r="F9386" s="60"/>
      <c r="G9386" s="62"/>
      <c r="H9386" s="60"/>
    </row>
    <row r="9387" spans="1:8">
      <c r="A9387" s="60"/>
      <c r="B9387" s="77"/>
      <c r="C9387" s="60"/>
      <c r="D9387" s="81"/>
      <c r="E9387" s="62"/>
      <c r="F9387" s="60"/>
      <c r="G9387" s="62"/>
      <c r="H9387" s="60"/>
    </row>
    <row r="9388" spans="1:8">
      <c r="A9388" s="60"/>
      <c r="B9388" s="77"/>
      <c r="C9388" s="60"/>
      <c r="D9388" s="81"/>
      <c r="E9388" s="62"/>
      <c r="F9388" s="60"/>
      <c r="G9388" s="62"/>
      <c r="H9388" s="60"/>
    </row>
    <row r="9389" spans="1:8">
      <c r="A9389" s="60"/>
      <c r="B9389" s="77"/>
      <c r="C9389" s="60"/>
      <c r="D9389" s="81"/>
      <c r="E9389" s="62"/>
      <c r="F9389" s="60"/>
      <c r="G9389" s="62"/>
      <c r="H9389" s="60"/>
    </row>
    <row r="9390" spans="1:8">
      <c r="A9390" s="60"/>
      <c r="B9390" s="77"/>
      <c r="C9390" s="60"/>
      <c r="D9390" s="81"/>
      <c r="E9390" s="62"/>
      <c r="F9390" s="60"/>
      <c r="G9390" s="62"/>
      <c r="H9390" s="60"/>
    </row>
    <row r="9391" spans="1:8">
      <c r="A9391" s="60"/>
      <c r="B9391" s="77"/>
      <c r="C9391" s="60"/>
      <c r="D9391" s="81"/>
      <c r="E9391" s="62"/>
      <c r="F9391" s="60"/>
      <c r="G9391" s="62"/>
      <c r="H9391" s="60"/>
    </row>
    <row r="9392" spans="1:8">
      <c r="A9392" s="60"/>
      <c r="B9392" s="77"/>
      <c r="C9392" s="60"/>
      <c r="D9392" s="81"/>
      <c r="E9392" s="62"/>
      <c r="F9392" s="60"/>
      <c r="G9392" s="62"/>
      <c r="H9392" s="60"/>
    </row>
    <row r="9393" spans="1:8">
      <c r="A9393" s="60"/>
      <c r="B9393" s="77"/>
      <c r="C9393" s="60"/>
      <c r="D9393" s="81"/>
      <c r="E9393" s="62"/>
      <c r="F9393" s="60"/>
      <c r="G9393" s="62"/>
      <c r="H9393" s="60"/>
    </row>
    <row r="9394" spans="1:8">
      <c r="A9394" s="60"/>
      <c r="B9394" s="77"/>
      <c r="C9394" s="60"/>
      <c r="D9394" s="81"/>
      <c r="E9394" s="62"/>
      <c r="F9394" s="60"/>
      <c r="G9394" s="62"/>
      <c r="H9394" s="60"/>
    </row>
    <row r="9395" spans="1:8">
      <c r="A9395" s="60"/>
      <c r="B9395" s="77"/>
      <c r="C9395" s="60"/>
      <c r="D9395" s="81"/>
      <c r="E9395" s="62"/>
      <c r="F9395" s="60"/>
      <c r="G9395" s="62"/>
      <c r="H9395" s="60"/>
    </row>
    <row r="9396" spans="1:8">
      <c r="A9396" s="60"/>
      <c r="B9396" s="77"/>
      <c r="C9396" s="60"/>
      <c r="D9396" s="81"/>
      <c r="E9396" s="62"/>
      <c r="F9396" s="60"/>
      <c r="G9396" s="62"/>
      <c r="H9396" s="60"/>
    </row>
    <row r="9397" spans="1:8">
      <c r="A9397" s="60"/>
      <c r="B9397" s="77"/>
      <c r="C9397" s="60"/>
      <c r="D9397" s="81"/>
      <c r="E9397" s="62"/>
      <c r="F9397" s="60"/>
      <c r="G9397" s="62"/>
      <c r="H9397" s="60"/>
    </row>
    <row r="9398" spans="1:8">
      <c r="A9398" s="60"/>
      <c r="B9398" s="77"/>
      <c r="C9398" s="60"/>
      <c r="D9398" s="81"/>
      <c r="E9398" s="62"/>
      <c r="F9398" s="60"/>
      <c r="G9398" s="62"/>
      <c r="H9398" s="60"/>
    </row>
    <row r="9399" spans="1:8">
      <c r="A9399" s="60"/>
      <c r="B9399" s="77"/>
      <c r="C9399" s="60"/>
      <c r="D9399" s="81"/>
      <c r="E9399" s="62"/>
      <c r="F9399" s="60"/>
      <c r="G9399" s="62"/>
      <c r="H9399" s="60"/>
    </row>
    <row r="9400" spans="1:8">
      <c r="A9400" s="60"/>
      <c r="B9400" s="77"/>
      <c r="C9400" s="60"/>
      <c r="D9400" s="81"/>
      <c r="E9400" s="62"/>
      <c r="F9400" s="60"/>
      <c r="G9400" s="62"/>
      <c r="H9400" s="60"/>
    </row>
    <row r="9401" spans="1:8">
      <c r="A9401" s="60"/>
      <c r="B9401" s="77"/>
      <c r="C9401" s="60"/>
      <c r="D9401" s="81"/>
      <c r="E9401" s="62"/>
      <c r="F9401" s="60"/>
      <c r="G9401" s="62"/>
      <c r="H9401" s="60"/>
    </row>
    <row r="9402" spans="1:8">
      <c r="A9402" s="60"/>
      <c r="B9402" s="77"/>
      <c r="C9402" s="60"/>
      <c r="D9402" s="81"/>
      <c r="E9402" s="62"/>
      <c r="F9402" s="60"/>
      <c r="G9402" s="62"/>
      <c r="H9402" s="60"/>
    </row>
    <row r="9403" spans="1:8">
      <c r="A9403" s="60"/>
      <c r="B9403" s="77"/>
      <c r="C9403" s="60"/>
      <c r="D9403" s="81"/>
      <c r="E9403" s="62"/>
      <c r="F9403" s="60"/>
      <c r="G9403" s="62"/>
      <c r="H9403" s="60"/>
    </row>
    <row r="9404" spans="1:8">
      <c r="A9404" s="60"/>
      <c r="B9404" s="77"/>
      <c r="C9404" s="60"/>
      <c r="D9404" s="81"/>
      <c r="E9404" s="62"/>
      <c r="F9404" s="60"/>
      <c r="G9404" s="62"/>
      <c r="H9404" s="60"/>
    </row>
    <row r="9405" spans="1:8">
      <c r="A9405" s="60"/>
      <c r="B9405" s="77"/>
      <c r="C9405" s="60"/>
      <c r="D9405" s="81"/>
      <c r="E9405" s="62"/>
      <c r="F9405" s="60"/>
      <c r="G9405" s="62"/>
      <c r="H9405" s="60"/>
    </row>
    <row r="9406" spans="1:8">
      <c r="A9406" s="60"/>
      <c r="B9406" s="77"/>
      <c r="C9406" s="60"/>
      <c r="D9406" s="81"/>
      <c r="E9406" s="62"/>
      <c r="F9406" s="60"/>
      <c r="G9406" s="62"/>
      <c r="H9406" s="60"/>
    </row>
    <row r="9407" spans="1:8">
      <c r="A9407" s="60"/>
      <c r="B9407" s="77"/>
      <c r="C9407" s="60"/>
      <c r="D9407" s="81"/>
      <c r="E9407" s="62"/>
      <c r="F9407" s="60"/>
      <c r="G9407" s="62"/>
      <c r="H9407" s="60"/>
    </row>
    <row r="9408" spans="1:8">
      <c r="A9408" s="60"/>
      <c r="B9408" s="77"/>
      <c r="C9408" s="60"/>
      <c r="D9408" s="81"/>
      <c r="E9408" s="62"/>
      <c r="F9408" s="60"/>
      <c r="G9408" s="62"/>
      <c r="H9408" s="60"/>
    </row>
    <row r="9409" spans="1:8">
      <c r="A9409" s="60"/>
      <c r="B9409" s="77"/>
      <c r="C9409" s="60"/>
      <c r="D9409" s="81"/>
      <c r="E9409" s="62"/>
      <c r="F9409" s="60"/>
      <c r="G9409" s="62"/>
      <c r="H9409" s="60"/>
    </row>
    <row r="9410" spans="1:8">
      <c r="A9410" s="60"/>
      <c r="B9410" s="77"/>
      <c r="C9410" s="60"/>
      <c r="D9410" s="81"/>
      <c r="E9410" s="62"/>
      <c r="F9410" s="60"/>
      <c r="G9410" s="62"/>
      <c r="H9410" s="60"/>
    </row>
    <row r="9411" spans="1:8">
      <c r="A9411" s="60"/>
      <c r="B9411" s="77"/>
      <c r="C9411" s="60"/>
      <c r="D9411" s="81"/>
      <c r="E9411" s="62"/>
      <c r="F9411" s="60"/>
      <c r="G9411" s="62"/>
      <c r="H9411" s="60"/>
    </row>
    <row r="9412" spans="1:8">
      <c r="A9412" s="60"/>
      <c r="B9412" s="77"/>
      <c r="C9412" s="60"/>
      <c r="D9412" s="81"/>
      <c r="E9412" s="62"/>
      <c r="F9412" s="60"/>
      <c r="G9412" s="62"/>
      <c r="H9412" s="60"/>
    </row>
    <row r="9413" spans="1:8">
      <c r="A9413" s="60"/>
      <c r="B9413" s="77"/>
      <c r="C9413" s="60"/>
      <c r="D9413" s="81"/>
      <c r="E9413" s="62"/>
      <c r="F9413" s="60"/>
      <c r="G9413" s="62"/>
      <c r="H9413" s="60"/>
    </row>
    <row r="9414" spans="1:8">
      <c r="A9414" s="60"/>
      <c r="B9414" s="77"/>
      <c r="C9414" s="60"/>
      <c r="D9414" s="81"/>
      <c r="E9414" s="62"/>
      <c r="F9414" s="60"/>
      <c r="G9414" s="62"/>
      <c r="H9414" s="60"/>
    </row>
    <row r="9415" spans="1:8">
      <c r="A9415" s="60"/>
      <c r="B9415" s="77"/>
      <c r="C9415" s="60"/>
      <c r="D9415" s="81"/>
      <c r="E9415" s="62"/>
      <c r="F9415" s="60"/>
      <c r="G9415" s="62"/>
      <c r="H9415" s="60"/>
    </row>
    <row r="9416" spans="1:8">
      <c r="A9416" s="60"/>
      <c r="B9416" s="77"/>
      <c r="C9416" s="60"/>
      <c r="D9416" s="81"/>
      <c r="E9416" s="62"/>
      <c r="F9416" s="60"/>
      <c r="G9416" s="62"/>
      <c r="H9416" s="60"/>
    </row>
    <row r="9417" spans="1:8">
      <c r="A9417" s="60"/>
      <c r="B9417" s="77"/>
      <c r="C9417" s="60"/>
      <c r="D9417" s="81"/>
      <c r="E9417" s="62"/>
      <c r="F9417" s="60"/>
      <c r="G9417" s="62"/>
      <c r="H9417" s="60"/>
    </row>
    <row r="9418" spans="1:8">
      <c r="A9418" s="60"/>
      <c r="B9418" s="77"/>
      <c r="C9418" s="60"/>
      <c r="D9418" s="81"/>
      <c r="E9418" s="62"/>
      <c r="F9418" s="60"/>
      <c r="G9418" s="62"/>
      <c r="H9418" s="60"/>
    </row>
    <row r="9419" spans="1:8">
      <c r="A9419" s="60"/>
      <c r="B9419" s="77"/>
      <c r="C9419" s="60"/>
      <c r="D9419" s="81"/>
      <c r="E9419" s="62"/>
      <c r="F9419" s="60"/>
      <c r="G9419" s="62"/>
      <c r="H9419" s="60"/>
    </row>
    <row r="9420" spans="1:8">
      <c r="A9420" s="60"/>
      <c r="B9420" s="77"/>
      <c r="C9420" s="60"/>
      <c r="D9420" s="81"/>
      <c r="E9420" s="62"/>
      <c r="F9420" s="60"/>
      <c r="G9420" s="62"/>
      <c r="H9420" s="60"/>
    </row>
    <row r="9421" spans="1:8">
      <c r="A9421" s="60"/>
      <c r="B9421" s="77"/>
      <c r="C9421" s="60"/>
      <c r="D9421" s="81"/>
      <c r="E9421" s="62"/>
      <c r="F9421" s="60"/>
      <c r="G9421" s="62"/>
      <c r="H9421" s="60"/>
    </row>
    <row r="9422" spans="1:8">
      <c r="A9422" s="60"/>
      <c r="B9422" s="77"/>
      <c r="C9422" s="60"/>
      <c r="D9422" s="81"/>
      <c r="E9422" s="62"/>
      <c r="F9422" s="60"/>
      <c r="G9422" s="62"/>
      <c r="H9422" s="60"/>
    </row>
    <row r="9423" spans="1:8">
      <c r="A9423" s="60"/>
      <c r="B9423" s="77"/>
      <c r="C9423" s="60"/>
      <c r="D9423" s="81"/>
      <c r="E9423" s="62"/>
      <c r="F9423" s="60"/>
      <c r="G9423" s="62"/>
      <c r="H9423" s="60"/>
    </row>
    <row r="9424" spans="1:8">
      <c r="A9424" s="60"/>
      <c r="B9424" s="77"/>
      <c r="C9424" s="60"/>
      <c r="D9424" s="81"/>
      <c r="E9424" s="62"/>
      <c r="F9424" s="60"/>
      <c r="G9424" s="62"/>
      <c r="H9424" s="60"/>
    </row>
    <row r="9425" spans="1:8">
      <c r="A9425" s="60"/>
      <c r="B9425" s="77"/>
      <c r="C9425" s="60"/>
      <c r="D9425" s="81"/>
      <c r="E9425" s="62"/>
      <c r="F9425" s="60"/>
      <c r="G9425" s="62"/>
      <c r="H9425" s="60"/>
    </row>
    <row r="9426" spans="1:8">
      <c r="A9426" s="60"/>
      <c r="B9426" s="77"/>
      <c r="C9426" s="60"/>
      <c r="D9426" s="81"/>
      <c r="E9426" s="62"/>
      <c r="F9426" s="60"/>
      <c r="G9426" s="62"/>
      <c r="H9426" s="60"/>
    </row>
    <row r="9427" spans="1:8">
      <c r="A9427" s="60"/>
      <c r="B9427" s="77"/>
      <c r="C9427" s="60"/>
      <c r="D9427" s="81"/>
      <c r="E9427" s="62"/>
      <c r="F9427" s="60"/>
      <c r="G9427" s="62"/>
      <c r="H9427" s="60"/>
    </row>
    <row r="9428" spans="1:8">
      <c r="A9428" s="60"/>
      <c r="B9428" s="77"/>
      <c r="C9428" s="60"/>
      <c r="D9428" s="81"/>
      <c r="E9428" s="62"/>
      <c r="F9428" s="60"/>
      <c r="G9428" s="62"/>
      <c r="H9428" s="60"/>
    </row>
    <row r="9429" spans="1:8">
      <c r="A9429" s="60"/>
      <c r="B9429" s="77"/>
      <c r="C9429" s="60"/>
      <c r="D9429" s="81"/>
      <c r="E9429" s="62"/>
      <c r="F9429" s="60"/>
      <c r="G9429" s="62"/>
      <c r="H9429" s="60"/>
    </row>
    <row r="9430" spans="1:8">
      <c r="A9430" s="60"/>
      <c r="B9430" s="77"/>
      <c r="C9430" s="60"/>
      <c r="D9430" s="81"/>
      <c r="E9430" s="62"/>
      <c r="F9430" s="60"/>
      <c r="G9430" s="62"/>
      <c r="H9430" s="60"/>
    </row>
    <row r="9431" spans="1:8">
      <c r="A9431" s="60"/>
      <c r="B9431" s="77"/>
      <c r="C9431" s="60"/>
      <c r="D9431" s="81"/>
      <c r="E9431" s="62"/>
      <c r="F9431" s="60"/>
      <c r="G9431" s="62"/>
      <c r="H9431" s="60"/>
    </row>
    <row r="9432" spans="1:8">
      <c r="A9432" s="60"/>
      <c r="B9432" s="77"/>
      <c r="C9432" s="60"/>
      <c r="D9432" s="81"/>
      <c r="E9432" s="62"/>
      <c r="F9432" s="60"/>
      <c r="G9432" s="62"/>
      <c r="H9432" s="60"/>
    </row>
    <row r="9433" spans="1:8">
      <c r="A9433" s="60"/>
      <c r="B9433" s="77"/>
      <c r="C9433" s="60"/>
      <c r="D9433" s="81"/>
      <c r="E9433" s="62"/>
      <c r="F9433" s="60"/>
      <c r="G9433" s="62"/>
      <c r="H9433" s="60"/>
    </row>
    <row r="9434" spans="1:8">
      <c r="A9434" s="60"/>
      <c r="B9434" s="77"/>
      <c r="C9434" s="60"/>
      <c r="D9434" s="81"/>
      <c r="E9434" s="62"/>
      <c r="F9434" s="60"/>
      <c r="G9434" s="62"/>
      <c r="H9434" s="60"/>
    </row>
    <row r="9435" spans="1:8">
      <c r="A9435" s="60"/>
      <c r="B9435" s="77"/>
      <c r="C9435" s="60"/>
      <c r="D9435" s="81"/>
      <c r="E9435" s="62"/>
      <c r="F9435" s="60"/>
      <c r="G9435" s="62"/>
      <c r="H9435" s="60"/>
    </row>
    <row r="9436" spans="1:8">
      <c r="A9436" s="60"/>
      <c r="B9436" s="77"/>
      <c r="C9436" s="60"/>
      <c r="D9436" s="81"/>
      <c r="E9436" s="62"/>
      <c r="F9436" s="60"/>
      <c r="G9436" s="62"/>
      <c r="H9436" s="60"/>
    </row>
    <row r="9437" spans="1:8">
      <c r="A9437" s="60"/>
      <c r="B9437" s="77"/>
      <c r="C9437" s="60"/>
      <c r="D9437" s="81"/>
      <c r="E9437" s="62"/>
      <c r="F9437" s="60"/>
      <c r="G9437" s="62"/>
      <c r="H9437" s="60"/>
    </row>
    <row r="9438" spans="1:8">
      <c r="A9438" s="60"/>
      <c r="B9438" s="77"/>
      <c r="C9438" s="60"/>
      <c r="D9438" s="81"/>
      <c r="E9438" s="62"/>
      <c r="F9438" s="60"/>
      <c r="G9438" s="62"/>
      <c r="H9438" s="60"/>
    </row>
    <row r="9439" spans="1:8">
      <c r="A9439" s="60"/>
      <c r="B9439" s="77"/>
      <c r="C9439" s="60"/>
      <c r="D9439" s="81"/>
      <c r="E9439" s="62"/>
      <c r="F9439" s="60"/>
      <c r="G9439" s="62"/>
      <c r="H9439" s="60"/>
    </row>
    <row r="9440" spans="1:8">
      <c r="A9440" s="60"/>
      <c r="B9440" s="77"/>
      <c r="C9440" s="60"/>
      <c r="D9440" s="81"/>
      <c r="E9440" s="62"/>
      <c r="F9440" s="60"/>
      <c r="G9440" s="62"/>
      <c r="H9440" s="60"/>
    </row>
    <row r="9441" spans="1:8">
      <c r="A9441" s="60"/>
      <c r="B9441" s="77"/>
      <c r="C9441" s="60"/>
      <c r="D9441" s="81"/>
      <c r="E9441" s="62"/>
      <c r="F9441" s="60"/>
      <c r="G9441" s="62"/>
      <c r="H9441" s="60"/>
    </row>
    <row r="9442" spans="1:8">
      <c r="A9442" s="60"/>
      <c r="B9442" s="77"/>
      <c r="C9442" s="60"/>
      <c r="D9442" s="81"/>
      <c r="E9442" s="62"/>
      <c r="F9442" s="60"/>
      <c r="G9442" s="62"/>
      <c r="H9442" s="60"/>
    </row>
    <row r="9443" spans="1:8">
      <c r="A9443" s="60"/>
      <c r="B9443" s="77"/>
      <c r="C9443" s="60"/>
      <c r="D9443" s="81"/>
      <c r="E9443" s="62"/>
      <c r="F9443" s="60"/>
      <c r="G9443" s="62"/>
      <c r="H9443" s="60"/>
    </row>
    <row r="9444" spans="1:8">
      <c r="A9444" s="60"/>
      <c r="B9444" s="77"/>
      <c r="C9444" s="60"/>
      <c r="D9444" s="81"/>
      <c r="E9444" s="62"/>
      <c r="F9444" s="60"/>
      <c r="G9444" s="62"/>
      <c r="H9444" s="60"/>
    </row>
    <row r="9445" spans="1:8">
      <c r="A9445" s="60"/>
      <c r="B9445" s="77"/>
      <c r="C9445" s="60"/>
      <c r="D9445" s="81"/>
      <c r="E9445" s="62"/>
      <c r="F9445" s="60"/>
      <c r="G9445" s="62"/>
      <c r="H9445" s="60"/>
    </row>
    <row r="9446" spans="1:8">
      <c r="A9446" s="60"/>
      <c r="B9446" s="77"/>
      <c r="C9446" s="60"/>
      <c r="D9446" s="81"/>
      <c r="E9446" s="62"/>
      <c r="F9446" s="60"/>
      <c r="G9446" s="62"/>
      <c r="H9446" s="60"/>
    </row>
    <row r="9447" spans="1:8">
      <c r="A9447" s="60"/>
      <c r="B9447" s="77"/>
      <c r="C9447" s="60"/>
      <c r="D9447" s="81"/>
      <c r="E9447" s="62"/>
      <c r="F9447" s="60"/>
      <c r="G9447" s="62"/>
      <c r="H9447" s="60"/>
    </row>
    <row r="9448" spans="1:8">
      <c r="A9448" s="60"/>
      <c r="B9448" s="77"/>
      <c r="C9448" s="60"/>
      <c r="D9448" s="81"/>
      <c r="E9448" s="62"/>
      <c r="F9448" s="60"/>
      <c r="G9448" s="62"/>
      <c r="H9448" s="60"/>
    </row>
    <row r="9449" spans="1:8">
      <c r="A9449" s="60"/>
      <c r="B9449" s="77"/>
      <c r="C9449" s="60"/>
      <c r="D9449" s="81"/>
      <c r="E9449" s="62"/>
      <c r="F9449" s="60"/>
      <c r="G9449" s="62"/>
      <c r="H9449" s="60"/>
    </row>
    <row r="9450" spans="1:8">
      <c r="A9450" s="60"/>
      <c r="B9450" s="77"/>
      <c r="C9450" s="60"/>
      <c r="D9450" s="81"/>
      <c r="E9450" s="62"/>
      <c r="F9450" s="60"/>
      <c r="G9450" s="62"/>
      <c r="H9450" s="60"/>
    </row>
    <row r="9451" spans="1:8">
      <c r="A9451" s="60"/>
      <c r="B9451" s="77"/>
      <c r="C9451" s="60"/>
      <c r="D9451" s="81"/>
      <c r="E9451" s="62"/>
      <c r="F9451" s="60"/>
      <c r="G9451" s="62"/>
      <c r="H9451" s="60"/>
    </row>
    <row r="9452" spans="1:8">
      <c r="A9452" s="60"/>
      <c r="B9452" s="77"/>
      <c r="C9452" s="60"/>
      <c r="D9452" s="81"/>
      <c r="E9452" s="62"/>
      <c r="F9452" s="60"/>
      <c r="G9452" s="62"/>
      <c r="H9452" s="60"/>
    </row>
    <row r="9453" spans="1:8">
      <c r="A9453" s="60"/>
      <c r="B9453" s="77"/>
      <c r="C9453" s="60"/>
      <c r="D9453" s="81"/>
      <c r="E9453" s="62"/>
      <c r="F9453" s="60"/>
      <c r="G9453" s="62"/>
      <c r="H9453" s="60"/>
    </row>
    <row r="9454" spans="1:8">
      <c r="A9454" s="60"/>
      <c r="B9454" s="77"/>
      <c r="C9454" s="60"/>
      <c r="D9454" s="81"/>
      <c r="E9454" s="62"/>
      <c r="F9454" s="60"/>
      <c r="G9454" s="62"/>
      <c r="H9454" s="60"/>
    </row>
    <row r="9455" spans="1:8">
      <c r="A9455" s="60"/>
      <c r="B9455" s="77"/>
      <c r="C9455" s="60"/>
      <c r="D9455" s="81"/>
      <c r="E9455" s="62"/>
      <c r="F9455" s="60"/>
      <c r="G9455" s="62"/>
      <c r="H9455" s="60"/>
    </row>
    <row r="9456" spans="1:8">
      <c r="A9456" s="60"/>
      <c r="B9456" s="77"/>
      <c r="C9456" s="60"/>
      <c r="D9456" s="81"/>
      <c r="E9456" s="62"/>
      <c r="F9456" s="60"/>
      <c r="G9456" s="62"/>
      <c r="H9456" s="60"/>
    </row>
    <row r="9457" spans="1:8">
      <c r="A9457" s="60"/>
      <c r="B9457" s="77"/>
      <c r="C9457" s="60"/>
      <c r="D9457" s="81"/>
      <c r="E9457" s="62"/>
      <c r="F9457" s="60"/>
      <c r="G9457" s="62"/>
      <c r="H9457" s="60"/>
    </row>
    <row r="9458" spans="1:8">
      <c r="A9458" s="60"/>
      <c r="B9458" s="77"/>
      <c r="C9458" s="60"/>
      <c r="D9458" s="81"/>
      <c r="E9458" s="62"/>
      <c r="F9458" s="60"/>
      <c r="G9458" s="62"/>
      <c r="H9458" s="60"/>
    </row>
    <row r="9459" spans="1:8">
      <c r="A9459" s="60"/>
      <c r="B9459" s="77"/>
      <c r="C9459" s="60"/>
      <c r="D9459" s="81"/>
      <c r="E9459" s="62"/>
      <c r="F9459" s="60"/>
      <c r="G9459" s="62"/>
      <c r="H9459" s="60"/>
    </row>
    <row r="9460" spans="1:8">
      <c r="A9460" s="60"/>
      <c r="B9460" s="77"/>
      <c r="C9460" s="60"/>
      <c r="D9460" s="81"/>
      <c r="E9460" s="62"/>
      <c r="F9460" s="60"/>
      <c r="G9460" s="62"/>
      <c r="H9460" s="60"/>
    </row>
    <row r="9461" spans="1:8">
      <c r="A9461" s="60"/>
      <c r="B9461" s="77"/>
      <c r="C9461" s="60"/>
      <c r="D9461" s="81"/>
      <c r="E9461" s="62"/>
      <c r="F9461" s="60"/>
      <c r="G9461" s="62"/>
      <c r="H9461" s="60"/>
    </row>
    <row r="9462" spans="1:8">
      <c r="A9462" s="60"/>
      <c r="B9462" s="77"/>
      <c r="C9462" s="60"/>
      <c r="D9462" s="81"/>
      <c r="E9462" s="62"/>
      <c r="F9462" s="60"/>
      <c r="G9462" s="62"/>
      <c r="H9462" s="60"/>
    </row>
    <row r="9463" spans="1:8">
      <c r="A9463" s="60"/>
      <c r="B9463" s="77"/>
      <c r="C9463" s="60"/>
      <c r="D9463" s="81"/>
      <c r="E9463" s="62"/>
      <c r="F9463" s="60"/>
      <c r="G9463" s="62"/>
      <c r="H9463" s="60"/>
    </row>
    <row r="9464" spans="1:8">
      <c r="A9464" s="60"/>
      <c r="B9464" s="77"/>
      <c r="C9464" s="60"/>
      <c r="D9464" s="81"/>
      <c r="E9464" s="62"/>
      <c r="F9464" s="60"/>
      <c r="G9464" s="62"/>
      <c r="H9464" s="60"/>
    </row>
    <row r="9465" spans="1:8">
      <c r="A9465" s="60"/>
      <c r="B9465" s="77"/>
      <c r="C9465" s="60"/>
      <c r="D9465" s="81"/>
      <c r="E9465" s="62"/>
      <c r="F9465" s="60"/>
      <c r="G9465" s="62"/>
      <c r="H9465" s="60"/>
    </row>
    <row r="9466" spans="1:8">
      <c r="A9466" s="60"/>
      <c r="B9466" s="77"/>
      <c r="C9466" s="60"/>
      <c r="D9466" s="81"/>
      <c r="E9466" s="62"/>
      <c r="F9466" s="60"/>
      <c r="G9466" s="62"/>
      <c r="H9466" s="60"/>
    </row>
    <row r="9467" spans="1:8">
      <c r="A9467" s="60"/>
      <c r="B9467" s="77"/>
      <c r="C9467" s="60"/>
      <c r="D9467" s="81"/>
      <c r="E9467" s="62"/>
      <c r="F9467" s="60"/>
      <c r="G9467" s="62"/>
      <c r="H9467" s="60"/>
    </row>
    <row r="9468" spans="1:8">
      <c r="A9468" s="60"/>
      <c r="B9468" s="77"/>
      <c r="C9468" s="60"/>
      <c r="D9468" s="81"/>
      <c r="E9468" s="62"/>
      <c r="F9468" s="60"/>
      <c r="G9468" s="62"/>
      <c r="H9468" s="60"/>
    </row>
    <row r="9469" spans="1:8">
      <c r="A9469" s="60"/>
      <c r="B9469" s="77"/>
      <c r="C9469" s="60"/>
      <c r="D9469" s="81"/>
      <c r="E9469" s="62"/>
      <c r="F9469" s="60"/>
      <c r="G9469" s="62"/>
      <c r="H9469" s="60"/>
    </row>
    <row r="9470" spans="1:8">
      <c r="A9470" s="60"/>
      <c r="B9470" s="77"/>
      <c r="C9470" s="60"/>
      <c r="D9470" s="81"/>
      <c r="E9470" s="62"/>
      <c r="F9470" s="60"/>
      <c r="G9470" s="62"/>
      <c r="H9470" s="60"/>
    </row>
    <row r="9471" spans="1:8">
      <c r="A9471" s="60"/>
      <c r="B9471" s="77"/>
      <c r="C9471" s="60"/>
      <c r="D9471" s="81"/>
      <c r="E9471" s="62"/>
      <c r="F9471" s="60"/>
      <c r="G9471" s="62"/>
      <c r="H9471" s="60"/>
    </row>
    <row r="9472" spans="1:8">
      <c r="A9472" s="60"/>
      <c r="B9472" s="77"/>
      <c r="C9472" s="60"/>
      <c r="D9472" s="81"/>
      <c r="E9472" s="62"/>
      <c r="F9472" s="60"/>
      <c r="G9472" s="62"/>
      <c r="H9472" s="60"/>
    </row>
    <row r="9473" spans="1:8">
      <c r="A9473" s="60"/>
      <c r="B9473" s="77"/>
      <c r="C9473" s="60"/>
      <c r="D9473" s="81"/>
      <c r="E9473" s="62"/>
      <c r="F9473" s="60"/>
      <c r="G9473" s="62"/>
      <c r="H9473" s="60"/>
    </row>
    <row r="9474" spans="1:8">
      <c r="A9474" s="60"/>
      <c r="B9474" s="77"/>
      <c r="C9474" s="60"/>
      <c r="D9474" s="81"/>
      <c r="E9474" s="62"/>
      <c r="F9474" s="60"/>
      <c r="G9474" s="62"/>
      <c r="H9474" s="60"/>
    </row>
    <row r="9475" spans="1:8">
      <c r="A9475" s="60"/>
      <c r="B9475" s="77"/>
      <c r="C9475" s="60"/>
      <c r="D9475" s="81"/>
      <c r="E9475" s="62"/>
      <c r="F9475" s="60"/>
      <c r="G9475" s="62"/>
      <c r="H9475" s="60"/>
    </row>
    <row r="9476" spans="1:8">
      <c r="A9476" s="60"/>
      <c r="B9476" s="77"/>
      <c r="C9476" s="60"/>
      <c r="D9476" s="81"/>
      <c r="E9476" s="62"/>
      <c r="F9476" s="60"/>
      <c r="G9476" s="62"/>
      <c r="H9476" s="60"/>
    </row>
    <row r="9477" spans="1:8">
      <c r="A9477" s="60"/>
      <c r="B9477" s="77"/>
      <c r="C9477" s="60"/>
      <c r="D9477" s="81"/>
      <c r="E9477" s="62"/>
      <c r="F9477" s="60"/>
      <c r="G9477" s="62"/>
      <c r="H9477" s="60"/>
    </row>
    <row r="9478" spans="1:8">
      <c r="A9478" s="60"/>
      <c r="B9478" s="77"/>
      <c r="C9478" s="60"/>
      <c r="D9478" s="81"/>
      <c r="E9478" s="62"/>
      <c r="F9478" s="60"/>
      <c r="G9478" s="62"/>
      <c r="H9478" s="60"/>
    </row>
    <row r="9479" spans="1:8">
      <c r="A9479" s="60"/>
      <c r="B9479" s="77"/>
      <c r="C9479" s="60"/>
      <c r="D9479" s="81"/>
      <c r="E9479" s="62"/>
      <c r="F9479" s="60"/>
      <c r="G9479" s="62"/>
      <c r="H9479" s="60"/>
    </row>
    <row r="9480" spans="1:8">
      <c r="A9480" s="60"/>
      <c r="B9480" s="77"/>
      <c r="C9480" s="60"/>
      <c r="D9480" s="81"/>
      <c r="E9480" s="62"/>
      <c r="F9480" s="60"/>
      <c r="G9480" s="62"/>
      <c r="H9480" s="60"/>
    </row>
    <row r="9481" spans="1:8">
      <c r="A9481" s="60"/>
      <c r="B9481" s="77"/>
      <c r="C9481" s="60"/>
      <c r="D9481" s="81"/>
      <c r="E9481" s="62"/>
      <c r="F9481" s="60"/>
      <c r="G9481" s="62"/>
      <c r="H9481" s="60"/>
    </row>
    <row r="9482" spans="1:8">
      <c r="A9482" s="60"/>
      <c r="B9482" s="77"/>
      <c r="C9482" s="60"/>
      <c r="D9482" s="81"/>
      <c r="E9482" s="62"/>
      <c r="F9482" s="60"/>
      <c r="G9482" s="62"/>
      <c r="H9482" s="60"/>
    </row>
    <row r="9483" spans="1:8">
      <c r="A9483" s="60"/>
      <c r="B9483" s="77"/>
      <c r="C9483" s="60"/>
      <c r="D9483" s="81"/>
      <c r="E9483" s="62"/>
      <c r="F9483" s="60"/>
      <c r="G9483" s="62"/>
      <c r="H9483" s="60"/>
    </row>
    <row r="9484" spans="1:8">
      <c r="A9484" s="60"/>
      <c r="B9484" s="77"/>
      <c r="C9484" s="60"/>
      <c r="D9484" s="81"/>
      <c r="E9484" s="62"/>
      <c r="F9484" s="60"/>
      <c r="G9484" s="62"/>
      <c r="H9484" s="60"/>
    </row>
    <row r="9485" spans="1:8">
      <c r="A9485" s="60"/>
      <c r="B9485" s="77"/>
      <c r="C9485" s="60"/>
      <c r="D9485" s="81"/>
      <c r="E9485" s="62"/>
      <c r="F9485" s="60"/>
      <c r="G9485" s="62"/>
      <c r="H9485" s="60"/>
    </row>
    <row r="9486" spans="1:8">
      <c r="A9486" s="60"/>
      <c r="B9486" s="77"/>
      <c r="C9486" s="60"/>
      <c r="D9486" s="81"/>
      <c r="E9486" s="62"/>
      <c r="F9486" s="60"/>
      <c r="G9486" s="62"/>
      <c r="H9486" s="60"/>
    </row>
    <row r="9487" spans="1:8">
      <c r="A9487" s="60"/>
      <c r="B9487" s="77"/>
      <c r="C9487" s="60"/>
      <c r="D9487" s="81"/>
      <c r="E9487" s="62"/>
      <c r="F9487" s="60"/>
      <c r="G9487" s="62"/>
      <c r="H9487" s="60"/>
    </row>
    <row r="9488" spans="1:8">
      <c r="A9488" s="60"/>
      <c r="B9488" s="77"/>
      <c r="C9488" s="60"/>
      <c r="D9488" s="81"/>
      <c r="E9488" s="62"/>
      <c r="F9488" s="60"/>
      <c r="G9488" s="62"/>
      <c r="H9488" s="60"/>
    </row>
    <row r="9489" spans="1:8">
      <c r="A9489" s="60"/>
      <c r="B9489" s="77"/>
      <c r="C9489" s="60"/>
      <c r="D9489" s="81"/>
      <c r="E9489" s="62"/>
      <c r="F9489" s="60"/>
      <c r="G9489" s="62"/>
      <c r="H9489" s="60"/>
    </row>
    <row r="9490" spans="1:8">
      <c r="A9490" s="60"/>
      <c r="B9490" s="77"/>
      <c r="C9490" s="60"/>
      <c r="D9490" s="81"/>
      <c r="E9490" s="62"/>
      <c r="F9490" s="60"/>
      <c r="G9490" s="62"/>
      <c r="H9490" s="60"/>
    </row>
    <row r="9491" spans="1:8">
      <c r="A9491" s="60"/>
      <c r="B9491" s="77"/>
      <c r="C9491" s="60"/>
      <c r="D9491" s="81"/>
      <c r="E9491" s="62"/>
      <c r="F9491" s="60"/>
      <c r="G9491" s="62"/>
      <c r="H9491" s="60"/>
    </row>
    <row r="9492" spans="1:8">
      <c r="A9492" s="60"/>
      <c r="B9492" s="77"/>
      <c r="C9492" s="60"/>
      <c r="D9492" s="81"/>
      <c r="E9492" s="62"/>
      <c r="F9492" s="60"/>
      <c r="G9492" s="62"/>
      <c r="H9492" s="60"/>
    </row>
    <row r="9493" spans="1:8">
      <c r="A9493" s="60"/>
      <c r="B9493" s="77"/>
      <c r="C9493" s="60"/>
      <c r="D9493" s="81"/>
      <c r="E9493" s="62"/>
      <c r="F9493" s="60"/>
      <c r="G9493" s="62"/>
      <c r="H9493" s="60"/>
    </row>
    <row r="9494" spans="1:8">
      <c r="A9494" s="60"/>
      <c r="B9494" s="77"/>
      <c r="C9494" s="60"/>
      <c r="D9494" s="81"/>
      <c r="E9494" s="62"/>
      <c r="F9494" s="60"/>
      <c r="G9494" s="62"/>
      <c r="H9494" s="60"/>
    </row>
    <row r="9495" spans="1:8">
      <c r="A9495" s="60"/>
      <c r="B9495" s="77"/>
      <c r="C9495" s="60"/>
      <c r="D9495" s="81"/>
      <c r="E9495" s="62"/>
      <c r="F9495" s="60"/>
      <c r="G9495" s="62"/>
      <c r="H9495" s="60"/>
    </row>
    <row r="9496" spans="1:8">
      <c r="A9496" s="60"/>
      <c r="B9496" s="77"/>
      <c r="C9496" s="60"/>
      <c r="D9496" s="81"/>
      <c r="E9496" s="62"/>
      <c r="F9496" s="60"/>
      <c r="G9496" s="62"/>
      <c r="H9496" s="60"/>
    </row>
    <row r="9497" spans="1:8">
      <c r="A9497" s="60"/>
      <c r="B9497" s="77"/>
      <c r="C9497" s="60"/>
      <c r="D9497" s="81"/>
      <c r="E9497" s="62"/>
      <c r="F9497" s="60"/>
      <c r="G9497" s="62"/>
      <c r="H9497" s="60"/>
    </row>
    <row r="9498" spans="1:8">
      <c r="A9498" s="60"/>
      <c r="B9498" s="77"/>
      <c r="C9498" s="60"/>
      <c r="D9498" s="81"/>
      <c r="E9498" s="62"/>
      <c r="F9498" s="60"/>
      <c r="G9498" s="62"/>
      <c r="H9498" s="60"/>
    </row>
    <row r="9499" spans="1:8">
      <c r="A9499" s="60"/>
      <c r="B9499" s="77"/>
      <c r="C9499" s="60"/>
      <c r="D9499" s="81"/>
      <c r="E9499" s="62"/>
      <c r="F9499" s="60"/>
      <c r="G9499" s="62"/>
      <c r="H9499" s="60"/>
    </row>
    <row r="9500" spans="1:8">
      <c r="A9500" s="60"/>
      <c r="B9500" s="77"/>
      <c r="C9500" s="60"/>
      <c r="D9500" s="81"/>
      <c r="E9500" s="62"/>
      <c r="F9500" s="60"/>
      <c r="G9500" s="62"/>
      <c r="H9500" s="60"/>
    </row>
    <row r="9501" spans="1:8">
      <c r="A9501" s="60"/>
      <c r="B9501" s="77"/>
      <c r="C9501" s="60"/>
      <c r="D9501" s="81"/>
      <c r="E9501" s="62"/>
      <c r="F9501" s="60"/>
      <c r="G9501" s="62"/>
      <c r="H9501" s="60"/>
    </row>
    <row r="9502" spans="1:8">
      <c r="A9502" s="60"/>
      <c r="B9502" s="77"/>
      <c r="C9502" s="60"/>
      <c r="D9502" s="81"/>
      <c r="E9502" s="62"/>
      <c r="F9502" s="60"/>
      <c r="G9502" s="62"/>
      <c r="H9502" s="60"/>
    </row>
    <row r="9503" spans="1:8">
      <c r="A9503" s="60"/>
      <c r="B9503" s="77"/>
      <c r="C9503" s="60"/>
      <c r="D9503" s="81"/>
      <c r="E9503" s="62"/>
      <c r="F9503" s="60"/>
      <c r="G9503" s="62"/>
      <c r="H9503" s="60"/>
    </row>
    <row r="9504" spans="1:8">
      <c r="A9504" s="60"/>
      <c r="B9504" s="77"/>
      <c r="C9504" s="60"/>
      <c r="D9504" s="81"/>
      <c r="E9504" s="62"/>
      <c r="F9504" s="60"/>
      <c r="G9504" s="62"/>
      <c r="H9504" s="60"/>
    </row>
    <row r="9505" spans="1:8">
      <c r="A9505" s="60"/>
      <c r="B9505" s="77"/>
      <c r="C9505" s="60"/>
      <c r="D9505" s="81"/>
      <c r="E9505" s="62"/>
      <c r="F9505" s="60"/>
      <c r="G9505" s="62"/>
      <c r="H9505" s="60"/>
    </row>
    <row r="9506" spans="1:8">
      <c r="A9506" s="60"/>
      <c r="B9506" s="77"/>
      <c r="C9506" s="60"/>
      <c r="D9506" s="81"/>
      <c r="E9506" s="62"/>
      <c r="F9506" s="60"/>
      <c r="G9506" s="62"/>
      <c r="H9506" s="60"/>
    </row>
    <row r="9507" spans="1:8">
      <c r="A9507" s="60"/>
      <c r="B9507" s="77"/>
      <c r="C9507" s="60"/>
      <c r="D9507" s="81"/>
      <c r="E9507" s="62"/>
      <c r="F9507" s="60"/>
      <c r="G9507" s="62"/>
      <c r="H9507" s="60"/>
    </row>
    <row r="9508" spans="1:8">
      <c r="A9508" s="60"/>
      <c r="B9508" s="77"/>
      <c r="C9508" s="60"/>
      <c r="D9508" s="81"/>
      <c r="E9508" s="62"/>
      <c r="F9508" s="60"/>
      <c r="G9508" s="62"/>
      <c r="H9508" s="60"/>
    </row>
    <row r="9509" spans="1:8">
      <c r="A9509" s="60"/>
      <c r="B9509" s="77"/>
      <c r="C9509" s="60"/>
      <c r="D9509" s="81"/>
      <c r="E9509" s="62"/>
      <c r="F9509" s="60"/>
      <c r="G9509" s="62"/>
      <c r="H9509" s="60"/>
    </row>
    <row r="9510" spans="1:8">
      <c r="A9510" s="60"/>
      <c r="B9510" s="77"/>
      <c r="C9510" s="60"/>
      <c r="D9510" s="81"/>
      <c r="E9510" s="62"/>
      <c r="F9510" s="60"/>
      <c r="G9510" s="62"/>
      <c r="H9510" s="60"/>
    </row>
    <row r="9511" spans="1:8">
      <c r="A9511" s="60"/>
      <c r="B9511" s="77"/>
      <c r="C9511" s="60"/>
      <c r="D9511" s="81"/>
      <c r="E9511" s="62"/>
      <c r="F9511" s="60"/>
      <c r="G9511" s="62"/>
      <c r="H9511" s="60"/>
    </row>
    <row r="9512" spans="1:8">
      <c r="A9512" s="60"/>
      <c r="B9512" s="77"/>
      <c r="C9512" s="60"/>
      <c r="D9512" s="81"/>
      <c r="E9512" s="62"/>
      <c r="F9512" s="60"/>
      <c r="G9512" s="62"/>
      <c r="H9512" s="60"/>
    </row>
    <row r="9513" spans="1:8">
      <c r="A9513" s="60"/>
      <c r="B9513" s="77"/>
      <c r="C9513" s="60"/>
      <c r="D9513" s="81"/>
      <c r="E9513" s="62"/>
      <c r="F9513" s="60"/>
      <c r="G9513" s="62"/>
      <c r="H9513" s="60"/>
    </row>
    <row r="9514" spans="1:8">
      <c r="A9514" s="60"/>
      <c r="B9514" s="77"/>
      <c r="C9514" s="60"/>
      <c r="D9514" s="81"/>
      <c r="E9514" s="62"/>
      <c r="F9514" s="60"/>
      <c r="G9514" s="62"/>
      <c r="H9514" s="60"/>
    </row>
    <row r="9515" spans="1:8">
      <c r="A9515" s="60"/>
      <c r="B9515" s="77"/>
      <c r="C9515" s="60"/>
      <c r="D9515" s="81"/>
      <c r="E9515" s="62"/>
      <c r="F9515" s="60"/>
      <c r="G9515" s="62"/>
      <c r="H9515" s="60"/>
    </row>
    <row r="9516" spans="1:8">
      <c r="A9516" s="60"/>
      <c r="B9516" s="77"/>
      <c r="C9516" s="60"/>
      <c r="D9516" s="81"/>
      <c r="E9516" s="62"/>
      <c r="F9516" s="60"/>
      <c r="G9516" s="62"/>
      <c r="H9516" s="60"/>
    </row>
    <row r="9517" spans="1:8">
      <c r="A9517" s="60"/>
      <c r="B9517" s="77"/>
      <c r="C9517" s="60"/>
      <c r="D9517" s="81"/>
      <c r="E9517" s="62"/>
      <c r="F9517" s="60"/>
      <c r="G9517" s="62"/>
      <c r="H9517" s="60"/>
    </row>
    <row r="9518" spans="1:8">
      <c r="A9518" s="60"/>
      <c r="B9518" s="77"/>
      <c r="C9518" s="60"/>
      <c r="D9518" s="81"/>
      <c r="E9518" s="62"/>
      <c r="F9518" s="60"/>
      <c r="G9518" s="62"/>
      <c r="H9518" s="60"/>
    </row>
    <row r="9519" spans="1:8">
      <c r="A9519" s="60"/>
      <c r="B9519" s="77"/>
      <c r="C9519" s="60"/>
      <c r="D9519" s="81"/>
      <c r="E9519" s="62"/>
      <c r="F9519" s="60"/>
      <c r="G9519" s="62"/>
      <c r="H9519" s="60"/>
    </row>
    <row r="9520" spans="1:8">
      <c r="A9520" s="60"/>
      <c r="B9520" s="77"/>
      <c r="C9520" s="60"/>
      <c r="D9520" s="81"/>
      <c r="E9520" s="62"/>
      <c r="F9520" s="60"/>
      <c r="G9520" s="62"/>
      <c r="H9520" s="60"/>
    </row>
    <row r="9521" spans="1:8">
      <c r="A9521" s="60"/>
      <c r="B9521" s="77"/>
      <c r="C9521" s="60"/>
      <c r="D9521" s="81"/>
      <c r="E9521" s="62"/>
      <c r="F9521" s="60"/>
      <c r="G9521" s="62"/>
      <c r="H9521" s="60"/>
    </row>
    <row r="9522" spans="1:8">
      <c r="A9522" s="60"/>
      <c r="B9522" s="77"/>
      <c r="C9522" s="60"/>
      <c r="D9522" s="81"/>
      <c r="E9522" s="62"/>
      <c r="F9522" s="60"/>
      <c r="G9522" s="62"/>
      <c r="H9522" s="60"/>
    </row>
    <row r="9523" spans="1:8">
      <c r="A9523" s="60"/>
      <c r="B9523" s="77"/>
      <c r="C9523" s="60"/>
      <c r="D9523" s="81"/>
      <c r="E9523" s="62"/>
      <c r="F9523" s="60"/>
      <c r="G9523" s="62"/>
      <c r="H9523" s="60"/>
    </row>
    <row r="9524" spans="1:8">
      <c r="A9524" s="60"/>
      <c r="B9524" s="77"/>
      <c r="C9524" s="60"/>
      <c r="D9524" s="81"/>
      <c r="E9524" s="62"/>
      <c r="F9524" s="60"/>
      <c r="G9524" s="62"/>
      <c r="H9524" s="60"/>
    </row>
    <row r="9525" spans="1:8">
      <c r="A9525" s="60"/>
      <c r="B9525" s="77"/>
      <c r="C9525" s="60"/>
      <c r="D9525" s="81"/>
      <c r="E9525" s="62"/>
      <c r="F9525" s="60"/>
      <c r="G9525" s="62"/>
      <c r="H9525" s="60"/>
    </row>
    <row r="9526" spans="1:8">
      <c r="A9526" s="60"/>
      <c r="B9526" s="77"/>
      <c r="C9526" s="60"/>
      <c r="D9526" s="81"/>
      <c r="E9526" s="62"/>
      <c r="F9526" s="60"/>
      <c r="G9526" s="62"/>
      <c r="H9526" s="60"/>
    </row>
    <row r="9527" spans="1:8">
      <c r="A9527" s="60"/>
      <c r="B9527" s="77"/>
      <c r="C9527" s="60"/>
      <c r="D9527" s="81"/>
      <c r="E9527" s="62"/>
      <c r="F9527" s="60"/>
      <c r="G9527" s="62"/>
      <c r="H9527" s="60"/>
    </row>
    <row r="9528" spans="1:8">
      <c r="A9528" s="60"/>
      <c r="B9528" s="77"/>
      <c r="C9528" s="60"/>
      <c r="D9528" s="81"/>
      <c r="E9528" s="62"/>
      <c r="F9528" s="60"/>
      <c r="G9528" s="62"/>
      <c r="H9528" s="60"/>
    </row>
    <row r="9529" spans="1:8">
      <c r="A9529" s="60"/>
      <c r="B9529" s="77"/>
      <c r="C9529" s="60"/>
      <c r="D9529" s="81"/>
      <c r="E9529" s="62"/>
      <c r="F9529" s="60"/>
      <c r="G9529" s="62"/>
      <c r="H9529" s="60"/>
    </row>
    <row r="9530" spans="1:8">
      <c r="A9530" s="60"/>
      <c r="B9530" s="77"/>
      <c r="C9530" s="60"/>
      <c r="D9530" s="81"/>
      <c r="E9530" s="62"/>
      <c r="F9530" s="60"/>
      <c r="G9530" s="62"/>
      <c r="H9530" s="60"/>
    </row>
    <row r="9531" spans="1:8">
      <c r="A9531" s="60"/>
      <c r="B9531" s="77"/>
      <c r="C9531" s="60"/>
      <c r="D9531" s="81"/>
      <c r="E9531" s="62"/>
      <c r="F9531" s="60"/>
      <c r="G9531" s="62"/>
      <c r="H9531" s="60"/>
    </row>
    <row r="9532" spans="1:8">
      <c r="A9532" s="60"/>
      <c r="B9532" s="77"/>
      <c r="C9532" s="60"/>
      <c r="D9532" s="81"/>
      <c r="E9532" s="62"/>
      <c r="F9532" s="60"/>
      <c r="G9532" s="62"/>
      <c r="H9532" s="60"/>
    </row>
    <row r="9533" spans="1:8">
      <c r="A9533" s="60"/>
      <c r="B9533" s="77"/>
      <c r="C9533" s="60"/>
      <c r="D9533" s="81"/>
      <c r="E9533" s="62"/>
      <c r="F9533" s="60"/>
      <c r="G9533" s="62"/>
      <c r="H9533" s="60"/>
    </row>
    <row r="9534" spans="1:8">
      <c r="A9534" s="60"/>
      <c r="B9534" s="77"/>
      <c r="C9534" s="60"/>
      <c r="D9534" s="81"/>
      <c r="E9534" s="62"/>
      <c r="F9534" s="60"/>
      <c r="G9534" s="62"/>
      <c r="H9534" s="60"/>
    </row>
    <row r="9535" spans="1:8">
      <c r="A9535" s="60"/>
      <c r="B9535" s="77"/>
      <c r="C9535" s="60"/>
      <c r="D9535" s="81"/>
      <c r="E9535" s="62"/>
      <c r="F9535" s="60"/>
      <c r="G9535" s="62"/>
      <c r="H9535" s="60"/>
    </row>
    <row r="9536" spans="1:8">
      <c r="A9536" s="60"/>
      <c r="B9536" s="77"/>
      <c r="C9536" s="60"/>
      <c r="D9536" s="81"/>
      <c r="E9536" s="62"/>
      <c r="F9536" s="60"/>
      <c r="G9536" s="62"/>
      <c r="H9536" s="60"/>
    </row>
    <row r="9537" spans="1:8">
      <c r="A9537" s="60"/>
      <c r="B9537" s="77"/>
      <c r="C9537" s="60"/>
      <c r="D9537" s="81"/>
      <c r="E9537" s="62"/>
      <c r="F9537" s="60"/>
      <c r="G9537" s="62"/>
      <c r="H9537" s="60"/>
    </row>
    <row r="9538" spans="1:8">
      <c r="A9538" s="60"/>
      <c r="B9538" s="77"/>
      <c r="C9538" s="60"/>
      <c r="D9538" s="81"/>
      <c r="E9538" s="62"/>
      <c r="F9538" s="60"/>
      <c r="G9538" s="62"/>
      <c r="H9538" s="60"/>
    </row>
    <row r="9539" spans="1:8">
      <c r="A9539" s="60"/>
      <c r="B9539" s="77"/>
      <c r="C9539" s="60"/>
      <c r="D9539" s="81"/>
      <c r="E9539" s="62"/>
      <c r="F9539" s="60"/>
      <c r="G9539" s="62"/>
      <c r="H9539" s="60"/>
    </row>
    <row r="9540" spans="1:8">
      <c r="A9540" s="60"/>
      <c r="B9540" s="77"/>
      <c r="C9540" s="60"/>
      <c r="D9540" s="81"/>
      <c r="E9540" s="62"/>
      <c r="F9540" s="60"/>
      <c r="G9540" s="62"/>
      <c r="H9540" s="60"/>
    </row>
    <row r="9541" spans="1:8">
      <c r="A9541" s="60"/>
      <c r="B9541" s="77"/>
      <c r="C9541" s="60"/>
      <c r="D9541" s="81"/>
      <c r="E9541" s="62"/>
      <c r="F9541" s="60"/>
      <c r="G9541" s="62"/>
      <c r="H9541" s="60"/>
    </row>
    <row r="9542" spans="1:8">
      <c r="A9542" s="60"/>
      <c r="B9542" s="77"/>
      <c r="C9542" s="60"/>
      <c r="D9542" s="81"/>
      <c r="E9542" s="62"/>
      <c r="F9542" s="60"/>
      <c r="G9542" s="62"/>
      <c r="H9542" s="60"/>
    </row>
    <row r="9543" spans="1:8">
      <c r="A9543" s="60"/>
      <c r="B9543" s="77"/>
      <c r="C9543" s="60"/>
      <c r="D9543" s="81"/>
      <c r="E9543" s="62"/>
      <c r="F9543" s="60"/>
      <c r="G9543" s="62"/>
      <c r="H9543" s="60"/>
    </row>
    <row r="9544" spans="1:8">
      <c r="A9544" s="60"/>
      <c r="B9544" s="77"/>
      <c r="C9544" s="60"/>
      <c r="D9544" s="81"/>
      <c r="E9544" s="62"/>
      <c r="F9544" s="60"/>
      <c r="G9544" s="62"/>
      <c r="H9544" s="60"/>
    </row>
    <row r="9545" spans="1:8">
      <c r="A9545" s="60"/>
      <c r="B9545" s="77"/>
      <c r="C9545" s="60"/>
      <c r="D9545" s="81"/>
      <c r="E9545" s="62"/>
      <c r="F9545" s="60"/>
      <c r="G9545" s="62"/>
      <c r="H9545" s="60"/>
    </row>
    <row r="9546" spans="1:8">
      <c r="A9546" s="60"/>
      <c r="B9546" s="77"/>
      <c r="C9546" s="60"/>
      <c r="D9546" s="81"/>
      <c r="E9546" s="62"/>
      <c r="F9546" s="60"/>
      <c r="G9546" s="62"/>
      <c r="H9546" s="60"/>
    </row>
    <row r="9547" spans="1:8">
      <c r="A9547" s="60"/>
      <c r="B9547" s="77"/>
      <c r="C9547" s="60"/>
      <c r="D9547" s="81"/>
      <c r="E9547" s="62"/>
      <c r="F9547" s="60"/>
      <c r="G9547" s="62"/>
      <c r="H9547" s="60"/>
    </row>
    <row r="9548" spans="1:8">
      <c r="A9548" s="60"/>
      <c r="B9548" s="77"/>
      <c r="C9548" s="60"/>
      <c r="D9548" s="81"/>
      <c r="E9548" s="62"/>
      <c r="F9548" s="60"/>
      <c r="G9548" s="62"/>
      <c r="H9548" s="60"/>
    </row>
    <row r="9549" spans="1:8">
      <c r="A9549" s="60"/>
      <c r="B9549" s="77"/>
      <c r="C9549" s="60"/>
      <c r="D9549" s="81"/>
      <c r="E9549" s="62"/>
      <c r="F9549" s="60"/>
      <c r="G9549" s="62"/>
      <c r="H9549" s="60"/>
    </row>
    <row r="9550" spans="1:8">
      <c r="A9550" s="60"/>
      <c r="B9550" s="77"/>
      <c r="C9550" s="60"/>
      <c r="D9550" s="81"/>
      <c r="E9550" s="62"/>
      <c r="F9550" s="60"/>
      <c r="G9550" s="62"/>
      <c r="H9550" s="60"/>
    </row>
    <row r="9551" spans="1:8">
      <c r="A9551" s="60"/>
      <c r="B9551" s="77"/>
      <c r="C9551" s="60"/>
      <c r="D9551" s="81"/>
      <c r="E9551" s="62"/>
      <c r="F9551" s="60"/>
      <c r="G9551" s="62"/>
      <c r="H9551" s="60"/>
    </row>
    <row r="9552" spans="1:8">
      <c r="A9552" s="60"/>
      <c r="B9552" s="77"/>
      <c r="C9552" s="60"/>
      <c r="D9552" s="81"/>
      <c r="E9552" s="62"/>
      <c r="F9552" s="60"/>
      <c r="G9552" s="62"/>
      <c r="H9552" s="60"/>
    </row>
    <row r="9553" spans="1:8">
      <c r="A9553" s="60"/>
      <c r="B9553" s="77"/>
      <c r="C9553" s="60"/>
      <c r="D9553" s="81"/>
      <c r="E9553" s="62"/>
      <c r="F9553" s="60"/>
      <c r="G9553" s="62"/>
      <c r="H9553" s="60"/>
    </row>
    <row r="9554" spans="1:8">
      <c r="A9554" s="60"/>
      <c r="B9554" s="77"/>
      <c r="C9554" s="60"/>
      <c r="D9554" s="81"/>
      <c r="E9554" s="62"/>
      <c r="F9554" s="60"/>
      <c r="G9554" s="62"/>
      <c r="H9554" s="60"/>
    </row>
    <row r="9555" spans="1:8">
      <c r="A9555" s="60"/>
      <c r="B9555" s="77"/>
      <c r="C9555" s="60"/>
      <c r="D9555" s="81"/>
      <c r="E9555" s="62"/>
      <c r="F9555" s="60"/>
      <c r="G9555" s="62"/>
      <c r="H9555" s="60"/>
    </row>
    <row r="9556" spans="1:8">
      <c r="A9556" s="60"/>
      <c r="B9556" s="77"/>
      <c r="C9556" s="60"/>
      <c r="D9556" s="81"/>
      <c r="E9556" s="62"/>
      <c r="F9556" s="60"/>
      <c r="G9556" s="62"/>
      <c r="H9556" s="60"/>
    </row>
    <row r="9557" spans="1:8">
      <c r="A9557" s="60"/>
      <c r="B9557" s="77"/>
      <c r="C9557" s="60"/>
      <c r="D9557" s="81"/>
      <c r="E9557" s="62"/>
      <c r="F9557" s="60"/>
      <c r="G9557" s="62"/>
      <c r="H9557" s="60"/>
    </row>
    <row r="9558" spans="1:8">
      <c r="A9558" s="60"/>
      <c r="B9558" s="77"/>
      <c r="C9558" s="60"/>
      <c r="D9558" s="81"/>
      <c r="E9558" s="62"/>
      <c r="F9558" s="60"/>
      <c r="G9558" s="62"/>
      <c r="H9558" s="60"/>
    </row>
    <row r="9559" spans="1:8">
      <c r="A9559" s="60"/>
      <c r="B9559" s="77"/>
      <c r="C9559" s="60"/>
      <c r="D9559" s="81"/>
      <c r="E9559" s="62"/>
      <c r="F9559" s="60"/>
      <c r="G9559" s="62"/>
      <c r="H9559" s="60"/>
    </row>
    <row r="9560" spans="1:8">
      <c r="A9560" s="60"/>
      <c r="B9560" s="77"/>
      <c r="C9560" s="60"/>
      <c r="D9560" s="81"/>
      <c r="E9560" s="62"/>
      <c r="F9560" s="60"/>
      <c r="G9560" s="62"/>
      <c r="H9560" s="60"/>
    </row>
    <row r="9561" spans="1:8">
      <c r="A9561" s="60"/>
      <c r="B9561" s="77"/>
      <c r="C9561" s="60"/>
      <c r="D9561" s="81"/>
      <c r="E9561" s="62"/>
      <c r="F9561" s="60"/>
      <c r="G9561" s="62"/>
      <c r="H9561" s="60"/>
    </row>
    <row r="9562" spans="1:8">
      <c r="A9562" s="60"/>
      <c r="B9562" s="77"/>
      <c r="C9562" s="60"/>
      <c r="D9562" s="81"/>
      <c r="E9562" s="62"/>
      <c r="F9562" s="60"/>
      <c r="G9562" s="62"/>
      <c r="H9562" s="60"/>
    </row>
    <row r="9563" spans="1:8">
      <c r="A9563" s="60"/>
      <c r="B9563" s="77"/>
      <c r="C9563" s="60"/>
      <c r="D9563" s="81"/>
      <c r="E9563" s="62"/>
      <c r="F9563" s="60"/>
      <c r="G9563" s="62"/>
      <c r="H9563" s="60"/>
    </row>
    <row r="9564" spans="1:8">
      <c r="A9564" s="60"/>
      <c r="B9564" s="77"/>
      <c r="C9564" s="60"/>
      <c r="D9564" s="81"/>
      <c r="E9564" s="62"/>
      <c r="F9564" s="60"/>
      <c r="G9564" s="62"/>
      <c r="H9564" s="60"/>
    </row>
    <row r="9565" spans="1:8">
      <c r="A9565" s="60"/>
      <c r="B9565" s="77"/>
      <c r="C9565" s="60"/>
      <c r="D9565" s="81"/>
      <c r="E9565" s="62"/>
      <c r="F9565" s="60"/>
      <c r="G9565" s="62"/>
      <c r="H9565" s="60"/>
    </row>
    <row r="9566" spans="1:8">
      <c r="A9566" s="60"/>
      <c r="B9566" s="77"/>
      <c r="C9566" s="60"/>
      <c r="D9566" s="81"/>
      <c r="E9566" s="62"/>
      <c r="F9566" s="60"/>
      <c r="G9566" s="62"/>
      <c r="H9566" s="60"/>
    </row>
    <row r="9567" spans="1:8">
      <c r="A9567" s="60"/>
      <c r="B9567" s="77"/>
      <c r="C9567" s="60"/>
      <c r="D9567" s="81"/>
      <c r="E9567" s="62"/>
      <c r="F9567" s="60"/>
      <c r="G9567" s="62"/>
      <c r="H9567" s="60"/>
    </row>
    <row r="9568" spans="1:8">
      <c r="A9568" s="60"/>
      <c r="B9568" s="77"/>
      <c r="C9568" s="60"/>
      <c r="D9568" s="81"/>
      <c r="E9568" s="62"/>
      <c r="F9568" s="60"/>
      <c r="G9568" s="62"/>
      <c r="H9568" s="60"/>
    </row>
    <row r="9569" spans="1:8">
      <c r="A9569" s="60"/>
      <c r="B9569" s="77"/>
      <c r="C9569" s="60"/>
      <c r="D9569" s="81"/>
      <c r="E9569" s="62"/>
      <c r="F9569" s="60"/>
      <c r="G9569" s="62"/>
      <c r="H9569" s="60"/>
    </row>
    <row r="9570" spans="1:8">
      <c r="A9570" s="60"/>
      <c r="B9570" s="77"/>
      <c r="C9570" s="60"/>
      <c r="D9570" s="81"/>
      <c r="E9570" s="62"/>
      <c r="F9570" s="60"/>
      <c r="G9570" s="62"/>
      <c r="H9570" s="60"/>
    </row>
    <row r="9571" spans="1:8">
      <c r="A9571" s="60"/>
      <c r="B9571" s="77"/>
      <c r="C9571" s="60"/>
      <c r="D9571" s="81"/>
      <c r="E9571" s="62"/>
      <c r="F9571" s="60"/>
      <c r="G9571" s="62"/>
      <c r="H9571" s="60"/>
    </row>
    <row r="9572" spans="1:8">
      <c r="A9572" s="60"/>
      <c r="B9572" s="77"/>
      <c r="C9572" s="60"/>
      <c r="D9572" s="81"/>
      <c r="E9572" s="62"/>
      <c r="F9572" s="60"/>
      <c r="G9572" s="62"/>
      <c r="H9572" s="60"/>
    </row>
    <row r="9573" spans="1:8">
      <c r="A9573" s="60"/>
      <c r="B9573" s="77"/>
      <c r="C9573" s="60"/>
      <c r="D9573" s="81"/>
      <c r="E9573" s="62"/>
      <c r="F9573" s="60"/>
      <c r="G9573" s="62"/>
      <c r="H9573" s="60"/>
    </row>
    <row r="9574" spans="1:8">
      <c r="A9574" s="60"/>
      <c r="B9574" s="77"/>
      <c r="C9574" s="60"/>
      <c r="D9574" s="81"/>
      <c r="E9574" s="62"/>
      <c r="F9574" s="60"/>
      <c r="G9574" s="62"/>
      <c r="H9574" s="60"/>
    </row>
    <row r="9575" spans="1:8">
      <c r="A9575" s="60"/>
      <c r="B9575" s="77"/>
      <c r="C9575" s="60"/>
      <c r="D9575" s="81"/>
      <c r="E9575" s="62"/>
      <c r="F9575" s="60"/>
      <c r="G9575" s="62"/>
      <c r="H9575" s="60"/>
    </row>
    <row r="9576" spans="1:8">
      <c r="A9576" s="60"/>
      <c r="B9576" s="77"/>
      <c r="C9576" s="60"/>
      <c r="D9576" s="81"/>
      <c r="E9576" s="62"/>
      <c r="F9576" s="60"/>
      <c r="G9576" s="62"/>
      <c r="H9576" s="60"/>
    </row>
    <row r="9577" spans="1:8">
      <c r="A9577" s="60"/>
      <c r="B9577" s="77"/>
      <c r="C9577" s="60"/>
      <c r="D9577" s="81"/>
      <c r="E9577" s="62"/>
      <c r="F9577" s="60"/>
      <c r="G9577" s="62"/>
      <c r="H9577" s="60"/>
    </row>
    <row r="9578" spans="1:8">
      <c r="A9578" s="60"/>
      <c r="B9578" s="77"/>
      <c r="C9578" s="60"/>
      <c r="D9578" s="81"/>
      <c r="E9578" s="62"/>
      <c r="F9578" s="60"/>
      <c r="G9578" s="62"/>
      <c r="H9578" s="60"/>
    </row>
    <row r="9579" spans="1:8">
      <c r="A9579" s="60"/>
      <c r="B9579" s="77"/>
      <c r="C9579" s="60"/>
      <c r="D9579" s="81"/>
      <c r="E9579" s="62"/>
      <c r="F9579" s="60"/>
      <c r="G9579" s="62"/>
      <c r="H9579" s="60"/>
    </row>
    <row r="9580" spans="1:8">
      <c r="A9580" s="60"/>
      <c r="B9580" s="77"/>
      <c r="C9580" s="60"/>
      <c r="D9580" s="81"/>
      <c r="E9580" s="62"/>
      <c r="F9580" s="60"/>
      <c r="G9580" s="62"/>
      <c r="H9580" s="60"/>
    </row>
    <row r="9581" spans="1:8">
      <c r="A9581" s="60"/>
      <c r="B9581" s="77"/>
      <c r="C9581" s="60"/>
      <c r="D9581" s="81"/>
      <c r="E9581" s="62"/>
      <c r="F9581" s="60"/>
      <c r="G9581" s="62"/>
      <c r="H9581" s="60"/>
    </row>
    <row r="9582" spans="1:8">
      <c r="A9582" s="60"/>
      <c r="B9582" s="77"/>
      <c r="C9582" s="60"/>
      <c r="D9582" s="81"/>
      <c r="E9582" s="62"/>
      <c r="F9582" s="60"/>
      <c r="G9582" s="62"/>
      <c r="H9582" s="60"/>
    </row>
    <row r="9583" spans="1:8">
      <c r="A9583" s="60"/>
      <c r="B9583" s="77"/>
      <c r="C9583" s="60"/>
      <c r="D9583" s="81"/>
      <c r="E9583" s="62"/>
      <c r="F9583" s="60"/>
      <c r="G9583" s="62"/>
      <c r="H9583" s="60"/>
    </row>
    <row r="9584" spans="1:8">
      <c r="A9584" s="60"/>
      <c r="B9584" s="77"/>
      <c r="C9584" s="60"/>
      <c r="D9584" s="81"/>
      <c r="E9584" s="62"/>
      <c r="F9584" s="60"/>
      <c r="G9584" s="62"/>
      <c r="H9584" s="60"/>
    </row>
    <row r="9585" spans="1:8">
      <c r="A9585" s="60"/>
      <c r="B9585" s="77"/>
      <c r="C9585" s="60"/>
      <c r="D9585" s="81"/>
      <c r="E9585" s="62"/>
      <c r="F9585" s="60"/>
      <c r="G9585" s="62"/>
      <c r="H9585" s="60"/>
    </row>
    <row r="9586" spans="1:8">
      <c r="A9586" s="60"/>
      <c r="B9586" s="77"/>
      <c r="C9586" s="60"/>
      <c r="D9586" s="81"/>
      <c r="E9586" s="62"/>
      <c r="F9586" s="60"/>
      <c r="G9586" s="62"/>
      <c r="H9586" s="60"/>
    </row>
    <row r="9587" spans="1:8">
      <c r="A9587" s="60"/>
      <c r="B9587" s="77"/>
      <c r="C9587" s="60"/>
      <c r="D9587" s="81"/>
      <c r="E9587" s="62"/>
      <c r="F9587" s="60"/>
      <c r="G9587" s="62"/>
      <c r="H9587" s="60"/>
    </row>
    <row r="9588" spans="1:8">
      <c r="A9588" s="60"/>
      <c r="B9588" s="77"/>
      <c r="C9588" s="60"/>
      <c r="D9588" s="81"/>
      <c r="E9588" s="62"/>
      <c r="F9588" s="60"/>
      <c r="G9588" s="62"/>
      <c r="H9588" s="60"/>
    </row>
    <row r="9589" spans="1:8">
      <c r="A9589" s="60"/>
      <c r="B9589" s="77"/>
      <c r="C9589" s="60"/>
      <c r="D9589" s="81"/>
      <c r="E9589" s="62"/>
      <c r="F9589" s="60"/>
      <c r="G9589" s="62"/>
      <c r="H9589" s="60"/>
    </row>
    <row r="9590" spans="1:8">
      <c r="A9590" s="60"/>
      <c r="B9590" s="77"/>
      <c r="C9590" s="60"/>
      <c r="D9590" s="81"/>
      <c r="E9590" s="62"/>
      <c r="F9590" s="60"/>
      <c r="G9590" s="62"/>
      <c r="H9590" s="60"/>
    </row>
    <row r="9591" spans="1:8">
      <c r="A9591" s="60"/>
      <c r="B9591" s="77"/>
      <c r="C9591" s="60"/>
      <c r="D9591" s="81"/>
      <c r="E9591" s="62"/>
      <c r="F9591" s="60"/>
      <c r="G9591" s="62"/>
      <c r="H9591" s="60"/>
    </row>
    <row r="9592" spans="1:8">
      <c r="A9592" s="60"/>
      <c r="B9592" s="77"/>
      <c r="C9592" s="60"/>
      <c r="D9592" s="81"/>
      <c r="E9592" s="62"/>
      <c r="F9592" s="60"/>
      <c r="G9592" s="62"/>
      <c r="H9592" s="60"/>
    </row>
    <row r="9593" spans="1:8">
      <c r="A9593" s="60"/>
      <c r="B9593" s="77"/>
      <c r="C9593" s="60"/>
      <c r="D9593" s="81"/>
      <c r="E9593" s="62"/>
      <c r="F9593" s="60"/>
      <c r="G9593" s="62"/>
      <c r="H9593" s="60"/>
    </row>
    <row r="9594" spans="1:8">
      <c r="A9594" s="60"/>
      <c r="B9594" s="77"/>
      <c r="C9594" s="60"/>
      <c r="D9594" s="81"/>
      <c r="E9594" s="62"/>
      <c r="F9594" s="60"/>
      <c r="G9594" s="62"/>
      <c r="H9594" s="60"/>
    </row>
    <row r="9595" spans="1:8">
      <c r="A9595" s="60"/>
      <c r="B9595" s="77"/>
      <c r="C9595" s="60"/>
      <c r="D9595" s="81"/>
      <c r="E9595" s="62"/>
      <c r="F9595" s="60"/>
      <c r="G9595" s="62"/>
      <c r="H9595" s="60"/>
    </row>
    <row r="9596" spans="1:8">
      <c r="A9596" s="60"/>
      <c r="B9596" s="77"/>
      <c r="C9596" s="60"/>
      <c r="D9596" s="81"/>
      <c r="E9596" s="62"/>
      <c r="F9596" s="60"/>
      <c r="G9596" s="62"/>
      <c r="H9596" s="60"/>
    </row>
    <row r="9597" spans="1:8">
      <c r="A9597" s="60"/>
      <c r="B9597" s="77"/>
      <c r="C9597" s="60"/>
      <c r="D9597" s="81"/>
      <c r="E9597" s="62"/>
      <c r="F9597" s="60"/>
      <c r="G9597" s="62"/>
      <c r="H9597" s="60"/>
    </row>
    <row r="9598" spans="1:8">
      <c r="A9598" s="60"/>
      <c r="B9598" s="77"/>
      <c r="C9598" s="60"/>
      <c r="D9598" s="81"/>
      <c r="E9598" s="62"/>
      <c r="F9598" s="60"/>
      <c r="G9598" s="62"/>
      <c r="H9598" s="60"/>
    </row>
    <row r="9599" spans="1:8">
      <c r="A9599" s="60"/>
      <c r="B9599" s="77"/>
      <c r="C9599" s="60"/>
      <c r="D9599" s="81"/>
      <c r="E9599" s="62"/>
      <c r="F9599" s="60"/>
      <c r="G9599" s="62"/>
      <c r="H9599" s="60"/>
    </row>
    <row r="9600" spans="1:8">
      <c r="A9600" s="60"/>
      <c r="B9600" s="77"/>
      <c r="C9600" s="60"/>
      <c r="D9600" s="81"/>
      <c r="E9600" s="62"/>
      <c r="F9600" s="60"/>
      <c r="G9600" s="62"/>
      <c r="H9600" s="60"/>
    </row>
    <row r="9601" spans="1:8">
      <c r="A9601" s="60"/>
      <c r="B9601" s="77"/>
      <c r="C9601" s="60"/>
      <c r="D9601" s="81"/>
      <c r="E9601" s="62"/>
      <c r="F9601" s="60"/>
      <c r="G9601" s="62"/>
      <c r="H9601" s="60"/>
    </row>
    <row r="9602" spans="1:8">
      <c r="A9602" s="60"/>
      <c r="B9602" s="77"/>
      <c r="C9602" s="60"/>
      <c r="D9602" s="81"/>
      <c r="E9602" s="62"/>
      <c r="F9602" s="60"/>
      <c r="G9602" s="62"/>
      <c r="H9602" s="60"/>
    </row>
    <row r="9603" spans="1:8">
      <c r="A9603" s="60"/>
      <c r="B9603" s="77"/>
      <c r="C9603" s="60"/>
      <c r="D9603" s="81"/>
      <c r="E9603" s="62"/>
      <c r="F9603" s="60"/>
      <c r="G9603" s="62"/>
      <c r="H9603" s="60"/>
    </row>
    <row r="9604" spans="1:8">
      <c r="A9604" s="60"/>
      <c r="B9604" s="77"/>
      <c r="C9604" s="60"/>
      <c r="D9604" s="81"/>
      <c r="E9604" s="62"/>
      <c r="F9604" s="60"/>
      <c r="G9604" s="62"/>
      <c r="H9604" s="60"/>
    </row>
    <row r="9605" spans="1:8">
      <c r="A9605" s="60"/>
      <c r="B9605" s="77"/>
      <c r="C9605" s="60"/>
      <c r="D9605" s="81"/>
      <c r="E9605" s="62"/>
      <c r="F9605" s="60"/>
      <c r="G9605" s="62"/>
      <c r="H9605" s="60"/>
    </row>
    <row r="9606" spans="1:8">
      <c r="A9606" s="60"/>
      <c r="B9606" s="77"/>
      <c r="C9606" s="60"/>
      <c r="D9606" s="81"/>
      <c r="E9606" s="62"/>
      <c r="F9606" s="60"/>
      <c r="G9606" s="62"/>
      <c r="H9606" s="60"/>
    </row>
    <row r="9607" spans="1:8">
      <c r="A9607" s="60"/>
      <c r="B9607" s="77"/>
      <c r="C9607" s="60"/>
      <c r="D9607" s="81"/>
      <c r="E9607" s="62"/>
      <c r="F9607" s="60"/>
      <c r="G9607" s="62"/>
      <c r="H9607" s="60"/>
    </row>
    <row r="9608" spans="1:8">
      <c r="A9608" s="60"/>
      <c r="B9608" s="77"/>
      <c r="C9608" s="60"/>
      <c r="D9608" s="81"/>
      <c r="E9608" s="62"/>
      <c r="F9608" s="60"/>
      <c r="G9608" s="62"/>
      <c r="H9608" s="60"/>
    </row>
    <row r="9609" spans="1:8">
      <c r="A9609" s="60"/>
      <c r="B9609" s="77"/>
      <c r="C9609" s="60"/>
      <c r="D9609" s="81"/>
      <c r="E9609" s="62"/>
      <c r="F9609" s="60"/>
      <c r="G9609" s="62"/>
      <c r="H9609" s="60"/>
    </row>
    <row r="9610" spans="1:8">
      <c r="A9610" s="60"/>
      <c r="B9610" s="77"/>
      <c r="C9610" s="60"/>
      <c r="D9610" s="81"/>
      <c r="E9610" s="62"/>
      <c r="F9610" s="60"/>
      <c r="G9610" s="62"/>
      <c r="H9610" s="60"/>
    </row>
    <row r="9611" spans="1:8">
      <c r="A9611" s="60"/>
      <c r="B9611" s="77"/>
      <c r="C9611" s="60"/>
      <c r="D9611" s="81"/>
      <c r="E9611" s="62"/>
      <c r="F9611" s="60"/>
      <c r="G9611" s="62"/>
      <c r="H9611" s="60"/>
    </row>
    <row r="9612" spans="1:8">
      <c r="A9612" s="60"/>
      <c r="B9612" s="77"/>
      <c r="C9612" s="60"/>
      <c r="D9612" s="81"/>
      <c r="E9612" s="62"/>
      <c r="F9612" s="60"/>
      <c r="G9612" s="62"/>
      <c r="H9612" s="60"/>
    </row>
    <row r="9613" spans="1:8">
      <c r="A9613" s="60"/>
      <c r="B9613" s="77"/>
      <c r="C9613" s="60"/>
      <c r="D9613" s="81"/>
      <c r="E9613" s="62"/>
      <c r="F9613" s="60"/>
      <c r="G9613" s="62"/>
      <c r="H9613" s="60"/>
    </row>
    <row r="9614" spans="1:8">
      <c r="A9614" s="60"/>
      <c r="B9614" s="77"/>
      <c r="C9614" s="60"/>
      <c r="D9614" s="81"/>
      <c r="E9614" s="62"/>
      <c r="F9614" s="60"/>
      <c r="G9614" s="62"/>
      <c r="H9614" s="60"/>
    </row>
    <row r="9615" spans="1:8">
      <c r="A9615" s="60"/>
      <c r="B9615" s="77"/>
      <c r="C9615" s="60"/>
      <c r="D9615" s="81"/>
      <c r="E9615" s="62"/>
      <c r="F9615" s="60"/>
      <c r="G9615" s="62"/>
      <c r="H9615" s="60"/>
    </row>
    <row r="9616" spans="1:8">
      <c r="A9616" s="60"/>
      <c r="B9616" s="77"/>
      <c r="C9616" s="60"/>
      <c r="D9616" s="81"/>
      <c r="E9616" s="62"/>
      <c r="F9616" s="60"/>
      <c r="G9616" s="62"/>
      <c r="H9616" s="60"/>
    </row>
    <row r="9617" spans="1:8">
      <c r="A9617" s="60"/>
      <c r="B9617" s="77"/>
      <c r="C9617" s="60"/>
      <c r="D9617" s="81"/>
      <c r="E9617" s="62"/>
      <c r="F9617" s="60"/>
      <c r="G9617" s="62"/>
      <c r="H9617" s="60"/>
    </row>
    <row r="9618" spans="1:8">
      <c r="A9618" s="60"/>
      <c r="B9618" s="77"/>
      <c r="C9618" s="60"/>
      <c r="D9618" s="81"/>
      <c r="E9618" s="62"/>
      <c r="F9618" s="60"/>
      <c r="G9618" s="62"/>
      <c r="H9618" s="60"/>
    </row>
    <row r="9619" spans="1:8">
      <c r="A9619" s="60"/>
      <c r="B9619" s="77"/>
      <c r="C9619" s="60"/>
      <c r="D9619" s="81"/>
      <c r="E9619" s="62"/>
      <c r="F9619" s="60"/>
      <c r="G9619" s="62"/>
      <c r="H9619" s="60"/>
    </row>
    <row r="9620" spans="1:8">
      <c r="A9620" s="60"/>
      <c r="B9620" s="77"/>
      <c r="C9620" s="60"/>
      <c r="D9620" s="81"/>
      <c r="E9620" s="62"/>
      <c r="F9620" s="60"/>
      <c r="G9620" s="62"/>
      <c r="H9620" s="60"/>
    </row>
    <row r="9621" spans="1:8">
      <c r="A9621" s="60"/>
      <c r="B9621" s="77"/>
      <c r="C9621" s="60"/>
      <c r="D9621" s="81"/>
      <c r="E9621" s="62"/>
      <c r="F9621" s="60"/>
      <c r="G9621" s="62"/>
      <c r="H9621" s="60"/>
    </row>
    <row r="9622" spans="1:8">
      <c r="A9622" s="60"/>
      <c r="B9622" s="77"/>
      <c r="C9622" s="60"/>
      <c r="D9622" s="81"/>
      <c r="E9622" s="62"/>
      <c r="F9622" s="60"/>
      <c r="G9622" s="62"/>
      <c r="H9622" s="60"/>
    </row>
    <row r="9623" spans="1:8">
      <c r="A9623" s="60"/>
      <c r="B9623" s="77"/>
      <c r="C9623" s="60"/>
      <c r="D9623" s="81"/>
      <c r="E9623" s="62"/>
      <c r="F9623" s="60"/>
      <c r="G9623" s="62"/>
      <c r="H9623" s="60"/>
    </row>
    <row r="9624" spans="1:8">
      <c r="A9624" s="60"/>
      <c r="B9624" s="77"/>
      <c r="C9624" s="60"/>
      <c r="D9624" s="81"/>
      <c r="E9624" s="62"/>
      <c r="F9624" s="60"/>
      <c r="G9624" s="62"/>
      <c r="H9624" s="60"/>
    </row>
    <row r="9625" spans="1:8">
      <c r="A9625" s="60"/>
      <c r="B9625" s="77"/>
      <c r="C9625" s="60"/>
      <c r="D9625" s="81"/>
      <c r="E9625" s="62"/>
      <c r="F9625" s="60"/>
      <c r="G9625" s="62"/>
      <c r="H9625" s="60"/>
    </row>
    <row r="9626" spans="1:8">
      <c r="A9626" s="60"/>
      <c r="B9626" s="77"/>
      <c r="C9626" s="60"/>
      <c r="D9626" s="81"/>
      <c r="E9626" s="62"/>
      <c r="F9626" s="60"/>
      <c r="G9626" s="62"/>
      <c r="H9626" s="60"/>
    </row>
    <row r="9627" spans="1:8">
      <c r="A9627" s="60"/>
      <c r="B9627" s="77"/>
      <c r="C9627" s="60"/>
      <c r="D9627" s="81"/>
      <c r="E9627" s="62"/>
      <c r="F9627" s="60"/>
      <c r="G9627" s="62"/>
      <c r="H9627" s="60"/>
    </row>
    <row r="9628" spans="1:8">
      <c r="A9628" s="60"/>
      <c r="B9628" s="77"/>
      <c r="C9628" s="60"/>
      <c r="D9628" s="81"/>
      <c r="E9628" s="62"/>
      <c r="F9628" s="60"/>
      <c r="G9628" s="62"/>
      <c r="H9628" s="60"/>
    </row>
    <row r="9629" spans="1:8">
      <c r="A9629" s="60"/>
      <c r="B9629" s="77"/>
      <c r="C9629" s="60"/>
      <c r="D9629" s="81"/>
      <c r="E9629" s="62"/>
      <c r="F9629" s="60"/>
      <c r="G9629" s="62"/>
      <c r="H9629" s="60"/>
    </row>
    <row r="9630" spans="1:8">
      <c r="A9630" s="60"/>
      <c r="B9630" s="77"/>
      <c r="C9630" s="60"/>
      <c r="D9630" s="81"/>
      <c r="E9630" s="62"/>
      <c r="F9630" s="60"/>
      <c r="G9630" s="62"/>
      <c r="H9630" s="60"/>
    </row>
    <row r="9631" spans="1:8">
      <c r="A9631" s="60"/>
      <c r="B9631" s="77"/>
      <c r="C9631" s="60"/>
      <c r="D9631" s="81"/>
      <c r="E9631" s="62"/>
      <c r="F9631" s="60"/>
      <c r="G9631" s="62"/>
      <c r="H9631" s="60"/>
    </row>
    <row r="9632" spans="1:8">
      <c r="A9632" s="60"/>
      <c r="B9632" s="77"/>
      <c r="C9632" s="60"/>
      <c r="D9632" s="81"/>
      <c r="E9632" s="62"/>
      <c r="F9632" s="60"/>
      <c r="G9632" s="62"/>
      <c r="H9632" s="60"/>
    </row>
    <row r="9633" spans="1:8">
      <c r="A9633" s="60"/>
      <c r="B9633" s="77"/>
      <c r="C9633" s="60"/>
      <c r="D9633" s="81"/>
      <c r="E9633" s="62"/>
      <c r="F9633" s="60"/>
      <c r="G9633" s="62"/>
      <c r="H9633" s="60"/>
    </row>
    <row r="9634" spans="1:8">
      <c r="A9634" s="60"/>
      <c r="B9634" s="77"/>
      <c r="C9634" s="60"/>
      <c r="D9634" s="81"/>
      <c r="E9634" s="62"/>
      <c r="F9634" s="60"/>
      <c r="G9634" s="62"/>
      <c r="H9634" s="60"/>
    </row>
    <row r="9635" spans="1:8">
      <c r="A9635" s="60"/>
      <c r="B9635" s="77"/>
      <c r="C9635" s="60"/>
      <c r="D9635" s="81"/>
      <c r="E9635" s="62"/>
      <c r="F9635" s="60"/>
      <c r="G9635" s="62"/>
      <c r="H9635" s="60"/>
    </row>
    <row r="9636" spans="1:8">
      <c r="A9636" s="60"/>
      <c r="B9636" s="77"/>
      <c r="C9636" s="60"/>
      <c r="D9636" s="81"/>
      <c r="E9636" s="62"/>
      <c r="F9636" s="60"/>
      <c r="G9636" s="62"/>
      <c r="H9636" s="60"/>
    </row>
    <row r="9637" spans="1:8">
      <c r="A9637" s="60"/>
      <c r="B9637" s="77"/>
      <c r="C9637" s="60"/>
      <c r="D9637" s="81"/>
      <c r="E9637" s="62"/>
      <c r="F9637" s="60"/>
      <c r="G9637" s="62"/>
      <c r="H9637" s="60"/>
    </row>
    <row r="9638" spans="1:8">
      <c r="A9638" s="60"/>
      <c r="B9638" s="77"/>
      <c r="C9638" s="60"/>
      <c r="D9638" s="81"/>
      <c r="E9638" s="62"/>
      <c r="F9638" s="60"/>
      <c r="G9638" s="62"/>
      <c r="H9638" s="60"/>
    </row>
    <row r="9639" spans="1:8">
      <c r="A9639" s="60"/>
      <c r="B9639" s="77"/>
      <c r="C9639" s="60"/>
      <c r="D9639" s="81"/>
      <c r="E9639" s="62"/>
      <c r="F9639" s="60"/>
      <c r="G9639" s="62"/>
      <c r="H9639" s="60"/>
    </row>
    <row r="9640" spans="1:8">
      <c r="A9640" s="60"/>
      <c r="B9640" s="77"/>
      <c r="C9640" s="60"/>
      <c r="D9640" s="81"/>
      <c r="E9640" s="62"/>
      <c r="F9640" s="60"/>
      <c r="G9640" s="62"/>
      <c r="H9640" s="60"/>
    </row>
    <row r="9641" spans="1:8">
      <c r="A9641" s="60"/>
      <c r="B9641" s="77"/>
      <c r="C9641" s="60"/>
      <c r="D9641" s="81"/>
      <c r="E9641" s="62"/>
      <c r="F9641" s="60"/>
      <c r="G9641" s="62"/>
      <c r="H9641" s="60"/>
    </row>
    <row r="9642" spans="1:8">
      <c r="A9642" s="60"/>
      <c r="B9642" s="77"/>
      <c r="C9642" s="60"/>
      <c r="D9642" s="81"/>
      <c r="E9642" s="62"/>
      <c r="F9642" s="60"/>
      <c r="G9642" s="62"/>
      <c r="H9642" s="60"/>
    </row>
    <row r="9643" spans="1:8">
      <c r="A9643" s="60"/>
      <c r="B9643" s="77"/>
      <c r="C9643" s="60"/>
      <c r="D9643" s="81"/>
      <c r="E9643" s="62"/>
      <c r="F9643" s="60"/>
      <c r="G9643" s="62"/>
      <c r="H9643" s="60"/>
    </row>
    <row r="9644" spans="1:8">
      <c r="A9644" s="60"/>
      <c r="B9644" s="77"/>
      <c r="C9644" s="60"/>
      <c r="D9644" s="81"/>
      <c r="E9644" s="62"/>
      <c r="F9644" s="60"/>
      <c r="G9644" s="62"/>
      <c r="H9644" s="60"/>
    </row>
    <row r="9645" spans="1:8">
      <c r="A9645" s="60"/>
      <c r="B9645" s="77"/>
      <c r="C9645" s="60"/>
      <c r="D9645" s="81"/>
      <c r="E9645" s="62"/>
      <c r="F9645" s="60"/>
      <c r="G9645" s="62"/>
      <c r="H9645" s="60"/>
    </row>
    <row r="9646" spans="1:8">
      <c r="A9646" s="60"/>
      <c r="B9646" s="77"/>
      <c r="C9646" s="60"/>
      <c r="D9646" s="81"/>
      <c r="E9646" s="62"/>
      <c r="F9646" s="60"/>
      <c r="G9646" s="62"/>
      <c r="H9646" s="60"/>
    </row>
    <row r="9647" spans="1:8">
      <c r="A9647" s="60"/>
      <c r="B9647" s="77"/>
      <c r="C9647" s="60"/>
      <c r="D9647" s="81"/>
      <c r="E9647" s="62"/>
      <c r="F9647" s="60"/>
      <c r="G9647" s="62"/>
      <c r="H9647" s="60"/>
    </row>
    <row r="9648" spans="1:8">
      <c r="A9648" s="60"/>
      <c r="B9648" s="77"/>
      <c r="C9648" s="60"/>
      <c r="D9648" s="81"/>
      <c r="E9648" s="62"/>
      <c r="F9648" s="60"/>
      <c r="G9648" s="62"/>
      <c r="H9648" s="60"/>
    </row>
    <row r="9649" spans="1:8">
      <c r="A9649" s="60"/>
      <c r="B9649" s="77"/>
      <c r="C9649" s="60"/>
      <c r="D9649" s="81"/>
      <c r="E9649" s="62"/>
      <c r="F9649" s="60"/>
      <c r="G9649" s="62"/>
      <c r="H9649" s="60"/>
    </row>
    <row r="9650" spans="1:8">
      <c r="A9650" s="60"/>
      <c r="B9650" s="77"/>
      <c r="C9650" s="60"/>
      <c r="D9650" s="81"/>
      <c r="E9650" s="62"/>
      <c r="F9650" s="60"/>
      <c r="G9650" s="62"/>
      <c r="H9650" s="60"/>
    </row>
    <row r="9651" spans="1:8">
      <c r="A9651" s="60"/>
      <c r="B9651" s="77"/>
      <c r="C9651" s="60"/>
      <c r="D9651" s="81"/>
      <c r="E9651" s="62"/>
      <c r="F9651" s="60"/>
      <c r="G9651" s="62"/>
      <c r="H9651" s="60"/>
    </row>
    <row r="9652" spans="1:8">
      <c r="A9652" s="60"/>
      <c r="B9652" s="77"/>
      <c r="C9652" s="60"/>
      <c r="D9652" s="81"/>
      <c r="E9652" s="62"/>
      <c r="F9652" s="60"/>
      <c r="G9652" s="62"/>
      <c r="H9652" s="60"/>
    </row>
    <row r="9653" spans="1:8">
      <c r="A9653" s="60"/>
      <c r="B9653" s="77"/>
      <c r="C9653" s="60"/>
      <c r="D9653" s="81"/>
      <c r="E9653" s="62"/>
      <c r="F9653" s="60"/>
      <c r="G9653" s="62"/>
      <c r="H9653" s="60"/>
    </row>
    <row r="9654" spans="1:8">
      <c r="A9654" s="60"/>
      <c r="B9654" s="77"/>
      <c r="C9654" s="60"/>
      <c r="D9654" s="81"/>
      <c r="E9654" s="62"/>
      <c r="F9654" s="60"/>
      <c r="G9654" s="62"/>
      <c r="H9654" s="60"/>
    </row>
    <row r="9655" spans="1:8">
      <c r="A9655" s="60"/>
      <c r="B9655" s="77"/>
      <c r="C9655" s="60"/>
      <c r="D9655" s="81"/>
      <c r="E9655" s="62"/>
      <c r="F9655" s="60"/>
      <c r="G9655" s="62"/>
      <c r="H9655" s="60"/>
    </row>
    <row r="9656" spans="1:8">
      <c r="A9656" s="60"/>
      <c r="B9656" s="77"/>
      <c r="C9656" s="60"/>
      <c r="D9656" s="81"/>
      <c r="E9656" s="62"/>
      <c r="F9656" s="60"/>
      <c r="G9656" s="62"/>
      <c r="H9656" s="60"/>
    </row>
    <row r="9657" spans="1:8">
      <c r="A9657" s="60"/>
      <c r="B9657" s="77"/>
      <c r="C9657" s="60"/>
      <c r="D9657" s="81"/>
      <c r="E9657" s="62"/>
      <c r="F9657" s="60"/>
      <c r="G9657" s="62"/>
      <c r="H9657" s="60"/>
    </row>
    <row r="9658" spans="1:8">
      <c r="A9658" s="60"/>
      <c r="B9658" s="77"/>
      <c r="C9658" s="60"/>
      <c r="D9658" s="81"/>
      <c r="E9658" s="62"/>
      <c r="F9658" s="60"/>
      <c r="G9658" s="62"/>
      <c r="H9658" s="60"/>
    </row>
    <row r="9659" spans="1:8">
      <c r="A9659" s="60"/>
      <c r="B9659" s="77"/>
      <c r="C9659" s="60"/>
      <c r="D9659" s="81"/>
      <c r="E9659" s="62"/>
      <c r="F9659" s="60"/>
      <c r="G9659" s="62"/>
      <c r="H9659" s="60"/>
    </row>
    <row r="9660" spans="1:8">
      <c r="A9660" s="60"/>
      <c r="B9660" s="77"/>
      <c r="C9660" s="60"/>
      <c r="D9660" s="81"/>
      <c r="E9660" s="62"/>
      <c r="F9660" s="60"/>
      <c r="G9660" s="62"/>
      <c r="H9660" s="60"/>
    </row>
    <row r="9661" spans="1:8">
      <c r="A9661" s="60"/>
      <c r="B9661" s="77"/>
      <c r="C9661" s="60"/>
      <c r="D9661" s="81"/>
      <c r="E9661" s="62"/>
      <c r="F9661" s="60"/>
      <c r="G9661" s="62"/>
      <c r="H9661" s="60"/>
    </row>
    <row r="9662" spans="1:8">
      <c r="A9662" s="60"/>
      <c r="B9662" s="77"/>
      <c r="C9662" s="60"/>
      <c r="D9662" s="81"/>
      <c r="E9662" s="62"/>
      <c r="F9662" s="60"/>
      <c r="G9662" s="62"/>
      <c r="H9662" s="60"/>
    </row>
    <row r="9663" spans="1:8">
      <c r="A9663" s="60"/>
      <c r="B9663" s="77"/>
      <c r="C9663" s="60"/>
      <c r="D9663" s="81"/>
      <c r="E9663" s="62"/>
      <c r="F9663" s="60"/>
      <c r="G9663" s="62"/>
      <c r="H9663" s="60"/>
    </row>
    <row r="9664" spans="1:8">
      <c r="A9664" s="60"/>
      <c r="B9664" s="77"/>
      <c r="C9664" s="60"/>
      <c r="D9664" s="81"/>
      <c r="E9664" s="62"/>
      <c r="F9664" s="60"/>
      <c r="G9664" s="62"/>
      <c r="H9664" s="60"/>
    </row>
    <row r="9665" spans="1:8">
      <c r="A9665" s="60"/>
      <c r="B9665" s="77"/>
      <c r="C9665" s="60"/>
      <c r="D9665" s="81"/>
      <c r="E9665" s="62"/>
      <c r="F9665" s="60"/>
      <c r="G9665" s="62"/>
      <c r="H9665" s="60"/>
    </row>
    <row r="9666" spans="1:8">
      <c r="A9666" s="60"/>
      <c r="B9666" s="77"/>
      <c r="C9666" s="60"/>
      <c r="D9666" s="81"/>
      <c r="E9666" s="62"/>
      <c r="F9666" s="60"/>
      <c r="G9666" s="62"/>
      <c r="H9666" s="60"/>
    </row>
    <row r="9667" spans="1:8">
      <c r="A9667" s="60"/>
      <c r="B9667" s="77"/>
      <c r="C9667" s="60"/>
      <c r="D9667" s="81"/>
      <c r="E9667" s="62"/>
      <c r="F9667" s="60"/>
      <c r="G9667" s="62"/>
      <c r="H9667" s="60"/>
    </row>
    <row r="9668" spans="1:8">
      <c r="A9668" s="60"/>
      <c r="B9668" s="77"/>
      <c r="C9668" s="60"/>
      <c r="D9668" s="81"/>
      <c r="E9668" s="62"/>
      <c r="F9668" s="60"/>
      <c r="G9668" s="62"/>
      <c r="H9668" s="60"/>
    </row>
    <row r="9669" spans="1:8">
      <c r="A9669" s="60"/>
      <c r="B9669" s="77"/>
      <c r="C9669" s="60"/>
      <c r="D9669" s="81"/>
      <c r="E9669" s="62"/>
      <c r="F9669" s="60"/>
      <c r="G9669" s="62"/>
      <c r="H9669" s="60"/>
    </row>
    <row r="9670" spans="1:8">
      <c r="A9670" s="60"/>
      <c r="B9670" s="77"/>
      <c r="C9670" s="60"/>
      <c r="D9670" s="81"/>
      <c r="E9670" s="62"/>
      <c r="F9670" s="60"/>
      <c r="G9670" s="62"/>
      <c r="H9670" s="60"/>
    </row>
    <row r="9671" spans="1:8">
      <c r="A9671" s="60"/>
      <c r="B9671" s="77"/>
      <c r="C9671" s="60"/>
      <c r="D9671" s="81"/>
      <c r="E9671" s="62"/>
      <c r="F9671" s="60"/>
      <c r="G9671" s="62"/>
      <c r="H9671" s="60"/>
    </row>
    <row r="9672" spans="1:8">
      <c r="A9672" s="60"/>
      <c r="B9672" s="77"/>
      <c r="C9672" s="60"/>
      <c r="D9672" s="81"/>
      <c r="E9672" s="62"/>
      <c r="F9672" s="60"/>
      <c r="G9672" s="62"/>
      <c r="H9672" s="60"/>
    </row>
    <row r="9673" spans="1:8">
      <c r="A9673" s="60"/>
      <c r="B9673" s="77"/>
      <c r="C9673" s="60"/>
      <c r="D9673" s="81"/>
      <c r="E9673" s="62"/>
      <c r="F9673" s="60"/>
      <c r="G9673" s="62"/>
      <c r="H9673" s="60"/>
    </row>
    <row r="9674" spans="1:8">
      <c r="A9674" s="60"/>
      <c r="B9674" s="77"/>
      <c r="C9674" s="60"/>
      <c r="D9674" s="81"/>
      <c r="E9674" s="62"/>
      <c r="F9674" s="60"/>
      <c r="G9674" s="62"/>
      <c r="H9674" s="60"/>
    </row>
    <row r="9675" spans="1:8">
      <c r="A9675" s="60"/>
      <c r="B9675" s="77"/>
      <c r="C9675" s="60"/>
      <c r="D9675" s="81"/>
      <c r="E9675" s="62"/>
      <c r="F9675" s="60"/>
      <c r="G9675" s="62"/>
      <c r="H9675" s="60"/>
    </row>
    <row r="9676" spans="1:8">
      <c r="A9676" s="60"/>
      <c r="B9676" s="77"/>
      <c r="C9676" s="60"/>
      <c r="D9676" s="81"/>
      <c r="E9676" s="62"/>
      <c r="F9676" s="60"/>
      <c r="G9676" s="62"/>
      <c r="H9676" s="60"/>
    </row>
    <row r="9677" spans="1:8">
      <c r="A9677" s="60"/>
      <c r="B9677" s="77"/>
      <c r="C9677" s="60"/>
      <c r="D9677" s="81"/>
      <c r="E9677" s="62"/>
      <c r="F9677" s="60"/>
      <c r="G9677" s="62"/>
      <c r="H9677" s="60"/>
    </row>
    <row r="9678" spans="1:8">
      <c r="A9678" s="60"/>
      <c r="B9678" s="77"/>
      <c r="C9678" s="60"/>
      <c r="D9678" s="81"/>
      <c r="E9678" s="62"/>
      <c r="F9678" s="60"/>
      <c r="G9678" s="62"/>
      <c r="H9678" s="60"/>
    </row>
    <row r="9679" spans="1:8">
      <c r="A9679" s="60"/>
      <c r="B9679" s="77"/>
      <c r="C9679" s="60"/>
      <c r="D9679" s="81"/>
      <c r="E9679" s="62"/>
      <c r="F9679" s="60"/>
      <c r="G9679" s="62"/>
      <c r="H9679" s="60"/>
    </row>
    <row r="9680" spans="1:8">
      <c r="A9680" s="60"/>
      <c r="B9680" s="77"/>
      <c r="C9680" s="60"/>
      <c r="D9680" s="81"/>
      <c r="E9680" s="62"/>
      <c r="F9680" s="60"/>
      <c r="G9680" s="62"/>
      <c r="H9680" s="60"/>
    </row>
    <row r="9681" spans="1:8">
      <c r="A9681" s="60"/>
      <c r="B9681" s="77"/>
      <c r="C9681" s="60"/>
      <c r="D9681" s="81"/>
      <c r="E9681" s="62"/>
      <c r="F9681" s="60"/>
      <c r="G9681" s="62"/>
      <c r="H9681" s="60"/>
    </row>
    <row r="9682" spans="1:8">
      <c r="A9682" s="60"/>
      <c r="B9682" s="77"/>
      <c r="C9682" s="60"/>
      <c r="D9682" s="81"/>
      <c r="E9682" s="62"/>
      <c r="F9682" s="60"/>
      <c r="G9682" s="62"/>
      <c r="H9682" s="60"/>
    </row>
    <row r="9683" spans="1:8">
      <c r="A9683" s="60"/>
      <c r="B9683" s="77"/>
      <c r="C9683" s="60"/>
      <c r="D9683" s="81"/>
      <c r="E9683" s="62"/>
      <c r="F9683" s="60"/>
      <c r="G9683" s="62"/>
      <c r="H9683" s="60"/>
    </row>
    <row r="9684" spans="1:8">
      <c r="A9684" s="60"/>
      <c r="B9684" s="77"/>
      <c r="C9684" s="60"/>
      <c r="D9684" s="81"/>
      <c r="E9684" s="62"/>
      <c r="F9684" s="60"/>
      <c r="G9684" s="62"/>
      <c r="H9684" s="60"/>
    </row>
    <row r="9685" spans="1:8">
      <c r="A9685" s="60"/>
      <c r="B9685" s="77"/>
      <c r="C9685" s="60"/>
      <c r="D9685" s="81"/>
      <c r="E9685" s="62"/>
      <c r="F9685" s="60"/>
      <c r="G9685" s="62"/>
      <c r="H9685" s="60"/>
    </row>
    <row r="9686" spans="1:8">
      <c r="A9686" s="60"/>
      <c r="B9686" s="77"/>
      <c r="C9686" s="60"/>
      <c r="D9686" s="81"/>
      <c r="E9686" s="62"/>
      <c r="F9686" s="60"/>
      <c r="G9686" s="62"/>
      <c r="H9686" s="60"/>
    </row>
    <row r="9687" spans="1:8">
      <c r="A9687" s="60"/>
      <c r="B9687" s="77"/>
      <c r="C9687" s="60"/>
      <c r="D9687" s="81"/>
      <c r="E9687" s="62"/>
      <c r="F9687" s="60"/>
      <c r="G9687" s="62"/>
      <c r="H9687" s="60"/>
    </row>
    <row r="9688" spans="1:8">
      <c r="A9688" s="60"/>
      <c r="B9688" s="77"/>
      <c r="C9688" s="60"/>
      <c r="D9688" s="81"/>
      <c r="E9688" s="62"/>
      <c r="F9688" s="60"/>
      <c r="G9688" s="62"/>
      <c r="H9688" s="60"/>
    </row>
    <row r="9689" spans="1:8">
      <c r="A9689" s="60"/>
      <c r="B9689" s="77"/>
      <c r="C9689" s="60"/>
      <c r="D9689" s="81"/>
      <c r="E9689" s="62"/>
      <c r="F9689" s="60"/>
      <c r="G9689" s="62"/>
      <c r="H9689" s="60"/>
    </row>
    <row r="9690" spans="1:8">
      <c r="A9690" s="60"/>
      <c r="B9690" s="77"/>
      <c r="C9690" s="60"/>
      <c r="D9690" s="81"/>
      <c r="E9690" s="62"/>
      <c r="F9690" s="60"/>
      <c r="G9690" s="62"/>
      <c r="H9690" s="60"/>
    </row>
    <row r="9691" spans="1:8">
      <c r="A9691" s="60"/>
      <c r="B9691" s="77"/>
      <c r="C9691" s="60"/>
      <c r="D9691" s="81"/>
      <c r="E9691" s="62"/>
      <c r="F9691" s="60"/>
      <c r="G9691" s="62"/>
      <c r="H9691" s="60"/>
    </row>
    <row r="9692" spans="1:8">
      <c r="A9692" s="60"/>
      <c r="B9692" s="77"/>
      <c r="C9692" s="60"/>
      <c r="D9692" s="81"/>
      <c r="E9692" s="62"/>
      <c r="F9692" s="60"/>
      <c r="G9692" s="62"/>
      <c r="H9692" s="60"/>
    </row>
    <row r="9693" spans="1:8">
      <c r="A9693" s="60"/>
      <c r="B9693" s="77"/>
      <c r="C9693" s="60"/>
      <c r="D9693" s="81"/>
      <c r="E9693" s="62"/>
      <c r="F9693" s="60"/>
      <c r="G9693" s="62"/>
      <c r="H9693" s="60"/>
    </row>
    <row r="9694" spans="1:8">
      <c r="A9694" s="60"/>
      <c r="B9694" s="77"/>
      <c r="C9694" s="60"/>
      <c r="D9694" s="81"/>
      <c r="E9694" s="62"/>
      <c r="F9694" s="60"/>
      <c r="G9694" s="62"/>
      <c r="H9694" s="60"/>
    </row>
    <row r="9695" spans="1:8">
      <c r="A9695" s="60"/>
      <c r="B9695" s="77"/>
      <c r="C9695" s="60"/>
      <c r="D9695" s="81"/>
      <c r="E9695" s="62"/>
      <c r="F9695" s="60"/>
      <c r="G9695" s="62"/>
      <c r="H9695" s="60"/>
    </row>
    <row r="9696" spans="1:8">
      <c r="A9696" s="60"/>
      <c r="B9696" s="77"/>
      <c r="C9696" s="60"/>
      <c r="D9696" s="81"/>
      <c r="E9696" s="62"/>
      <c r="F9696" s="60"/>
      <c r="G9696" s="62"/>
      <c r="H9696" s="60"/>
    </row>
    <row r="9697" spans="1:8">
      <c r="A9697" s="60"/>
      <c r="B9697" s="77"/>
      <c r="C9697" s="60"/>
      <c r="D9697" s="81"/>
      <c r="E9697" s="62"/>
      <c r="F9697" s="60"/>
      <c r="G9697" s="62"/>
      <c r="H9697" s="60"/>
    </row>
    <row r="9698" spans="1:8">
      <c r="A9698" s="60"/>
      <c r="B9698" s="77"/>
      <c r="C9698" s="60"/>
      <c r="D9698" s="81"/>
      <c r="E9698" s="62"/>
      <c r="F9698" s="60"/>
      <c r="G9698" s="62"/>
      <c r="H9698" s="60"/>
    </row>
    <row r="9699" spans="1:8">
      <c r="A9699" s="60"/>
      <c r="B9699" s="77"/>
      <c r="C9699" s="60"/>
      <c r="D9699" s="81"/>
      <c r="E9699" s="62"/>
      <c r="F9699" s="60"/>
      <c r="G9699" s="62"/>
      <c r="H9699" s="60"/>
    </row>
    <row r="9700" spans="1:8">
      <c r="A9700" s="60"/>
      <c r="B9700" s="77"/>
      <c r="C9700" s="60"/>
      <c r="D9700" s="81"/>
      <c r="E9700" s="62"/>
      <c r="F9700" s="60"/>
      <c r="G9700" s="62"/>
      <c r="H9700" s="60"/>
    </row>
    <row r="9701" spans="1:8">
      <c r="A9701" s="60"/>
      <c r="B9701" s="77"/>
      <c r="C9701" s="60"/>
      <c r="D9701" s="81"/>
      <c r="E9701" s="62"/>
      <c r="F9701" s="60"/>
      <c r="G9701" s="62"/>
      <c r="H9701" s="60"/>
    </row>
    <row r="9702" spans="1:8">
      <c r="A9702" s="60"/>
      <c r="B9702" s="77"/>
      <c r="C9702" s="60"/>
      <c r="D9702" s="81"/>
      <c r="E9702" s="62"/>
      <c r="F9702" s="60"/>
      <c r="G9702" s="62"/>
      <c r="H9702" s="60"/>
    </row>
    <row r="9703" spans="1:8">
      <c r="A9703" s="60"/>
      <c r="B9703" s="77"/>
      <c r="C9703" s="60"/>
      <c r="D9703" s="81"/>
      <c r="E9703" s="62"/>
      <c r="F9703" s="60"/>
      <c r="G9703" s="62"/>
      <c r="H9703" s="60"/>
    </row>
    <row r="9704" spans="1:8">
      <c r="A9704" s="60"/>
      <c r="B9704" s="77"/>
      <c r="C9704" s="60"/>
      <c r="D9704" s="81"/>
      <c r="E9704" s="62"/>
      <c r="F9704" s="60"/>
      <c r="G9704" s="62"/>
      <c r="H9704" s="60"/>
    </row>
    <row r="9705" spans="1:8">
      <c r="A9705" s="60"/>
      <c r="B9705" s="77"/>
      <c r="C9705" s="60"/>
      <c r="D9705" s="81"/>
      <c r="E9705" s="62"/>
      <c r="F9705" s="60"/>
      <c r="G9705" s="62"/>
      <c r="H9705" s="60"/>
    </row>
    <row r="9706" spans="1:8">
      <c r="A9706" s="60"/>
      <c r="B9706" s="77"/>
      <c r="C9706" s="60"/>
      <c r="D9706" s="81"/>
      <c r="E9706" s="62"/>
      <c r="F9706" s="60"/>
      <c r="G9706" s="62"/>
      <c r="H9706" s="60"/>
    </row>
    <row r="9707" spans="1:8">
      <c r="A9707" s="60"/>
      <c r="B9707" s="77"/>
      <c r="C9707" s="60"/>
      <c r="D9707" s="81"/>
      <c r="E9707" s="62"/>
      <c r="F9707" s="60"/>
      <c r="G9707" s="62"/>
      <c r="H9707" s="60"/>
    </row>
    <row r="9708" spans="1:8">
      <c r="A9708" s="60"/>
      <c r="B9708" s="77"/>
      <c r="C9708" s="60"/>
      <c r="D9708" s="81"/>
      <c r="E9708" s="62"/>
      <c r="F9708" s="60"/>
      <c r="G9708" s="62"/>
      <c r="H9708" s="60"/>
    </row>
    <row r="9709" spans="1:8">
      <c r="A9709" s="60"/>
      <c r="B9709" s="77"/>
      <c r="C9709" s="60"/>
      <c r="D9709" s="81"/>
      <c r="E9709" s="62"/>
      <c r="F9709" s="60"/>
      <c r="G9709" s="62"/>
      <c r="H9709" s="60"/>
    </row>
    <row r="9710" spans="1:8">
      <c r="A9710" s="60"/>
      <c r="B9710" s="77"/>
      <c r="C9710" s="60"/>
      <c r="D9710" s="81"/>
      <c r="E9710" s="62"/>
      <c r="F9710" s="60"/>
      <c r="G9710" s="62"/>
      <c r="H9710" s="60"/>
    </row>
    <row r="9711" spans="1:8">
      <c r="A9711" s="60"/>
      <c r="B9711" s="77"/>
      <c r="C9711" s="60"/>
      <c r="D9711" s="81"/>
      <c r="E9711" s="62"/>
      <c r="F9711" s="60"/>
      <c r="G9711" s="62"/>
      <c r="H9711" s="60"/>
    </row>
    <row r="9712" spans="1:8">
      <c r="A9712" s="60"/>
      <c r="B9712" s="77"/>
      <c r="C9712" s="60"/>
      <c r="D9712" s="81"/>
      <c r="E9712" s="62"/>
      <c r="F9712" s="60"/>
      <c r="G9712" s="62"/>
      <c r="H9712" s="60"/>
    </row>
    <row r="9713" spans="1:8">
      <c r="A9713" s="60"/>
      <c r="B9713" s="77"/>
      <c r="C9713" s="60"/>
      <c r="D9713" s="81"/>
      <c r="E9713" s="62"/>
      <c r="F9713" s="60"/>
      <c r="G9713" s="62"/>
      <c r="H9713" s="60"/>
    </row>
    <row r="9714" spans="1:8">
      <c r="A9714" s="60"/>
      <c r="B9714" s="77"/>
      <c r="C9714" s="60"/>
      <c r="D9714" s="81"/>
      <c r="E9714" s="62"/>
      <c r="F9714" s="60"/>
      <c r="G9714" s="62"/>
      <c r="H9714" s="60"/>
    </row>
    <row r="9715" spans="1:8">
      <c r="A9715" s="60"/>
      <c r="B9715" s="77"/>
      <c r="C9715" s="60"/>
      <c r="D9715" s="81"/>
      <c r="E9715" s="62"/>
      <c r="F9715" s="60"/>
      <c r="G9715" s="62"/>
      <c r="H9715" s="60"/>
    </row>
    <row r="9716" spans="1:8">
      <c r="A9716" s="60"/>
      <c r="B9716" s="77"/>
      <c r="C9716" s="60"/>
      <c r="D9716" s="81"/>
      <c r="E9716" s="62"/>
      <c r="F9716" s="60"/>
      <c r="G9716" s="62"/>
      <c r="H9716" s="60"/>
    </row>
    <row r="9717" spans="1:8">
      <c r="A9717" s="60"/>
      <c r="B9717" s="77"/>
      <c r="C9717" s="60"/>
      <c r="D9717" s="81"/>
      <c r="E9717" s="62"/>
      <c r="F9717" s="60"/>
      <c r="G9717" s="62"/>
      <c r="H9717" s="60"/>
    </row>
    <row r="9718" spans="1:8">
      <c r="A9718" s="60"/>
      <c r="B9718" s="77"/>
      <c r="C9718" s="60"/>
      <c r="D9718" s="81"/>
      <c r="E9718" s="62"/>
      <c r="F9718" s="60"/>
      <c r="G9718" s="62"/>
      <c r="H9718" s="60"/>
    </row>
    <row r="9719" spans="1:8">
      <c r="A9719" s="60"/>
      <c r="B9719" s="77"/>
      <c r="C9719" s="60"/>
      <c r="D9719" s="81"/>
      <c r="E9719" s="62"/>
      <c r="F9719" s="60"/>
      <c r="G9719" s="62"/>
      <c r="H9719" s="60"/>
    </row>
    <row r="9720" spans="1:8">
      <c r="A9720" s="60"/>
      <c r="B9720" s="77"/>
      <c r="C9720" s="60"/>
      <c r="D9720" s="81"/>
      <c r="E9720" s="62"/>
      <c r="F9720" s="60"/>
      <c r="G9720" s="62"/>
      <c r="H9720" s="60"/>
    </row>
    <row r="9721" spans="1:8">
      <c r="A9721" s="60"/>
      <c r="B9721" s="77"/>
      <c r="C9721" s="60"/>
      <c r="D9721" s="81"/>
      <c r="E9721" s="62"/>
      <c r="F9721" s="60"/>
      <c r="G9721" s="62"/>
      <c r="H9721" s="60"/>
    </row>
    <row r="9722" spans="1:8">
      <c r="A9722" s="60"/>
      <c r="B9722" s="77"/>
      <c r="C9722" s="60"/>
      <c r="D9722" s="81"/>
      <c r="E9722" s="62"/>
      <c r="F9722" s="60"/>
      <c r="G9722" s="62"/>
      <c r="H9722" s="60"/>
    </row>
    <row r="9723" spans="1:8">
      <c r="A9723" s="60"/>
      <c r="B9723" s="77"/>
      <c r="C9723" s="60"/>
      <c r="D9723" s="81"/>
      <c r="E9723" s="62"/>
      <c r="F9723" s="60"/>
      <c r="G9723" s="62"/>
      <c r="H9723" s="60"/>
    </row>
    <row r="9724" spans="1:8">
      <c r="A9724" s="60"/>
      <c r="B9724" s="77"/>
      <c r="C9724" s="60"/>
      <c r="D9724" s="81"/>
      <c r="E9724" s="62"/>
      <c r="F9724" s="60"/>
      <c r="G9724" s="62"/>
      <c r="H9724" s="60"/>
    </row>
    <row r="9725" spans="1:8">
      <c r="A9725" s="60"/>
      <c r="B9725" s="77"/>
      <c r="C9725" s="60"/>
      <c r="D9725" s="81"/>
      <c r="E9725" s="62"/>
      <c r="F9725" s="60"/>
      <c r="G9725" s="62"/>
      <c r="H9725" s="60"/>
    </row>
    <row r="9726" spans="1:8">
      <c r="A9726" s="60"/>
      <c r="B9726" s="77"/>
      <c r="C9726" s="60"/>
      <c r="D9726" s="81"/>
      <c r="E9726" s="62"/>
      <c r="F9726" s="60"/>
      <c r="G9726" s="62"/>
      <c r="H9726" s="60"/>
    </row>
    <row r="9727" spans="1:8">
      <c r="A9727" s="60"/>
      <c r="B9727" s="77"/>
      <c r="C9727" s="60"/>
      <c r="D9727" s="81"/>
      <c r="E9727" s="62"/>
      <c r="F9727" s="60"/>
      <c r="G9727" s="62"/>
      <c r="H9727" s="60"/>
    </row>
    <row r="9728" spans="1:8">
      <c r="A9728" s="60"/>
      <c r="B9728" s="77"/>
      <c r="C9728" s="60"/>
      <c r="D9728" s="81"/>
      <c r="E9728" s="62"/>
      <c r="F9728" s="60"/>
      <c r="G9728" s="62"/>
      <c r="H9728" s="60"/>
    </row>
    <row r="9729" spans="1:8">
      <c r="A9729" s="60"/>
      <c r="B9729" s="77"/>
      <c r="C9729" s="60"/>
      <c r="D9729" s="81"/>
      <c r="E9729" s="62"/>
      <c r="F9729" s="60"/>
      <c r="G9729" s="62"/>
      <c r="H9729" s="60"/>
    </row>
    <row r="9730" spans="1:8">
      <c r="A9730" s="60"/>
      <c r="B9730" s="77"/>
      <c r="C9730" s="60"/>
      <c r="D9730" s="81"/>
      <c r="E9730" s="62"/>
      <c r="F9730" s="60"/>
      <c r="G9730" s="62"/>
      <c r="H9730" s="60"/>
    </row>
    <row r="9731" spans="1:8">
      <c r="A9731" s="60"/>
      <c r="B9731" s="77"/>
      <c r="C9731" s="60"/>
      <c r="D9731" s="81"/>
      <c r="E9731" s="62"/>
      <c r="F9731" s="60"/>
      <c r="G9731" s="62"/>
      <c r="H9731" s="60"/>
    </row>
    <row r="9732" spans="1:8">
      <c r="A9732" s="60"/>
      <c r="B9732" s="77"/>
      <c r="C9732" s="60"/>
      <c r="D9732" s="81"/>
      <c r="E9732" s="62"/>
      <c r="F9732" s="60"/>
      <c r="G9732" s="62"/>
      <c r="H9732" s="60"/>
    </row>
    <row r="9733" spans="1:8">
      <c r="A9733" s="60"/>
      <c r="B9733" s="77"/>
      <c r="C9733" s="60"/>
      <c r="D9733" s="81"/>
      <c r="E9733" s="62"/>
      <c r="F9733" s="60"/>
      <c r="G9733" s="62"/>
      <c r="H9733" s="60"/>
    </row>
    <row r="9734" spans="1:8">
      <c r="A9734" s="60"/>
      <c r="B9734" s="77"/>
      <c r="C9734" s="60"/>
      <c r="D9734" s="81"/>
      <c r="E9734" s="62"/>
      <c r="F9734" s="60"/>
      <c r="G9734" s="62"/>
      <c r="H9734" s="60"/>
    </row>
    <row r="9735" spans="1:8">
      <c r="A9735" s="60"/>
      <c r="B9735" s="77"/>
      <c r="C9735" s="60"/>
      <c r="D9735" s="81"/>
      <c r="E9735" s="62"/>
      <c r="F9735" s="60"/>
      <c r="G9735" s="62"/>
      <c r="H9735" s="60"/>
    </row>
    <row r="9736" spans="1:8">
      <c r="A9736" s="60"/>
      <c r="B9736" s="77"/>
      <c r="C9736" s="60"/>
      <c r="D9736" s="81"/>
      <c r="E9736" s="62"/>
      <c r="F9736" s="60"/>
      <c r="G9736" s="62"/>
      <c r="H9736" s="60"/>
    </row>
    <row r="9737" spans="1:8">
      <c r="A9737" s="60"/>
      <c r="B9737" s="77"/>
      <c r="C9737" s="60"/>
      <c r="D9737" s="81"/>
      <c r="E9737" s="62"/>
      <c r="F9737" s="60"/>
      <c r="G9737" s="62"/>
      <c r="H9737" s="60"/>
    </row>
    <row r="9738" spans="1:8">
      <c r="A9738" s="60"/>
      <c r="B9738" s="77"/>
      <c r="C9738" s="60"/>
      <c r="D9738" s="81"/>
      <c r="E9738" s="62"/>
      <c r="F9738" s="60"/>
      <c r="G9738" s="62"/>
      <c r="H9738" s="60"/>
    </row>
    <row r="9739" spans="1:8">
      <c r="A9739" s="60"/>
      <c r="B9739" s="77"/>
      <c r="C9739" s="60"/>
      <c r="D9739" s="81"/>
      <c r="E9739" s="62"/>
      <c r="F9739" s="60"/>
      <c r="G9739" s="62"/>
      <c r="H9739" s="60"/>
    </row>
    <row r="9740" spans="1:8">
      <c r="A9740" s="60"/>
      <c r="B9740" s="77"/>
      <c r="C9740" s="60"/>
      <c r="D9740" s="81"/>
      <c r="E9740" s="62"/>
      <c r="F9740" s="60"/>
      <c r="G9740" s="62"/>
      <c r="H9740" s="60"/>
    </row>
    <row r="9741" spans="1:8">
      <c r="A9741" s="60"/>
      <c r="B9741" s="77"/>
      <c r="C9741" s="60"/>
      <c r="D9741" s="81"/>
      <c r="E9741" s="62"/>
      <c r="F9741" s="60"/>
      <c r="G9741" s="62"/>
      <c r="H9741" s="60"/>
    </row>
    <row r="9742" spans="1:8">
      <c r="A9742" s="60"/>
      <c r="B9742" s="77"/>
      <c r="C9742" s="60"/>
      <c r="D9742" s="81"/>
      <c r="E9742" s="62"/>
      <c r="F9742" s="60"/>
      <c r="G9742" s="62"/>
      <c r="H9742" s="60"/>
    </row>
    <row r="9743" spans="1:8">
      <c r="A9743" s="60"/>
      <c r="B9743" s="77"/>
      <c r="C9743" s="60"/>
      <c r="D9743" s="81"/>
      <c r="E9743" s="62"/>
      <c r="F9743" s="60"/>
      <c r="G9743" s="62"/>
      <c r="H9743" s="60"/>
    </row>
    <row r="9744" spans="1:8">
      <c r="A9744" s="60"/>
      <c r="B9744" s="77"/>
      <c r="C9744" s="60"/>
      <c r="D9744" s="81"/>
      <c r="E9744" s="62"/>
      <c r="F9744" s="60"/>
      <c r="G9744" s="62"/>
      <c r="H9744" s="60"/>
    </row>
    <row r="9745" spans="1:8">
      <c r="A9745" s="60"/>
      <c r="B9745" s="77"/>
      <c r="C9745" s="60"/>
      <c r="D9745" s="81"/>
      <c r="E9745" s="62"/>
      <c r="F9745" s="60"/>
      <c r="G9745" s="62"/>
      <c r="H9745" s="60"/>
    </row>
    <row r="9746" spans="1:8">
      <c r="A9746" s="60"/>
      <c r="B9746" s="77"/>
      <c r="C9746" s="60"/>
      <c r="D9746" s="81"/>
      <c r="E9746" s="62"/>
      <c r="F9746" s="60"/>
      <c r="G9746" s="62"/>
      <c r="H9746" s="60"/>
    </row>
    <row r="9747" spans="1:8">
      <c r="A9747" s="60"/>
      <c r="B9747" s="77"/>
      <c r="C9747" s="60"/>
      <c r="D9747" s="81"/>
      <c r="E9747" s="62"/>
      <c r="F9747" s="60"/>
      <c r="G9747" s="62"/>
      <c r="H9747" s="60"/>
    </row>
    <row r="9748" spans="1:8">
      <c r="A9748" s="60"/>
      <c r="B9748" s="77"/>
      <c r="C9748" s="60"/>
      <c r="D9748" s="81"/>
      <c r="E9748" s="62"/>
      <c r="F9748" s="60"/>
      <c r="G9748" s="62"/>
      <c r="H9748" s="60"/>
    </row>
    <row r="9749" spans="1:8">
      <c r="A9749" s="60"/>
      <c r="B9749" s="77"/>
      <c r="C9749" s="60"/>
      <c r="D9749" s="81"/>
      <c r="E9749" s="62"/>
      <c r="F9749" s="60"/>
      <c r="G9749" s="62"/>
      <c r="H9749" s="60"/>
    </row>
    <row r="9750" spans="1:8">
      <c r="A9750" s="60"/>
      <c r="B9750" s="77"/>
      <c r="C9750" s="60"/>
      <c r="D9750" s="81"/>
      <c r="E9750" s="62"/>
      <c r="F9750" s="60"/>
      <c r="G9750" s="62"/>
      <c r="H9750" s="60"/>
    </row>
    <row r="9751" spans="1:8">
      <c r="A9751" s="60"/>
      <c r="B9751" s="77"/>
      <c r="C9751" s="60"/>
      <c r="D9751" s="81"/>
      <c r="E9751" s="62"/>
      <c r="F9751" s="60"/>
      <c r="G9751" s="62"/>
      <c r="H9751" s="60"/>
    </row>
    <row r="9752" spans="1:8">
      <c r="A9752" s="60"/>
      <c r="B9752" s="77"/>
      <c r="C9752" s="60"/>
      <c r="D9752" s="81"/>
      <c r="E9752" s="62"/>
      <c r="F9752" s="60"/>
      <c r="G9752" s="62"/>
      <c r="H9752" s="60"/>
    </row>
    <row r="9753" spans="1:8">
      <c r="A9753" s="60"/>
      <c r="B9753" s="77"/>
      <c r="C9753" s="60"/>
      <c r="D9753" s="81"/>
      <c r="E9753" s="62"/>
      <c r="F9753" s="60"/>
      <c r="G9753" s="62"/>
      <c r="H9753" s="60"/>
    </row>
    <row r="9754" spans="1:8">
      <c r="A9754" s="60"/>
      <c r="B9754" s="77"/>
      <c r="C9754" s="60"/>
      <c r="D9754" s="81"/>
      <c r="E9754" s="62"/>
      <c r="F9754" s="60"/>
      <c r="G9754" s="62"/>
      <c r="H9754" s="60"/>
    </row>
    <row r="9755" spans="1:8">
      <c r="A9755" s="60"/>
      <c r="B9755" s="77"/>
      <c r="C9755" s="60"/>
      <c r="D9755" s="81"/>
      <c r="E9755" s="62"/>
      <c r="F9755" s="60"/>
      <c r="G9755" s="62"/>
      <c r="H9755" s="60"/>
    </row>
    <row r="9756" spans="1:8">
      <c r="A9756" s="60"/>
      <c r="B9756" s="77"/>
      <c r="C9756" s="60"/>
      <c r="D9756" s="81"/>
      <c r="E9756" s="62"/>
      <c r="F9756" s="60"/>
      <c r="G9756" s="62"/>
      <c r="H9756" s="60"/>
    </row>
    <row r="9757" spans="1:8">
      <c r="A9757" s="60"/>
      <c r="B9757" s="77"/>
      <c r="C9757" s="60"/>
      <c r="D9757" s="81"/>
      <c r="E9757" s="62"/>
      <c r="F9757" s="60"/>
      <c r="G9757" s="62"/>
      <c r="H9757" s="60"/>
    </row>
    <row r="9758" spans="1:8">
      <c r="A9758" s="60"/>
      <c r="B9758" s="77"/>
      <c r="C9758" s="60"/>
      <c r="D9758" s="81"/>
      <c r="E9758" s="62"/>
      <c r="F9758" s="60"/>
      <c r="G9758" s="62"/>
      <c r="H9758" s="60"/>
    </row>
    <row r="9759" spans="1:8">
      <c r="A9759" s="60"/>
      <c r="B9759" s="77"/>
      <c r="C9759" s="60"/>
      <c r="D9759" s="81"/>
      <c r="E9759" s="62"/>
      <c r="F9759" s="60"/>
      <c r="G9759" s="62"/>
      <c r="H9759" s="60"/>
    </row>
    <row r="9760" spans="1:8">
      <c r="A9760" s="60"/>
      <c r="B9760" s="77"/>
      <c r="C9760" s="60"/>
      <c r="D9760" s="81"/>
      <c r="E9760" s="62"/>
      <c r="F9760" s="60"/>
      <c r="G9760" s="62"/>
      <c r="H9760" s="60"/>
    </row>
    <row r="9761" spans="1:8">
      <c r="A9761" s="60"/>
      <c r="B9761" s="77"/>
      <c r="C9761" s="60"/>
      <c r="D9761" s="81"/>
      <c r="E9761" s="62"/>
      <c r="F9761" s="60"/>
      <c r="G9761" s="62"/>
      <c r="H9761" s="60"/>
    </row>
    <row r="9762" spans="1:8">
      <c r="A9762" s="60"/>
      <c r="B9762" s="77"/>
      <c r="C9762" s="60"/>
      <c r="D9762" s="81"/>
      <c r="E9762" s="62"/>
      <c r="F9762" s="60"/>
      <c r="G9762" s="62"/>
      <c r="H9762" s="60"/>
    </row>
    <row r="9763" spans="1:8">
      <c r="A9763" s="60"/>
      <c r="B9763" s="77"/>
      <c r="C9763" s="60"/>
      <c r="D9763" s="81"/>
      <c r="E9763" s="62"/>
      <c r="F9763" s="60"/>
      <c r="G9763" s="62"/>
      <c r="H9763" s="60"/>
    </row>
    <row r="9764" spans="1:8">
      <c r="A9764" s="60"/>
      <c r="B9764" s="77"/>
      <c r="C9764" s="60"/>
      <c r="D9764" s="81"/>
      <c r="E9764" s="62"/>
      <c r="F9764" s="60"/>
      <c r="G9764" s="62"/>
      <c r="H9764" s="60"/>
    </row>
    <row r="9765" spans="1:8">
      <c r="A9765" s="60"/>
      <c r="B9765" s="77"/>
      <c r="C9765" s="60"/>
      <c r="D9765" s="81"/>
      <c r="E9765" s="62"/>
      <c r="F9765" s="60"/>
      <c r="G9765" s="62"/>
      <c r="H9765" s="60"/>
    </row>
    <row r="9766" spans="1:8">
      <c r="A9766" s="60"/>
      <c r="B9766" s="77"/>
      <c r="C9766" s="60"/>
      <c r="D9766" s="81"/>
      <c r="E9766" s="62"/>
      <c r="F9766" s="60"/>
      <c r="G9766" s="62"/>
      <c r="H9766" s="60"/>
    </row>
    <row r="9767" spans="1:8">
      <c r="A9767" s="60"/>
      <c r="B9767" s="77"/>
      <c r="C9767" s="60"/>
      <c r="D9767" s="81"/>
      <c r="E9767" s="62"/>
      <c r="F9767" s="60"/>
      <c r="G9767" s="62"/>
      <c r="H9767" s="60"/>
    </row>
    <row r="9768" spans="1:8">
      <c r="A9768" s="60"/>
      <c r="B9768" s="77"/>
      <c r="C9768" s="60"/>
      <c r="D9768" s="81"/>
      <c r="E9768" s="62"/>
      <c r="F9768" s="60"/>
      <c r="G9768" s="62"/>
      <c r="H9768" s="60"/>
    </row>
    <row r="9769" spans="1:8">
      <c r="A9769" s="60"/>
      <c r="B9769" s="77"/>
      <c r="C9769" s="60"/>
      <c r="D9769" s="81"/>
      <c r="E9769" s="62"/>
      <c r="F9769" s="60"/>
      <c r="G9769" s="62"/>
      <c r="H9769" s="60"/>
    </row>
    <row r="9770" spans="1:8">
      <c r="A9770" s="60"/>
      <c r="B9770" s="77"/>
      <c r="C9770" s="60"/>
      <c r="D9770" s="81"/>
      <c r="E9770" s="62"/>
      <c r="F9770" s="60"/>
      <c r="G9770" s="62"/>
      <c r="H9770" s="60"/>
    </row>
    <row r="9771" spans="1:8">
      <c r="A9771" s="84"/>
      <c r="B9771" s="85"/>
      <c r="C9771" s="60"/>
      <c r="D9771" s="86"/>
      <c r="E9771" s="62"/>
      <c r="F9771" s="60"/>
      <c r="G9771" s="62"/>
      <c r="H9771" s="60"/>
    </row>
    <row r="9772" spans="4:8">
      <c r="D9772" s="2"/>
      <c r="H9772" s="84"/>
    </row>
    <row r="9773" spans="4:4">
      <c r="D9773" s="2"/>
    </row>
    <row r="9774" spans="4:4">
      <c r="D9774" s="2"/>
    </row>
    <row r="9775" spans="4:4">
      <c r="D9775" s="2"/>
    </row>
    <row r="9776" spans="4:4">
      <c r="D9776" s="2"/>
    </row>
    <row r="9777" spans="4:4">
      <c r="D9777" s="2"/>
    </row>
    <row r="9778" spans="4:4">
      <c r="D9778" s="2"/>
    </row>
    <row r="9779" spans="4:4">
      <c r="D9779" s="2"/>
    </row>
    <row r="9780" spans="4:4">
      <c r="D9780" s="2"/>
    </row>
    <row r="9781" spans="4:4">
      <c r="D9781" s="2"/>
    </row>
    <row r="9782" spans="4:4">
      <c r="D9782" s="2"/>
    </row>
    <row r="9783" spans="4:4">
      <c r="D9783" s="2"/>
    </row>
    <row r="9784" spans="4:4">
      <c r="D9784" s="2"/>
    </row>
    <row r="9785" spans="4:4">
      <c r="D9785" s="2"/>
    </row>
    <row r="9786" spans="4:4">
      <c r="D9786" s="2"/>
    </row>
    <row r="9787" spans="4:4">
      <c r="D9787" s="2"/>
    </row>
    <row r="9788" spans="4:4">
      <c r="D9788" s="2"/>
    </row>
    <row r="9789" spans="4:4">
      <c r="D9789" s="2"/>
    </row>
    <row r="9790" spans="4:4">
      <c r="D9790" s="2"/>
    </row>
    <row r="9791" spans="4:4">
      <c r="D9791" s="2"/>
    </row>
    <row r="9792" spans="4:4">
      <c r="D9792" s="2"/>
    </row>
    <row r="9793" spans="4:4">
      <c r="D9793" s="2"/>
    </row>
    <row r="9794" spans="4:4">
      <c r="D9794" s="2"/>
    </row>
    <row r="9795" spans="4:4">
      <c r="D9795" s="2"/>
    </row>
    <row r="9796" spans="4:4">
      <c r="D9796" s="2"/>
    </row>
    <row r="9797" spans="4:4">
      <c r="D9797" s="2"/>
    </row>
    <row r="9798" spans="4:4">
      <c r="D9798" s="2"/>
    </row>
    <row r="9799" spans="4:4">
      <c r="D9799" s="2"/>
    </row>
    <row r="9800" spans="4:4">
      <c r="D9800" s="2"/>
    </row>
    <row r="9801" spans="4:4">
      <c r="D9801" s="2"/>
    </row>
    <row r="9802" spans="4:4">
      <c r="D9802" s="2"/>
    </row>
    <row r="9803" spans="4:4">
      <c r="D9803" s="2"/>
    </row>
    <row r="9804" spans="4:4">
      <c r="D9804" s="2"/>
    </row>
    <row r="9805" spans="4:4">
      <c r="D9805" s="2"/>
    </row>
    <row r="9806" spans="4:4">
      <c r="D9806" s="2"/>
    </row>
    <row r="9807" spans="4:4">
      <c r="D9807" s="2"/>
    </row>
    <row r="9808" spans="4:4">
      <c r="D9808" s="2"/>
    </row>
    <row r="9809" spans="4:4">
      <c r="D9809" s="2"/>
    </row>
    <row r="9810" spans="4:4">
      <c r="D9810" s="2"/>
    </row>
    <row r="9811" spans="4:4">
      <c r="D9811" s="2"/>
    </row>
    <row r="9812" spans="4:4">
      <c r="D9812" s="2"/>
    </row>
    <row r="9813" spans="4:4">
      <c r="D9813" s="2"/>
    </row>
    <row r="9814" spans="4:4">
      <c r="D9814" s="2"/>
    </row>
    <row r="9815" spans="4:4">
      <c r="D9815" s="2"/>
    </row>
    <row r="9816" spans="4:4">
      <c r="D9816" s="2"/>
    </row>
    <row r="9817" spans="4:4">
      <c r="D9817" s="2"/>
    </row>
    <row r="9818" spans="4:4">
      <c r="D9818" s="2"/>
    </row>
    <row r="9819" spans="4:4">
      <c r="D9819" s="2"/>
    </row>
    <row r="9820" spans="4:4">
      <c r="D9820" s="2"/>
    </row>
    <row r="9821" spans="4:4">
      <c r="D9821" s="2"/>
    </row>
    <row r="9822" spans="4:4">
      <c r="D9822" s="2"/>
    </row>
    <row r="9823" spans="4:4">
      <c r="D9823" s="2"/>
    </row>
    <row r="9824" spans="4:4">
      <c r="D9824" s="2"/>
    </row>
    <row r="9825" spans="4:4">
      <c r="D9825" s="2"/>
    </row>
    <row r="9826" spans="4:4">
      <c r="D9826" s="2"/>
    </row>
    <row r="9827" spans="4:4">
      <c r="D9827" s="2"/>
    </row>
    <row r="9828" spans="4:4">
      <c r="D9828" s="2"/>
    </row>
    <row r="9829" spans="4:4">
      <c r="D9829" s="2"/>
    </row>
    <row r="9830" spans="4:4">
      <c r="D9830" s="2"/>
    </row>
    <row r="9831" spans="4:4">
      <c r="D9831" s="2"/>
    </row>
    <row r="9832" spans="4:4">
      <c r="D9832" s="2"/>
    </row>
    <row r="9833" spans="4:4">
      <c r="D9833" s="2"/>
    </row>
    <row r="9834" spans="4:4">
      <c r="D9834" s="2"/>
    </row>
    <row r="9835" spans="4:4">
      <c r="D9835" s="2"/>
    </row>
    <row r="9836" spans="4:4">
      <c r="D9836" s="2"/>
    </row>
    <row r="9837" spans="4:4">
      <c r="D9837" s="2"/>
    </row>
    <row r="9838" spans="4:4">
      <c r="D9838" s="2"/>
    </row>
    <row r="9839" spans="4:4">
      <c r="D9839" s="2"/>
    </row>
    <row r="9840" spans="4:4">
      <c r="D9840" s="2"/>
    </row>
    <row r="9841" spans="4:4">
      <c r="D9841" s="2"/>
    </row>
    <row r="9842" spans="4:4">
      <c r="D9842" s="2"/>
    </row>
    <row r="9843" spans="4:4">
      <c r="D9843" s="2"/>
    </row>
    <row r="9844" spans="4:4">
      <c r="D9844" s="2"/>
    </row>
    <row r="9845" spans="4:4">
      <c r="D9845" s="2"/>
    </row>
    <row r="9846" spans="4:4">
      <c r="D9846" s="2"/>
    </row>
    <row r="9847" spans="4:4">
      <c r="D9847" s="2"/>
    </row>
    <row r="9848" spans="4:4">
      <c r="D9848" s="2"/>
    </row>
    <row r="9849" spans="4:4">
      <c r="D9849" s="2"/>
    </row>
    <row r="9850" spans="4:4">
      <c r="D9850" s="2"/>
    </row>
    <row r="9851" spans="4:4">
      <c r="D9851" s="2"/>
    </row>
    <row r="9852" spans="4:4">
      <c r="D9852" s="2"/>
    </row>
    <row r="9853" spans="4:4">
      <c r="D9853" s="2"/>
    </row>
    <row r="9854" spans="4:4">
      <c r="D9854" s="2"/>
    </row>
    <row r="9855" spans="4:4">
      <c r="D9855" s="2"/>
    </row>
    <row r="9856" spans="4:4">
      <c r="D9856" s="2"/>
    </row>
    <row r="9857" spans="4:4">
      <c r="D9857" s="2"/>
    </row>
    <row r="9858" spans="4:4">
      <c r="D9858" s="2"/>
    </row>
    <row r="9859" spans="4:4">
      <c r="D9859" s="2"/>
    </row>
    <row r="9860" spans="4:4">
      <c r="D9860" s="2"/>
    </row>
    <row r="9861" spans="4:4">
      <c r="D9861" s="2"/>
    </row>
    <row r="9862" spans="4:4">
      <c r="D9862" s="2"/>
    </row>
    <row r="9863" spans="4:4">
      <c r="D9863" s="2"/>
    </row>
    <row r="9864" spans="4:4">
      <c r="D9864" s="2"/>
    </row>
    <row r="9865" spans="4:4">
      <c r="D9865" s="2"/>
    </row>
    <row r="9866" spans="4:4">
      <c r="D9866" s="2"/>
    </row>
    <row r="9867" spans="4:4">
      <c r="D9867" s="2"/>
    </row>
    <row r="9868" spans="4:4">
      <c r="D9868" s="2"/>
    </row>
    <row r="9869" spans="4:4">
      <c r="D9869" s="2"/>
    </row>
    <row r="9870" spans="4:4">
      <c r="D9870" s="2"/>
    </row>
    <row r="9871" spans="4:4">
      <c r="D9871" s="2"/>
    </row>
    <row r="9872" spans="4:4">
      <c r="D9872" s="2"/>
    </row>
    <row r="9873" spans="4:4">
      <c r="D9873" s="2"/>
    </row>
    <row r="9874" spans="4:4">
      <c r="D9874" s="2"/>
    </row>
    <row r="9875" spans="4:4">
      <c r="D9875" s="2"/>
    </row>
    <row r="9876" spans="4:4">
      <c r="D9876" s="2"/>
    </row>
    <row r="9877" spans="4:4">
      <c r="D9877" s="2"/>
    </row>
    <row r="9878" spans="4:4">
      <c r="D9878" s="2"/>
    </row>
    <row r="9879" spans="4:4">
      <c r="D9879" s="2"/>
    </row>
    <row r="9880" spans="4:4">
      <c r="D9880" s="2"/>
    </row>
    <row r="9881" spans="4:4">
      <c r="D9881" s="2"/>
    </row>
    <row r="9882" spans="4:4">
      <c r="D9882" s="2"/>
    </row>
    <row r="9883" spans="4:4">
      <c r="D9883" s="2"/>
    </row>
    <row r="9884" spans="4:4">
      <c r="D9884" s="2"/>
    </row>
    <row r="9885" spans="4:4">
      <c r="D9885" s="2"/>
    </row>
    <row r="9886" spans="4:4">
      <c r="D9886" s="2"/>
    </row>
    <row r="9887" spans="4:4">
      <c r="D9887" s="2"/>
    </row>
    <row r="9888" spans="4:4">
      <c r="D9888" s="2"/>
    </row>
    <row r="9889" spans="4:4">
      <c r="D9889" s="2"/>
    </row>
    <row r="9890" spans="4:4">
      <c r="D9890" s="2"/>
    </row>
    <row r="9891" spans="4:4">
      <c r="D9891" s="2"/>
    </row>
    <row r="9892" spans="4:4">
      <c r="D9892" s="2"/>
    </row>
    <row r="9893" spans="4:4">
      <c r="D9893" s="2"/>
    </row>
    <row r="9894" spans="4:4">
      <c r="D9894" s="2"/>
    </row>
    <row r="9895" spans="4:4">
      <c r="D9895" s="2"/>
    </row>
    <row r="9896" spans="4:4">
      <c r="D9896" s="2"/>
    </row>
    <row r="9897" spans="4:4">
      <c r="D9897" s="2"/>
    </row>
    <row r="9898" spans="4:4">
      <c r="D9898" s="2"/>
    </row>
    <row r="9899" spans="4:4">
      <c r="D9899" s="2"/>
    </row>
    <row r="9900" spans="4:4">
      <c r="D9900" s="2"/>
    </row>
    <row r="9901" spans="4:4">
      <c r="D9901" s="2"/>
    </row>
    <row r="9902" spans="4:4">
      <c r="D9902" s="2"/>
    </row>
    <row r="9903" spans="4:4">
      <c r="D9903" s="2"/>
    </row>
    <row r="9904" spans="4:4">
      <c r="D9904" s="2"/>
    </row>
    <row r="9905" spans="4:4">
      <c r="D9905" s="2"/>
    </row>
    <row r="9906" spans="4:4">
      <c r="D9906" s="2"/>
    </row>
    <row r="9907" spans="4:4">
      <c r="D9907" s="2"/>
    </row>
    <row r="9908" spans="4:4">
      <c r="D9908" s="2"/>
    </row>
    <row r="9909" spans="4:4">
      <c r="D9909" s="2"/>
    </row>
    <row r="9910" spans="4:4">
      <c r="D9910" s="2"/>
    </row>
    <row r="9911" spans="4:4">
      <c r="D9911" s="2"/>
    </row>
    <row r="9912" spans="4:4">
      <c r="D9912" s="2"/>
    </row>
    <row r="9913" spans="4:4">
      <c r="D9913" s="2"/>
    </row>
    <row r="9914" spans="4:4">
      <c r="D9914" s="2"/>
    </row>
    <row r="9915" spans="4:4">
      <c r="D9915" s="2"/>
    </row>
    <row r="9916" spans="4:4">
      <c r="D9916" s="2"/>
    </row>
    <row r="9917" spans="4:4">
      <c r="D9917" s="2"/>
    </row>
    <row r="9918" spans="4:4">
      <c r="D9918" s="2"/>
    </row>
    <row r="9919" spans="4:4">
      <c r="D9919" s="2"/>
    </row>
    <row r="9920" spans="4:4">
      <c r="D9920" s="2"/>
    </row>
    <row r="9921" spans="4:4">
      <c r="D9921" s="2"/>
    </row>
    <row r="9922" spans="4:4">
      <c r="D9922" s="2"/>
    </row>
    <row r="9923" spans="4:4">
      <c r="D9923" s="2"/>
    </row>
    <row r="9924" spans="4:4">
      <c r="D9924" s="2"/>
    </row>
    <row r="9925" spans="4:4">
      <c r="D9925" s="2"/>
    </row>
    <row r="9926" spans="4:4">
      <c r="D9926" s="2"/>
    </row>
    <row r="9927" spans="4:4">
      <c r="D9927" s="2"/>
    </row>
    <row r="9928" spans="4:4">
      <c r="D9928" s="2"/>
    </row>
    <row r="9929" spans="4:4">
      <c r="D9929" s="2"/>
    </row>
    <row r="9930" spans="4:4">
      <c r="D9930" s="2"/>
    </row>
    <row r="9931" spans="4:4">
      <c r="D9931" s="2"/>
    </row>
    <row r="9932" spans="4:4">
      <c r="D9932" s="2"/>
    </row>
    <row r="9933" spans="4:4">
      <c r="D9933" s="2"/>
    </row>
    <row r="9934" spans="4:4">
      <c r="D9934" s="2"/>
    </row>
    <row r="9935" spans="4:4">
      <c r="D9935" s="2"/>
    </row>
    <row r="9936" spans="4:4">
      <c r="D9936" s="2"/>
    </row>
    <row r="9937" spans="4:4">
      <c r="D9937" s="2"/>
    </row>
    <row r="9938" spans="4:4">
      <c r="D9938" s="2"/>
    </row>
    <row r="9939" spans="4:4">
      <c r="D9939" s="2"/>
    </row>
    <row r="9940" spans="4:4">
      <c r="D9940" s="2"/>
    </row>
    <row r="9941" spans="4:4">
      <c r="D9941" s="2"/>
    </row>
    <row r="9942" spans="4:4">
      <c r="D9942" s="2"/>
    </row>
    <row r="9943" spans="4:4">
      <c r="D9943" s="2"/>
    </row>
    <row r="9944" spans="4:4">
      <c r="D9944" s="2"/>
    </row>
    <row r="9945" spans="4:4">
      <c r="D9945" s="2"/>
    </row>
    <row r="9946" spans="4:4">
      <c r="D9946" s="2"/>
    </row>
    <row r="9947" spans="4:4">
      <c r="D9947" s="2"/>
    </row>
    <row r="9948" spans="4:4">
      <c r="D9948" s="2"/>
    </row>
    <row r="9949" spans="4:4">
      <c r="D9949" s="2"/>
    </row>
    <row r="9950" spans="4:4">
      <c r="D9950" s="2"/>
    </row>
    <row r="9951" spans="4:4">
      <c r="D9951" s="2"/>
    </row>
    <row r="9952" spans="4:4">
      <c r="D9952" s="2"/>
    </row>
    <row r="9953" spans="4:4">
      <c r="D9953" s="2"/>
    </row>
    <row r="9954" spans="4:4">
      <c r="D9954" s="2"/>
    </row>
    <row r="9955" spans="4:4">
      <c r="D9955" s="2"/>
    </row>
    <row r="9956" spans="4:4">
      <c r="D9956" s="2"/>
    </row>
    <row r="9957" spans="4:4">
      <c r="D9957" s="2"/>
    </row>
    <row r="9958" spans="4:4">
      <c r="D9958" s="2"/>
    </row>
    <row r="9959" spans="4:4">
      <c r="D9959" s="2"/>
    </row>
    <row r="9960" spans="4:4">
      <c r="D9960" s="2"/>
    </row>
    <row r="9961" spans="4:4">
      <c r="D9961" s="2"/>
    </row>
    <row r="9962" spans="4:4">
      <c r="D9962" s="2"/>
    </row>
    <row r="9963" spans="4:4">
      <c r="D9963" s="2"/>
    </row>
    <row r="9964" spans="4:4">
      <c r="D9964" s="2"/>
    </row>
    <row r="9965" spans="4:4">
      <c r="D9965" s="2"/>
    </row>
    <row r="9966" spans="4:4">
      <c r="D9966" s="2"/>
    </row>
    <row r="9967" spans="4:4">
      <c r="D9967" s="2"/>
    </row>
    <row r="9968" spans="4:4">
      <c r="D9968" s="2"/>
    </row>
    <row r="9969" spans="4:4">
      <c r="D9969" s="2"/>
    </row>
    <row r="9970" spans="4:4">
      <c r="D9970" s="2"/>
    </row>
    <row r="9971" spans="4:4">
      <c r="D9971" s="2"/>
    </row>
    <row r="9972" spans="4:4">
      <c r="D9972" s="2"/>
    </row>
    <row r="9973" spans="4:4">
      <c r="D9973" s="2"/>
    </row>
    <row r="9974" spans="4:4">
      <c r="D9974" s="2"/>
    </row>
    <row r="9975" spans="4:4">
      <c r="D9975" s="2"/>
    </row>
    <row r="9976" spans="4:4">
      <c r="D9976" s="2"/>
    </row>
    <row r="9977" spans="4:4">
      <c r="D9977" s="2"/>
    </row>
    <row r="9978" spans="4:4">
      <c r="D9978" s="2"/>
    </row>
    <row r="9979" spans="4:4">
      <c r="D9979" s="2"/>
    </row>
    <row r="9980" spans="4:4">
      <c r="D9980" s="2"/>
    </row>
    <row r="9981" spans="4:4">
      <c r="D9981" s="2"/>
    </row>
    <row r="9982" spans="4:4">
      <c r="D9982" s="2"/>
    </row>
    <row r="9983" spans="4:4">
      <c r="D9983" s="2"/>
    </row>
    <row r="9984" spans="4:4">
      <c r="D9984" s="2"/>
    </row>
    <row r="9985" spans="4:4">
      <c r="D9985" s="2"/>
    </row>
    <row r="9986" spans="4:4">
      <c r="D9986" s="2"/>
    </row>
    <row r="9987" spans="4:4">
      <c r="D9987" s="2"/>
    </row>
    <row r="9988" spans="4:4">
      <c r="D9988" s="2"/>
    </row>
    <row r="9989" spans="4:4">
      <c r="D9989" s="2"/>
    </row>
    <row r="9990" spans="4:4">
      <c r="D9990" s="2"/>
    </row>
    <row r="9991" spans="4:4">
      <c r="D9991" s="2"/>
    </row>
    <row r="9992" spans="4:4">
      <c r="D9992" s="2"/>
    </row>
    <row r="9993" spans="4:4">
      <c r="D9993" s="2"/>
    </row>
    <row r="9994" spans="4:4">
      <c r="D9994" s="2"/>
    </row>
    <row r="9995" spans="4:4">
      <c r="D9995" s="2"/>
    </row>
    <row r="9996" spans="4:4">
      <c r="D9996" s="2"/>
    </row>
    <row r="9997" spans="4:4">
      <c r="D9997" s="2"/>
    </row>
    <row r="9998" spans="4:4">
      <c r="D9998" s="2"/>
    </row>
    <row r="9999" spans="4:4">
      <c r="D9999" s="2"/>
    </row>
    <row r="10000" spans="4:4">
      <c r="D10000" s="2"/>
    </row>
    <row r="10001" spans="4:4">
      <c r="D10001" s="2"/>
    </row>
    <row r="10002" spans="4:4">
      <c r="D10002" s="2"/>
    </row>
    <row r="10003" spans="4:4">
      <c r="D10003" s="2"/>
    </row>
    <row r="10004" spans="4:4">
      <c r="D10004" s="2"/>
    </row>
    <row r="10005" spans="4:4">
      <c r="D10005" s="2"/>
    </row>
    <row r="10006" spans="4:4">
      <c r="D10006" s="2"/>
    </row>
    <row r="10007" spans="4:4">
      <c r="D10007" s="2"/>
    </row>
    <row r="10008" spans="4:4">
      <c r="D10008" s="2"/>
    </row>
    <row r="10009" spans="4:4">
      <c r="D10009" s="2"/>
    </row>
    <row r="10010" spans="4:4">
      <c r="D10010" s="2"/>
    </row>
    <row r="10011" spans="4:4">
      <c r="D10011" s="2"/>
    </row>
    <row r="10012" spans="4:4">
      <c r="D10012" s="2"/>
    </row>
    <row r="10013" spans="4:4">
      <c r="D10013" s="2"/>
    </row>
    <row r="10014" spans="4:4">
      <c r="D10014" s="2"/>
    </row>
    <row r="10015" spans="4:4">
      <c r="D10015" s="2"/>
    </row>
    <row r="10016" spans="4:4">
      <c r="D10016" s="2"/>
    </row>
    <row r="10017" spans="4:4">
      <c r="D10017" s="2"/>
    </row>
    <row r="10018" spans="4:4">
      <c r="D10018" s="2"/>
    </row>
    <row r="10019" spans="4:4">
      <c r="D10019" s="2"/>
    </row>
    <row r="10020" spans="4:4">
      <c r="D10020" s="2"/>
    </row>
    <row r="10021" spans="4:4">
      <c r="D10021" s="2"/>
    </row>
    <row r="10022" spans="4:4">
      <c r="D10022" s="2"/>
    </row>
    <row r="10023" spans="4:4">
      <c r="D10023" s="2"/>
    </row>
    <row r="10024" spans="4:4">
      <c r="D10024" s="2"/>
    </row>
    <row r="10025" spans="4:4">
      <c r="D10025" s="2"/>
    </row>
    <row r="10026" spans="4:4">
      <c r="D10026" s="2"/>
    </row>
    <row r="10027" spans="4:4">
      <c r="D10027" s="2"/>
    </row>
    <row r="10028" spans="4:4">
      <c r="D10028" s="2"/>
    </row>
    <row r="10029" spans="4:4">
      <c r="D10029" s="2"/>
    </row>
    <row r="10030" spans="4:4">
      <c r="D10030" s="2"/>
    </row>
    <row r="10031" spans="4:4">
      <c r="D10031" s="2"/>
    </row>
    <row r="10032" spans="4:4">
      <c r="D10032" s="2"/>
    </row>
    <row r="10033" spans="4:4">
      <c r="D10033" s="2"/>
    </row>
    <row r="10034" spans="4:4">
      <c r="D10034" s="2"/>
    </row>
    <row r="10035" spans="4:4">
      <c r="D10035" s="2"/>
    </row>
    <row r="10036" spans="4:4">
      <c r="D10036" s="2"/>
    </row>
    <row r="10037" spans="4:4">
      <c r="D10037" s="2"/>
    </row>
    <row r="10038" spans="4:4">
      <c r="D10038" s="2"/>
    </row>
    <row r="10039" spans="4:4">
      <c r="D10039" s="2"/>
    </row>
    <row r="10040" spans="4:4">
      <c r="D10040" s="2"/>
    </row>
    <row r="10041" spans="4:4">
      <c r="D10041" s="2"/>
    </row>
    <row r="10042" spans="4:4">
      <c r="D10042" s="2"/>
    </row>
    <row r="10043" spans="4:4">
      <c r="D10043" s="2"/>
    </row>
    <row r="10044" spans="4:4">
      <c r="D10044" s="2"/>
    </row>
    <row r="10045" spans="4:4">
      <c r="D10045" s="2"/>
    </row>
    <row r="10046" spans="4:4">
      <c r="D10046" s="2"/>
    </row>
    <row r="10047" spans="4:4">
      <c r="D10047" s="2"/>
    </row>
    <row r="10048" spans="4:4">
      <c r="D10048" s="2"/>
    </row>
    <row r="10049" spans="4:4">
      <c r="D10049" s="2"/>
    </row>
    <row r="10050" spans="4:4">
      <c r="D10050" s="2"/>
    </row>
    <row r="10051" spans="4:4">
      <c r="D10051" s="2"/>
    </row>
    <row r="10052" spans="4:4">
      <c r="D10052" s="2"/>
    </row>
    <row r="10053" spans="4:4">
      <c r="D10053" s="2"/>
    </row>
    <row r="10054" spans="4:4">
      <c r="D10054" s="2"/>
    </row>
    <row r="10055" spans="4:4">
      <c r="D10055" s="2"/>
    </row>
    <row r="10056" spans="4:4">
      <c r="D10056" s="2"/>
    </row>
    <row r="10057" spans="4:4">
      <c r="D10057" s="2"/>
    </row>
    <row r="10058" spans="4:4">
      <c r="D10058" s="2"/>
    </row>
    <row r="10059" spans="4:4">
      <c r="D10059" s="2"/>
    </row>
    <row r="10060" spans="4:4">
      <c r="D10060" s="2"/>
    </row>
    <row r="10061" spans="4:4">
      <c r="D10061" s="2"/>
    </row>
    <row r="10062" spans="4:4">
      <c r="D10062" s="2"/>
    </row>
    <row r="10063" spans="4:4">
      <c r="D10063" s="2"/>
    </row>
    <row r="10064" spans="4:4">
      <c r="D10064" s="2"/>
    </row>
    <row r="10065" spans="4:4">
      <c r="D10065" s="2"/>
    </row>
    <row r="10066" spans="4:4">
      <c r="D10066" s="2"/>
    </row>
    <row r="10067" spans="4:4">
      <c r="D10067" s="2"/>
    </row>
    <row r="10068" spans="4:4">
      <c r="D10068" s="2"/>
    </row>
    <row r="10069" spans="4:4">
      <c r="D10069" s="2"/>
    </row>
    <row r="10070" spans="4:4">
      <c r="D10070" s="2"/>
    </row>
    <row r="10071" spans="4:4">
      <c r="D10071" s="2"/>
    </row>
    <row r="10072" spans="4:4">
      <c r="D10072" s="2"/>
    </row>
    <row r="10073" spans="4:4">
      <c r="D10073" s="2"/>
    </row>
    <row r="10074" spans="4:4">
      <c r="D10074" s="2"/>
    </row>
    <row r="10075" spans="4:4">
      <c r="D10075" s="2"/>
    </row>
    <row r="10076" spans="4:4">
      <c r="D10076" s="2"/>
    </row>
    <row r="10077" spans="4:4">
      <c r="D10077" s="2"/>
    </row>
    <row r="10078" spans="4:4">
      <c r="D10078" s="2"/>
    </row>
    <row r="10079" spans="4:4">
      <c r="D10079" s="2"/>
    </row>
    <row r="10080" spans="4:4">
      <c r="D10080" s="2"/>
    </row>
    <row r="10081" spans="4:4">
      <c r="D10081" s="2"/>
    </row>
    <row r="10082" spans="4:4">
      <c r="D10082" s="2"/>
    </row>
    <row r="10083" spans="4:4">
      <c r="D10083" s="2"/>
    </row>
    <row r="10084" spans="4:4">
      <c r="D10084" s="2"/>
    </row>
    <row r="10085" spans="4:4">
      <c r="D10085" s="2"/>
    </row>
    <row r="10086" spans="4:4">
      <c r="D10086" s="2"/>
    </row>
    <row r="10087" spans="4:4">
      <c r="D10087" s="2"/>
    </row>
    <row r="10088" spans="4:4">
      <c r="D10088" s="2"/>
    </row>
    <row r="10089" spans="4:4">
      <c r="D10089" s="2"/>
    </row>
    <row r="10090" spans="4:4">
      <c r="D10090" s="2"/>
    </row>
    <row r="10091" spans="4:4">
      <c r="D10091" s="2"/>
    </row>
    <row r="10092" spans="4:4">
      <c r="D10092" s="2"/>
    </row>
    <row r="10093" spans="4:4">
      <c r="D10093" s="2"/>
    </row>
    <row r="10094" spans="4:4">
      <c r="D10094" s="2"/>
    </row>
    <row r="10095" spans="4:4">
      <c r="D10095" s="2"/>
    </row>
    <row r="10096" spans="4:4">
      <c r="D10096" s="2"/>
    </row>
    <row r="10097" spans="4:4">
      <c r="D10097" s="2"/>
    </row>
    <row r="10098" spans="4:4">
      <c r="D10098" s="2"/>
    </row>
    <row r="10099" spans="4:4">
      <c r="D10099" s="2"/>
    </row>
    <row r="10100" spans="4:4">
      <c r="D10100" s="2"/>
    </row>
    <row r="10101" spans="4:4">
      <c r="D10101" s="2"/>
    </row>
    <row r="10102" spans="4:4">
      <c r="D10102" s="2"/>
    </row>
    <row r="10103" spans="4:4">
      <c r="D10103" s="2"/>
    </row>
    <row r="10104" spans="4:4">
      <c r="D10104" s="2"/>
    </row>
    <row r="10105" spans="4:4">
      <c r="D10105" s="2"/>
    </row>
    <row r="10106" spans="4:4">
      <c r="D10106" s="2"/>
    </row>
    <row r="10107" spans="4:4">
      <c r="D10107" s="2"/>
    </row>
    <row r="10108" spans="4:4">
      <c r="D10108" s="2"/>
    </row>
    <row r="10109" spans="4:4">
      <c r="D10109" s="2"/>
    </row>
    <row r="10110" spans="4:4">
      <c r="D10110" s="2"/>
    </row>
    <row r="10111" spans="4:4">
      <c r="D10111" s="2"/>
    </row>
    <row r="10112" spans="4:4">
      <c r="D10112" s="2"/>
    </row>
    <row r="10113" spans="4:4">
      <c r="D10113" s="2"/>
    </row>
    <row r="10114" spans="4:4">
      <c r="D10114" s="2"/>
    </row>
    <row r="10115" spans="4:4">
      <c r="D10115" s="2"/>
    </row>
    <row r="10116" spans="4:4">
      <c r="D10116" s="2"/>
    </row>
    <row r="10117" spans="4:4">
      <c r="D10117" s="2"/>
    </row>
    <row r="10118" spans="4:4">
      <c r="D10118" s="2"/>
    </row>
    <row r="10119" spans="4:4">
      <c r="D10119" s="2"/>
    </row>
    <row r="10120" spans="4:4">
      <c r="D10120" s="2"/>
    </row>
    <row r="10121" spans="4:4">
      <c r="D10121" s="2"/>
    </row>
    <row r="10122" spans="4:4">
      <c r="D10122" s="2"/>
    </row>
    <row r="10123" spans="4:4">
      <c r="D10123" s="2"/>
    </row>
    <row r="10124" spans="4:4">
      <c r="D10124" s="2"/>
    </row>
    <row r="10125" spans="4:4">
      <c r="D10125" s="2"/>
    </row>
    <row r="10126" spans="4:4">
      <c r="D10126" s="2"/>
    </row>
    <row r="10127" spans="4:4">
      <c r="D10127" s="2"/>
    </row>
    <row r="10128" spans="4:4">
      <c r="D10128" s="2"/>
    </row>
    <row r="10129" spans="4:4">
      <c r="D10129" s="2"/>
    </row>
    <row r="10130" spans="4:4">
      <c r="D10130" s="2"/>
    </row>
    <row r="10131" spans="4:4">
      <c r="D10131" s="2"/>
    </row>
    <row r="10132" spans="4:4">
      <c r="D10132" s="2"/>
    </row>
    <row r="10133" spans="4:4">
      <c r="D10133" s="2"/>
    </row>
    <row r="10134" spans="4:4">
      <c r="D10134" s="2"/>
    </row>
    <row r="10135" spans="4:4">
      <c r="D10135" s="2"/>
    </row>
    <row r="10136" spans="4:4">
      <c r="D10136" s="2"/>
    </row>
    <row r="10137" spans="4:4">
      <c r="D10137" s="2"/>
    </row>
    <row r="10138" spans="4:4">
      <c r="D10138" s="2"/>
    </row>
    <row r="10139" spans="4:4">
      <c r="D10139" s="2"/>
    </row>
    <row r="10140" spans="4:4">
      <c r="D10140" s="2"/>
    </row>
    <row r="10141" spans="4:4">
      <c r="D10141" s="2"/>
    </row>
    <row r="10142" spans="4:4">
      <c r="D10142" s="2"/>
    </row>
    <row r="10143" spans="4:4">
      <c r="D10143" s="2"/>
    </row>
    <row r="10144" spans="4:4">
      <c r="D10144" s="2"/>
    </row>
    <row r="10145" spans="4:4">
      <c r="D10145" s="2"/>
    </row>
    <row r="10146" spans="4:4">
      <c r="D10146" s="2"/>
    </row>
    <row r="10147" spans="4:4">
      <c r="D10147" s="2"/>
    </row>
    <row r="10148" spans="4:4">
      <c r="D10148" s="2"/>
    </row>
    <row r="10149" spans="4:4">
      <c r="D10149" s="2"/>
    </row>
    <row r="10150" spans="4:4">
      <c r="D10150" s="2"/>
    </row>
    <row r="10151" spans="4:4">
      <c r="D10151" s="2"/>
    </row>
    <row r="10152" spans="4:4">
      <c r="D10152" s="2"/>
    </row>
    <row r="10153" spans="4:4">
      <c r="D10153" s="2"/>
    </row>
    <row r="10154" spans="4:4">
      <c r="D10154" s="2"/>
    </row>
    <row r="10155" spans="4:4">
      <c r="D10155" s="2"/>
    </row>
    <row r="10156" spans="4:4">
      <c r="D10156" s="2"/>
    </row>
    <row r="10157" spans="4:4">
      <c r="D10157" s="2"/>
    </row>
    <row r="10158" spans="4:4">
      <c r="D10158" s="2"/>
    </row>
    <row r="10159" spans="4:4">
      <c r="D10159" s="2"/>
    </row>
  </sheetData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AM567"/>
  <sheetViews>
    <sheetView zoomScale="78" zoomScaleNormal="78" topLeftCell="O1" workbookViewId="0">
      <selection activeCell="Y4" sqref="Y4:Z4"/>
    </sheetView>
  </sheetViews>
  <sheetFormatPr defaultColWidth="9" defaultRowHeight="14.4"/>
  <cols>
    <col min="1" max="1" width="35.9074074074074" customWidth="1"/>
    <col min="2" max="2" width="44.5462962962963" customWidth="1"/>
    <col min="3" max="3" width="18.3611111111111" customWidth="1"/>
    <col min="4" max="4" width="12.1759259259259" customWidth="1"/>
    <col min="5" max="5" width="43.7222222222222" hidden="1" customWidth="1"/>
    <col min="6" max="6" width="20.6296296296296" hidden="1" customWidth="1"/>
    <col min="9" max="9" width="35" customWidth="1"/>
    <col min="10" max="10" width="28.5462962962963" customWidth="1"/>
    <col min="11" max="11" width="18.3611111111111" customWidth="1"/>
    <col min="12" max="12" width="12.1759259259259" customWidth="1"/>
    <col min="13" max="13" width="13.5462962962963" hidden="1" customWidth="1"/>
    <col min="14" max="14" width="18.9074074074074" hidden="1" customWidth="1"/>
    <col min="20" max="20" width="35.9074074074074" customWidth="1"/>
    <col min="21" max="21" width="12.0925925925926" customWidth="1"/>
    <col min="22" max="22" width="9.26851851851852" customWidth="1"/>
    <col min="23" max="23" width="9.36111111111111" customWidth="1"/>
    <col min="24" max="24" width="10.9074074074074" customWidth="1"/>
    <col min="25" max="25" width="10.8148148148148" customWidth="1"/>
    <col min="26" max="26" width="10.3611111111111" customWidth="1"/>
    <col min="33" max="33" width="36.6296296296296" customWidth="1"/>
    <col min="39" max="39" width="10.3611111111111" customWidth="1"/>
  </cols>
  <sheetData>
    <row r="1" ht="15.15" spans="1:28">
      <c r="A1" t="s">
        <v>81</v>
      </c>
      <c r="B1" t="s">
        <v>1808</v>
      </c>
      <c r="C1" t="s">
        <v>1809</v>
      </c>
      <c r="D1" t="s">
        <v>1810</v>
      </c>
      <c r="E1" t="s">
        <v>1811</v>
      </c>
      <c r="F1" t="s">
        <v>1812</v>
      </c>
      <c r="G1" t="s">
        <v>1813</v>
      </c>
      <c r="I1" t="s">
        <v>1814</v>
      </c>
      <c r="J1" t="s">
        <v>1815</v>
      </c>
      <c r="K1" t="s">
        <v>1809</v>
      </c>
      <c r="L1" t="s">
        <v>1810</v>
      </c>
      <c r="M1" t="s">
        <v>1816</v>
      </c>
      <c r="N1" t="s">
        <v>1817</v>
      </c>
      <c r="T1" s="10" t="s">
        <v>1814</v>
      </c>
      <c r="U1" s="10" t="s">
        <v>1818</v>
      </c>
      <c r="V1" s="10" t="s">
        <v>1819</v>
      </c>
      <c r="W1" s="10" t="s">
        <v>1820</v>
      </c>
      <c r="X1" s="11" t="s">
        <v>1821</v>
      </c>
      <c r="Y1" s="32" t="s">
        <v>117</v>
      </c>
      <c r="Z1" s="33" t="s">
        <v>118</v>
      </c>
      <c r="AA1" s="32" t="s">
        <v>794</v>
      </c>
      <c r="AB1" s="33" t="s">
        <v>795</v>
      </c>
    </row>
    <row r="2" spans="1:39">
      <c r="A2" s="1" t="s">
        <v>1822</v>
      </c>
      <c r="B2" s="2" t="s">
        <v>1823</v>
      </c>
      <c r="C2" s="2">
        <v>0.0745</v>
      </c>
      <c r="D2" s="2" t="e">
        <f>C2*VLOOKUP($A2,'Selector Sheet '!$B$13:$D$43,2,FALSE)</f>
        <v>#N/A</v>
      </c>
      <c r="E2" t="s">
        <v>1823</v>
      </c>
      <c r="F2" s="2" t="e">
        <f t="shared" ref="F2:F65" si="0">SUMIF($B$2:$B$305,E2,$D$2:$D$305)</f>
        <v>#N/A</v>
      </c>
      <c r="G2" s="2" t="e">
        <f>C2*VLOOKUP($A2,'Selector Sheet '!$B$13:$D$43,2,FALSE)</f>
        <v>#N/A</v>
      </c>
      <c r="I2" s="1" t="s">
        <v>1822</v>
      </c>
      <c r="J2" t="s">
        <v>1824</v>
      </c>
      <c r="K2" s="2">
        <v>0.2732</v>
      </c>
      <c r="L2" s="6" t="e">
        <f>K2*VLOOKUP($I2,'Selector Sheet '!$B$13:$D$43,3,FALSE)</f>
        <v>#N/A</v>
      </c>
      <c r="M2" t="str" cm="1">
        <f t="array" ref="M2:M12">_xlfn.UNIQUE($J$2:$J$145)</f>
        <v>Financial</v>
      </c>
      <c r="N2" s="2" t="e">
        <f t="shared" ref="N2:N11" si="1">SUMIF($J$2:$J$145,M2,$L$2:$L$145)</f>
        <v>#N/A</v>
      </c>
      <c r="T2" s="12" t="s">
        <v>18</v>
      </c>
      <c r="U2" s="13">
        <v>0.78</v>
      </c>
      <c r="V2" s="13">
        <v>0.14</v>
      </c>
      <c r="W2" s="13">
        <v>0.07</v>
      </c>
      <c r="X2" s="14">
        <f>1-SUM(U2:W2)</f>
        <v>0.01</v>
      </c>
      <c r="Y2" s="34">
        <v>0.55</v>
      </c>
      <c r="Z2" s="35">
        <v>0.95</v>
      </c>
      <c r="AA2" s="36">
        <v>22.6</v>
      </c>
      <c r="AB2" s="36" t="s">
        <v>129</v>
      </c>
      <c r="AD2" s="21"/>
      <c r="AE2" s="21"/>
      <c r="AF2" s="21"/>
      <c r="AG2" t="s">
        <v>18</v>
      </c>
      <c r="AH2" s="51">
        <v>78</v>
      </c>
      <c r="AI2" s="3">
        <v>14</v>
      </c>
      <c r="AJ2" s="3">
        <v>7</v>
      </c>
      <c r="AK2" s="3">
        <v>1</v>
      </c>
      <c r="AM2">
        <v>100</v>
      </c>
    </row>
    <row r="3" spans="1:37">
      <c r="A3" s="1" t="s">
        <v>1822</v>
      </c>
      <c r="B3" s="2" t="s">
        <v>1825</v>
      </c>
      <c r="C3" s="2">
        <v>0.0632</v>
      </c>
      <c r="D3" s="2" t="e">
        <f>C3*VLOOKUP($A3,'Selector Sheet '!$B$13:$D$43,2,FALSE)</f>
        <v>#N/A</v>
      </c>
      <c r="E3" t="s">
        <v>1825</v>
      </c>
      <c r="F3" s="2" t="e">
        <f t="shared" si="0"/>
        <v>#N/A</v>
      </c>
      <c r="G3" s="2" t="e">
        <f>C3*VLOOKUP($A3,'Selector Sheet '!$B$13:$D$43,2,FALSE)</f>
        <v>#N/A</v>
      </c>
      <c r="I3" s="1" t="s">
        <v>1822</v>
      </c>
      <c r="J3" t="s">
        <v>1826</v>
      </c>
      <c r="K3" s="2">
        <v>0.1784</v>
      </c>
      <c r="L3" s="6" t="e">
        <f>K3*VLOOKUP($I3,'Selector Sheet '!$B$13:$D$43,3,FALSE)</f>
        <v>#N/A</v>
      </c>
      <c r="M3" t="str">
        <v>Technology</v>
      </c>
      <c r="N3" s="2" t="e">
        <f t="shared" si="1"/>
        <v>#N/A</v>
      </c>
      <c r="T3" s="12" t="s">
        <v>20</v>
      </c>
      <c r="U3" s="15">
        <v>0.837409</v>
      </c>
      <c r="V3" s="16">
        <v>0.107269</v>
      </c>
      <c r="W3" s="16">
        <v>0.038736</v>
      </c>
      <c r="X3" s="17">
        <v>0.016586</v>
      </c>
      <c r="Y3" s="35">
        <v>1.1</v>
      </c>
      <c r="Z3" s="35">
        <v>0.92</v>
      </c>
      <c r="AA3" s="35">
        <v>24.11</v>
      </c>
      <c r="AB3" s="35">
        <v>3.69</v>
      </c>
      <c r="AG3" t="s">
        <v>20</v>
      </c>
      <c r="AH3" s="3">
        <v>83.7409</v>
      </c>
      <c r="AI3" s="3">
        <v>10.7269</v>
      </c>
      <c r="AJ3" s="3">
        <v>3.8736</v>
      </c>
      <c r="AK3" s="3">
        <v>1.6586</v>
      </c>
    </row>
    <row r="4" spans="1:37">
      <c r="A4" s="1" t="s">
        <v>1822</v>
      </c>
      <c r="B4" s="2" t="s">
        <v>1827</v>
      </c>
      <c r="C4" s="2">
        <v>0.0524</v>
      </c>
      <c r="D4" s="2" t="e">
        <f>C4*VLOOKUP($A4,'Selector Sheet '!$B$13:$D$43,2,FALSE)</f>
        <v>#N/A</v>
      </c>
      <c r="E4" t="s">
        <v>1828</v>
      </c>
      <c r="F4" s="2" t="e">
        <f t="shared" si="0"/>
        <v>#N/A</v>
      </c>
      <c r="G4" s="2" t="e">
        <f>C4*VLOOKUP($A4,'Selector Sheet '!$B$13:$D$43,2,FALSE)</f>
        <v>#N/A</v>
      </c>
      <c r="I4" s="1" t="s">
        <v>1822</v>
      </c>
      <c r="J4" t="s">
        <v>874</v>
      </c>
      <c r="K4" s="2">
        <v>0.1048</v>
      </c>
      <c r="L4" s="6" t="e">
        <f>K4*VLOOKUP($I4,'Selector Sheet '!$B$13:$D$43,3,FALSE)</f>
        <v>#N/A</v>
      </c>
      <c r="M4" t="str">
        <v>Consumer Discretionary</v>
      </c>
      <c r="N4" s="2" t="e">
        <f t="shared" si="1"/>
        <v>#N/A</v>
      </c>
      <c r="T4" s="12" t="s">
        <v>22</v>
      </c>
      <c r="U4" s="15">
        <v>0.818837</v>
      </c>
      <c r="V4" s="16">
        <v>0.08557</v>
      </c>
      <c r="W4" s="16">
        <v>0.00184</v>
      </c>
      <c r="X4" s="17">
        <v>0.093753</v>
      </c>
      <c r="Y4" s="35">
        <v>1.01</v>
      </c>
      <c r="Z4" s="35">
        <v>0.91</v>
      </c>
      <c r="AA4" s="35">
        <v>23.22</v>
      </c>
      <c r="AB4" s="35">
        <v>3.45</v>
      </c>
      <c r="AG4" t="s">
        <v>22</v>
      </c>
      <c r="AH4" s="3">
        <v>81.8837</v>
      </c>
      <c r="AI4" s="3">
        <v>8.557</v>
      </c>
      <c r="AJ4" s="3">
        <v>0.184</v>
      </c>
      <c r="AK4" s="3">
        <v>9.3753</v>
      </c>
    </row>
    <row r="5" spans="1:37">
      <c r="A5" s="1" t="s">
        <v>1822</v>
      </c>
      <c r="B5" s="2" t="s">
        <v>1828</v>
      </c>
      <c r="C5" s="2">
        <v>0.052</v>
      </c>
      <c r="D5" s="2" t="e">
        <f>C5*VLOOKUP($A5,'Selector Sheet '!$B$13:$D$43,2,FALSE)</f>
        <v>#N/A</v>
      </c>
      <c r="E5" t="s">
        <v>1827</v>
      </c>
      <c r="F5" s="2" t="e">
        <f t="shared" si="0"/>
        <v>#N/A</v>
      </c>
      <c r="G5" s="2" t="e">
        <f>C5*VLOOKUP($A5,'Selector Sheet '!$B$13:$D$43,2,FALSE)</f>
        <v>#N/A</v>
      </c>
      <c r="I5" s="1" t="s">
        <v>1822</v>
      </c>
      <c r="J5" t="s">
        <v>1829</v>
      </c>
      <c r="K5" s="2">
        <v>0.1033</v>
      </c>
      <c r="L5" s="6" t="e">
        <f>K5*VLOOKUP($I5,'Selector Sheet '!$B$13:$D$43,3,FALSE)</f>
        <v>#N/A</v>
      </c>
      <c r="M5" t="str">
        <v>Energy &amp; Utilities</v>
      </c>
      <c r="N5" s="2" t="e">
        <f t="shared" si="1"/>
        <v>#N/A</v>
      </c>
      <c r="T5" s="18" t="s">
        <v>23</v>
      </c>
      <c r="U5" s="15">
        <v>0.821469</v>
      </c>
      <c r="V5" s="16">
        <v>0.086009</v>
      </c>
      <c r="W5" s="16">
        <v>0.045192</v>
      </c>
      <c r="X5" s="17">
        <v>0.047329</v>
      </c>
      <c r="Y5" s="35">
        <v>0.76</v>
      </c>
      <c r="Z5" s="35">
        <v>0.95</v>
      </c>
      <c r="AA5" s="35">
        <v>23.41</v>
      </c>
      <c r="AB5" s="35">
        <v>3.59</v>
      </c>
      <c r="AG5" t="s">
        <v>23</v>
      </c>
      <c r="AH5" s="3">
        <v>82.1469</v>
      </c>
      <c r="AI5" s="3">
        <v>8.6009</v>
      </c>
      <c r="AJ5" s="3">
        <v>4.5192</v>
      </c>
      <c r="AK5" s="3">
        <v>4.7329</v>
      </c>
    </row>
    <row r="6" spans="1:37">
      <c r="A6" s="1" t="s">
        <v>1822</v>
      </c>
      <c r="B6" s="2" t="s">
        <v>1830</v>
      </c>
      <c r="C6" s="2">
        <v>0.0368</v>
      </c>
      <c r="D6" s="2" t="e">
        <f>C6*VLOOKUP($A6,'Selector Sheet '!$B$13:$D$43,2,FALSE)</f>
        <v>#N/A</v>
      </c>
      <c r="E6" t="s">
        <v>1830</v>
      </c>
      <c r="F6" s="2" t="e">
        <f t="shared" si="0"/>
        <v>#N/A</v>
      </c>
      <c r="G6" s="2" t="e">
        <f>C6*VLOOKUP($A6,'Selector Sheet '!$B$13:$D$43,2,FALSE)</f>
        <v>#N/A</v>
      </c>
      <c r="I6" s="1" t="s">
        <v>1822</v>
      </c>
      <c r="J6" t="s">
        <v>1016</v>
      </c>
      <c r="K6" s="2">
        <v>0.0848</v>
      </c>
      <c r="L6" s="6" t="e">
        <f>K6*VLOOKUP($I6,'Selector Sheet '!$B$13:$D$43,3,FALSE)</f>
        <v>#N/A</v>
      </c>
      <c r="M6" t="str">
        <v>Consumer Staples</v>
      </c>
      <c r="N6" s="2" t="e">
        <f t="shared" si="1"/>
        <v>#N/A</v>
      </c>
      <c r="T6" s="12" t="s">
        <v>24</v>
      </c>
      <c r="U6" s="19">
        <v>0.904036</v>
      </c>
      <c r="V6" s="16">
        <v>0.053861</v>
      </c>
      <c r="W6" s="16">
        <v>0</v>
      </c>
      <c r="X6" s="17">
        <v>0.042103</v>
      </c>
      <c r="Y6" s="35">
        <v>0.81</v>
      </c>
      <c r="Z6" s="35">
        <v>0.91</v>
      </c>
      <c r="AA6" s="35">
        <v>26.47</v>
      </c>
      <c r="AB6" s="35">
        <v>4.07</v>
      </c>
      <c r="AG6" t="s">
        <v>24</v>
      </c>
      <c r="AH6" s="3">
        <v>90.4036</v>
      </c>
      <c r="AI6" s="3">
        <v>5.3861</v>
      </c>
      <c r="AJ6" s="3">
        <v>0</v>
      </c>
      <c r="AK6" s="3">
        <v>4.2103</v>
      </c>
    </row>
    <row r="7" spans="1:37">
      <c r="A7" s="1" t="s">
        <v>1822</v>
      </c>
      <c r="B7" s="2" t="s">
        <v>1831</v>
      </c>
      <c r="C7" s="2">
        <v>0.0337</v>
      </c>
      <c r="D7" s="2" t="e">
        <f>C7*VLOOKUP($A7,'Selector Sheet '!$B$13:$D$43,2,FALSE)</f>
        <v>#N/A</v>
      </c>
      <c r="E7" t="s">
        <v>1832</v>
      </c>
      <c r="F7" s="2" t="e">
        <f t="shared" si="0"/>
        <v>#N/A</v>
      </c>
      <c r="G7" s="2" t="e">
        <f>C7*VLOOKUP($A7,'Selector Sheet '!$B$13:$D$43,2,FALSE)</f>
        <v>#N/A</v>
      </c>
      <c r="I7" s="1" t="s">
        <v>1822</v>
      </c>
      <c r="J7" t="s">
        <v>849</v>
      </c>
      <c r="K7" s="2">
        <v>0.0839</v>
      </c>
      <c r="L7" s="6" t="e">
        <f>K7*VLOOKUP($I7,'Selector Sheet '!$B$13:$D$43,3,FALSE)</f>
        <v>#N/A</v>
      </c>
      <c r="M7" t="str">
        <v>Industrials</v>
      </c>
      <c r="N7" s="2" t="e">
        <f t="shared" si="1"/>
        <v>#N/A</v>
      </c>
      <c r="T7" s="12" t="s">
        <v>26</v>
      </c>
      <c r="U7" s="19">
        <v>0.433817</v>
      </c>
      <c r="V7" s="16">
        <v>0.360591</v>
      </c>
      <c r="W7" s="16">
        <v>0.149174</v>
      </c>
      <c r="X7" s="17">
        <v>0.056418</v>
      </c>
      <c r="Y7" s="35">
        <v>1.06</v>
      </c>
      <c r="Z7" s="35">
        <v>0.82</v>
      </c>
      <c r="AA7" s="35">
        <v>25.9</v>
      </c>
      <c r="AB7" s="35">
        <v>3.5</v>
      </c>
      <c r="AG7" t="s">
        <v>26</v>
      </c>
      <c r="AH7" s="3">
        <v>43.3817</v>
      </c>
      <c r="AI7" s="3">
        <v>36.0591</v>
      </c>
      <c r="AJ7" s="3">
        <v>14.9174</v>
      </c>
      <c r="AK7" s="3">
        <v>5.6418</v>
      </c>
    </row>
    <row r="8" spans="1:37">
      <c r="A8" s="1" t="s">
        <v>1822</v>
      </c>
      <c r="B8" s="2" t="s">
        <v>1832</v>
      </c>
      <c r="C8" s="2">
        <v>0.032</v>
      </c>
      <c r="D8" s="2" t="e">
        <f>C8*VLOOKUP($A8,'Selector Sheet '!$B$13:$D$43,2,FALSE)</f>
        <v>#N/A</v>
      </c>
      <c r="E8" t="s">
        <v>1831</v>
      </c>
      <c r="F8" s="2" t="e">
        <f t="shared" si="0"/>
        <v>#N/A</v>
      </c>
      <c r="G8" s="2" t="e">
        <f>C8*VLOOKUP($A8,'Selector Sheet '!$B$13:$D$43,2,FALSE)</f>
        <v>#N/A</v>
      </c>
      <c r="I8" s="1" t="s">
        <v>1822</v>
      </c>
      <c r="J8" t="s">
        <v>859</v>
      </c>
      <c r="K8" s="2">
        <v>0.0704</v>
      </c>
      <c r="L8" s="6" t="e">
        <f>K8*VLOOKUP($I8,'Selector Sheet '!$B$13:$D$43,3,FALSE)</f>
        <v>#N/A</v>
      </c>
      <c r="M8" t="str">
        <v>Materials</v>
      </c>
      <c r="N8" s="2" t="e">
        <f t="shared" si="1"/>
        <v>#N/A</v>
      </c>
      <c r="T8" s="12" t="s">
        <v>27</v>
      </c>
      <c r="U8" s="19">
        <v>0.442567</v>
      </c>
      <c r="V8" s="16">
        <v>0.356136</v>
      </c>
      <c r="W8" s="16">
        <v>0.117589</v>
      </c>
      <c r="X8" s="17">
        <v>0.083708</v>
      </c>
      <c r="Y8" s="37">
        <v>1.19</v>
      </c>
      <c r="Z8" s="37">
        <v>0.86</v>
      </c>
      <c r="AA8" s="37">
        <v>27.74</v>
      </c>
      <c r="AB8" s="37">
        <v>3.67</v>
      </c>
      <c r="AG8" t="s">
        <v>27</v>
      </c>
      <c r="AH8" s="3">
        <v>44.2567</v>
      </c>
      <c r="AI8" s="3">
        <v>35.6136</v>
      </c>
      <c r="AJ8" s="3">
        <v>11.7589</v>
      </c>
      <c r="AK8" s="3">
        <v>8.3708</v>
      </c>
    </row>
    <row r="9" spans="1:37">
      <c r="A9" s="1" t="s">
        <v>1822</v>
      </c>
      <c r="B9" s="2" t="s">
        <v>1833</v>
      </c>
      <c r="C9" s="2">
        <v>0.0315</v>
      </c>
      <c r="D9" s="2" t="e">
        <f>C9*VLOOKUP($A9,'Selector Sheet '!$B$13:$D$43,2,FALSE)</f>
        <v>#N/A</v>
      </c>
      <c r="E9" t="s">
        <v>1834</v>
      </c>
      <c r="F9" s="2" t="e">
        <f t="shared" si="0"/>
        <v>#N/A</v>
      </c>
      <c r="G9" s="2" t="e">
        <f>C9*VLOOKUP($A9,'Selector Sheet '!$B$13:$D$43,2,FALSE)</f>
        <v>#N/A</v>
      </c>
      <c r="I9" s="1" t="s">
        <v>1822</v>
      </c>
      <c r="J9" t="s">
        <v>1835</v>
      </c>
      <c r="K9" s="2">
        <v>0.0377</v>
      </c>
      <c r="L9" s="6" t="e">
        <f>K9*VLOOKUP($I9,'Selector Sheet '!$B$13:$D$43,3,FALSE)</f>
        <v>#N/A</v>
      </c>
      <c r="M9" t="str">
        <v>Healthcare</v>
      </c>
      <c r="N9" s="2" t="e">
        <f t="shared" si="1"/>
        <v>#N/A</v>
      </c>
      <c r="T9" s="12" t="s">
        <v>28</v>
      </c>
      <c r="U9" s="19">
        <v>0.453308</v>
      </c>
      <c r="V9" s="16">
        <v>0.392334</v>
      </c>
      <c r="W9" s="16">
        <v>0.125245</v>
      </c>
      <c r="X9" s="17">
        <v>0.029113</v>
      </c>
      <c r="Y9" s="35">
        <v>0.78</v>
      </c>
      <c r="Z9" s="35">
        <v>0.98</v>
      </c>
      <c r="AA9" s="35">
        <v>37.5</v>
      </c>
      <c r="AB9" s="35">
        <v>5.94</v>
      </c>
      <c r="AG9" t="s">
        <v>28</v>
      </c>
      <c r="AH9" s="3">
        <v>45.3308</v>
      </c>
      <c r="AI9" s="3">
        <v>39.2334</v>
      </c>
      <c r="AJ9" s="3">
        <v>12.5245</v>
      </c>
      <c r="AK9" s="3">
        <v>2.9113</v>
      </c>
    </row>
    <row r="10" spans="1:37">
      <c r="A10" s="1" t="s">
        <v>1822</v>
      </c>
      <c r="B10" s="2" t="s">
        <v>1834</v>
      </c>
      <c r="C10" s="2">
        <v>0.0287</v>
      </c>
      <c r="D10" s="2" t="e">
        <f>C10*VLOOKUP($A10,'Selector Sheet '!$B$13:$D$43,2,FALSE)</f>
        <v>#N/A</v>
      </c>
      <c r="E10" t="s">
        <v>1836</v>
      </c>
      <c r="F10" s="2" t="e">
        <f t="shared" si="0"/>
        <v>#N/A</v>
      </c>
      <c r="G10" s="2" t="e">
        <f>C10*VLOOKUP($A10,'Selector Sheet '!$B$13:$D$43,2,FALSE)</f>
        <v>#N/A</v>
      </c>
      <c r="I10" s="1" t="s">
        <v>1822</v>
      </c>
      <c r="J10" t="s">
        <v>1034</v>
      </c>
      <c r="K10" s="2">
        <v>0.0092</v>
      </c>
      <c r="L10" s="6" t="e">
        <f>K10*VLOOKUP($I10,'Selector Sheet '!$B$13:$D$43,3,FALSE)</f>
        <v>#N/A</v>
      </c>
      <c r="M10" t="str">
        <v>Real Estate</v>
      </c>
      <c r="N10" s="2" t="e">
        <f t="shared" si="1"/>
        <v>#N/A</v>
      </c>
      <c r="T10" s="20" t="s">
        <v>31</v>
      </c>
      <c r="U10" s="21">
        <v>0.07</v>
      </c>
      <c r="V10" s="21">
        <v>0.22</v>
      </c>
      <c r="W10" s="21">
        <v>0.67</v>
      </c>
      <c r="X10" s="17">
        <f>1-SUM(U10:W10)</f>
        <v>0.0399999999999999</v>
      </c>
      <c r="Y10" s="38">
        <v>1.36</v>
      </c>
      <c r="Z10" s="37">
        <v>0.86</v>
      </c>
      <c r="AA10" s="39">
        <v>44.4</v>
      </c>
      <c r="AB10" s="40">
        <v>7.3</v>
      </c>
      <c r="AG10" s="4" t="s">
        <v>31</v>
      </c>
      <c r="AH10" s="3">
        <v>7</v>
      </c>
      <c r="AI10" s="3">
        <v>22</v>
      </c>
      <c r="AJ10" s="3">
        <v>67</v>
      </c>
      <c r="AK10" s="3">
        <v>3.99999999999999</v>
      </c>
    </row>
    <row r="11" spans="1:37">
      <c r="A11" s="1" t="s">
        <v>1822</v>
      </c>
      <c r="B11" s="2" t="s">
        <v>1836</v>
      </c>
      <c r="C11" s="2">
        <v>0.0274</v>
      </c>
      <c r="D11" s="2" t="e">
        <f>C11*VLOOKUP($A11,'Selector Sheet '!$B$13:$D$43,2,FALSE)</f>
        <v>#N/A</v>
      </c>
      <c r="E11" t="s">
        <v>1833</v>
      </c>
      <c r="F11" s="2" t="e">
        <f t="shared" si="0"/>
        <v>#N/A</v>
      </c>
      <c r="G11" s="2" t="e">
        <f>C11*VLOOKUP($A11,'Selector Sheet '!$B$13:$D$43,2,FALSE)</f>
        <v>#N/A</v>
      </c>
      <c r="I11" s="1" t="s">
        <v>1837</v>
      </c>
      <c r="J11" t="s">
        <v>874</v>
      </c>
      <c r="K11" s="2">
        <v>0.312</v>
      </c>
      <c r="L11" s="6" t="e">
        <f>K11*VLOOKUP($I11,'Selector Sheet '!$B$13:$D$43,3,FALSE)</f>
        <v>#N/A</v>
      </c>
      <c r="M11" t="str">
        <v>Diversified</v>
      </c>
      <c r="N11" s="2" t="e">
        <f t="shared" si="1"/>
        <v>#N/A</v>
      </c>
      <c r="T11" s="20" t="s">
        <v>33</v>
      </c>
      <c r="U11" s="22">
        <v>0.5</v>
      </c>
      <c r="V11" s="22">
        <v>0.25</v>
      </c>
      <c r="W11" s="22">
        <v>0.21</v>
      </c>
      <c r="X11" s="17">
        <f>1-SUM(U11:W11)</f>
        <v>0.04</v>
      </c>
      <c r="Y11" s="34">
        <v>0.69</v>
      </c>
      <c r="Z11" s="35">
        <v>0.88</v>
      </c>
      <c r="AA11" s="41">
        <v>33.1</v>
      </c>
      <c r="AB11" s="41">
        <v>8</v>
      </c>
      <c r="AG11" s="4" t="s">
        <v>33</v>
      </c>
      <c r="AH11" s="3">
        <v>50</v>
      </c>
      <c r="AI11" s="3">
        <v>25</v>
      </c>
      <c r="AJ11" s="3">
        <v>21</v>
      </c>
      <c r="AK11" s="3">
        <v>4</v>
      </c>
    </row>
    <row r="12" spans="1:37">
      <c r="A12" s="1" t="s">
        <v>1822</v>
      </c>
      <c r="B12" s="2" t="s">
        <v>1838</v>
      </c>
      <c r="C12" s="2">
        <v>0.0256</v>
      </c>
      <c r="D12" s="2" t="e">
        <f>C12*VLOOKUP($A12,'Selector Sheet '!$B$13:$D$43,2,FALSE)</f>
        <v>#N/A</v>
      </c>
      <c r="E12" t="s">
        <v>1839</v>
      </c>
      <c r="F12" s="2" t="e">
        <f t="shared" si="0"/>
        <v>#N/A</v>
      </c>
      <c r="G12" s="2" t="e">
        <f>C12*VLOOKUP($A12,'Selector Sheet '!$B$13:$D$43,2,FALSE)</f>
        <v>#N/A</v>
      </c>
      <c r="I12" s="1" t="s">
        <v>1837</v>
      </c>
      <c r="J12" t="s">
        <v>1824</v>
      </c>
      <c r="K12" s="2">
        <v>0.2033</v>
      </c>
      <c r="L12" s="6" t="e">
        <f>K12*VLOOKUP($I12,'Selector Sheet '!$B$13:$D$43,3,FALSE)</f>
        <v>#N/A</v>
      </c>
      <c r="M12" t="str">
        <v>Cash (Unclassified)</v>
      </c>
      <c r="T12" s="20" t="s">
        <v>34</v>
      </c>
      <c r="U12" s="15">
        <v>0.447219</v>
      </c>
      <c r="V12" s="23">
        <v>0.266036</v>
      </c>
      <c r="W12" s="23">
        <v>0.268235</v>
      </c>
      <c r="X12" s="24">
        <v>0.01851</v>
      </c>
      <c r="Y12" s="37">
        <v>1.29</v>
      </c>
      <c r="Z12" s="37">
        <v>0.84</v>
      </c>
      <c r="AA12" s="37">
        <v>29.82</v>
      </c>
      <c r="AB12" s="37">
        <v>4.18</v>
      </c>
      <c r="AG12" s="4" t="s">
        <v>34</v>
      </c>
      <c r="AH12" s="3">
        <v>44.7219</v>
      </c>
      <c r="AI12" s="3">
        <v>26.6036</v>
      </c>
      <c r="AJ12" s="3">
        <v>26.8235</v>
      </c>
      <c r="AK12" s="3">
        <v>1.851</v>
      </c>
    </row>
    <row r="13" spans="1:37">
      <c r="A13" s="1" t="s">
        <v>1822</v>
      </c>
      <c r="B13" s="2" t="s">
        <v>1840</v>
      </c>
      <c r="C13" s="2">
        <v>0.0252</v>
      </c>
      <c r="D13" s="2" t="e">
        <f>C13*VLOOKUP($A13,'Selector Sheet '!$B$13:$D$43,2,FALSE)</f>
        <v>#N/A</v>
      </c>
      <c r="E13" t="s">
        <v>1838</v>
      </c>
      <c r="F13" s="2" t="e">
        <f t="shared" si="0"/>
        <v>#N/A</v>
      </c>
      <c r="G13" s="2" t="e">
        <f>C13*VLOOKUP($A13,'Selector Sheet '!$B$13:$D$43,2,FALSE)</f>
        <v>#N/A</v>
      </c>
      <c r="I13" s="1" t="s">
        <v>1837</v>
      </c>
      <c r="J13" t="s">
        <v>1826</v>
      </c>
      <c r="K13" s="2">
        <v>0.1185</v>
      </c>
      <c r="L13" s="6" t="e">
        <f>K13*VLOOKUP($I13,'Selector Sheet '!$B$13:$D$43,3,FALSE)</f>
        <v>#N/A</v>
      </c>
      <c r="T13" s="20" t="s">
        <v>35</v>
      </c>
      <c r="U13" s="15">
        <v>0.510944</v>
      </c>
      <c r="V13" s="16">
        <v>0.15019</v>
      </c>
      <c r="W13" s="16">
        <v>0.115491</v>
      </c>
      <c r="X13" s="17">
        <v>0.223374</v>
      </c>
      <c r="Y13" s="37">
        <v>1.17</v>
      </c>
      <c r="Z13" s="37">
        <v>0.87</v>
      </c>
      <c r="AA13" s="37">
        <v>20.07</v>
      </c>
      <c r="AB13" s="37">
        <v>2.57</v>
      </c>
      <c r="AG13" s="4" t="s">
        <v>35</v>
      </c>
      <c r="AH13" s="3">
        <v>51.0944</v>
      </c>
      <c r="AI13" s="3">
        <v>15.019</v>
      </c>
      <c r="AJ13" s="3">
        <v>11.5491</v>
      </c>
      <c r="AK13" s="3">
        <v>22.3374</v>
      </c>
    </row>
    <row r="14" spans="1:37">
      <c r="A14" s="1" t="s">
        <v>1822</v>
      </c>
      <c r="B14" s="2" t="s">
        <v>1839</v>
      </c>
      <c r="C14" s="2">
        <v>0.0228</v>
      </c>
      <c r="D14" s="2" t="e">
        <f>C14*VLOOKUP($A14,'Selector Sheet '!$B$13:$D$43,2,FALSE)</f>
        <v>#N/A</v>
      </c>
      <c r="E14" t="s">
        <v>1840</v>
      </c>
      <c r="F14" s="2" t="e">
        <f t="shared" si="0"/>
        <v>#N/A</v>
      </c>
      <c r="G14" s="2" t="e">
        <f>C14*VLOOKUP($A14,'Selector Sheet '!$B$13:$D$43,2,FALSE)</f>
        <v>#N/A</v>
      </c>
      <c r="I14" s="1" t="s">
        <v>1837</v>
      </c>
      <c r="J14" t="s">
        <v>849</v>
      </c>
      <c r="K14" s="2">
        <v>0.1004</v>
      </c>
      <c r="L14" s="6" t="e">
        <f>K14*VLOOKUP($I14,'Selector Sheet '!$B$13:$D$43,3,FALSE)</f>
        <v>#N/A</v>
      </c>
      <c r="T14" s="20" t="s">
        <v>36</v>
      </c>
      <c r="U14" s="21">
        <v>0.459</v>
      </c>
      <c r="V14" s="21">
        <v>0.336</v>
      </c>
      <c r="W14" s="21">
        <v>0.128</v>
      </c>
      <c r="X14" s="17">
        <f>1-SUM(U14:W14)</f>
        <v>0.0770000000000001</v>
      </c>
      <c r="Y14" s="38">
        <v>1.5</v>
      </c>
      <c r="Z14" s="37">
        <v>0.9</v>
      </c>
      <c r="AA14" s="42" t="s">
        <v>129</v>
      </c>
      <c r="AB14" s="42" t="s">
        <v>129</v>
      </c>
      <c r="AG14" s="4" t="s">
        <v>36</v>
      </c>
      <c r="AH14" s="3">
        <v>45.9</v>
      </c>
      <c r="AI14" s="3">
        <v>33.6</v>
      </c>
      <c r="AJ14" s="3">
        <v>12.8</v>
      </c>
      <c r="AK14" s="3">
        <v>7.70000000000001</v>
      </c>
    </row>
    <row r="15" spans="1:37">
      <c r="A15" s="1" t="s">
        <v>1822</v>
      </c>
      <c r="B15" s="2" t="s">
        <v>1841</v>
      </c>
      <c r="C15" s="2">
        <v>0.0227</v>
      </c>
      <c r="D15" s="2" t="e">
        <f>C15*VLOOKUP($A15,'Selector Sheet '!$B$13:$D$43,2,FALSE)</f>
        <v>#N/A</v>
      </c>
      <c r="E15" t="s">
        <v>1841</v>
      </c>
      <c r="F15" s="2" t="e">
        <f t="shared" si="0"/>
        <v>#N/A</v>
      </c>
      <c r="G15" s="2" t="e">
        <f>C15*VLOOKUP($A15,'Selector Sheet '!$B$13:$D$43,2,FALSE)</f>
        <v>#N/A</v>
      </c>
      <c r="I15" s="1" t="s">
        <v>1837</v>
      </c>
      <c r="J15" t="s">
        <v>1835</v>
      </c>
      <c r="K15" s="2">
        <v>0.0798</v>
      </c>
      <c r="L15" s="6" t="e">
        <f>K15*VLOOKUP($I15,'Selector Sheet '!$B$13:$D$43,3,FALSE)</f>
        <v>#N/A</v>
      </c>
      <c r="T15" s="12" t="s">
        <v>37</v>
      </c>
      <c r="U15" s="21">
        <v>0.54</v>
      </c>
      <c r="V15" s="21">
        <v>0.23</v>
      </c>
      <c r="W15" s="21">
        <v>0.23</v>
      </c>
      <c r="X15" s="17">
        <f>1-SUM(U15:W15)</f>
        <v>0</v>
      </c>
      <c r="Y15" s="43">
        <v>0.71</v>
      </c>
      <c r="Z15" s="37">
        <v>1.02</v>
      </c>
      <c r="AA15" s="39">
        <v>22.5</v>
      </c>
      <c r="AB15" s="39" t="s">
        <v>129</v>
      </c>
      <c r="AG15" t="s">
        <v>37</v>
      </c>
      <c r="AH15" s="3">
        <v>54</v>
      </c>
      <c r="AI15" s="3">
        <v>23</v>
      </c>
      <c r="AJ15" s="3">
        <v>23</v>
      </c>
      <c r="AK15" s="3">
        <v>0</v>
      </c>
    </row>
    <row r="16" spans="1:37">
      <c r="A16" s="1" t="s">
        <v>1822</v>
      </c>
      <c r="B16" s="2" t="s">
        <v>1842</v>
      </c>
      <c r="C16" s="2">
        <v>0.0211</v>
      </c>
      <c r="D16" s="2" t="e">
        <f>C16*VLOOKUP($A16,'Selector Sheet '!$B$13:$D$43,2,FALSE)</f>
        <v>#N/A</v>
      </c>
      <c r="E16" t="s">
        <v>1842</v>
      </c>
      <c r="F16" s="2" t="e">
        <f t="shared" si="0"/>
        <v>#N/A</v>
      </c>
      <c r="G16" s="2" t="e">
        <f>C16*VLOOKUP($A16,'Selector Sheet '!$B$13:$D$43,2,FALSE)</f>
        <v>#N/A</v>
      </c>
      <c r="I16" s="1" t="s">
        <v>1837</v>
      </c>
      <c r="J16" t="s">
        <v>859</v>
      </c>
      <c r="K16" s="2">
        <v>0.0644</v>
      </c>
      <c r="L16" s="6" t="e">
        <f>K16*VLOOKUP($I16,'Selector Sheet '!$B$13:$D$43,3,FALSE)</f>
        <v>#N/A</v>
      </c>
      <c r="T16" s="12" t="s">
        <v>38</v>
      </c>
      <c r="U16" s="15">
        <v>0.620095</v>
      </c>
      <c r="V16" s="16">
        <v>0.020425</v>
      </c>
      <c r="W16" s="16">
        <v>0.02441</v>
      </c>
      <c r="X16" s="17">
        <v>0.335069</v>
      </c>
      <c r="Y16" s="37">
        <v>1.58</v>
      </c>
      <c r="Z16" s="37">
        <v>0.57</v>
      </c>
      <c r="AA16" s="37">
        <v>18.63</v>
      </c>
      <c r="AB16" s="37">
        <v>3.41</v>
      </c>
      <c r="AG16" t="s">
        <v>38</v>
      </c>
      <c r="AH16" s="3">
        <v>62.0095</v>
      </c>
      <c r="AI16" s="3">
        <v>2.0425</v>
      </c>
      <c r="AJ16" s="3">
        <v>2.441</v>
      </c>
      <c r="AK16" s="3">
        <v>33.5069</v>
      </c>
    </row>
    <row r="17" ht="15.15" spans="1:37">
      <c r="A17" s="1" t="s">
        <v>1822</v>
      </c>
      <c r="B17" s="2" t="s">
        <v>1843</v>
      </c>
      <c r="C17" s="2">
        <v>0.0205</v>
      </c>
      <c r="D17" s="2" t="e">
        <f>C17*VLOOKUP($A17,'Selector Sheet '!$B$13:$D$43,2,FALSE)</f>
        <v>#N/A</v>
      </c>
      <c r="E17" t="s">
        <v>1844</v>
      </c>
      <c r="F17" s="2" t="e">
        <f t="shared" si="0"/>
        <v>#N/A</v>
      </c>
      <c r="G17" s="2" t="e">
        <f>C17*VLOOKUP($A17,'Selector Sheet '!$B$13:$D$43,2,FALSE)</f>
        <v>#N/A</v>
      </c>
      <c r="I17" s="1" t="s">
        <v>1837</v>
      </c>
      <c r="J17" t="s">
        <v>1016</v>
      </c>
      <c r="K17" s="2">
        <v>0.0477</v>
      </c>
      <c r="L17" s="6" t="e">
        <f>K17*VLOOKUP($I17,'Selector Sheet '!$B$13:$D$43,3,FALSE)</f>
        <v>#N/A</v>
      </c>
      <c r="T17" s="20" t="s">
        <v>40</v>
      </c>
      <c r="U17" s="15">
        <v>0.608892</v>
      </c>
      <c r="V17" s="16">
        <v>0.245183</v>
      </c>
      <c r="W17" s="16">
        <v>0.106638</v>
      </c>
      <c r="X17" s="17">
        <v>0.039286</v>
      </c>
      <c r="Y17" s="44">
        <v>0.4</v>
      </c>
      <c r="Z17" s="44">
        <v>0.82</v>
      </c>
      <c r="AA17" s="44">
        <v>41.33</v>
      </c>
      <c r="AB17" s="44">
        <v>6.01</v>
      </c>
      <c r="AG17" s="4" t="s">
        <v>40</v>
      </c>
      <c r="AH17" s="3">
        <v>60.8892</v>
      </c>
      <c r="AI17" s="3">
        <v>24.5183</v>
      </c>
      <c r="AJ17" s="3">
        <v>10.6638</v>
      </c>
      <c r="AK17" s="3">
        <v>3.9286</v>
      </c>
    </row>
    <row r="18" spans="1:37">
      <c r="A18" s="1" t="s">
        <v>1822</v>
      </c>
      <c r="B18" s="2" t="s">
        <v>1844</v>
      </c>
      <c r="C18" s="2">
        <v>0.0203</v>
      </c>
      <c r="D18" s="2" t="e">
        <f>C18*VLOOKUP($A18,'Selector Sheet '!$B$13:$D$43,2,FALSE)</f>
        <v>#N/A</v>
      </c>
      <c r="E18" t="s">
        <v>1843</v>
      </c>
      <c r="F18" s="2" t="e">
        <f t="shared" si="0"/>
        <v>#N/A</v>
      </c>
      <c r="G18" s="2" t="e">
        <f>C18*VLOOKUP($A18,'Selector Sheet '!$B$13:$D$43,2,FALSE)</f>
        <v>#N/A</v>
      </c>
      <c r="I18" s="1" t="s">
        <v>1837</v>
      </c>
      <c r="J18" t="s">
        <v>1829</v>
      </c>
      <c r="K18" s="2">
        <v>0.0325</v>
      </c>
      <c r="L18" s="6" t="e">
        <f>K18*VLOOKUP($I18,'Selector Sheet '!$B$13:$D$43,3,FALSE)</f>
        <v>#N/A</v>
      </c>
      <c r="T18" s="25" t="s">
        <v>41</v>
      </c>
      <c r="U18" s="26">
        <v>0.7014</v>
      </c>
      <c r="V18" s="26">
        <v>0.1537</v>
      </c>
      <c r="W18" s="26">
        <v>0.1329</v>
      </c>
      <c r="X18" s="17">
        <f>1-SUM(U18:W18)</f>
        <v>0.012</v>
      </c>
      <c r="Y18" s="45" t="s">
        <v>129</v>
      </c>
      <c r="Z18">
        <v>0.73</v>
      </c>
      <c r="AA18" t="s">
        <v>129</v>
      </c>
      <c r="AB18" t="s">
        <v>129</v>
      </c>
      <c r="AG18" s="4" t="s">
        <v>41</v>
      </c>
      <c r="AH18" s="3">
        <v>70.14</v>
      </c>
      <c r="AI18" s="3">
        <v>15.37</v>
      </c>
      <c r="AJ18" s="3">
        <v>13.29</v>
      </c>
      <c r="AK18" s="3">
        <v>1.2</v>
      </c>
    </row>
    <row r="19" spans="1:37">
      <c r="A19" s="1" t="s">
        <v>1822</v>
      </c>
      <c r="B19" s="2" t="s">
        <v>1845</v>
      </c>
      <c r="C19" s="2">
        <v>0.0194</v>
      </c>
      <c r="D19" s="2" t="e">
        <f>C19*VLOOKUP($A19,'Selector Sheet '!$B$13:$D$43,2,FALSE)</f>
        <v>#N/A</v>
      </c>
      <c r="E19" t="s">
        <v>1846</v>
      </c>
      <c r="F19" s="2" t="e">
        <f t="shared" si="0"/>
        <v>#N/A</v>
      </c>
      <c r="G19" s="2" t="e">
        <f>C19*VLOOKUP($A19,'Selector Sheet '!$B$13:$D$43,2,FALSE)</f>
        <v>#N/A</v>
      </c>
      <c r="I19" s="1" t="s">
        <v>1837</v>
      </c>
      <c r="J19" t="s">
        <v>1847</v>
      </c>
      <c r="K19" s="2">
        <v>0.0115</v>
      </c>
      <c r="L19" s="6" t="e">
        <f>K19*VLOOKUP($I19,'Selector Sheet '!$B$13:$D$43,3,FALSE)</f>
        <v>#N/A</v>
      </c>
      <c r="T19" s="12" t="s">
        <v>30</v>
      </c>
      <c r="U19" s="21">
        <v>0.28</v>
      </c>
      <c r="V19" s="21">
        <v>0.615</v>
      </c>
      <c r="W19" s="21">
        <v>0.061</v>
      </c>
      <c r="X19" s="17">
        <f t="shared" ref="X19:X20" si="2">1-SUM(U19:W19)</f>
        <v>0.044</v>
      </c>
      <c r="Y19" s="38">
        <v>1.5</v>
      </c>
      <c r="Z19" s="37">
        <v>1</v>
      </c>
      <c r="AA19" t="s">
        <v>129</v>
      </c>
      <c r="AB19" t="s">
        <v>129</v>
      </c>
      <c r="AG19" t="s">
        <v>30</v>
      </c>
      <c r="AH19" s="3">
        <v>28</v>
      </c>
      <c r="AI19" s="3">
        <v>61.5</v>
      </c>
      <c r="AJ19" s="3">
        <v>6.1</v>
      </c>
      <c r="AK19" s="3">
        <v>4.4</v>
      </c>
    </row>
    <row r="20" ht="15.15" spans="1:37">
      <c r="A20" s="1" t="s">
        <v>1822</v>
      </c>
      <c r="B20" s="2" t="s">
        <v>1846</v>
      </c>
      <c r="C20" s="2">
        <v>0.0178</v>
      </c>
      <c r="D20" s="2" t="e">
        <f>C20*VLOOKUP($A20,'Selector Sheet '!$B$13:$D$43,2,FALSE)</f>
        <v>#N/A</v>
      </c>
      <c r="E20" t="s">
        <v>1848</v>
      </c>
      <c r="F20" s="2" t="e">
        <f t="shared" si="0"/>
        <v>#N/A</v>
      </c>
      <c r="G20" s="2" t="e">
        <f>C20*VLOOKUP($A20,'Selector Sheet '!$B$13:$D$43,2,FALSE)</f>
        <v>#N/A</v>
      </c>
      <c r="I20" s="1" t="s">
        <v>1837</v>
      </c>
      <c r="J20" t="s">
        <v>1034</v>
      </c>
      <c r="K20" s="2">
        <v>0.011</v>
      </c>
      <c r="L20" s="6" t="e">
        <f>K20*VLOOKUP($I20,'Selector Sheet '!$B$13:$D$43,3,FALSE)</f>
        <v>#N/A</v>
      </c>
      <c r="T20" s="12" t="s">
        <v>39</v>
      </c>
      <c r="U20" s="21">
        <v>0.422</v>
      </c>
      <c r="V20" s="21">
        <v>0.226</v>
      </c>
      <c r="W20" s="21">
        <v>0.2007</v>
      </c>
      <c r="X20" s="17">
        <f t="shared" si="2"/>
        <v>0.1513</v>
      </c>
      <c r="Y20" s="38">
        <v>1.4</v>
      </c>
      <c r="Z20" s="37">
        <v>0.9</v>
      </c>
      <c r="AA20" s="39" t="s">
        <v>129</v>
      </c>
      <c r="AB20" s="39" t="s">
        <v>129</v>
      </c>
      <c r="AG20" t="s">
        <v>39</v>
      </c>
      <c r="AH20" s="3">
        <v>42.2</v>
      </c>
      <c r="AI20" s="3">
        <v>22.6</v>
      </c>
      <c r="AJ20" s="3">
        <v>20.07</v>
      </c>
      <c r="AK20" s="3">
        <v>15.13</v>
      </c>
    </row>
    <row r="21" spans="1:37">
      <c r="A21" s="1" t="s">
        <v>1822</v>
      </c>
      <c r="B21" s="2" t="s">
        <v>1848</v>
      </c>
      <c r="C21" s="2">
        <v>0.0154</v>
      </c>
      <c r="D21" s="2" t="e">
        <f>C21*VLOOKUP($A21,'Selector Sheet '!$B$13:$D$43,2,FALSE)</f>
        <v>#N/A</v>
      </c>
      <c r="E21" t="s">
        <v>1845</v>
      </c>
      <c r="F21" s="2" t="e">
        <f t="shared" si="0"/>
        <v>#N/A</v>
      </c>
      <c r="G21" s="2" t="e">
        <f>C21*VLOOKUP($A21,'Selector Sheet '!$B$13:$D$43,2,FALSE)</f>
        <v>#N/A</v>
      </c>
      <c r="I21" s="1" t="s">
        <v>1849</v>
      </c>
      <c r="J21" t="s">
        <v>1824</v>
      </c>
      <c r="K21" s="2">
        <v>0.2693</v>
      </c>
      <c r="L21" s="6" t="e">
        <f>K21*VLOOKUP($I21,'Selector Sheet '!$B$13:$D$43,3,FALSE)</f>
        <v>#N/A</v>
      </c>
      <c r="T21" s="27" t="s">
        <v>44</v>
      </c>
      <c r="U21" s="15">
        <v>0.583489</v>
      </c>
      <c r="V21" s="16">
        <v>0.067649</v>
      </c>
      <c r="W21" s="16">
        <v>0.011635</v>
      </c>
      <c r="X21" s="17">
        <v>0.337227</v>
      </c>
      <c r="Y21" s="46">
        <v>1.38</v>
      </c>
      <c r="Z21" s="47">
        <v>0.54</v>
      </c>
      <c r="AA21" s="48">
        <v>27.06</v>
      </c>
      <c r="AB21" s="48">
        <v>4.27</v>
      </c>
      <c r="AG21" t="s">
        <v>44</v>
      </c>
      <c r="AH21" s="3">
        <v>58.3489</v>
      </c>
      <c r="AI21" s="3">
        <v>6.7649</v>
      </c>
      <c r="AJ21" s="3">
        <v>1.1635</v>
      </c>
      <c r="AK21" s="3">
        <v>33.7227</v>
      </c>
    </row>
    <row r="22" spans="1:37">
      <c r="A22" s="1" t="s">
        <v>1822</v>
      </c>
      <c r="B22" s="2" t="s">
        <v>1850</v>
      </c>
      <c r="C22" s="2">
        <v>0.0151</v>
      </c>
      <c r="D22" s="2" t="e">
        <f>C22*VLOOKUP($A22,'Selector Sheet '!$B$13:$D$43,2,FALSE)</f>
        <v>#N/A</v>
      </c>
      <c r="E22" t="s">
        <v>1850</v>
      </c>
      <c r="F22" s="2" t="e">
        <f t="shared" si="0"/>
        <v>#N/A</v>
      </c>
      <c r="G22" s="2" t="e">
        <f>C22*VLOOKUP($A22,'Selector Sheet '!$B$13:$D$43,2,FALSE)</f>
        <v>#N/A</v>
      </c>
      <c r="I22" s="1" t="s">
        <v>1849</v>
      </c>
      <c r="J22" t="s">
        <v>859</v>
      </c>
      <c r="K22" s="2">
        <v>0.1279</v>
      </c>
      <c r="L22" s="6" t="e">
        <f>K22*VLOOKUP($I22,'Selector Sheet '!$B$13:$D$43,3,FALSE)</f>
        <v>#N/A</v>
      </c>
      <c r="T22" s="27" t="s">
        <v>45</v>
      </c>
      <c r="U22" s="15">
        <v>0.517648</v>
      </c>
      <c r="V22" s="16">
        <v>0.092892</v>
      </c>
      <c r="W22" s="16">
        <v>0.050912</v>
      </c>
      <c r="X22" s="17">
        <v>0.338549</v>
      </c>
      <c r="Y22" s="46">
        <v>0.99</v>
      </c>
      <c r="Z22" s="47">
        <v>0.67</v>
      </c>
      <c r="AA22" s="49">
        <v>25.34</v>
      </c>
      <c r="AB22" s="49">
        <v>3.6</v>
      </c>
      <c r="AG22" t="s">
        <v>45</v>
      </c>
      <c r="AH22" s="3">
        <v>51.7648</v>
      </c>
      <c r="AI22" s="3">
        <v>9.2892</v>
      </c>
      <c r="AJ22" s="3">
        <v>5.0912</v>
      </c>
      <c r="AK22" s="3">
        <v>33.8549</v>
      </c>
    </row>
    <row r="23" ht="15.15" spans="1:37">
      <c r="A23" s="1" t="s">
        <v>1822</v>
      </c>
      <c r="B23" s="2" t="s">
        <v>1851</v>
      </c>
      <c r="C23" s="2">
        <v>0.0146</v>
      </c>
      <c r="D23" s="2" t="e">
        <f>C23*VLOOKUP($A23,'Selector Sheet '!$B$13:$D$43,2,FALSE)</f>
        <v>#N/A</v>
      </c>
      <c r="E23" t="s">
        <v>1851</v>
      </c>
      <c r="F23" s="2" t="e">
        <f t="shared" si="0"/>
        <v>#N/A</v>
      </c>
      <c r="G23" s="2" t="e">
        <f>C23*VLOOKUP($A23,'Selector Sheet '!$B$13:$D$43,2,FALSE)</f>
        <v>#N/A</v>
      </c>
      <c r="I23" s="1" t="s">
        <v>1849</v>
      </c>
      <c r="J23" t="s">
        <v>1835</v>
      </c>
      <c r="K23" s="2">
        <v>0.1192</v>
      </c>
      <c r="L23" s="6" t="e">
        <f>K23*VLOOKUP($I23,'Selector Sheet '!$B$13:$D$43,3,FALSE)</f>
        <v>#N/A</v>
      </c>
      <c r="T23" s="27" t="s">
        <v>46</v>
      </c>
      <c r="U23" s="15">
        <v>0.514694</v>
      </c>
      <c r="V23" s="16">
        <v>0.096827</v>
      </c>
      <c r="W23" s="16">
        <v>0.061348</v>
      </c>
      <c r="X23" s="17">
        <v>0.327131</v>
      </c>
      <c r="Y23" s="46">
        <v>1.05</v>
      </c>
      <c r="Z23" s="47">
        <v>0.7</v>
      </c>
      <c r="AA23" s="50">
        <v>25.06</v>
      </c>
      <c r="AB23" s="50">
        <v>4</v>
      </c>
      <c r="AG23" t="s">
        <v>46</v>
      </c>
      <c r="AH23" s="3">
        <v>51.4694</v>
      </c>
      <c r="AI23" s="3">
        <v>9.6827</v>
      </c>
      <c r="AJ23" s="3">
        <v>6.1348</v>
      </c>
      <c r="AK23" s="3">
        <v>32.7131</v>
      </c>
    </row>
    <row r="24" ht="15.15" spans="1:37">
      <c r="A24" s="1" t="s">
        <v>1822</v>
      </c>
      <c r="B24" s="2" t="s">
        <v>1852</v>
      </c>
      <c r="C24" s="2">
        <v>0.0139</v>
      </c>
      <c r="D24" s="2" t="e">
        <f>C24*VLOOKUP($A24,'Selector Sheet '!$B$13:$D$43,2,FALSE)</f>
        <v>#N/A</v>
      </c>
      <c r="E24" t="s">
        <v>1853</v>
      </c>
      <c r="F24" s="2">
        <f t="shared" si="0"/>
        <v>0</v>
      </c>
      <c r="G24" s="2" t="e">
        <f>C24*VLOOKUP($A24,'Selector Sheet '!$B$13:$D$43,2,FALSE)</f>
        <v>#N/A</v>
      </c>
      <c r="I24" s="1" t="s">
        <v>1849</v>
      </c>
      <c r="J24" t="s">
        <v>1826</v>
      </c>
      <c r="K24" s="2">
        <v>0.1115</v>
      </c>
      <c r="L24" s="6" t="e">
        <f>K24*VLOOKUP($I24,'Selector Sheet '!$B$13:$D$43,3,FALSE)</f>
        <v>#N/A</v>
      </c>
      <c r="T24" s="28" t="s">
        <v>47</v>
      </c>
      <c r="U24" s="29">
        <v>0.609027</v>
      </c>
      <c r="V24" s="30">
        <v>0.150987</v>
      </c>
      <c r="W24" s="30">
        <v>0.041655</v>
      </c>
      <c r="X24" s="31">
        <v>0.198332</v>
      </c>
      <c r="Y24" s="46">
        <v>0.99</v>
      </c>
      <c r="Z24" s="47">
        <v>0.81</v>
      </c>
      <c r="AA24" s="49">
        <v>23.42</v>
      </c>
      <c r="AB24" s="49">
        <v>3.81</v>
      </c>
      <c r="AG24" t="s">
        <v>47</v>
      </c>
      <c r="AH24" s="3">
        <v>60.9027</v>
      </c>
      <c r="AI24" s="3">
        <v>15.0987</v>
      </c>
      <c r="AJ24" s="3">
        <v>4.1655</v>
      </c>
      <c r="AK24" s="3">
        <v>19.8332</v>
      </c>
    </row>
    <row r="25" spans="1:12">
      <c r="A25" s="1" t="s">
        <v>1822</v>
      </c>
      <c r="B25" s="2" t="s">
        <v>1854</v>
      </c>
      <c r="C25" s="2">
        <v>0.0132</v>
      </c>
      <c r="D25" s="2" t="e">
        <f>C25*VLOOKUP($A25,'Selector Sheet '!$B$13:$D$43,2,FALSE)</f>
        <v>#N/A</v>
      </c>
      <c r="E25" t="s">
        <v>1855</v>
      </c>
      <c r="F25" s="2">
        <f t="shared" si="0"/>
        <v>0</v>
      </c>
      <c r="G25" s="2" t="e">
        <f>C25*VLOOKUP($A25,'Selector Sheet '!$B$13:$D$43,2,FALSE)</f>
        <v>#N/A</v>
      </c>
      <c r="I25" s="1" t="s">
        <v>1849</v>
      </c>
      <c r="J25" t="s">
        <v>874</v>
      </c>
      <c r="K25" s="2">
        <v>0.109</v>
      </c>
      <c r="L25" s="6" t="e">
        <f>K25*VLOOKUP($I25,'Selector Sheet '!$B$13:$D$43,3,FALSE)</f>
        <v>#N/A</v>
      </c>
    </row>
    <row r="26" spans="1:12">
      <c r="A26" s="1" t="s">
        <v>1822</v>
      </c>
      <c r="B26" s="3" t="s">
        <v>1856</v>
      </c>
      <c r="C26" s="2">
        <v>0.0125</v>
      </c>
      <c r="D26" s="2" t="e">
        <f>C26*VLOOKUP($A26,'Selector Sheet '!$B$13:$D$43,2,FALSE)</f>
        <v>#N/A</v>
      </c>
      <c r="E26" t="s">
        <v>1857</v>
      </c>
      <c r="F26" s="2">
        <f t="shared" si="0"/>
        <v>0</v>
      </c>
      <c r="G26" s="2" t="e">
        <f>C26*VLOOKUP($A26,'Selector Sheet '!$B$13:$D$43,2,FALSE)</f>
        <v>#N/A</v>
      </c>
      <c r="I26" s="1" t="s">
        <v>1849</v>
      </c>
      <c r="J26" t="s">
        <v>849</v>
      </c>
      <c r="K26" s="2">
        <v>0.1052</v>
      </c>
      <c r="L26" s="6" t="e">
        <f>K26*VLOOKUP($I26,'Selector Sheet '!$B$13:$D$43,3,FALSE)</f>
        <v>#N/A</v>
      </c>
    </row>
    <row r="27" spans="1:12">
      <c r="A27" s="1" t="s">
        <v>1837</v>
      </c>
      <c r="B27" t="s">
        <v>1825</v>
      </c>
      <c r="C27" s="4">
        <v>0.0644</v>
      </c>
      <c r="D27" s="2" t="e">
        <f>C27*VLOOKUP($A27,'Selector Sheet '!$B$13:$D$43,2,FALSE)</f>
        <v>#N/A</v>
      </c>
      <c r="E27" t="s">
        <v>1858</v>
      </c>
      <c r="F27" s="2" t="e">
        <f t="shared" si="0"/>
        <v>#N/A</v>
      </c>
      <c r="G27" s="2" t="e">
        <f>C27*VLOOKUP($A27,'Selector Sheet '!$B$13:$D$43,2,FALSE)</f>
        <v>#N/A</v>
      </c>
      <c r="I27" s="1" t="s">
        <v>1849</v>
      </c>
      <c r="J27" t="s">
        <v>1016</v>
      </c>
      <c r="K27" s="2">
        <v>0.0568</v>
      </c>
      <c r="L27" s="6" t="e">
        <f>K27*VLOOKUP($I27,'Selector Sheet '!$B$13:$D$43,3,FALSE)</f>
        <v>#N/A</v>
      </c>
    </row>
    <row r="28" spans="1:12">
      <c r="A28" s="1" t="s">
        <v>1837</v>
      </c>
      <c r="B28" t="s">
        <v>1858</v>
      </c>
      <c r="C28" s="4">
        <v>0.0545</v>
      </c>
      <c r="D28" s="2" t="e">
        <f>C28*VLOOKUP($A28,'Selector Sheet '!$B$13:$D$43,2,FALSE)</f>
        <v>#N/A</v>
      </c>
      <c r="E28" t="s">
        <v>1859</v>
      </c>
      <c r="F28" s="2" t="e">
        <f t="shared" si="0"/>
        <v>#N/A</v>
      </c>
      <c r="G28" s="2" t="e">
        <f>C28*VLOOKUP($A28,'Selector Sheet '!$B$13:$D$43,2,FALSE)</f>
        <v>#N/A</v>
      </c>
      <c r="I28" s="1" t="s">
        <v>1849</v>
      </c>
      <c r="J28" t="s">
        <v>1829</v>
      </c>
      <c r="K28" s="2">
        <v>0.0565</v>
      </c>
      <c r="L28" s="6" t="e">
        <f>K28*VLOOKUP($I28,'Selector Sheet '!$B$13:$D$43,3,FALSE)</f>
        <v>#N/A</v>
      </c>
    </row>
    <row r="29" spans="1:12">
      <c r="A29" s="1" t="s">
        <v>1837</v>
      </c>
      <c r="B29" t="s">
        <v>1860</v>
      </c>
      <c r="C29" s="4">
        <v>0.0382</v>
      </c>
      <c r="D29" s="2" t="e">
        <f>C29*VLOOKUP($A29,'Selector Sheet '!$B$13:$D$43,2,FALSE)</f>
        <v>#N/A</v>
      </c>
      <c r="E29" t="s">
        <v>1861</v>
      </c>
      <c r="F29" s="2" t="e">
        <f t="shared" si="0"/>
        <v>#N/A</v>
      </c>
      <c r="G29" s="2" t="e">
        <f>C29*VLOOKUP($A29,'Selector Sheet '!$B$13:$D$43,2,FALSE)</f>
        <v>#N/A</v>
      </c>
      <c r="I29" s="5" t="s">
        <v>1862</v>
      </c>
      <c r="J29" s="7" t="s">
        <v>1824</v>
      </c>
      <c r="K29" s="8">
        <v>0.2521</v>
      </c>
      <c r="L29" s="6" t="e">
        <f>K29*VLOOKUP($I29,'Selector Sheet '!$B$13:$D$43,3,FALSE)</f>
        <v>#N/A</v>
      </c>
    </row>
    <row r="30" spans="1:12">
      <c r="A30" s="1" t="s">
        <v>1837</v>
      </c>
      <c r="B30" t="s">
        <v>1863</v>
      </c>
      <c r="C30" s="4">
        <v>0.0381</v>
      </c>
      <c r="D30" s="2" t="e">
        <f>C30*VLOOKUP($A30,'Selector Sheet '!$B$13:$D$43,2,FALSE)</f>
        <v>#N/A</v>
      </c>
      <c r="E30" t="s">
        <v>1863</v>
      </c>
      <c r="F30" s="2" t="e">
        <f t="shared" si="0"/>
        <v>#N/A</v>
      </c>
      <c r="G30" s="2" t="e">
        <f>C30*VLOOKUP($A30,'Selector Sheet '!$B$13:$D$43,2,FALSE)</f>
        <v>#N/A</v>
      </c>
      <c r="I30" s="5" t="s">
        <v>1862</v>
      </c>
      <c r="J30" s="7" t="s">
        <v>1826</v>
      </c>
      <c r="K30" s="8">
        <v>0.2233</v>
      </c>
      <c r="L30" s="6" t="e">
        <f>K30*VLOOKUP($I30,'Selector Sheet '!$B$13:$D$43,3,FALSE)</f>
        <v>#N/A</v>
      </c>
    </row>
    <row r="31" spans="1:12">
      <c r="A31" s="1" t="s">
        <v>1837</v>
      </c>
      <c r="B31" t="s">
        <v>1859</v>
      </c>
      <c r="C31" s="4">
        <v>0.0371</v>
      </c>
      <c r="D31" s="2" t="e">
        <f>C31*VLOOKUP($A31,'Selector Sheet '!$B$13:$D$43,2,FALSE)</f>
        <v>#N/A</v>
      </c>
      <c r="E31" t="s">
        <v>1864</v>
      </c>
      <c r="F31" s="2" t="e">
        <f t="shared" si="0"/>
        <v>#N/A</v>
      </c>
      <c r="G31" s="2" t="e">
        <f>C31*VLOOKUP($A31,'Selector Sheet '!$B$13:$D$43,2,FALSE)</f>
        <v>#N/A</v>
      </c>
      <c r="I31" s="5" t="s">
        <v>1862</v>
      </c>
      <c r="J31" s="7" t="s">
        <v>874</v>
      </c>
      <c r="K31" s="8">
        <v>0.1712</v>
      </c>
      <c r="L31" s="6" t="e">
        <f>K31*VLOOKUP($I31,'Selector Sheet '!$B$13:$D$43,3,FALSE)</f>
        <v>#N/A</v>
      </c>
    </row>
    <row r="32" spans="1:12">
      <c r="A32" s="1" t="s">
        <v>1837</v>
      </c>
      <c r="B32" t="s">
        <v>1864</v>
      </c>
      <c r="C32" s="4">
        <v>0.0367</v>
      </c>
      <c r="D32" s="2" t="e">
        <f>C32*VLOOKUP($A32,'Selector Sheet '!$B$13:$D$43,2,FALSE)</f>
        <v>#N/A</v>
      </c>
      <c r="E32" t="s">
        <v>1860</v>
      </c>
      <c r="F32" s="2" t="e">
        <f t="shared" si="0"/>
        <v>#N/A</v>
      </c>
      <c r="G32" s="2" t="e">
        <f>C32*VLOOKUP($A32,'Selector Sheet '!$B$13:$D$43,2,FALSE)</f>
        <v>#N/A</v>
      </c>
      <c r="I32" s="5" t="s">
        <v>1862</v>
      </c>
      <c r="J32" s="7" t="s">
        <v>1835</v>
      </c>
      <c r="K32" s="8">
        <v>0.1129</v>
      </c>
      <c r="L32" s="6" t="e">
        <f>K32*VLOOKUP($I32,'Selector Sheet '!$B$13:$D$43,3,FALSE)</f>
        <v>#N/A</v>
      </c>
    </row>
    <row r="33" spans="1:12">
      <c r="A33" s="1" t="s">
        <v>1837</v>
      </c>
      <c r="B33" t="s">
        <v>1861</v>
      </c>
      <c r="C33" s="4">
        <v>0.0355</v>
      </c>
      <c r="D33" s="2" t="e">
        <f>C33*VLOOKUP($A33,'Selector Sheet '!$B$13:$D$43,2,FALSE)</f>
        <v>#N/A</v>
      </c>
      <c r="E33" t="s">
        <v>1865</v>
      </c>
      <c r="F33" s="2" t="e">
        <f t="shared" si="0"/>
        <v>#N/A</v>
      </c>
      <c r="G33" s="2" t="e">
        <f>C33*VLOOKUP($A33,'Selector Sheet '!$B$13:$D$43,2,FALSE)</f>
        <v>#N/A</v>
      </c>
      <c r="I33" s="5" t="s">
        <v>1862</v>
      </c>
      <c r="J33" s="7" t="s">
        <v>859</v>
      </c>
      <c r="K33" s="8">
        <v>0.0751</v>
      </c>
      <c r="L33" s="6" t="e">
        <f>K33*VLOOKUP($I33,'Selector Sheet '!$B$13:$D$43,3,FALSE)</f>
        <v>#N/A</v>
      </c>
    </row>
    <row r="34" spans="1:12">
      <c r="A34" s="1" t="s">
        <v>1837</v>
      </c>
      <c r="B34" t="s">
        <v>1852</v>
      </c>
      <c r="C34" s="4">
        <v>0.0307</v>
      </c>
      <c r="D34" s="2" t="e">
        <f>C34*VLOOKUP($A34,'Selector Sheet '!$B$13:$D$43,2,FALSE)</f>
        <v>#N/A</v>
      </c>
      <c r="E34" t="s">
        <v>1866</v>
      </c>
      <c r="F34" s="2" t="e">
        <f t="shared" si="0"/>
        <v>#N/A</v>
      </c>
      <c r="G34" s="2" t="e">
        <f>C34*VLOOKUP($A34,'Selector Sheet '!$B$13:$D$43,2,FALSE)</f>
        <v>#N/A</v>
      </c>
      <c r="I34" s="5" t="s">
        <v>1862</v>
      </c>
      <c r="J34" s="7" t="s">
        <v>849</v>
      </c>
      <c r="K34" s="8">
        <v>0.0616</v>
      </c>
      <c r="L34" s="6" t="e">
        <f>K34*VLOOKUP($I34,'Selector Sheet '!$B$13:$D$43,3,FALSE)</f>
        <v>#N/A</v>
      </c>
    </row>
    <row r="35" spans="1:12">
      <c r="A35" s="1" t="s">
        <v>1837</v>
      </c>
      <c r="B35" t="s">
        <v>1865</v>
      </c>
      <c r="C35" s="4">
        <v>0.0297</v>
      </c>
      <c r="D35" s="2" t="e">
        <f>C35*VLOOKUP($A35,'Selector Sheet '!$B$13:$D$43,2,FALSE)</f>
        <v>#N/A</v>
      </c>
      <c r="E35" t="s">
        <v>1867</v>
      </c>
      <c r="F35" s="2" t="e">
        <f t="shared" si="0"/>
        <v>#N/A</v>
      </c>
      <c r="G35" s="2" t="e">
        <f>C35*VLOOKUP($A35,'Selector Sheet '!$B$13:$D$43,2,FALSE)</f>
        <v>#N/A</v>
      </c>
      <c r="I35" s="5" t="s">
        <v>1862</v>
      </c>
      <c r="J35" s="7" t="s">
        <v>1016</v>
      </c>
      <c r="K35" s="8">
        <v>0.0544</v>
      </c>
      <c r="L35" s="6" t="e">
        <f>K35*VLOOKUP($I35,'Selector Sheet '!$B$13:$D$43,3,FALSE)</f>
        <v>#N/A</v>
      </c>
    </row>
    <row r="36" spans="1:12">
      <c r="A36" s="1" t="s">
        <v>1837</v>
      </c>
      <c r="B36" t="s">
        <v>1867</v>
      </c>
      <c r="C36" s="4">
        <v>0.0274</v>
      </c>
      <c r="D36" s="2" t="e">
        <f>C36*VLOOKUP($A36,'Selector Sheet '!$B$13:$D$43,2,FALSE)</f>
        <v>#N/A</v>
      </c>
      <c r="E36" t="s">
        <v>1868</v>
      </c>
      <c r="F36" s="2" t="e">
        <f t="shared" si="0"/>
        <v>#N/A</v>
      </c>
      <c r="G36" s="2" t="e">
        <f>C36*VLOOKUP($A36,'Selector Sheet '!$B$13:$D$43,2,FALSE)</f>
        <v>#N/A</v>
      </c>
      <c r="I36" s="5" t="s">
        <v>1862</v>
      </c>
      <c r="J36" s="7" t="s">
        <v>1847</v>
      </c>
      <c r="K36" s="8">
        <v>0.0075</v>
      </c>
      <c r="L36" s="6" t="e">
        <f>K36*VLOOKUP($I36,'Selector Sheet '!$B$13:$D$43,3,FALSE)</f>
        <v>#N/A</v>
      </c>
    </row>
    <row r="37" spans="1:12">
      <c r="A37" s="1" t="s">
        <v>1837</v>
      </c>
      <c r="B37" t="s">
        <v>1866</v>
      </c>
      <c r="C37" s="4">
        <v>0.0249</v>
      </c>
      <c r="D37" s="2" t="e">
        <f>C37*VLOOKUP($A37,'Selector Sheet '!$B$13:$D$43,2,FALSE)</f>
        <v>#N/A</v>
      </c>
      <c r="E37" t="s">
        <v>1869</v>
      </c>
      <c r="F37" s="2" t="e">
        <f t="shared" si="0"/>
        <v>#N/A</v>
      </c>
      <c r="G37" s="2" t="e">
        <f>C37*VLOOKUP($A37,'Selector Sheet '!$B$13:$D$43,2,FALSE)</f>
        <v>#N/A</v>
      </c>
      <c r="I37" s="9" t="s">
        <v>1870</v>
      </c>
      <c r="J37" s="7" t="s">
        <v>1824</v>
      </c>
      <c r="K37" s="8">
        <v>0.1185</v>
      </c>
      <c r="L37" s="6" t="e">
        <f>K37*VLOOKUP($I37,'Selector Sheet '!$B$13:$D$43,3,FALSE)</f>
        <v>#N/A</v>
      </c>
    </row>
    <row r="38" spans="1:12">
      <c r="A38" s="1" t="s">
        <v>1837</v>
      </c>
      <c r="B38" t="s">
        <v>1868</v>
      </c>
      <c r="C38" s="4">
        <v>0.0221</v>
      </c>
      <c r="D38" s="2" t="e">
        <f>C38*VLOOKUP($A38,'Selector Sheet '!$B$13:$D$43,2,FALSE)</f>
        <v>#N/A</v>
      </c>
      <c r="E38" t="s">
        <v>1871</v>
      </c>
      <c r="F38" s="2" t="e">
        <f t="shared" si="0"/>
        <v>#N/A</v>
      </c>
      <c r="G38" s="2" t="e">
        <f>C38*VLOOKUP($A38,'Selector Sheet '!$B$13:$D$43,2,FALSE)</f>
        <v>#N/A</v>
      </c>
      <c r="I38" s="9" t="s">
        <v>1870</v>
      </c>
      <c r="J38" s="7" t="s">
        <v>874</v>
      </c>
      <c r="K38" s="8">
        <v>0.093</v>
      </c>
      <c r="L38" s="6" t="e">
        <f>K38*VLOOKUP($I38,'Selector Sheet '!$B$13:$D$43,3,FALSE)</f>
        <v>#N/A</v>
      </c>
    </row>
    <row r="39" spans="1:12">
      <c r="A39" s="1" t="s">
        <v>1837</v>
      </c>
      <c r="B39" t="s">
        <v>1872</v>
      </c>
      <c r="C39" s="4">
        <v>0.0217</v>
      </c>
      <c r="D39" s="2" t="e">
        <f>C39*VLOOKUP($A39,'Selector Sheet '!$B$13:$D$43,2,FALSE)</f>
        <v>#N/A</v>
      </c>
      <c r="E39" t="s">
        <v>1873</v>
      </c>
      <c r="F39" s="2" t="e">
        <f t="shared" si="0"/>
        <v>#N/A</v>
      </c>
      <c r="G39" s="2" t="e">
        <f>C39*VLOOKUP($A39,'Selector Sheet '!$B$13:$D$43,2,FALSE)</f>
        <v>#N/A</v>
      </c>
      <c r="I39" s="9" t="s">
        <v>1870</v>
      </c>
      <c r="J39" s="7" t="s">
        <v>1826</v>
      </c>
      <c r="K39" s="8">
        <v>0.0697</v>
      </c>
      <c r="L39" s="6" t="e">
        <f>K39*VLOOKUP($I39,'Selector Sheet '!$B$13:$D$43,3,FALSE)</f>
        <v>#N/A</v>
      </c>
    </row>
    <row r="40" spans="1:12">
      <c r="A40" s="1" t="s">
        <v>1837</v>
      </c>
      <c r="B40" t="s">
        <v>1869</v>
      </c>
      <c r="C40" s="4">
        <v>0.0212</v>
      </c>
      <c r="D40" s="2" t="e">
        <f>C40*VLOOKUP($A40,'Selector Sheet '!$B$13:$D$43,2,FALSE)</f>
        <v>#N/A</v>
      </c>
      <c r="E40" t="s">
        <v>1872</v>
      </c>
      <c r="F40" s="2" t="e">
        <f t="shared" si="0"/>
        <v>#N/A</v>
      </c>
      <c r="G40" s="2" t="e">
        <f>C40*VLOOKUP($A40,'Selector Sheet '!$B$13:$D$43,2,FALSE)</f>
        <v>#N/A</v>
      </c>
      <c r="I40" s="9" t="s">
        <v>1870</v>
      </c>
      <c r="J40" s="7" t="s">
        <v>849</v>
      </c>
      <c r="K40" s="8">
        <v>0.0437</v>
      </c>
      <c r="L40" s="6" t="e">
        <f>K40*VLOOKUP($I40,'Selector Sheet '!$B$13:$D$43,3,FALSE)</f>
        <v>#N/A</v>
      </c>
    </row>
    <row r="41" spans="1:12">
      <c r="A41" s="1" t="s">
        <v>1837</v>
      </c>
      <c r="B41" t="s">
        <v>1871</v>
      </c>
      <c r="C41" s="4">
        <v>0.0176</v>
      </c>
      <c r="D41" s="2" t="e">
        <f>C41*VLOOKUP($A41,'Selector Sheet '!$B$13:$D$43,2,FALSE)</f>
        <v>#N/A</v>
      </c>
      <c r="E41" t="s">
        <v>1874</v>
      </c>
      <c r="F41" s="2" t="e">
        <f t="shared" si="0"/>
        <v>#N/A</v>
      </c>
      <c r="G41" s="2" t="e">
        <f>C41*VLOOKUP($A41,'Selector Sheet '!$B$13:$D$43,2,FALSE)</f>
        <v>#N/A</v>
      </c>
      <c r="I41" s="9" t="s">
        <v>1870</v>
      </c>
      <c r="J41" s="7" t="s">
        <v>859</v>
      </c>
      <c r="K41" s="8">
        <v>0.0397</v>
      </c>
      <c r="L41" s="6" t="e">
        <f>K41*VLOOKUP($I41,'Selector Sheet '!$B$13:$D$43,3,FALSE)</f>
        <v>#N/A</v>
      </c>
    </row>
    <row r="42" spans="1:12">
      <c r="A42" s="1" t="s">
        <v>1837</v>
      </c>
      <c r="B42" t="s">
        <v>1832</v>
      </c>
      <c r="C42" s="4">
        <v>0.0173</v>
      </c>
      <c r="D42" s="2" t="e">
        <f>C42*VLOOKUP($A42,'Selector Sheet '!$B$13:$D$43,2,FALSE)</f>
        <v>#N/A</v>
      </c>
      <c r="E42" t="s">
        <v>1875</v>
      </c>
      <c r="F42" s="2" t="e">
        <f t="shared" si="0"/>
        <v>#N/A</v>
      </c>
      <c r="G42" s="2" t="e">
        <f>C42*VLOOKUP($A42,'Selector Sheet '!$B$13:$D$43,2,FALSE)</f>
        <v>#N/A</v>
      </c>
      <c r="I42" s="9" t="s">
        <v>1870</v>
      </c>
      <c r="J42" s="7" t="s">
        <v>1016</v>
      </c>
      <c r="K42" s="8">
        <v>0.0376</v>
      </c>
      <c r="L42" s="6" t="e">
        <f>K42*VLOOKUP($I42,'Selector Sheet '!$B$13:$D$43,3,FALSE)</f>
        <v>#N/A</v>
      </c>
    </row>
    <row r="43" spans="1:12">
      <c r="A43" s="1" t="s">
        <v>1837</v>
      </c>
      <c r="B43" t="s">
        <v>1873</v>
      </c>
      <c r="C43" s="4">
        <v>0.017</v>
      </c>
      <c r="D43" s="2" t="e">
        <f>C43*VLOOKUP($A43,'Selector Sheet '!$B$13:$D$43,2,FALSE)</f>
        <v>#N/A</v>
      </c>
      <c r="E43" t="s">
        <v>1876</v>
      </c>
      <c r="F43" s="2">
        <f t="shared" si="0"/>
        <v>0</v>
      </c>
      <c r="G43" s="2" t="e">
        <f>C43*VLOOKUP($A43,'Selector Sheet '!$B$13:$D$43,2,FALSE)</f>
        <v>#N/A</v>
      </c>
      <c r="I43" s="9" t="s">
        <v>1870</v>
      </c>
      <c r="J43" s="7" t="s">
        <v>1829</v>
      </c>
      <c r="K43" s="8">
        <v>0.0334</v>
      </c>
      <c r="L43" s="6" t="e">
        <f>K43*VLOOKUP($I43,'Selector Sheet '!$B$13:$D$43,3,FALSE)</f>
        <v>#N/A</v>
      </c>
    </row>
    <row r="44" spans="1:12">
      <c r="A44" s="1" t="s">
        <v>1837</v>
      </c>
      <c r="B44" t="s">
        <v>1831</v>
      </c>
      <c r="C44" s="4">
        <v>0.0166</v>
      </c>
      <c r="D44" s="2" t="e">
        <f>C44*VLOOKUP($A44,'Selector Sheet '!$B$13:$D$43,2,FALSE)</f>
        <v>#N/A</v>
      </c>
      <c r="E44" t="s">
        <v>1877</v>
      </c>
      <c r="F44" s="2" t="e">
        <f t="shared" si="0"/>
        <v>#N/A</v>
      </c>
      <c r="G44" s="2" t="e">
        <f>C44*VLOOKUP($A44,'Selector Sheet '!$B$13:$D$43,2,FALSE)</f>
        <v>#N/A</v>
      </c>
      <c r="I44" s="9" t="s">
        <v>1870</v>
      </c>
      <c r="J44" s="7" t="s">
        <v>1835</v>
      </c>
      <c r="K44" s="8">
        <v>0.0247</v>
      </c>
      <c r="L44" s="6" t="e">
        <f>K44*VLOOKUP($I44,'Selector Sheet '!$B$13:$D$43,3,FALSE)</f>
        <v>#N/A</v>
      </c>
    </row>
    <row r="45" spans="1:12">
      <c r="A45" s="1" t="s">
        <v>1837</v>
      </c>
      <c r="B45" t="s">
        <v>1874</v>
      </c>
      <c r="C45" s="4">
        <v>0.0157</v>
      </c>
      <c r="D45" s="2" t="e">
        <f>C45*VLOOKUP($A45,'Selector Sheet '!$B$13:$D$43,2,FALSE)</f>
        <v>#N/A</v>
      </c>
      <c r="E45" t="s">
        <v>1878</v>
      </c>
      <c r="F45" s="2">
        <f t="shared" si="0"/>
        <v>0</v>
      </c>
      <c r="G45" s="2" t="e">
        <f>C45*VLOOKUP($A45,'Selector Sheet '!$B$13:$D$43,2,FALSE)</f>
        <v>#N/A</v>
      </c>
      <c r="I45" s="9" t="s">
        <v>1870</v>
      </c>
      <c r="J45" s="7" t="s">
        <v>1847</v>
      </c>
      <c r="K45" s="8">
        <v>0.0014</v>
      </c>
      <c r="L45" s="6" t="e">
        <f>K45*VLOOKUP($I45,'Selector Sheet '!$B$13:$D$43,3,FALSE)</f>
        <v>#N/A</v>
      </c>
    </row>
    <row r="46" spans="1:12">
      <c r="A46" s="1" t="s">
        <v>1837</v>
      </c>
      <c r="B46" t="s">
        <v>1836</v>
      </c>
      <c r="C46" s="4">
        <v>0.0146</v>
      </c>
      <c r="D46" s="2" t="e">
        <f>C46*VLOOKUP($A46,'Selector Sheet '!$B$13:$D$43,2,FALSE)</f>
        <v>#N/A</v>
      </c>
      <c r="E46" t="s">
        <v>1879</v>
      </c>
      <c r="F46" s="2">
        <f t="shared" si="0"/>
        <v>0</v>
      </c>
      <c r="G46" s="2" t="e">
        <f>C46*VLOOKUP($A46,'Selector Sheet '!$B$13:$D$43,2,FALSE)</f>
        <v>#N/A</v>
      </c>
      <c r="I46" s="9" t="s">
        <v>1870</v>
      </c>
      <c r="J46" s="7" t="s">
        <v>1034</v>
      </c>
      <c r="K46" s="8">
        <v>0.0002</v>
      </c>
      <c r="L46" s="6" t="e">
        <f>K46*VLOOKUP($I46,'Selector Sheet '!$B$13:$D$43,3,FALSE)</f>
        <v>#N/A</v>
      </c>
    </row>
    <row r="47" spans="1:12">
      <c r="A47" s="1" t="s">
        <v>1837</v>
      </c>
      <c r="B47" t="s">
        <v>1845</v>
      </c>
      <c r="C47" s="4">
        <v>0.0139</v>
      </c>
      <c r="D47" s="2" t="e">
        <f>C47*VLOOKUP($A47,'Selector Sheet '!$B$13:$D$43,2,FALSE)</f>
        <v>#N/A</v>
      </c>
      <c r="E47" t="s">
        <v>1880</v>
      </c>
      <c r="F47" s="2">
        <f t="shared" si="0"/>
        <v>0</v>
      </c>
      <c r="G47" s="2" t="e">
        <f>C47*VLOOKUP($A47,'Selector Sheet '!$B$13:$D$43,2,FALSE)</f>
        <v>#N/A</v>
      </c>
      <c r="I47" s="9" t="s">
        <v>1881</v>
      </c>
      <c r="J47" s="7" t="s">
        <v>1824</v>
      </c>
      <c r="K47" s="8">
        <v>0.1924</v>
      </c>
      <c r="L47" s="6" t="e">
        <f>K47*VLOOKUP($I47,'Selector Sheet '!$B$13:$D$43,3,FALSE)</f>
        <v>#N/A</v>
      </c>
    </row>
    <row r="48" spans="1:12">
      <c r="A48" s="1" t="s">
        <v>1837</v>
      </c>
      <c r="B48" t="s">
        <v>1877</v>
      </c>
      <c r="C48" s="4">
        <v>0.0139</v>
      </c>
      <c r="D48" s="2" t="e">
        <f>C48*VLOOKUP($A48,'Selector Sheet '!$B$13:$D$43,2,FALSE)</f>
        <v>#N/A</v>
      </c>
      <c r="E48" t="s">
        <v>1882</v>
      </c>
      <c r="F48" s="2" t="e">
        <f t="shared" si="0"/>
        <v>#N/A</v>
      </c>
      <c r="G48" s="2" t="e">
        <f>C48*VLOOKUP($A48,'Selector Sheet '!$B$13:$D$43,2,FALSE)</f>
        <v>#N/A</v>
      </c>
      <c r="I48" s="9" t="s">
        <v>1881</v>
      </c>
      <c r="J48" s="7" t="s">
        <v>1826</v>
      </c>
      <c r="K48" s="8">
        <v>0.0919</v>
      </c>
      <c r="L48" s="6" t="e">
        <f>K48*VLOOKUP($I48,'Selector Sheet '!$B$13:$D$43,3,FALSE)</f>
        <v>#N/A</v>
      </c>
    </row>
    <row r="49" spans="1:12">
      <c r="A49" s="1" t="s">
        <v>1837</v>
      </c>
      <c r="B49" t="s">
        <v>1839</v>
      </c>
      <c r="C49" s="4">
        <v>0.0136</v>
      </c>
      <c r="D49" s="2" t="e">
        <f>C49*VLOOKUP($A49,'Selector Sheet '!$B$13:$D$43,2,FALSE)</f>
        <v>#N/A</v>
      </c>
      <c r="E49" t="s">
        <v>1883</v>
      </c>
      <c r="F49" s="2">
        <f t="shared" si="0"/>
        <v>0</v>
      </c>
      <c r="G49" s="2" t="e">
        <f>C49*VLOOKUP($A49,'Selector Sheet '!$B$13:$D$43,2,FALSE)</f>
        <v>#N/A</v>
      </c>
      <c r="I49" s="9" t="s">
        <v>1881</v>
      </c>
      <c r="J49" s="7" t="s">
        <v>874</v>
      </c>
      <c r="K49" s="8">
        <v>0.0849</v>
      </c>
      <c r="L49" s="6" t="e">
        <f>K49*VLOOKUP($I49,'Selector Sheet '!$B$13:$D$43,3,FALSE)</f>
        <v>#N/A</v>
      </c>
    </row>
    <row r="50" spans="1:12">
      <c r="A50" s="1" t="s">
        <v>1837</v>
      </c>
      <c r="B50" t="s">
        <v>1875</v>
      </c>
      <c r="C50" s="4">
        <v>0.0134</v>
      </c>
      <c r="D50" s="2" t="e">
        <f>C50*VLOOKUP($A50,'Selector Sheet '!$B$13:$D$43,2,FALSE)</f>
        <v>#N/A</v>
      </c>
      <c r="E50" t="s">
        <v>1884</v>
      </c>
      <c r="F50" s="2">
        <f t="shared" si="0"/>
        <v>0</v>
      </c>
      <c r="G50" s="2" t="e">
        <f>C50*VLOOKUP($A50,'Selector Sheet '!$B$13:$D$43,2,FALSE)</f>
        <v>#N/A</v>
      </c>
      <c r="I50" s="9" t="s">
        <v>1881</v>
      </c>
      <c r="J50" s="7" t="s">
        <v>1829</v>
      </c>
      <c r="K50" s="8">
        <v>0.0778</v>
      </c>
      <c r="L50" s="6" t="e">
        <f>K50*VLOOKUP($I50,'Selector Sheet '!$B$13:$D$43,3,FALSE)</f>
        <v>#N/A</v>
      </c>
    </row>
    <row r="51" spans="1:12">
      <c r="A51" s="1" t="s">
        <v>1837</v>
      </c>
      <c r="B51" t="s">
        <v>1885</v>
      </c>
      <c r="C51" s="4">
        <v>0.0128</v>
      </c>
      <c r="D51" s="2" t="e">
        <f>C51*VLOOKUP($A51,'Selector Sheet '!$B$13:$D$43,2,FALSE)</f>
        <v>#N/A</v>
      </c>
      <c r="E51" t="s">
        <v>1886</v>
      </c>
      <c r="F51" s="2" t="e">
        <f t="shared" si="0"/>
        <v>#N/A</v>
      </c>
      <c r="G51" s="2" t="e">
        <f>C51*VLOOKUP($A51,'Selector Sheet '!$B$13:$D$43,2,FALSE)</f>
        <v>#N/A</v>
      </c>
      <c r="I51" s="9" t="s">
        <v>1881</v>
      </c>
      <c r="J51" s="7" t="s">
        <v>1835</v>
      </c>
      <c r="K51" s="8">
        <v>0.0642</v>
      </c>
      <c r="L51" s="6" t="e">
        <f>K51*VLOOKUP($I51,'Selector Sheet '!$B$13:$D$43,3,FALSE)</f>
        <v>#N/A</v>
      </c>
    </row>
    <row r="52" spans="1:12">
      <c r="A52" s="5" t="s">
        <v>1862</v>
      </c>
      <c r="B52" t="s">
        <v>1823</v>
      </c>
      <c r="C52" s="4">
        <v>0.0644</v>
      </c>
      <c r="D52" s="2" t="e">
        <f>C52*VLOOKUP($A52,'Selector Sheet '!$B$13:$D$43,2,FALSE)</f>
        <v>#N/A</v>
      </c>
      <c r="E52" t="s">
        <v>1887</v>
      </c>
      <c r="F52" s="2">
        <f t="shared" si="0"/>
        <v>0</v>
      </c>
      <c r="G52" s="2" t="e">
        <f>C52*VLOOKUP($A52,'Selector Sheet '!$B$13:$D$43,2,FALSE)</f>
        <v>#N/A</v>
      </c>
      <c r="I52" s="9" t="s">
        <v>1881</v>
      </c>
      <c r="J52" s="7" t="s">
        <v>1016</v>
      </c>
      <c r="K52" s="8">
        <v>0.0506</v>
      </c>
      <c r="L52" s="6" t="e">
        <f>K52*VLOOKUP($I52,'Selector Sheet '!$B$13:$D$43,3,FALSE)</f>
        <v>#N/A</v>
      </c>
    </row>
    <row r="53" spans="1:12">
      <c r="A53" s="5" t="s">
        <v>1862</v>
      </c>
      <c r="B53" t="s">
        <v>1845</v>
      </c>
      <c r="C53" s="4">
        <v>0.0632</v>
      </c>
      <c r="D53" s="2" t="e">
        <f>C53*VLOOKUP($A53,'Selector Sheet '!$B$13:$D$43,2,FALSE)</f>
        <v>#N/A</v>
      </c>
      <c r="E53" t="s">
        <v>1888</v>
      </c>
      <c r="F53" s="2">
        <f t="shared" si="0"/>
        <v>0</v>
      </c>
      <c r="G53" s="2" t="e">
        <f>C53*VLOOKUP($A53,'Selector Sheet '!$B$13:$D$43,2,FALSE)</f>
        <v>#N/A</v>
      </c>
      <c r="I53" s="9" t="s">
        <v>1881</v>
      </c>
      <c r="J53" s="7" t="s">
        <v>849</v>
      </c>
      <c r="K53" s="8">
        <v>0.0352</v>
      </c>
      <c r="L53" s="6" t="e">
        <f>K53*VLOOKUP($I53,'Selector Sheet '!$B$13:$D$43,3,FALSE)</f>
        <v>#N/A</v>
      </c>
    </row>
    <row r="54" spans="1:12">
      <c r="A54" s="5" t="s">
        <v>1862</v>
      </c>
      <c r="B54" t="s">
        <v>1825</v>
      </c>
      <c r="C54" s="4">
        <v>0.0631</v>
      </c>
      <c r="D54" s="2" t="e">
        <f>C54*VLOOKUP($A54,'Selector Sheet '!$B$13:$D$43,2,FALSE)</f>
        <v>#N/A</v>
      </c>
      <c r="E54" t="s">
        <v>1889</v>
      </c>
      <c r="F54" s="2">
        <f t="shared" si="0"/>
        <v>0</v>
      </c>
      <c r="G54" s="2" t="e">
        <f>C54*VLOOKUP($A54,'Selector Sheet '!$B$13:$D$43,2,FALSE)</f>
        <v>#N/A</v>
      </c>
      <c r="I54" s="9" t="s">
        <v>1881</v>
      </c>
      <c r="J54" s="7" t="s">
        <v>859</v>
      </c>
      <c r="K54" s="8">
        <v>0.0308</v>
      </c>
      <c r="L54" s="6" t="e">
        <f>K54*VLOOKUP($I54,'Selector Sheet '!$B$13:$D$43,3,FALSE)</f>
        <v>#N/A</v>
      </c>
    </row>
    <row r="55" spans="1:12">
      <c r="A55" s="5" t="s">
        <v>1862</v>
      </c>
      <c r="B55" t="s">
        <v>1852</v>
      </c>
      <c r="C55" s="4">
        <v>0.0399</v>
      </c>
      <c r="D55" s="2" t="e">
        <f>C55*VLOOKUP($A55,'Selector Sheet '!$B$13:$D$43,2,FALSE)</f>
        <v>#N/A</v>
      </c>
      <c r="E55" t="s">
        <v>1890</v>
      </c>
      <c r="F55" s="2">
        <f t="shared" si="0"/>
        <v>0</v>
      </c>
      <c r="G55" s="2" t="e">
        <f>C55*VLOOKUP($A55,'Selector Sheet '!$B$13:$D$43,2,FALSE)</f>
        <v>#N/A</v>
      </c>
      <c r="I55" s="9" t="s">
        <v>1881</v>
      </c>
      <c r="J55" s="7" t="s">
        <v>1034</v>
      </c>
      <c r="K55" s="8">
        <v>0.0119</v>
      </c>
      <c r="L55" s="6" t="e">
        <f>K55*VLOOKUP($I55,'Selector Sheet '!$B$13:$D$43,3,FALSE)</f>
        <v>#N/A</v>
      </c>
    </row>
    <row r="56" spans="1:12">
      <c r="A56" s="5" t="s">
        <v>1862</v>
      </c>
      <c r="B56" t="s">
        <v>1846</v>
      </c>
      <c r="C56" s="4">
        <v>0.0384</v>
      </c>
      <c r="D56" s="2" t="e">
        <f>C56*VLOOKUP($A56,'Selector Sheet '!$B$13:$D$43,2,FALSE)</f>
        <v>#N/A</v>
      </c>
      <c r="E56" t="s">
        <v>1891</v>
      </c>
      <c r="F56" s="2">
        <f t="shared" si="0"/>
        <v>0</v>
      </c>
      <c r="G56" s="2" t="e">
        <f>C56*VLOOKUP($A56,'Selector Sheet '!$B$13:$D$43,2,FALSE)</f>
        <v>#N/A</v>
      </c>
      <c r="I56" s="9" t="s">
        <v>1892</v>
      </c>
      <c r="J56" t="s">
        <v>1824</v>
      </c>
      <c r="K56" s="2">
        <v>0.1602</v>
      </c>
      <c r="L56" s="6" t="e">
        <f>K56*VLOOKUP($I56,'Selector Sheet '!$B$13:$D$43,3,FALSE)</f>
        <v>#N/A</v>
      </c>
    </row>
    <row r="57" spans="1:12">
      <c r="A57" s="5" t="s">
        <v>1862</v>
      </c>
      <c r="B57" t="s">
        <v>1828</v>
      </c>
      <c r="C57" s="4">
        <v>0.0367</v>
      </c>
      <c r="D57" s="2" t="e">
        <f>C57*VLOOKUP($A57,'Selector Sheet '!$B$13:$D$43,2,FALSE)</f>
        <v>#N/A</v>
      </c>
      <c r="E57" t="s">
        <v>1893</v>
      </c>
      <c r="F57" s="2">
        <f t="shared" si="0"/>
        <v>0</v>
      </c>
      <c r="G57" s="2" t="e">
        <f>C57*VLOOKUP($A57,'Selector Sheet '!$B$13:$D$43,2,FALSE)</f>
        <v>#N/A</v>
      </c>
      <c r="I57" s="9" t="s">
        <v>1892</v>
      </c>
      <c r="J57" t="s">
        <v>1829</v>
      </c>
      <c r="K57" s="2">
        <v>0.0715</v>
      </c>
      <c r="L57" s="6" t="e">
        <f>K57*VLOOKUP($I57,'Selector Sheet '!$B$13:$D$43,3,FALSE)</f>
        <v>#N/A</v>
      </c>
    </row>
    <row r="58" spans="1:12">
      <c r="A58" s="5" t="s">
        <v>1862</v>
      </c>
      <c r="B58" t="s">
        <v>1894</v>
      </c>
      <c r="C58" s="4">
        <v>0.0363</v>
      </c>
      <c r="D58" s="2" t="e">
        <f>C58*VLOOKUP($A58,'Selector Sheet '!$B$13:$D$43,2,FALSE)</f>
        <v>#N/A</v>
      </c>
      <c r="E58" t="s">
        <v>1895</v>
      </c>
      <c r="F58" s="2">
        <f t="shared" si="0"/>
        <v>0</v>
      </c>
      <c r="G58" s="2" t="e">
        <f>C58*VLOOKUP($A58,'Selector Sheet '!$B$13:$D$43,2,FALSE)</f>
        <v>#N/A</v>
      </c>
      <c r="I58" s="9" t="s">
        <v>1892</v>
      </c>
      <c r="J58" t="s">
        <v>1826</v>
      </c>
      <c r="K58" s="2">
        <v>0.0689</v>
      </c>
      <c r="L58" s="6" t="e">
        <f>K58*VLOOKUP($I58,'Selector Sheet '!$B$13:$D$43,3,FALSE)</f>
        <v>#N/A</v>
      </c>
    </row>
    <row r="59" spans="1:12">
      <c r="A59" s="5" t="s">
        <v>1862</v>
      </c>
      <c r="B59" t="s">
        <v>1896</v>
      </c>
      <c r="C59" s="4">
        <v>0.0348</v>
      </c>
      <c r="D59" s="2" t="e">
        <f>C59*VLOOKUP($A59,'Selector Sheet '!$B$13:$D$43,2,FALSE)</f>
        <v>#N/A</v>
      </c>
      <c r="E59" t="s">
        <v>1894</v>
      </c>
      <c r="F59" s="2" t="e">
        <f t="shared" si="0"/>
        <v>#N/A</v>
      </c>
      <c r="G59" s="2" t="e">
        <f>C59*VLOOKUP($A59,'Selector Sheet '!$B$13:$D$43,2,FALSE)</f>
        <v>#N/A</v>
      </c>
      <c r="I59" s="9" t="s">
        <v>1892</v>
      </c>
      <c r="J59" t="s">
        <v>1835</v>
      </c>
      <c r="K59" s="2">
        <v>0.0431</v>
      </c>
      <c r="L59" s="6" t="e">
        <f>K59*VLOOKUP($I59,'Selector Sheet '!$B$13:$D$43,3,FALSE)</f>
        <v>#N/A</v>
      </c>
    </row>
    <row r="60" spans="1:12">
      <c r="A60" s="5" t="s">
        <v>1862</v>
      </c>
      <c r="B60" t="s">
        <v>1897</v>
      </c>
      <c r="C60" s="4">
        <v>0.0319</v>
      </c>
      <c r="D60" s="2" t="e">
        <f>C60*VLOOKUP($A60,'Selector Sheet '!$B$13:$D$43,2,FALSE)</f>
        <v>#N/A</v>
      </c>
      <c r="E60" t="s">
        <v>1896</v>
      </c>
      <c r="F60" s="2" t="e">
        <f t="shared" si="0"/>
        <v>#N/A</v>
      </c>
      <c r="G60" s="2" t="e">
        <f>C60*VLOOKUP($A60,'Selector Sheet '!$B$13:$D$43,2,FALSE)</f>
        <v>#N/A</v>
      </c>
      <c r="I60" s="9" t="s">
        <v>1892</v>
      </c>
      <c r="J60" t="s">
        <v>849</v>
      </c>
      <c r="K60" s="2">
        <v>0.042</v>
      </c>
      <c r="L60" s="6" t="e">
        <f>K60*VLOOKUP($I60,'Selector Sheet '!$B$13:$D$43,3,FALSE)</f>
        <v>#N/A</v>
      </c>
    </row>
    <row r="61" spans="1:12">
      <c r="A61" s="5" t="s">
        <v>1862</v>
      </c>
      <c r="B61" t="s">
        <v>1882</v>
      </c>
      <c r="C61" s="4">
        <v>0.0299</v>
      </c>
      <c r="D61" s="2" t="e">
        <f>C61*VLOOKUP($A61,'Selector Sheet '!$B$13:$D$43,2,FALSE)</f>
        <v>#N/A</v>
      </c>
      <c r="E61" t="s">
        <v>1897</v>
      </c>
      <c r="F61" s="2" t="e">
        <f t="shared" si="0"/>
        <v>#N/A</v>
      </c>
      <c r="G61" s="2" t="e">
        <f>C61*VLOOKUP($A61,'Selector Sheet '!$B$13:$D$43,2,FALSE)</f>
        <v>#N/A</v>
      </c>
      <c r="I61" s="9" t="s">
        <v>1892</v>
      </c>
      <c r="J61" t="s">
        <v>874</v>
      </c>
      <c r="K61" s="2">
        <v>0.0361</v>
      </c>
      <c r="L61" s="6" t="e">
        <f>K61*VLOOKUP($I61,'Selector Sheet '!$B$13:$D$43,3,FALSE)</f>
        <v>#N/A</v>
      </c>
    </row>
    <row r="62" spans="1:12">
      <c r="A62" s="5" t="s">
        <v>1862</v>
      </c>
      <c r="B62" t="s">
        <v>1860</v>
      </c>
      <c r="C62" s="4">
        <v>0.027</v>
      </c>
      <c r="D62" s="2" t="e">
        <f>C62*VLOOKUP($A62,'Selector Sheet '!$B$13:$D$43,2,FALSE)</f>
        <v>#N/A</v>
      </c>
      <c r="E62" t="s">
        <v>1898</v>
      </c>
      <c r="F62" s="2" t="e">
        <f t="shared" si="0"/>
        <v>#N/A</v>
      </c>
      <c r="G62" s="2" t="e">
        <f>C62*VLOOKUP($A62,'Selector Sheet '!$B$13:$D$43,2,FALSE)</f>
        <v>#N/A</v>
      </c>
      <c r="I62" s="9" t="s">
        <v>1892</v>
      </c>
      <c r="J62" t="s">
        <v>859</v>
      </c>
      <c r="K62" s="2">
        <v>0.0263</v>
      </c>
      <c r="L62" s="6" t="e">
        <f>K62*VLOOKUP($I62,'Selector Sheet '!$B$13:$D$43,3,FALSE)</f>
        <v>#N/A</v>
      </c>
    </row>
    <row r="63" spans="1:12">
      <c r="A63" s="5" t="s">
        <v>1862</v>
      </c>
      <c r="B63" t="s">
        <v>1861</v>
      </c>
      <c r="C63" s="4">
        <v>0.0264</v>
      </c>
      <c r="D63" s="2" t="e">
        <f>C63*VLOOKUP($A63,'Selector Sheet '!$B$13:$D$43,2,FALSE)</f>
        <v>#N/A</v>
      </c>
      <c r="E63" t="s">
        <v>1899</v>
      </c>
      <c r="F63" s="2" t="e">
        <f t="shared" si="0"/>
        <v>#N/A</v>
      </c>
      <c r="G63" s="2" t="e">
        <f>C63*VLOOKUP($A63,'Selector Sheet '!$B$13:$D$43,2,FALSE)</f>
        <v>#N/A</v>
      </c>
      <c r="I63" s="9" t="s">
        <v>1892</v>
      </c>
      <c r="J63" t="s">
        <v>1016</v>
      </c>
      <c r="K63" s="2">
        <v>0.0196</v>
      </c>
      <c r="L63" s="6" t="e">
        <f>K63*VLOOKUP($I63,'Selector Sheet '!$B$13:$D$43,3,FALSE)</f>
        <v>#N/A</v>
      </c>
    </row>
    <row r="64" spans="1:12">
      <c r="A64" s="5" t="s">
        <v>1862</v>
      </c>
      <c r="B64" t="s">
        <v>1898</v>
      </c>
      <c r="C64" s="4">
        <v>0.0263</v>
      </c>
      <c r="D64" s="2" t="e">
        <f>C64*VLOOKUP($A64,'Selector Sheet '!$B$13:$D$43,2,FALSE)</f>
        <v>#N/A</v>
      </c>
      <c r="E64" t="s">
        <v>1900</v>
      </c>
      <c r="F64" s="2" t="e">
        <f t="shared" si="0"/>
        <v>#N/A</v>
      </c>
      <c r="G64" s="2" t="e">
        <f>C64*VLOOKUP($A64,'Selector Sheet '!$B$13:$D$43,2,FALSE)</f>
        <v>#N/A</v>
      </c>
      <c r="I64" s="9" t="s">
        <v>1892</v>
      </c>
      <c r="J64" t="s">
        <v>1034</v>
      </c>
      <c r="K64" s="2">
        <v>0.0132</v>
      </c>
      <c r="L64" s="6" t="e">
        <f>K64*VLOOKUP($I64,'Selector Sheet '!$B$13:$D$43,3,FALSE)</f>
        <v>#N/A</v>
      </c>
    </row>
    <row r="65" spans="1:12">
      <c r="A65" s="5" t="s">
        <v>1862</v>
      </c>
      <c r="B65" t="s">
        <v>1838</v>
      </c>
      <c r="C65" s="4">
        <v>0.0261</v>
      </c>
      <c r="D65" s="2" t="e">
        <f>C65*VLOOKUP($A65,'Selector Sheet '!$B$13:$D$43,2,FALSE)</f>
        <v>#N/A</v>
      </c>
      <c r="E65" t="s">
        <v>1901</v>
      </c>
      <c r="F65" s="2" t="e">
        <f t="shared" si="0"/>
        <v>#N/A</v>
      </c>
      <c r="G65" s="2" t="e">
        <f>C65*VLOOKUP($A65,'Selector Sheet '!$B$13:$D$43,2,FALSE)</f>
        <v>#N/A</v>
      </c>
      <c r="I65" s="9" t="s">
        <v>1892</v>
      </c>
      <c r="J65" t="s">
        <v>1847</v>
      </c>
      <c r="K65" s="2">
        <v>0.0121</v>
      </c>
      <c r="L65" s="6" t="e">
        <f>K65*VLOOKUP($I65,'Selector Sheet '!$B$13:$D$43,3,FALSE)</f>
        <v>#N/A</v>
      </c>
    </row>
    <row r="66" spans="1:12">
      <c r="A66" s="5" t="s">
        <v>1862</v>
      </c>
      <c r="B66" t="s">
        <v>1831</v>
      </c>
      <c r="C66" s="4">
        <v>0.0232</v>
      </c>
      <c r="D66" s="2" t="e">
        <f>C66*VLOOKUP($A66,'Selector Sheet '!$B$13:$D$43,2,FALSE)</f>
        <v>#N/A</v>
      </c>
      <c r="E66" t="s">
        <v>1902</v>
      </c>
      <c r="F66" s="2" t="e">
        <f t="shared" ref="F66:F129" si="3">SUMIF($B$2:$B$305,E66,$D$2:$D$305)</f>
        <v>#N/A</v>
      </c>
      <c r="G66" s="2" t="e">
        <f>C66*VLOOKUP($A66,'Selector Sheet '!$B$13:$D$43,2,FALSE)</f>
        <v>#N/A</v>
      </c>
      <c r="I66" s="1" t="s">
        <v>37</v>
      </c>
      <c r="J66" t="s">
        <v>1824</v>
      </c>
      <c r="K66" s="2">
        <v>0.3399</v>
      </c>
      <c r="L66" s="6">
        <f>K66*VLOOKUP($I66,'Selector Sheet '!$B$13:$D$43,3,FALSE)</f>
        <v>0</v>
      </c>
    </row>
    <row r="67" spans="1:12">
      <c r="A67" s="5" t="s">
        <v>1862</v>
      </c>
      <c r="B67" t="s">
        <v>1899</v>
      </c>
      <c r="C67" s="4">
        <v>0.0226</v>
      </c>
      <c r="D67" s="2" t="e">
        <f>C67*VLOOKUP($A67,'Selector Sheet '!$B$13:$D$43,2,FALSE)</f>
        <v>#N/A</v>
      </c>
      <c r="E67" t="s">
        <v>1903</v>
      </c>
      <c r="F67" s="2" t="e">
        <f t="shared" si="3"/>
        <v>#N/A</v>
      </c>
      <c r="G67" s="2" t="e">
        <f>C67*VLOOKUP($A67,'Selector Sheet '!$B$13:$D$43,2,FALSE)</f>
        <v>#N/A</v>
      </c>
      <c r="I67" s="1" t="s">
        <v>37</v>
      </c>
      <c r="J67" t="s">
        <v>1826</v>
      </c>
      <c r="K67" s="2">
        <v>0.0835</v>
      </c>
      <c r="L67" s="6">
        <f>K67*VLOOKUP($I67,'Selector Sheet '!$B$13:$D$43,3,FALSE)</f>
        <v>0</v>
      </c>
    </row>
    <row r="68" spans="1:12">
      <c r="A68" s="5" t="s">
        <v>1862</v>
      </c>
      <c r="B68" t="s">
        <v>1900</v>
      </c>
      <c r="C68" s="4">
        <v>0.0173</v>
      </c>
      <c r="D68" s="2" t="e">
        <f>C68*VLOOKUP($A68,'Selector Sheet '!$B$13:$D$43,2,FALSE)</f>
        <v>#N/A</v>
      </c>
      <c r="E68" t="s">
        <v>1904</v>
      </c>
      <c r="F68" s="2">
        <f t="shared" si="3"/>
        <v>0</v>
      </c>
      <c r="G68" s="2" t="e">
        <f>C68*VLOOKUP($A68,'Selector Sheet '!$B$13:$D$43,2,FALSE)</f>
        <v>#N/A</v>
      </c>
      <c r="I68" s="1" t="s">
        <v>37</v>
      </c>
      <c r="J68" t="s">
        <v>874</v>
      </c>
      <c r="K68" s="2">
        <v>0.0897</v>
      </c>
      <c r="L68" s="6">
        <f>K68*VLOOKUP($I68,'Selector Sheet '!$B$13:$D$43,3,FALSE)</f>
        <v>0</v>
      </c>
    </row>
    <row r="69" spans="1:12">
      <c r="A69" s="5" t="s">
        <v>1862</v>
      </c>
      <c r="B69" t="s">
        <v>1901</v>
      </c>
      <c r="C69" s="4">
        <v>0.014</v>
      </c>
      <c r="D69" s="2" t="e">
        <f>C69*VLOOKUP($A69,'Selector Sheet '!$B$13:$D$43,2,FALSE)</f>
        <v>#N/A</v>
      </c>
      <c r="E69" t="s">
        <v>1905</v>
      </c>
      <c r="F69" s="2" t="e">
        <f t="shared" si="3"/>
        <v>#N/A</v>
      </c>
      <c r="G69" s="2" t="e">
        <f>C69*VLOOKUP($A69,'Selector Sheet '!$B$13:$D$43,2,FALSE)</f>
        <v>#N/A</v>
      </c>
      <c r="I69" s="1" t="s">
        <v>37</v>
      </c>
      <c r="J69" t="s">
        <v>1829</v>
      </c>
      <c r="K69" s="2">
        <v>0.0534</v>
      </c>
      <c r="L69" s="6">
        <f>K69*VLOOKUP($I69,'Selector Sheet '!$B$13:$D$43,3,FALSE)</f>
        <v>0</v>
      </c>
    </row>
    <row r="70" spans="1:12">
      <c r="A70" s="5" t="s">
        <v>1862</v>
      </c>
      <c r="B70" t="s">
        <v>1886</v>
      </c>
      <c r="C70" s="4">
        <v>0.0133</v>
      </c>
      <c r="D70" s="2" t="e">
        <f>C70*VLOOKUP($A70,'Selector Sheet '!$B$13:$D$43,2,FALSE)</f>
        <v>#N/A</v>
      </c>
      <c r="E70" t="s">
        <v>1906</v>
      </c>
      <c r="F70" s="2" t="e">
        <f t="shared" si="3"/>
        <v>#N/A</v>
      </c>
      <c r="G70" s="2" t="e">
        <f>C70*VLOOKUP($A70,'Selector Sheet '!$B$13:$D$43,2,FALSE)</f>
        <v>#N/A</v>
      </c>
      <c r="I70" s="1" t="s">
        <v>37</v>
      </c>
      <c r="J70" t="s">
        <v>1016</v>
      </c>
      <c r="K70" s="2">
        <v>0.0653</v>
      </c>
      <c r="L70" s="6">
        <f>K70*VLOOKUP($I70,'Selector Sheet '!$B$13:$D$43,3,FALSE)</f>
        <v>0</v>
      </c>
    </row>
    <row r="71" spans="1:12">
      <c r="A71" s="5" t="s">
        <v>1862</v>
      </c>
      <c r="B71" t="s">
        <v>1906</v>
      </c>
      <c r="C71" s="4">
        <v>0.0129</v>
      </c>
      <c r="D71" s="2" t="e">
        <f>C71*VLOOKUP($A71,'Selector Sheet '!$B$13:$D$43,2,FALSE)</f>
        <v>#N/A</v>
      </c>
      <c r="E71" t="s">
        <v>1907</v>
      </c>
      <c r="F71" s="2">
        <f t="shared" si="3"/>
        <v>0</v>
      </c>
      <c r="G71" s="2" t="e">
        <f>C71*VLOOKUP($A71,'Selector Sheet '!$B$13:$D$43,2,FALSE)</f>
        <v>#N/A</v>
      </c>
      <c r="I71" s="1" t="s">
        <v>37</v>
      </c>
      <c r="J71" t="s">
        <v>849</v>
      </c>
      <c r="K71" s="2">
        <v>0.0748</v>
      </c>
      <c r="L71" s="6">
        <f>K71*VLOOKUP($I71,'Selector Sheet '!$B$13:$D$43,3,FALSE)</f>
        <v>0</v>
      </c>
    </row>
    <row r="72" spans="1:12">
      <c r="A72" s="5" t="s">
        <v>1862</v>
      </c>
      <c r="B72" t="s">
        <v>1902</v>
      </c>
      <c r="C72" s="4">
        <v>0.0129</v>
      </c>
      <c r="D72" s="2" t="e">
        <f>C72*VLOOKUP($A72,'Selector Sheet '!$B$13:$D$43,2,FALSE)</f>
        <v>#N/A</v>
      </c>
      <c r="E72" t="s">
        <v>1908</v>
      </c>
      <c r="F72" s="2" t="e">
        <f t="shared" si="3"/>
        <v>#N/A</v>
      </c>
      <c r="G72" s="2" t="e">
        <f>C72*VLOOKUP($A72,'Selector Sheet '!$B$13:$D$43,2,FALSE)</f>
        <v>#N/A</v>
      </c>
      <c r="I72" s="1" t="s">
        <v>37</v>
      </c>
      <c r="J72" t="s">
        <v>859</v>
      </c>
      <c r="K72" s="2">
        <v>0.037</v>
      </c>
      <c r="L72" s="6">
        <f>K72*VLOOKUP($I72,'Selector Sheet '!$B$13:$D$43,3,FALSE)</f>
        <v>0</v>
      </c>
    </row>
    <row r="73" spans="1:14">
      <c r="A73" s="5" t="s">
        <v>1862</v>
      </c>
      <c r="B73" t="s">
        <v>1909</v>
      </c>
      <c r="C73" s="4">
        <v>0.0129</v>
      </c>
      <c r="D73" s="2" t="e">
        <f>C73*VLOOKUP($A73,'Selector Sheet '!$B$13:$D$43,2,FALSE)</f>
        <v>#N/A</v>
      </c>
      <c r="E73" t="s">
        <v>1910</v>
      </c>
      <c r="F73" s="2" t="e">
        <f t="shared" si="3"/>
        <v>#N/A</v>
      </c>
      <c r="G73" s="2" t="e">
        <f>C73*VLOOKUP($A73,'Selector Sheet '!$B$13:$D$43,2,FALSE)</f>
        <v>#N/A</v>
      </c>
      <c r="I73" s="1" t="s">
        <v>37</v>
      </c>
      <c r="J73" t="s">
        <v>1835</v>
      </c>
      <c r="K73" s="2">
        <v>0.1232</v>
      </c>
      <c r="L73" s="6">
        <f>K73*VLOOKUP($I73,'Selector Sheet '!$B$13:$D$43,3,FALSE)</f>
        <v>0</v>
      </c>
      <c r="M73" s="6">
        <f>L73*VLOOKUP($I73,'Selector Sheet '!$B$13:$D$43,3,FALSE)</f>
        <v>0</v>
      </c>
      <c r="N73" s="6">
        <f>M73*VLOOKUP($I73,'Selector Sheet '!$B$13:$D$43,3,FALSE)</f>
        <v>0</v>
      </c>
    </row>
    <row r="74" spans="1:12">
      <c r="A74" s="5" t="s">
        <v>1862</v>
      </c>
      <c r="B74" t="s">
        <v>1903</v>
      </c>
      <c r="C74" s="4">
        <v>0.0124</v>
      </c>
      <c r="D74" s="2" t="e">
        <f>C74*VLOOKUP($A74,'Selector Sheet '!$B$13:$D$43,2,FALSE)</f>
        <v>#N/A</v>
      </c>
      <c r="E74" t="s">
        <v>1885</v>
      </c>
      <c r="F74" s="2" t="e">
        <f t="shared" si="3"/>
        <v>#N/A</v>
      </c>
      <c r="G74" s="2" t="e">
        <f>C74*VLOOKUP($A74,'Selector Sheet '!$B$13:$D$43,2,FALSE)</f>
        <v>#N/A</v>
      </c>
      <c r="I74" s="1" t="s">
        <v>37</v>
      </c>
      <c r="J74" t="s">
        <v>1034</v>
      </c>
      <c r="K74" s="2">
        <v>0.0192</v>
      </c>
      <c r="L74" s="6">
        <f>K74*VLOOKUP($I74,'Selector Sheet '!$B$13:$D$43,3,FALSE)</f>
        <v>0</v>
      </c>
    </row>
    <row r="75" spans="1:12">
      <c r="A75" s="5" t="s">
        <v>1862</v>
      </c>
      <c r="B75" t="s">
        <v>1905</v>
      </c>
      <c r="C75" s="4">
        <v>0.0123</v>
      </c>
      <c r="D75" s="2" t="e">
        <f>C75*VLOOKUP($A75,'Selector Sheet '!$B$13:$D$43,2,FALSE)</f>
        <v>#N/A</v>
      </c>
      <c r="E75" t="s">
        <v>1911</v>
      </c>
      <c r="F75" s="2" t="e">
        <f t="shared" si="3"/>
        <v>#N/A</v>
      </c>
      <c r="G75" s="2" t="e">
        <f>C75*VLOOKUP($A75,'Selector Sheet '!$B$13:$D$43,2,FALSE)</f>
        <v>#N/A</v>
      </c>
      <c r="I75" s="1" t="s">
        <v>18</v>
      </c>
      <c r="J75" s="7" t="s">
        <v>1824</v>
      </c>
      <c r="K75" s="8">
        <v>0.3942</v>
      </c>
      <c r="L75" s="6">
        <f>K75*VLOOKUP($I75,'Selector Sheet '!$B$13:$D$43,3,FALSE)</f>
        <v>0</v>
      </c>
    </row>
    <row r="76" spans="1:12">
      <c r="A76" s="5" t="s">
        <v>1862</v>
      </c>
      <c r="B76" t="s">
        <v>1912</v>
      </c>
      <c r="C76" s="4">
        <v>0.0122</v>
      </c>
      <c r="D76" s="2" t="e">
        <f>C76*VLOOKUP($A76,'Selector Sheet '!$B$13:$D$43,2,FALSE)</f>
        <v>#N/A</v>
      </c>
      <c r="E76" t="s">
        <v>1913</v>
      </c>
      <c r="F76" s="2" t="e">
        <f t="shared" si="3"/>
        <v>#N/A</v>
      </c>
      <c r="G76" s="2" t="e">
        <f>C76*VLOOKUP($A76,'Selector Sheet '!$B$13:$D$43,2,FALSE)</f>
        <v>#N/A</v>
      </c>
      <c r="I76" s="1" t="s">
        <v>18</v>
      </c>
      <c r="J76" s="7" t="s">
        <v>1826</v>
      </c>
      <c r="K76" s="8">
        <v>0.1313</v>
      </c>
      <c r="L76" s="6">
        <f>K76*VLOOKUP($I76,'Selector Sheet '!$B$13:$D$43,3,FALSE)</f>
        <v>0</v>
      </c>
    </row>
    <row r="77" spans="1:12">
      <c r="A77" s="9" t="s">
        <v>1870</v>
      </c>
      <c r="B77" t="s">
        <v>1823</v>
      </c>
      <c r="C77" s="52">
        <v>0.0439</v>
      </c>
      <c r="D77" s="2" t="e">
        <f>C77*VLOOKUP($A77,'Selector Sheet '!$B$13:$D$43,2,FALSE)</f>
        <v>#N/A</v>
      </c>
      <c r="E77" t="s">
        <v>1914</v>
      </c>
      <c r="F77" s="2" t="e">
        <f t="shared" si="3"/>
        <v>#N/A</v>
      </c>
      <c r="G77" s="2" t="e">
        <f>C77*VLOOKUP($A77,'Selector Sheet '!$B$13:$D$43,2,FALSE)</f>
        <v>#N/A</v>
      </c>
      <c r="I77" s="1" t="s">
        <v>18</v>
      </c>
      <c r="J77" s="7" t="s">
        <v>874</v>
      </c>
      <c r="K77" s="8">
        <v>0.0592</v>
      </c>
      <c r="L77" s="6">
        <f>K77*VLOOKUP($I77,'Selector Sheet '!$B$13:$D$43,3,FALSE)</f>
        <v>0</v>
      </c>
    </row>
    <row r="78" spans="1:12">
      <c r="A78" s="9" t="s">
        <v>1870</v>
      </c>
      <c r="B78" t="s">
        <v>1865</v>
      </c>
      <c r="C78" s="52">
        <v>0.0426</v>
      </c>
      <c r="D78" s="2" t="e">
        <f>C78*VLOOKUP($A78,'Selector Sheet '!$B$13:$D$43,2,FALSE)</f>
        <v>#N/A</v>
      </c>
      <c r="E78" t="s">
        <v>1915</v>
      </c>
      <c r="F78" s="2" t="e">
        <f t="shared" si="3"/>
        <v>#N/A</v>
      </c>
      <c r="G78" s="2" t="e">
        <f>C78*VLOOKUP($A78,'Selector Sheet '!$B$13:$D$43,2,FALSE)</f>
        <v>#N/A</v>
      </c>
      <c r="I78" s="1" t="s">
        <v>18</v>
      </c>
      <c r="J78" s="7" t="s">
        <v>1829</v>
      </c>
      <c r="K78" s="8">
        <v>0.0872</v>
      </c>
      <c r="L78" s="6">
        <f>K78*VLOOKUP($I78,'Selector Sheet '!$B$13:$D$43,3,FALSE)</f>
        <v>0</v>
      </c>
    </row>
    <row r="79" spans="1:12">
      <c r="A79" s="9" t="s">
        <v>1870</v>
      </c>
      <c r="B79" t="s">
        <v>1825</v>
      </c>
      <c r="C79" s="52">
        <v>0.041</v>
      </c>
      <c r="D79" s="2" t="e">
        <f>C79*VLOOKUP($A79,'Selector Sheet '!$B$13:$D$43,2,FALSE)</f>
        <v>#N/A</v>
      </c>
      <c r="E79" t="s">
        <v>1916</v>
      </c>
      <c r="F79" s="2" t="e">
        <f t="shared" si="3"/>
        <v>#N/A</v>
      </c>
      <c r="G79" s="2" t="e">
        <f>C79*VLOOKUP($A79,'Selector Sheet '!$B$13:$D$43,2,FALSE)</f>
        <v>#N/A</v>
      </c>
      <c r="I79" s="1" t="s">
        <v>18</v>
      </c>
      <c r="J79" s="7" t="s">
        <v>1016</v>
      </c>
      <c r="K79" s="8">
        <v>0.065</v>
      </c>
      <c r="L79" s="6">
        <f>K79*VLOOKUP($I79,'Selector Sheet '!$B$13:$D$43,3,FALSE)</f>
        <v>0</v>
      </c>
    </row>
    <row r="80" spans="1:12">
      <c r="A80" s="9" t="s">
        <v>1870</v>
      </c>
      <c r="B80" t="s">
        <v>1838</v>
      </c>
      <c r="C80" s="52">
        <v>0.0363</v>
      </c>
      <c r="D80" s="2" t="e">
        <f>C80*VLOOKUP($A80,'Selector Sheet '!$B$13:$D$43,2,FALSE)</f>
        <v>#N/A</v>
      </c>
      <c r="E80" t="s">
        <v>1917</v>
      </c>
      <c r="F80" s="2">
        <f t="shared" si="3"/>
        <v>0</v>
      </c>
      <c r="G80" s="2" t="e">
        <f>C80*VLOOKUP($A80,'Selector Sheet '!$B$13:$D$43,2,FALSE)</f>
        <v>#N/A</v>
      </c>
      <c r="I80" s="1" t="s">
        <v>18</v>
      </c>
      <c r="J80" s="7" t="s">
        <v>849</v>
      </c>
      <c r="K80" s="8">
        <v>0.0235</v>
      </c>
      <c r="L80" s="6">
        <f>K80*VLOOKUP($I80,'Selector Sheet '!$B$13:$D$43,3,FALSE)</f>
        <v>0</v>
      </c>
    </row>
    <row r="81" spans="1:12">
      <c r="A81" s="9" t="s">
        <v>1870</v>
      </c>
      <c r="B81" t="s">
        <v>1828</v>
      </c>
      <c r="C81" s="52">
        <v>0.0338</v>
      </c>
      <c r="D81" s="2" t="e">
        <f>C81*VLOOKUP($A81,'Selector Sheet '!$B$13:$D$43,2,FALSE)</f>
        <v>#N/A</v>
      </c>
      <c r="E81" t="s">
        <v>1918</v>
      </c>
      <c r="F81" s="2">
        <f t="shared" si="3"/>
        <v>0</v>
      </c>
      <c r="G81" s="2" t="e">
        <f>C81*VLOOKUP($A81,'Selector Sheet '!$B$13:$D$43,2,FALSE)</f>
        <v>#N/A</v>
      </c>
      <c r="I81" s="1" t="s">
        <v>18</v>
      </c>
      <c r="J81" s="7" t="s">
        <v>859</v>
      </c>
      <c r="K81" s="8">
        <v>0.0338</v>
      </c>
      <c r="L81" s="6">
        <f>K81*VLOOKUP($I81,'Selector Sheet '!$B$13:$D$43,3,FALSE)</f>
        <v>0</v>
      </c>
    </row>
    <row r="82" spans="1:12">
      <c r="A82" s="9" t="s">
        <v>1870</v>
      </c>
      <c r="B82" t="s">
        <v>1827</v>
      </c>
      <c r="C82" s="52">
        <v>0.0254</v>
      </c>
      <c r="D82" s="2" t="e">
        <f>C82*VLOOKUP($A82,'Selector Sheet '!$B$13:$D$43,2,FALSE)</f>
        <v>#N/A</v>
      </c>
      <c r="E82" t="s">
        <v>1919</v>
      </c>
      <c r="F82" s="2" t="e">
        <f t="shared" si="3"/>
        <v>#N/A</v>
      </c>
      <c r="G82" s="2" t="e">
        <f>C82*VLOOKUP($A82,'Selector Sheet '!$B$13:$D$43,2,FALSE)</f>
        <v>#N/A</v>
      </c>
      <c r="I82" s="1" t="s">
        <v>18</v>
      </c>
      <c r="J82" s="7" t="s">
        <v>1835</v>
      </c>
      <c r="K82" s="8">
        <v>0.0714</v>
      </c>
      <c r="L82" s="6">
        <f>K82*VLOOKUP($I82,'Selector Sheet '!$B$13:$D$43,3,FALSE)</f>
        <v>0</v>
      </c>
    </row>
    <row r="83" spans="1:12">
      <c r="A83" s="9" t="s">
        <v>1870</v>
      </c>
      <c r="B83" t="s">
        <v>1830</v>
      </c>
      <c r="C83" s="52">
        <v>0.025</v>
      </c>
      <c r="D83" s="2" t="e">
        <f>C83*VLOOKUP($A83,'Selector Sheet '!$B$13:$D$43,2,FALSE)</f>
        <v>#N/A</v>
      </c>
      <c r="E83" t="s">
        <v>1920</v>
      </c>
      <c r="F83" s="2" t="e">
        <f t="shared" si="3"/>
        <v>#N/A</v>
      </c>
      <c r="G83" s="2" t="e">
        <f>C83*VLOOKUP($A83,'Selector Sheet '!$B$13:$D$43,2,FALSE)</f>
        <v>#N/A</v>
      </c>
      <c r="I83" s="1" t="s">
        <v>1921</v>
      </c>
      <c r="J83" s="7" t="s">
        <v>1824</v>
      </c>
      <c r="K83" s="8">
        <v>0.3201</v>
      </c>
      <c r="L83" s="6" t="e">
        <f>K83*VLOOKUP($I83,'Selector Sheet '!$B$13:$D$43,3,FALSE)</f>
        <v>#N/A</v>
      </c>
    </row>
    <row r="84" spans="1:12">
      <c r="A84" s="9" t="s">
        <v>1870</v>
      </c>
      <c r="B84" t="s">
        <v>1831</v>
      </c>
      <c r="C84" s="52">
        <v>0.0224</v>
      </c>
      <c r="D84" s="2" t="e">
        <f>C84*VLOOKUP($A84,'Selector Sheet '!$B$13:$D$43,2,FALSE)</f>
        <v>#N/A</v>
      </c>
      <c r="E84" t="s">
        <v>1922</v>
      </c>
      <c r="F84" s="2" t="e">
        <f t="shared" si="3"/>
        <v>#N/A</v>
      </c>
      <c r="G84" s="2" t="e">
        <f>C84*VLOOKUP($A84,'Selector Sheet '!$B$13:$D$43,2,FALSE)</f>
        <v>#N/A</v>
      </c>
      <c r="I84" s="1" t="s">
        <v>1921</v>
      </c>
      <c r="J84" s="7" t="s">
        <v>1826</v>
      </c>
      <c r="K84" s="8">
        <v>0.1657</v>
      </c>
      <c r="L84" s="6" t="e">
        <f>K84*VLOOKUP($I84,'Selector Sheet '!$B$13:$D$43,3,FALSE)</f>
        <v>#N/A</v>
      </c>
    </row>
    <row r="85" spans="1:12">
      <c r="A85" s="9" t="s">
        <v>1870</v>
      </c>
      <c r="B85" t="s">
        <v>1833</v>
      </c>
      <c r="C85" s="52">
        <v>0.022</v>
      </c>
      <c r="D85" s="2" t="e">
        <f>C85*VLOOKUP($A85,'Selector Sheet '!$B$13:$D$43,2,FALSE)</f>
        <v>#N/A</v>
      </c>
      <c r="E85" t="s">
        <v>1923</v>
      </c>
      <c r="F85" s="2" t="e">
        <f t="shared" si="3"/>
        <v>#N/A</v>
      </c>
      <c r="G85" s="2" t="e">
        <f>C85*VLOOKUP($A85,'Selector Sheet '!$B$13:$D$43,2,FALSE)</f>
        <v>#N/A</v>
      </c>
      <c r="I85" s="1" t="s">
        <v>1921</v>
      </c>
      <c r="J85" s="7" t="s">
        <v>874</v>
      </c>
      <c r="K85" s="8">
        <v>0.1065</v>
      </c>
      <c r="L85" s="6" t="e">
        <f>K85*VLOOKUP($I85,'Selector Sheet '!$B$13:$D$43,3,FALSE)</f>
        <v>#N/A</v>
      </c>
    </row>
    <row r="86" spans="1:12">
      <c r="A86" s="9" t="s">
        <v>1870</v>
      </c>
      <c r="B86" t="s">
        <v>1836</v>
      </c>
      <c r="C86" s="52">
        <v>0.0186</v>
      </c>
      <c r="D86" s="2" t="e">
        <f>C86*VLOOKUP($A86,'Selector Sheet '!$B$13:$D$43,2,FALSE)</f>
        <v>#N/A</v>
      </c>
      <c r="E86" t="s">
        <v>1924</v>
      </c>
      <c r="F86" s="2" t="e">
        <f t="shared" si="3"/>
        <v>#N/A</v>
      </c>
      <c r="G86" s="2" t="e">
        <f>C86*VLOOKUP($A86,'Selector Sheet '!$B$13:$D$43,2,FALSE)</f>
        <v>#N/A</v>
      </c>
      <c r="I86" s="1" t="s">
        <v>1921</v>
      </c>
      <c r="J86" s="7" t="s">
        <v>1829</v>
      </c>
      <c r="K86" s="8">
        <v>0.0815</v>
      </c>
      <c r="L86" s="6" t="e">
        <f>K86*VLOOKUP($I86,'Selector Sheet '!$B$13:$D$43,3,FALSE)</f>
        <v>#N/A</v>
      </c>
    </row>
    <row r="87" spans="1:12">
      <c r="A87" s="9" t="s">
        <v>1870</v>
      </c>
      <c r="B87" t="s">
        <v>1897</v>
      </c>
      <c r="C87" s="52">
        <v>0.0161</v>
      </c>
      <c r="D87" s="2" t="e">
        <f>C87*VLOOKUP($A87,'Selector Sheet '!$B$13:$D$43,2,FALSE)</f>
        <v>#N/A</v>
      </c>
      <c r="E87" t="s">
        <v>1925</v>
      </c>
      <c r="F87" s="2" t="e">
        <f t="shared" si="3"/>
        <v>#N/A</v>
      </c>
      <c r="G87" s="2" t="e">
        <f>C87*VLOOKUP($A87,'Selector Sheet '!$B$13:$D$43,2,FALSE)</f>
        <v>#N/A</v>
      </c>
      <c r="I87" s="1" t="s">
        <v>1921</v>
      </c>
      <c r="J87" s="7" t="s">
        <v>1016</v>
      </c>
      <c r="K87" s="8">
        <v>0.0791</v>
      </c>
      <c r="L87" s="6" t="e">
        <f>K87*VLOOKUP($I87,'Selector Sheet '!$B$13:$D$43,3,FALSE)</f>
        <v>#N/A</v>
      </c>
    </row>
    <row r="88" spans="1:12">
      <c r="A88" s="9" t="s">
        <v>1870</v>
      </c>
      <c r="B88" t="s">
        <v>1841</v>
      </c>
      <c r="C88" s="52">
        <v>0.0157</v>
      </c>
      <c r="D88" s="2" t="e">
        <f>C88*VLOOKUP($A88,'Selector Sheet '!$B$13:$D$43,2,FALSE)</f>
        <v>#N/A</v>
      </c>
      <c r="E88" t="s">
        <v>1926</v>
      </c>
      <c r="F88" s="2" t="e">
        <f t="shared" si="3"/>
        <v>#N/A</v>
      </c>
      <c r="G88" s="2" t="e">
        <f>C88*VLOOKUP($A88,'Selector Sheet '!$B$13:$D$43,2,FALSE)</f>
        <v>#N/A</v>
      </c>
      <c r="I88" s="1" t="s">
        <v>1921</v>
      </c>
      <c r="J88" s="7" t="s">
        <v>849</v>
      </c>
      <c r="K88" s="8">
        <v>0.0786</v>
      </c>
      <c r="L88" s="6" t="e">
        <f>K88*VLOOKUP($I88,'Selector Sheet '!$B$13:$D$43,3,FALSE)</f>
        <v>#N/A</v>
      </c>
    </row>
    <row r="89" spans="1:12">
      <c r="A89" s="9" t="s">
        <v>1870</v>
      </c>
      <c r="B89" t="s">
        <v>1852</v>
      </c>
      <c r="C89" s="52">
        <v>0.0156</v>
      </c>
      <c r="D89" s="2" t="e">
        <f>C89*VLOOKUP($A89,'Selector Sheet '!$B$13:$D$43,2,FALSE)</f>
        <v>#N/A</v>
      </c>
      <c r="E89" t="s">
        <v>1927</v>
      </c>
      <c r="F89" s="2" t="e">
        <f t="shared" si="3"/>
        <v>#N/A</v>
      </c>
      <c r="G89" s="2" t="e">
        <f>C89*VLOOKUP($A89,'Selector Sheet '!$B$13:$D$43,2,FALSE)</f>
        <v>#N/A</v>
      </c>
      <c r="I89" s="1" t="s">
        <v>1921</v>
      </c>
      <c r="J89" s="7" t="s">
        <v>1835</v>
      </c>
      <c r="K89" s="8">
        <v>0.0764</v>
      </c>
      <c r="L89" s="6" t="e">
        <f>K89*VLOOKUP($I89,'Selector Sheet '!$B$13:$D$43,3,FALSE)</f>
        <v>#N/A</v>
      </c>
    </row>
    <row r="90" spans="1:12">
      <c r="A90" s="9" t="s">
        <v>1870</v>
      </c>
      <c r="B90" t="s">
        <v>1840</v>
      </c>
      <c r="C90" s="52">
        <v>0.0135</v>
      </c>
      <c r="D90" s="2" t="e">
        <f>C90*VLOOKUP($A90,'Selector Sheet '!$B$13:$D$43,2,FALSE)</f>
        <v>#N/A</v>
      </c>
      <c r="E90" t="s">
        <v>1928</v>
      </c>
      <c r="F90" s="2">
        <f t="shared" si="3"/>
        <v>0</v>
      </c>
      <c r="G90" s="2" t="e">
        <f>C90*VLOOKUP($A90,'Selector Sheet '!$B$13:$D$43,2,FALSE)</f>
        <v>#N/A</v>
      </c>
      <c r="I90" s="1" t="s">
        <v>1921</v>
      </c>
      <c r="J90" s="7" t="s">
        <v>859</v>
      </c>
      <c r="K90" s="8">
        <v>0.0455</v>
      </c>
      <c r="L90" s="6" t="e">
        <f>K90*VLOOKUP($I90,'Selector Sheet '!$B$13:$D$43,3,FALSE)</f>
        <v>#N/A</v>
      </c>
    </row>
    <row r="91" spans="1:12">
      <c r="A91" s="9" t="s">
        <v>1870</v>
      </c>
      <c r="B91" t="s">
        <v>1843</v>
      </c>
      <c r="C91" s="52">
        <v>0.0125</v>
      </c>
      <c r="D91" s="2" t="e">
        <f>C91*VLOOKUP($A91,'Selector Sheet '!$B$13:$D$43,2,FALSE)</f>
        <v>#N/A</v>
      </c>
      <c r="E91" t="s">
        <v>1929</v>
      </c>
      <c r="F91" s="2">
        <f t="shared" si="3"/>
        <v>0</v>
      </c>
      <c r="G91" s="2" t="e">
        <f>C91*VLOOKUP($A91,'Selector Sheet '!$B$13:$D$43,2,FALSE)</f>
        <v>#N/A</v>
      </c>
      <c r="I91" s="1" t="s">
        <v>1921</v>
      </c>
      <c r="J91" s="7" t="s">
        <v>1034</v>
      </c>
      <c r="K91" s="8">
        <v>0.0046</v>
      </c>
      <c r="L91" s="6" t="e">
        <f>K91*VLOOKUP($I91,'Selector Sheet '!$B$13:$D$43,3,FALSE)</f>
        <v>#N/A</v>
      </c>
    </row>
    <row r="92" spans="1:12">
      <c r="A92" s="9" t="s">
        <v>1870</v>
      </c>
      <c r="B92" t="s">
        <v>1908</v>
      </c>
      <c r="C92" s="52">
        <v>0.0125</v>
      </c>
      <c r="D92" s="2" t="e">
        <f>C92*VLOOKUP($A92,'Selector Sheet '!$B$13:$D$43,2,FALSE)</f>
        <v>#N/A</v>
      </c>
      <c r="E92" t="s">
        <v>1930</v>
      </c>
      <c r="F92" s="2">
        <f t="shared" si="3"/>
        <v>0</v>
      </c>
      <c r="G92" s="2" t="e">
        <f>C92*VLOOKUP($A92,'Selector Sheet '!$B$13:$D$43,2,FALSE)</f>
        <v>#N/A</v>
      </c>
      <c r="I92" s="1" t="s">
        <v>1931</v>
      </c>
      <c r="J92" s="7" t="s">
        <v>1824</v>
      </c>
      <c r="K92" s="2">
        <v>0.3034</v>
      </c>
      <c r="L92" s="6" t="e">
        <f>K92*VLOOKUP($I92,'Selector Sheet '!$B$13:$D$43,3,FALSE)</f>
        <v>#N/A</v>
      </c>
    </row>
    <row r="93" spans="1:12">
      <c r="A93" s="9" t="s">
        <v>1870</v>
      </c>
      <c r="B93" t="s">
        <v>1846</v>
      </c>
      <c r="C93" s="52">
        <v>0.0125</v>
      </c>
      <c r="D93" s="2" t="e">
        <f>C93*VLOOKUP($A93,'Selector Sheet '!$B$13:$D$43,2,FALSE)</f>
        <v>#N/A</v>
      </c>
      <c r="E93" t="s">
        <v>1081</v>
      </c>
      <c r="F93" s="2">
        <f t="shared" si="3"/>
        <v>0</v>
      </c>
      <c r="G93" s="2" t="e">
        <f>C93*VLOOKUP($A93,'Selector Sheet '!$B$13:$D$43,2,FALSE)</f>
        <v>#N/A</v>
      </c>
      <c r="I93" s="1" t="s">
        <v>1931</v>
      </c>
      <c r="J93" s="7" t="s">
        <v>1826</v>
      </c>
      <c r="K93" s="2">
        <v>0.1319</v>
      </c>
      <c r="L93" s="6" t="e">
        <f>K93*VLOOKUP($I93,'Selector Sheet '!$B$13:$D$43,3,FALSE)</f>
        <v>#N/A</v>
      </c>
    </row>
    <row r="94" spans="1:12">
      <c r="A94" s="9" t="s">
        <v>1870</v>
      </c>
      <c r="B94" t="s">
        <v>1834</v>
      </c>
      <c r="C94" s="52">
        <v>0.0123</v>
      </c>
      <c r="D94" s="2" t="e">
        <f>C94*VLOOKUP($A94,'Selector Sheet '!$B$13:$D$43,2,FALSE)</f>
        <v>#N/A</v>
      </c>
      <c r="E94" t="s">
        <v>1932</v>
      </c>
      <c r="F94" s="2">
        <f t="shared" si="3"/>
        <v>0</v>
      </c>
      <c r="G94" s="2" t="e">
        <f>C94*VLOOKUP($A94,'Selector Sheet '!$B$13:$D$43,2,FALSE)</f>
        <v>#N/A</v>
      </c>
      <c r="I94" s="1" t="s">
        <v>1931</v>
      </c>
      <c r="J94" s="7" t="s">
        <v>1829</v>
      </c>
      <c r="K94" s="2">
        <v>0.1107</v>
      </c>
      <c r="L94" s="6" t="e">
        <f>K94*VLOOKUP($I94,'Selector Sheet '!$B$13:$D$43,3,FALSE)</f>
        <v>#N/A</v>
      </c>
    </row>
    <row r="95" spans="1:12">
      <c r="A95" s="9" t="s">
        <v>1870</v>
      </c>
      <c r="B95" t="s">
        <v>1845</v>
      </c>
      <c r="C95" s="52">
        <v>0.0122</v>
      </c>
      <c r="D95" s="2" t="e">
        <f>C95*VLOOKUP($A95,'Selector Sheet '!$B$13:$D$43,2,FALSE)</f>
        <v>#N/A</v>
      </c>
      <c r="E95" t="s">
        <v>1854</v>
      </c>
      <c r="F95" s="2" t="e">
        <f t="shared" si="3"/>
        <v>#N/A</v>
      </c>
      <c r="G95" s="2" t="e">
        <f>C95*VLOOKUP($A95,'Selector Sheet '!$B$13:$D$43,2,FALSE)</f>
        <v>#N/A</v>
      </c>
      <c r="I95" s="1" t="s">
        <v>1931</v>
      </c>
      <c r="J95" s="7" t="s">
        <v>874</v>
      </c>
      <c r="K95" s="2">
        <v>0.1017</v>
      </c>
      <c r="L95" s="6" t="e">
        <f>K95*VLOOKUP($I95,'Selector Sheet '!$B$13:$D$43,3,FALSE)</f>
        <v>#N/A</v>
      </c>
    </row>
    <row r="96" spans="1:12">
      <c r="A96" s="9" t="s">
        <v>1870</v>
      </c>
      <c r="B96" t="s">
        <v>1910</v>
      </c>
      <c r="C96" s="52">
        <v>0.0101</v>
      </c>
      <c r="D96" s="2" t="e">
        <f>C96*VLOOKUP($A96,'Selector Sheet '!$B$13:$D$43,2,FALSE)</f>
        <v>#N/A</v>
      </c>
      <c r="E96" t="s">
        <v>1933</v>
      </c>
      <c r="F96" s="2">
        <f t="shared" si="3"/>
        <v>0</v>
      </c>
      <c r="G96" s="2" t="e">
        <f>C96*VLOOKUP($A96,'Selector Sheet '!$B$13:$D$43,2,FALSE)</f>
        <v>#N/A</v>
      </c>
      <c r="I96" s="1" t="s">
        <v>1931</v>
      </c>
      <c r="J96" s="7" t="s">
        <v>849</v>
      </c>
      <c r="K96" s="2">
        <v>0.0979</v>
      </c>
      <c r="L96" s="6" t="e">
        <f>K96*VLOOKUP($I96,'Selector Sheet '!$B$13:$D$43,3,FALSE)</f>
        <v>#N/A</v>
      </c>
    </row>
    <row r="97" spans="1:12">
      <c r="A97" s="9" t="s">
        <v>1870</v>
      </c>
      <c r="B97" t="s">
        <v>1885</v>
      </c>
      <c r="C97" s="52">
        <v>0.01</v>
      </c>
      <c r="D97" s="2" t="e">
        <f>C97*VLOOKUP($A97,'Selector Sheet '!$B$13:$D$43,2,FALSE)</f>
        <v>#N/A</v>
      </c>
      <c r="E97" t="s">
        <v>1934</v>
      </c>
      <c r="F97" s="2">
        <f t="shared" si="3"/>
        <v>0</v>
      </c>
      <c r="G97" s="2" t="e">
        <f>C97*VLOOKUP($A97,'Selector Sheet '!$B$13:$D$43,2,FALSE)</f>
        <v>#N/A</v>
      </c>
      <c r="I97" s="1" t="s">
        <v>1931</v>
      </c>
      <c r="J97" s="7" t="s">
        <v>859</v>
      </c>
      <c r="K97" s="2">
        <v>0.0901</v>
      </c>
      <c r="L97" s="6" t="e">
        <f>K97*VLOOKUP($I97,'Selector Sheet '!$B$13:$D$43,3,FALSE)</f>
        <v>#N/A</v>
      </c>
    </row>
    <row r="98" spans="1:12">
      <c r="A98" s="9" t="s">
        <v>1870</v>
      </c>
      <c r="B98" t="s">
        <v>1911</v>
      </c>
      <c r="C98" s="52">
        <v>0.0095</v>
      </c>
      <c r="D98" s="2" t="e">
        <f>C98*VLOOKUP($A98,'Selector Sheet '!$B$13:$D$43,2,FALSE)</f>
        <v>#N/A</v>
      </c>
      <c r="E98" t="s">
        <v>1935</v>
      </c>
      <c r="F98" s="2">
        <f t="shared" si="3"/>
        <v>0</v>
      </c>
      <c r="G98" s="2" t="e">
        <f>C98*VLOOKUP($A98,'Selector Sheet '!$B$13:$D$43,2,FALSE)</f>
        <v>#N/A</v>
      </c>
      <c r="I98" s="1" t="s">
        <v>1931</v>
      </c>
      <c r="J98" s="7" t="s">
        <v>1016</v>
      </c>
      <c r="K98" s="2">
        <v>0.0525</v>
      </c>
      <c r="L98" s="6" t="e">
        <f>K98*VLOOKUP($I98,'Selector Sheet '!$B$13:$D$43,3,FALSE)</f>
        <v>#N/A</v>
      </c>
    </row>
    <row r="99" spans="1:12">
      <c r="A99" s="9" t="s">
        <v>1870</v>
      </c>
      <c r="B99" t="s">
        <v>1844</v>
      </c>
      <c r="C99" s="52">
        <v>0.0093</v>
      </c>
      <c r="D99" s="2" t="e">
        <f>C99*VLOOKUP($A99,'Selector Sheet '!$B$13:$D$43,2,FALSE)</f>
        <v>#N/A</v>
      </c>
      <c r="E99" t="s">
        <v>1936</v>
      </c>
      <c r="F99" s="2">
        <f t="shared" si="3"/>
        <v>0</v>
      </c>
      <c r="G99" s="2" t="e">
        <f>C99*VLOOKUP($A99,'Selector Sheet '!$B$13:$D$43,2,FALSE)</f>
        <v>#N/A</v>
      </c>
      <c r="I99" s="1" t="s">
        <v>1931</v>
      </c>
      <c r="J99" s="7" t="s">
        <v>1835</v>
      </c>
      <c r="K99" s="2">
        <v>0.0507</v>
      </c>
      <c r="L99" s="6" t="e">
        <f>K99*VLOOKUP($I99,'Selector Sheet '!$B$13:$D$43,3,FALSE)</f>
        <v>#N/A</v>
      </c>
    </row>
    <row r="100" spans="1:12">
      <c r="A100" s="9" t="s">
        <v>1870</v>
      </c>
      <c r="B100" t="s">
        <v>1926</v>
      </c>
      <c r="C100" s="52">
        <v>0.0085</v>
      </c>
      <c r="D100" s="2" t="e">
        <f>C100*VLOOKUP($A100,'Selector Sheet '!$B$13:$D$43,2,FALSE)</f>
        <v>#N/A</v>
      </c>
      <c r="E100" t="s">
        <v>1937</v>
      </c>
      <c r="F100" s="2">
        <f t="shared" si="3"/>
        <v>0</v>
      </c>
      <c r="G100" s="2" t="e">
        <f>C100*VLOOKUP($A100,'Selector Sheet '!$B$13:$D$43,2,FALSE)</f>
        <v>#N/A</v>
      </c>
      <c r="I100" s="1" t="s">
        <v>1931</v>
      </c>
      <c r="J100" s="7" t="s">
        <v>1034</v>
      </c>
      <c r="K100" s="2">
        <v>0.011</v>
      </c>
      <c r="L100" s="6" t="e">
        <f>K100*VLOOKUP($I100,'Selector Sheet '!$B$13:$D$43,3,FALSE)</f>
        <v>#N/A</v>
      </c>
    </row>
    <row r="101" spans="1:12">
      <c r="A101" s="9" t="s">
        <v>1870</v>
      </c>
      <c r="B101" t="s">
        <v>1842</v>
      </c>
      <c r="C101" s="52">
        <v>0.008</v>
      </c>
      <c r="D101" s="2" t="e">
        <f>C101*VLOOKUP($A101,'Selector Sheet '!$B$13:$D$43,2,FALSE)</f>
        <v>#N/A</v>
      </c>
      <c r="E101" t="s">
        <v>1938</v>
      </c>
      <c r="F101" s="2">
        <f t="shared" si="3"/>
        <v>0</v>
      </c>
      <c r="G101" s="2" t="e">
        <f>C101*VLOOKUP($A101,'Selector Sheet '!$B$13:$D$43,2,FALSE)</f>
        <v>#N/A</v>
      </c>
      <c r="I101" s="1" t="s">
        <v>1931</v>
      </c>
      <c r="J101" s="7" t="s">
        <v>1847</v>
      </c>
      <c r="K101" s="2">
        <v>0.0064</v>
      </c>
      <c r="L101" s="6" t="e">
        <f>K101*VLOOKUP($I101,'Selector Sheet '!$B$13:$D$43,3,FALSE)</f>
        <v>#N/A</v>
      </c>
    </row>
    <row r="102" spans="1:12">
      <c r="A102" s="9" t="s">
        <v>1881</v>
      </c>
      <c r="B102" t="s">
        <v>1823</v>
      </c>
      <c r="C102" s="4">
        <v>0.0564</v>
      </c>
      <c r="D102" s="2" t="e">
        <f>C102*VLOOKUP($A102,'Selector Sheet '!$B$13:$D$43,2,FALSE)</f>
        <v>#N/A</v>
      </c>
      <c r="E102" t="s">
        <v>1939</v>
      </c>
      <c r="F102" s="2">
        <f t="shared" si="3"/>
        <v>0</v>
      </c>
      <c r="G102" s="2" t="e">
        <f>C102*VLOOKUP($A102,'Selector Sheet '!$B$13:$D$43,2,FALSE)</f>
        <v>#N/A</v>
      </c>
      <c r="I102" s="9" t="s">
        <v>20</v>
      </c>
      <c r="J102" s="7" t="s">
        <v>1824</v>
      </c>
      <c r="K102" s="8">
        <v>0.3641</v>
      </c>
      <c r="L102" s="6">
        <f>K102*VLOOKUP($I102,'Selector Sheet '!$B$13:$D$43,3,FALSE)</f>
        <v>0.07282</v>
      </c>
    </row>
    <row r="103" spans="1:12">
      <c r="A103" s="9" t="s">
        <v>1881</v>
      </c>
      <c r="B103" t="s">
        <v>1825</v>
      </c>
      <c r="C103" s="4">
        <v>0.0438</v>
      </c>
      <c r="D103" s="2" t="e">
        <f>C103*VLOOKUP($A103,'Selector Sheet '!$B$13:$D$43,2,FALSE)</f>
        <v>#N/A</v>
      </c>
      <c r="E103" t="s">
        <v>1940</v>
      </c>
      <c r="F103" s="2">
        <f t="shared" si="3"/>
        <v>0</v>
      </c>
      <c r="G103" s="2" t="e">
        <f>C103*VLOOKUP($A103,'Selector Sheet '!$B$13:$D$43,2,FALSE)</f>
        <v>#N/A</v>
      </c>
      <c r="I103" s="9" t="s">
        <v>20</v>
      </c>
      <c r="J103" s="7" t="s">
        <v>1829</v>
      </c>
      <c r="K103" s="8">
        <v>0.1234</v>
      </c>
      <c r="L103" s="6">
        <f>K103*VLOOKUP($I103,'Selector Sheet '!$B$13:$D$43,3,FALSE)</f>
        <v>0.02468</v>
      </c>
    </row>
    <row r="104" spans="1:12">
      <c r="A104" s="9" t="s">
        <v>1881</v>
      </c>
      <c r="B104" t="s">
        <v>1827</v>
      </c>
      <c r="C104" s="4">
        <v>0.0281</v>
      </c>
      <c r="D104" s="2" t="e">
        <f>C104*VLOOKUP($A104,'Selector Sheet '!$B$13:$D$43,2,FALSE)</f>
        <v>#N/A</v>
      </c>
      <c r="E104" t="s">
        <v>1941</v>
      </c>
      <c r="F104" s="2">
        <f t="shared" si="3"/>
        <v>0</v>
      </c>
      <c r="G104" s="2" t="e">
        <f>C104*VLOOKUP($A104,'Selector Sheet '!$B$13:$D$43,2,FALSE)</f>
        <v>#N/A</v>
      </c>
      <c r="I104" s="9" t="s">
        <v>20</v>
      </c>
      <c r="J104" s="7" t="s">
        <v>874</v>
      </c>
      <c r="K104" s="8">
        <v>0.1123</v>
      </c>
      <c r="L104" s="6">
        <f>K104*VLOOKUP($I104,'Selector Sheet '!$B$13:$D$43,3,FALSE)</f>
        <v>0.02246</v>
      </c>
    </row>
    <row r="105" spans="1:12">
      <c r="A105" s="9" t="s">
        <v>1881</v>
      </c>
      <c r="B105" t="s">
        <v>1828</v>
      </c>
      <c r="C105" s="4">
        <v>0.026</v>
      </c>
      <c r="D105" s="2" t="e">
        <f>C105*VLOOKUP($A105,'Selector Sheet '!$B$13:$D$43,2,FALSE)</f>
        <v>#N/A</v>
      </c>
      <c r="E105" t="s">
        <v>1942</v>
      </c>
      <c r="F105" s="2">
        <f t="shared" si="3"/>
        <v>0</v>
      </c>
      <c r="G105" s="2" t="e">
        <f>C105*VLOOKUP($A105,'Selector Sheet '!$B$13:$D$43,2,FALSE)</f>
        <v>#N/A</v>
      </c>
      <c r="I105" s="9" t="s">
        <v>20</v>
      </c>
      <c r="J105" s="7" t="s">
        <v>1826</v>
      </c>
      <c r="K105" s="8">
        <v>0.1095</v>
      </c>
      <c r="L105" s="6">
        <f>K105*VLOOKUP($I105,'Selector Sheet '!$B$13:$D$43,3,FALSE)</f>
        <v>0.0219</v>
      </c>
    </row>
    <row r="106" spans="1:12">
      <c r="A106" s="9" t="s">
        <v>1881</v>
      </c>
      <c r="B106" t="s">
        <v>1845</v>
      </c>
      <c r="C106" s="4">
        <v>0.0241</v>
      </c>
      <c r="D106" s="2" t="e">
        <f>C106*VLOOKUP($A106,'Selector Sheet '!$B$13:$D$43,2,FALSE)</f>
        <v>#N/A</v>
      </c>
      <c r="E106" t="s">
        <v>1943</v>
      </c>
      <c r="F106" s="2">
        <f t="shared" si="3"/>
        <v>0</v>
      </c>
      <c r="G106" s="2" t="e">
        <f>C106*VLOOKUP($A106,'Selector Sheet '!$B$13:$D$43,2,FALSE)</f>
        <v>#N/A</v>
      </c>
      <c r="I106" s="9" t="s">
        <v>20</v>
      </c>
      <c r="J106" s="7" t="s">
        <v>849</v>
      </c>
      <c r="K106" s="8">
        <v>0.0848</v>
      </c>
      <c r="L106" s="6">
        <f>K106*VLOOKUP($I106,'Selector Sheet '!$B$13:$D$43,3,FALSE)</f>
        <v>0.01696</v>
      </c>
    </row>
    <row r="107" spans="1:12">
      <c r="A107" s="9" t="s">
        <v>1881</v>
      </c>
      <c r="B107" t="s">
        <v>1831</v>
      </c>
      <c r="C107" s="4">
        <v>0.0228</v>
      </c>
      <c r="D107" s="2" t="e">
        <f>C107*VLOOKUP($A107,'Selector Sheet '!$B$13:$D$43,2,FALSE)</f>
        <v>#N/A</v>
      </c>
      <c r="E107" t="s">
        <v>1944</v>
      </c>
      <c r="F107" s="2">
        <f t="shared" si="3"/>
        <v>0</v>
      </c>
      <c r="G107" s="2" t="e">
        <f>C107*VLOOKUP($A107,'Selector Sheet '!$B$13:$D$43,2,FALSE)</f>
        <v>#N/A</v>
      </c>
      <c r="I107" s="9" t="s">
        <v>20</v>
      </c>
      <c r="J107" s="7" t="s">
        <v>1016</v>
      </c>
      <c r="K107" s="8">
        <v>0.0729</v>
      </c>
      <c r="L107" s="6">
        <f>K107*VLOOKUP($I107,'Selector Sheet '!$B$13:$D$43,3,FALSE)</f>
        <v>0.01458</v>
      </c>
    </row>
    <row r="108" spans="1:12">
      <c r="A108" s="9" t="s">
        <v>1881</v>
      </c>
      <c r="B108" t="s">
        <v>1840</v>
      </c>
      <c r="C108" s="4">
        <v>0.0208</v>
      </c>
      <c r="D108" s="2" t="e">
        <f>C108*VLOOKUP($A108,'Selector Sheet '!$B$13:$D$43,2,FALSE)</f>
        <v>#N/A</v>
      </c>
      <c r="E108" t="s">
        <v>1945</v>
      </c>
      <c r="F108" s="2">
        <f t="shared" si="3"/>
        <v>0</v>
      </c>
      <c r="G108" s="2" t="e">
        <f>C108*VLOOKUP($A108,'Selector Sheet '!$B$13:$D$43,2,FALSE)</f>
        <v>#N/A</v>
      </c>
      <c r="I108" s="9" t="s">
        <v>20</v>
      </c>
      <c r="J108" s="7" t="s">
        <v>859</v>
      </c>
      <c r="K108" s="8">
        <v>0.0665</v>
      </c>
      <c r="L108" s="6">
        <f>K108*VLOOKUP($I108,'Selector Sheet '!$B$13:$D$43,3,FALSE)</f>
        <v>0.0133</v>
      </c>
    </row>
    <row r="109" spans="1:12">
      <c r="A109" s="9" t="s">
        <v>1881</v>
      </c>
      <c r="B109" t="s">
        <v>1838</v>
      </c>
      <c r="C109" s="4">
        <v>0.0184</v>
      </c>
      <c r="D109" s="2" t="e">
        <f>C109*VLOOKUP($A109,'Selector Sheet '!$B$13:$D$43,2,FALSE)</f>
        <v>#N/A</v>
      </c>
      <c r="E109" t="s">
        <v>1946</v>
      </c>
      <c r="F109" s="2">
        <f t="shared" si="3"/>
        <v>0</v>
      </c>
      <c r="G109" s="2" t="e">
        <f>C109*VLOOKUP($A109,'Selector Sheet '!$B$13:$D$43,2,FALSE)</f>
        <v>#N/A</v>
      </c>
      <c r="I109" s="9" t="s">
        <v>20</v>
      </c>
      <c r="J109" s="7" t="s">
        <v>1835</v>
      </c>
      <c r="K109" s="8">
        <v>0.0375</v>
      </c>
      <c r="L109" s="6">
        <f>K109*VLOOKUP($I109,'Selector Sheet '!$B$13:$D$43,3,FALSE)</f>
        <v>0.0075</v>
      </c>
    </row>
    <row r="110" spans="1:12">
      <c r="A110" s="9" t="s">
        <v>1881</v>
      </c>
      <c r="B110" t="s">
        <v>1841</v>
      </c>
      <c r="C110" s="4">
        <v>0.0184</v>
      </c>
      <c r="D110" s="2" t="e">
        <f>C110*VLOOKUP($A110,'Selector Sheet '!$B$13:$D$43,2,FALSE)</f>
        <v>#N/A</v>
      </c>
      <c r="E110" t="s">
        <v>1947</v>
      </c>
      <c r="F110" s="2">
        <f t="shared" si="3"/>
        <v>0</v>
      </c>
      <c r="G110" s="2" t="e">
        <f>C110*VLOOKUP($A110,'Selector Sheet '!$B$13:$D$43,2,FALSE)</f>
        <v>#N/A</v>
      </c>
      <c r="I110" s="9" t="s">
        <v>20</v>
      </c>
      <c r="J110" s="7" t="s">
        <v>1847</v>
      </c>
      <c r="K110" s="8">
        <v>0.0136</v>
      </c>
      <c r="L110" s="6">
        <f>K110*VLOOKUP($I110,'Selector Sheet '!$B$13:$D$43,3,FALSE)</f>
        <v>0.00272</v>
      </c>
    </row>
    <row r="111" spans="1:12">
      <c r="A111" s="9" t="s">
        <v>1881</v>
      </c>
      <c r="B111" t="s">
        <v>1834</v>
      </c>
      <c r="C111" s="4">
        <v>0.0183</v>
      </c>
      <c r="D111" s="2" t="e">
        <f>C111*VLOOKUP($A111,'Selector Sheet '!$B$13:$D$43,2,FALSE)</f>
        <v>#N/A</v>
      </c>
      <c r="E111" t="s">
        <v>1948</v>
      </c>
      <c r="F111" s="2">
        <f t="shared" si="3"/>
        <v>0</v>
      </c>
      <c r="G111" s="2" t="e">
        <f>C111*VLOOKUP($A111,'Selector Sheet '!$B$13:$D$43,2,FALSE)</f>
        <v>#N/A</v>
      </c>
      <c r="I111" s="1" t="s">
        <v>1949</v>
      </c>
      <c r="J111" t="s">
        <v>1824</v>
      </c>
      <c r="K111" s="2">
        <v>0.2995</v>
      </c>
      <c r="L111" s="6" t="e">
        <f>K111*VLOOKUP($I111,'Selector Sheet '!$B$13:$D$43,3,FALSE)</f>
        <v>#N/A</v>
      </c>
    </row>
    <row r="112" spans="1:12">
      <c r="A112" s="9" t="s">
        <v>1881</v>
      </c>
      <c r="B112" t="s">
        <v>1908</v>
      </c>
      <c r="C112" s="4">
        <v>0.0172</v>
      </c>
      <c r="D112" s="2" t="e">
        <f>C112*VLOOKUP($A112,'Selector Sheet '!$B$13:$D$43,2,FALSE)</f>
        <v>#N/A</v>
      </c>
      <c r="E112" t="s">
        <v>1950</v>
      </c>
      <c r="F112" s="2">
        <f t="shared" si="3"/>
        <v>0</v>
      </c>
      <c r="G112" s="2" t="e">
        <f>C112*VLOOKUP($A112,'Selector Sheet '!$B$13:$D$43,2,FALSE)</f>
        <v>#N/A</v>
      </c>
      <c r="I112" s="1" t="s">
        <v>1949</v>
      </c>
      <c r="J112" t="s">
        <v>1826</v>
      </c>
      <c r="K112" s="2">
        <v>0.1514</v>
      </c>
      <c r="L112" s="6" t="e">
        <f>K112*VLOOKUP($I112,'Selector Sheet '!$B$13:$D$43,3,FALSE)</f>
        <v>#N/A</v>
      </c>
    </row>
    <row r="113" spans="1:12">
      <c r="A113" s="9" t="s">
        <v>1881</v>
      </c>
      <c r="B113" t="s">
        <v>1839</v>
      </c>
      <c r="C113" s="4">
        <v>0.0171</v>
      </c>
      <c r="D113" s="2" t="e">
        <f>C113*VLOOKUP($A113,'Selector Sheet '!$B$13:$D$43,2,FALSE)</f>
        <v>#N/A</v>
      </c>
      <c r="E113" t="s">
        <v>1951</v>
      </c>
      <c r="F113" s="2">
        <f t="shared" si="3"/>
        <v>0</v>
      </c>
      <c r="G113" s="2" t="e">
        <f>C113*VLOOKUP($A113,'Selector Sheet '!$B$13:$D$43,2,FALSE)</f>
        <v>#N/A</v>
      </c>
      <c r="I113" s="1" t="s">
        <v>1949</v>
      </c>
      <c r="J113" t="s">
        <v>874</v>
      </c>
      <c r="K113" s="2">
        <v>0.1146</v>
      </c>
      <c r="L113" s="6" t="e">
        <f>K113*VLOOKUP($I113,'Selector Sheet '!$B$13:$D$43,3,FALSE)</f>
        <v>#N/A</v>
      </c>
    </row>
    <row r="114" spans="1:12">
      <c r="A114" s="9" t="s">
        <v>1881</v>
      </c>
      <c r="B114" t="s">
        <v>1833</v>
      </c>
      <c r="C114" s="4">
        <v>0.0157</v>
      </c>
      <c r="D114" s="2" t="e">
        <f>C114*VLOOKUP($A114,'Selector Sheet '!$B$13:$D$43,2,FALSE)</f>
        <v>#N/A</v>
      </c>
      <c r="E114" t="s">
        <v>1952</v>
      </c>
      <c r="F114" s="2">
        <f t="shared" si="3"/>
        <v>0</v>
      </c>
      <c r="G114" s="2" t="e">
        <f>C114*VLOOKUP($A114,'Selector Sheet '!$B$13:$D$43,2,FALSE)</f>
        <v>#N/A</v>
      </c>
      <c r="I114" s="1" t="s">
        <v>1949</v>
      </c>
      <c r="J114" t="s">
        <v>859</v>
      </c>
      <c r="K114" s="2">
        <v>0.0618</v>
      </c>
      <c r="L114" s="6" t="e">
        <f>K114*VLOOKUP($I114,'Selector Sheet '!$B$13:$D$43,3,FALSE)</f>
        <v>#N/A</v>
      </c>
    </row>
    <row r="115" spans="1:12">
      <c r="A115" s="9" t="s">
        <v>1881</v>
      </c>
      <c r="B115" t="s">
        <v>1865</v>
      </c>
      <c r="C115" s="4">
        <v>0.0139</v>
      </c>
      <c r="D115" s="2" t="e">
        <f>C115*VLOOKUP($A115,'Selector Sheet '!$B$13:$D$43,2,FALSE)</f>
        <v>#N/A</v>
      </c>
      <c r="E115" t="s">
        <v>1953</v>
      </c>
      <c r="F115" s="2">
        <f t="shared" si="3"/>
        <v>0</v>
      </c>
      <c r="G115" s="2" t="e">
        <f>C115*VLOOKUP($A115,'Selector Sheet '!$B$13:$D$43,2,FALSE)</f>
        <v>#N/A</v>
      </c>
      <c r="I115" s="1" t="s">
        <v>1949</v>
      </c>
      <c r="J115" t="s">
        <v>1829</v>
      </c>
      <c r="K115" s="2">
        <v>0.0551</v>
      </c>
      <c r="L115" s="6" t="e">
        <f>K115*VLOOKUP($I115,'Selector Sheet '!$B$13:$D$43,3,FALSE)</f>
        <v>#N/A</v>
      </c>
    </row>
    <row r="116" spans="1:12">
      <c r="A116" s="9" t="s">
        <v>1881</v>
      </c>
      <c r="B116" t="s">
        <v>1913</v>
      </c>
      <c r="C116" s="4">
        <v>0.0133</v>
      </c>
      <c r="D116" s="2" t="e">
        <f>C116*VLOOKUP($A116,'Selector Sheet '!$B$13:$D$43,2,FALSE)</f>
        <v>#N/A</v>
      </c>
      <c r="E116" t="s">
        <v>1954</v>
      </c>
      <c r="F116" s="2">
        <f t="shared" si="3"/>
        <v>0</v>
      </c>
      <c r="G116" s="2" t="e">
        <f>C116*VLOOKUP($A116,'Selector Sheet '!$B$13:$D$43,2,FALSE)</f>
        <v>#N/A</v>
      </c>
      <c r="I116" s="1" t="s">
        <v>1949</v>
      </c>
      <c r="J116" t="s">
        <v>1016</v>
      </c>
      <c r="K116" s="2">
        <v>0.0454</v>
      </c>
      <c r="L116" s="6" t="e">
        <f>K116*VLOOKUP($I116,'Selector Sheet '!$B$13:$D$43,3,FALSE)</f>
        <v>#N/A</v>
      </c>
    </row>
    <row r="117" spans="1:12">
      <c r="A117" s="9" t="s">
        <v>1881</v>
      </c>
      <c r="B117" t="s">
        <v>1830</v>
      </c>
      <c r="C117" s="4">
        <v>0.0133</v>
      </c>
      <c r="D117" s="2" t="e">
        <f>C117*VLOOKUP($A117,'Selector Sheet '!$B$13:$D$43,2,FALSE)</f>
        <v>#N/A</v>
      </c>
      <c r="E117" t="s">
        <v>1955</v>
      </c>
      <c r="F117" s="2">
        <f t="shared" si="3"/>
        <v>0</v>
      </c>
      <c r="G117" s="2" t="e">
        <f>C117*VLOOKUP($A117,'Selector Sheet '!$B$13:$D$43,2,FALSE)</f>
        <v>#N/A</v>
      </c>
      <c r="I117" s="1" t="s">
        <v>1949</v>
      </c>
      <c r="J117" t="s">
        <v>1835</v>
      </c>
      <c r="K117" s="2">
        <v>0.0427</v>
      </c>
      <c r="L117" s="6" t="e">
        <f>K117*VLOOKUP($I117,'Selector Sheet '!$B$13:$D$43,3,FALSE)</f>
        <v>#N/A</v>
      </c>
    </row>
    <row r="118" spans="1:12">
      <c r="A118" s="9" t="s">
        <v>1881</v>
      </c>
      <c r="B118" t="s">
        <v>1914</v>
      </c>
      <c r="C118" s="4">
        <v>0.0124</v>
      </c>
      <c r="D118" s="2" t="e">
        <f>C118*VLOOKUP($A118,'Selector Sheet '!$B$13:$D$43,2,FALSE)</f>
        <v>#N/A</v>
      </c>
      <c r="E118" t="s">
        <v>1956</v>
      </c>
      <c r="F118" s="2">
        <f t="shared" si="3"/>
        <v>0</v>
      </c>
      <c r="G118" s="2" t="e">
        <f>C118*VLOOKUP($A118,'Selector Sheet '!$B$13:$D$43,2,FALSE)</f>
        <v>#N/A</v>
      </c>
      <c r="I118" s="1" t="s">
        <v>1949</v>
      </c>
      <c r="J118" t="s">
        <v>849</v>
      </c>
      <c r="K118" s="2">
        <v>0.0019</v>
      </c>
      <c r="L118" s="6" t="e">
        <f>K118*VLOOKUP($I118,'Selector Sheet '!$B$13:$D$43,3,FALSE)</f>
        <v>#N/A</v>
      </c>
    </row>
    <row r="119" spans="1:12">
      <c r="A119" s="9" t="s">
        <v>1881</v>
      </c>
      <c r="B119" t="s">
        <v>1861</v>
      </c>
      <c r="C119" s="4">
        <v>0.012</v>
      </c>
      <c r="D119" s="2" t="e">
        <f>C119*VLOOKUP($A119,'Selector Sheet '!$B$13:$D$43,2,FALSE)</f>
        <v>#N/A</v>
      </c>
      <c r="E119" t="s">
        <v>1957</v>
      </c>
      <c r="F119" s="2">
        <f t="shared" si="3"/>
        <v>0</v>
      </c>
      <c r="G119" s="2" t="e">
        <f>C119*VLOOKUP($A119,'Selector Sheet '!$B$13:$D$43,2,FALSE)</f>
        <v>#N/A</v>
      </c>
      <c r="I119" s="1" t="s">
        <v>1958</v>
      </c>
      <c r="J119" s="7" t="s">
        <v>1824</v>
      </c>
      <c r="K119" s="8">
        <v>0.1547</v>
      </c>
      <c r="L119" s="6" t="e">
        <f>K119*VLOOKUP($I119,'Selector Sheet '!$B$13:$D$43,3,FALSE)</f>
        <v>#N/A</v>
      </c>
    </row>
    <row r="120" spans="1:12">
      <c r="A120" s="9" t="s">
        <v>1881</v>
      </c>
      <c r="B120" t="s">
        <v>1854</v>
      </c>
      <c r="C120" s="4">
        <v>0.0104</v>
      </c>
      <c r="D120" s="2" t="e">
        <f>C120*VLOOKUP($A120,'Selector Sheet '!$B$13:$D$43,2,FALSE)</f>
        <v>#N/A</v>
      </c>
      <c r="E120" t="s">
        <v>1959</v>
      </c>
      <c r="F120" s="2">
        <f t="shared" si="3"/>
        <v>0</v>
      </c>
      <c r="G120" s="2" t="e">
        <f>C120*VLOOKUP($A120,'Selector Sheet '!$B$13:$D$43,2,FALSE)</f>
        <v>#N/A</v>
      </c>
      <c r="I120" s="1" t="s">
        <v>1958</v>
      </c>
      <c r="J120" s="7" t="s">
        <v>1826</v>
      </c>
      <c r="K120" s="8">
        <v>0.1157</v>
      </c>
      <c r="L120" s="6" t="e">
        <f>K120*VLOOKUP($I120,'Selector Sheet '!$B$13:$D$43,3,FALSE)</f>
        <v>#N/A</v>
      </c>
    </row>
    <row r="121" spans="1:12">
      <c r="A121" s="9" t="s">
        <v>1881</v>
      </c>
      <c r="B121" t="s">
        <v>1915</v>
      </c>
      <c r="C121" s="4">
        <v>0.0099</v>
      </c>
      <c r="D121" s="2" t="e">
        <f>C121*VLOOKUP($A121,'Selector Sheet '!$B$13:$D$43,2,FALSE)</f>
        <v>#N/A</v>
      </c>
      <c r="E121" t="s">
        <v>1960</v>
      </c>
      <c r="F121" s="2">
        <f t="shared" si="3"/>
        <v>0</v>
      </c>
      <c r="G121" s="2" t="e">
        <f>C121*VLOOKUP($A121,'Selector Sheet '!$B$13:$D$43,2,FALSE)</f>
        <v>#N/A</v>
      </c>
      <c r="I121" s="1" t="s">
        <v>1958</v>
      </c>
      <c r="J121" s="7" t="s">
        <v>1829</v>
      </c>
      <c r="K121" s="8">
        <v>0.0661</v>
      </c>
      <c r="L121" s="6" t="e">
        <f>K121*VLOOKUP($I121,'Selector Sheet '!$B$13:$D$43,3,FALSE)</f>
        <v>#N/A</v>
      </c>
    </row>
    <row r="122" spans="1:12">
      <c r="A122" s="9" t="s">
        <v>1881</v>
      </c>
      <c r="B122" t="s">
        <v>1836</v>
      </c>
      <c r="C122" s="4">
        <v>0.0089</v>
      </c>
      <c r="D122" s="2" t="e">
        <f>C122*VLOOKUP($A122,'Selector Sheet '!$B$13:$D$43,2,FALSE)</f>
        <v>#N/A</v>
      </c>
      <c r="E122" t="s">
        <v>1961</v>
      </c>
      <c r="F122" s="2">
        <f t="shared" si="3"/>
        <v>0</v>
      </c>
      <c r="G122" s="2" t="e">
        <f>C122*VLOOKUP($A122,'Selector Sheet '!$B$13:$D$43,2,FALSE)</f>
        <v>#N/A</v>
      </c>
      <c r="I122" s="1" t="s">
        <v>1958</v>
      </c>
      <c r="J122" s="7" t="s">
        <v>849</v>
      </c>
      <c r="K122" s="8">
        <v>0.0587</v>
      </c>
      <c r="L122" s="6" t="e">
        <f>K122*VLOOKUP($I122,'Selector Sheet '!$B$13:$D$43,3,FALSE)</f>
        <v>#N/A</v>
      </c>
    </row>
    <row r="123" spans="1:12">
      <c r="A123" s="9" t="s">
        <v>1881</v>
      </c>
      <c r="B123" t="s">
        <v>1916</v>
      </c>
      <c r="C123" s="4">
        <v>0.0088</v>
      </c>
      <c r="D123" s="2" t="e">
        <f>C123*VLOOKUP($A123,'Selector Sheet '!$B$13:$D$43,2,FALSE)</f>
        <v>#N/A</v>
      </c>
      <c r="E123" t="s">
        <v>1962</v>
      </c>
      <c r="F123" s="2">
        <f t="shared" si="3"/>
        <v>0</v>
      </c>
      <c r="G123" s="2" t="e">
        <f>C123*VLOOKUP($A123,'Selector Sheet '!$B$13:$D$43,2,FALSE)</f>
        <v>#N/A</v>
      </c>
      <c r="I123" s="1" t="s">
        <v>1958</v>
      </c>
      <c r="J123" s="7" t="s">
        <v>874</v>
      </c>
      <c r="K123" s="8">
        <v>0.0585</v>
      </c>
      <c r="L123" s="6" t="e">
        <f>K123*VLOOKUP($I123,'Selector Sheet '!$B$13:$D$43,3,FALSE)</f>
        <v>#N/A</v>
      </c>
    </row>
    <row r="124" spans="1:12">
      <c r="A124" s="9" t="s">
        <v>1881</v>
      </c>
      <c r="B124" t="s">
        <v>1963</v>
      </c>
      <c r="C124" s="4">
        <v>0.0084</v>
      </c>
      <c r="D124" s="2" t="e">
        <f>C124*VLOOKUP($A124,'Selector Sheet '!$B$13:$D$43,2,FALSE)</f>
        <v>#N/A</v>
      </c>
      <c r="E124" t="s">
        <v>1964</v>
      </c>
      <c r="F124" s="2">
        <f t="shared" si="3"/>
        <v>0</v>
      </c>
      <c r="G124" s="2" t="e">
        <f>C124*VLOOKUP($A124,'Selector Sheet '!$B$13:$D$43,2,FALSE)</f>
        <v>#N/A</v>
      </c>
      <c r="I124" s="1" t="s">
        <v>1958</v>
      </c>
      <c r="J124" s="7" t="s">
        <v>859</v>
      </c>
      <c r="K124" s="8">
        <v>0.0461</v>
      </c>
      <c r="L124" s="6" t="e">
        <f>K124*VLOOKUP($I124,'Selector Sheet '!$B$13:$D$43,3,FALSE)</f>
        <v>#N/A</v>
      </c>
    </row>
    <row r="125" spans="1:12">
      <c r="A125" s="9" t="s">
        <v>1881</v>
      </c>
      <c r="B125" t="s">
        <v>1926</v>
      </c>
      <c r="C125" s="4">
        <v>0.0083</v>
      </c>
      <c r="D125" s="2" t="e">
        <f>C125*VLOOKUP($A125,'Selector Sheet '!$B$13:$D$43,2,FALSE)</f>
        <v>#N/A</v>
      </c>
      <c r="E125" t="s">
        <v>1965</v>
      </c>
      <c r="F125" s="2">
        <f t="shared" si="3"/>
        <v>0</v>
      </c>
      <c r="G125" s="2" t="e">
        <f>C125*VLOOKUP($A125,'Selector Sheet '!$B$13:$D$43,2,FALSE)</f>
        <v>#N/A</v>
      </c>
      <c r="I125" s="1" t="s">
        <v>1958</v>
      </c>
      <c r="J125" s="7" t="s">
        <v>1016</v>
      </c>
      <c r="K125" s="8">
        <v>0.0411</v>
      </c>
      <c r="L125" s="6" t="e">
        <f>K125*VLOOKUP($I125,'Selector Sheet '!$B$13:$D$43,3,FALSE)</f>
        <v>#N/A</v>
      </c>
    </row>
    <row r="126" spans="1:12">
      <c r="A126" s="9" t="s">
        <v>1881</v>
      </c>
      <c r="B126" t="s">
        <v>1966</v>
      </c>
      <c r="C126" s="4">
        <v>0.008</v>
      </c>
      <c r="D126" s="2" t="e">
        <f>C126*VLOOKUP($A126,'Selector Sheet '!$B$13:$D$43,2,FALSE)</f>
        <v>#N/A</v>
      </c>
      <c r="E126" t="s">
        <v>1967</v>
      </c>
      <c r="F126" s="2" t="e">
        <f t="shared" si="3"/>
        <v>#N/A</v>
      </c>
      <c r="G126" s="2" t="e">
        <f>C126*VLOOKUP($A126,'Selector Sheet '!$B$13:$D$43,2,FALSE)</f>
        <v>#N/A</v>
      </c>
      <c r="I126" s="1" t="s">
        <v>1958</v>
      </c>
      <c r="J126" s="7" t="s">
        <v>1835</v>
      </c>
      <c r="K126" s="8">
        <v>0.028</v>
      </c>
      <c r="L126" s="6" t="e">
        <f>K126*VLOOKUP($I126,'Selector Sheet '!$B$13:$D$43,3,FALSE)</f>
        <v>#N/A</v>
      </c>
    </row>
    <row r="127" spans="1:12">
      <c r="A127" s="9" t="s">
        <v>1892</v>
      </c>
      <c r="B127" t="s">
        <v>1823</v>
      </c>
      <c r="C127" s="52">
        <v>0.048</v>
      </c>
      <c r="D127" s="2" t="e">
        <f>C127*VLOOKUP($A127,'Selector Sheet '!$B$13:$D$43,2,FALSE)</f>
        <v>#N/A</v>
      </c>
      <c r="E127" t="s">
        <v>1968</v>
      </c>
      <c r="F127" s="2">
        <f t="shared" si="3"/>
        <v>0</v>
      </c>
      <c r="G127" s="2" t="e">
        <f>C127*VLOOKUP($A127,'Selector Sheet '!$B$13:$D$43,2,FALSE)</f>
        <v>#N/A</v>
      </c>
      <c r="I127" s="1" t="s">
        <v>1958</v>
      </c>
      <c r="J127" s="7" t="s">
        <v>1034</v>
      </c>
      <c r="K127" s="8">
        <v>0.0122</v>
      </c>
      <c r="L127" s="6" t="e">
        <f>K127*VLOOKUP($I127,'Selector Sheet '!$B$13:$D$43,3,FALSE)</f>
        <v>#N/A</v>
      </c>
    </row>
    <row r="128" spans="1:12">
      <c r="A128" s="9" t="s">
        <v>1892</v>
      </c>
      <c r="B128" t="s">
        <v>1827</v>
      </c>
      <c r="C128" s="52">
        <v>0.0365</v>
      </c>
      <c r="D128" s="2" t="e">
        <f>C128*VLOOKUP($A128,'Selector Sheet '!$B$13:$D$43,2,FALSE)</f>
        <v>#N/A</v>
      </c>
      <c r="E128" t="s">
        <v>1969</v>
      </c>
      <c r="F128" s="2">
        <f t="shared" si="3"/>
        <v>0</v>
      </c>
      <c r="G128" s="2" t="e">
        <f>C128*VLOOKUP($A128,'Selector Sheet '!$B$13:$D$43,2,FALSE)</f>
        <v>#N/A</v>
      </c>
      <c r="I128" s="53" t="s">
        <v>33</v>
      </c>
      <c r="J128" t="s">
        <v>1824</v>
      </c>
      <c r="K128" s="4">
        <v>0.326</v>
      </c>
      <c r="L128" s="6">
        <f>K128*VLOOKUP($I128,'Selector Sheet '!$B$13:$D$43,3,FALSE)</f>
        <v>0</v>
      </c>
    </row>
    <row r="129" spans="1:12">
      <c r="A129" s="9" t="s">
        <v>1892</v>
      </c>
      <c r="B129" t="s">
        <v>1825</v>
      </c>
      <c r="C129" s="52">
        <v>0.0355</v>
      </c>
      <c r="D129" s="2" t="e">
        <f>C129*VLOOKUP($A129,'Selector Sheet '!$B$13:$D$43,2,FALSE)</f>
        <v>#N/A</v>
      </c>
      <c r="E129" t="s">
        <v>1970</v>
      </c>
      <c r="F129" s="2" t="e">
        <f t="shared" si="3"/>
        <v>#N/A</v>
      </c>
      <c r="G129" s="2" t="e">
        <f>C129*VLOOKUP($A129,'Selector Sheet '!$B$13:$D$43,2,FALSE)</f>
        <v>#N/A</v>
      </c>
      <c r="I129" s="53" t="s">
        <v>33</v>
      </c>
      <c r="J129" t="s">
        <v>1826</v>
      </c>
      <c r="K129" s="4">
        <v>0.118</v>
      </c>
      <c r="L129" s="6">
        <f>K129*VLOOKUP($I129,'Selector Sheet '!$B$13:$D$43,3,FALSE)</f>
        <v>0</v>
      </c>
    </row>
    <row r="130" spans="1:12">
      <c r="A130" s="9" t="s">
        <v>1892</v>
      </c>
      <c r="B130" t="s">
        <v>1839</v>
      </c>
      <c r="C130" s="52">
        <v>0.0279</v>
      </c>
      <c r="D130" s="2" t="e">
        <f>C130*VLOOKUP($A130,'Selector Sheet '!$B$13:$D$43,2,FALSE)</f>
        <v>#N/A</v>
      </c>
      <c r="E130" t="s">
        <v>1971</v>
      </c>
      <c r="F130" s="2">
        <f t="shared" ref="F130:F193" si="4">SUMIF($B$2:$B$305,E130,$D$2:$D$305)</f>
        <v>0</v>
      </c>
      <c r="G130" s="2" t="e">
        <f>C130*VLOOKUP($A130,'Selector Sheet '!$B$13:$D$43,2,FALSE)</f>
        <v>#N/A</v>
      </c>
      <c r="I130" s="53" t="s">
        <v>33</v>
      </c>
      <c r="J130" t="s">
        <v>874</v>
      </c>
      <c r="K130" s="4">
        <v>0.079</v>
      </c>
      <c r="L130" s="6">
        <f>K130*VLOOKUP($I130,'Selector Sheet '!$B$13:$D$43,3,FALSE)</f>
        <v>0</v>
      </c>
    </row>
    <row r="131" spans="1:12">
      <c r="A131" s="9" t="s">
        <v>1892</v>
      </c>
      <c r="B131" t="s">
        <v>1836</v>
      </c>
      <c r="C131" s="52">
        <v>0.0246</v>
      </c>
      <c r="D131" s="2" t="e">
        <f>C131*VLOOKUP($A131,'Selector Sheet '!$B$13:$D$43,2,FALSE)</f>
        <v>#N/A</v>
      </c>
      <c r="E131" t="s">
        <v>1972</v>
      </c>
      <c r="F131" s="2">
        <f t="shared" si="4"/>
        <v>0</v>
      </c>
      <c r="G131" s="2" t="e">
        <f>C131*VLOOKUP($A131,'Selector Sheet '!$B$13:$D$43,2,FALSE)</f>
        <v>#N/A</v>
      </c>
      <c r="I131" s="53" t="s">
        <v>33</v>
      </c>
      <c r="J131" t="s">
        <v>1829</v>
      </c>
      <c r="K131" s="4">
        <v>0.042</v>
      </c>
      <c r="L131" s="6">
        <f>K131*VLOOKUP($I131,'Selector Sheet '!$B$13:$D$43,3,FALSE)</f>
        <v>0</v>
      </c>
    </row>
    <row r="132" spans="1:12">
      <c r="A132" s="9" t="s">
        <v>1892</v>
      </c>
      <c r="B132" t="s">
        <v>1828</v>
      </c>
      <c r="C132" s="52">
        <v>0.0223</v>
      </c>
      <c r="D132" s="2" t="e">
        <f>C132*VLOOKUP($A132,'Selector Sheet '!$B$13:$D$43,2,FALSE)</f>
        <v>#N/A</v>
      </c>
      <c r="E132" t="s">
        <v>1973</v>
      </c>
      <c r="F132" s="2">
        <f t="shared" si="4"/>
        <v>0</v>
      </c>
      <c r="G132" s="2" t="e">
        <f>C132*VLOOKUP($A132,'Selector Sheet '!$B$13:$D$43,2,FALSE)</f>
        <v>#N/A</v>
      </c>
      <c r="I132" s="53" t="s">
        <v>33</v>
      </c>
      <c r="J132" t="s">
        <v>1016</v>
      </c>
      <c r="K132" s="4">
        <v>0.016</v>
      </c>
      <c r="L132" s="6">
        <f>K132*VLOOKUP($I132,'Selector Sheet '!$B$13:$D$43,3,FALSE)</f>
        <v>0</v>
      </c>
    </row>
    <row r="133" spans="1:12">
      <c r="A133" s="9" t="s">
        <v>1892</v>
      </c>
      <c r="B133" t="s">
        <v>1832</v>
      </c>
      <c r="C133" s="52">
        <v>0.0197</v>
      </c>
      <c r="D133" s="2" t="e">
        <f>C133*VLOOKUP($A133,'Selector Sheet '!$B$13:$D$43,2,FALSE)</f>
        <v>#N/A</v>
      </c>
      <c r="E133" t="s">
        <v>1974</v>
      </c>
      <c r="F133" s="2">
        <f t="shared" si="4"/>
        <v>0</v>
      </c>
      <c r="G133" s="2" t="e">
        <f>C133*VLOOKUP($A133,'Selector Sheet '!$B$13:$D$43,2,FALSE)</f>
        <v>#N/A</v>
      </c>
      <c r="I133" s="53" t="s">
        <v>33</v>
      </c>
      <c r="J133" t="s">
        <v>849</v>
      </c>
      <c r="K133" s="4">
        <v>0.095</v>
      </c>
      <c r="L133" s="6">
        <f>K133*VLOOKUP($I133,'Selector Sheet '!$B$13:$D$43,3,FALSE)</f>
        <v>0</v>
      </c>
    </row>
    <row r="134" spans="1:12">
      <c r="A134" s="9" t="s">
        <v>1892</v>
      </c>
      <c r="B134" t="s">
        <v>1831</v>
      </c>
      <c r="C134" s="52">
        <v>0.0195</v>
      </c>
      <c r="D134" s="2" t="e">
        <f>C134*VLOOKUP($A134,'Selector Sheet '!$B$13:$D$43,2,FALSE)</f>
        <v>#N/A</v>
      </c>
      <c r="E134" t="s">
        <v>1975</v>
      </c>
      <c r="F134" s="2">
        <f t="shared" si="4"/>
        <v>0</v>
      </c>
      <c r="G134" s="2" t="e">
        <f>C134*VLOOKUP($A134,'Selector Sheet '!$B$13:$D$43,2,FALSE)</f>
        <v>#N/A</v>
      </c>
      <c r="I134" s="53" t="s">
        <v>33</v>
      </c>
      <c r="J134" t="s">
        <v>859</v>
      </c>
      <c r="K134" s="4">
        <v>0.046</v>
      </c>
      <c r="L134" s="6">
        <f>K134*VLOOKUP($I134,'Selector Sheet '!$B$13:$D$43,3,FALSE)</f>
        <v>0</v>
      </c>
    </row>
    <row r="135" spans="1:12">
      <c r="A135" s="9" t="s">
        <v>1892</v>
      </c>
      <c r="B135" t="s">
        <v>1830</v>
      </c>
      <c r="C135" s="52">
        <v>0.0192</v>
      </c>
      <c r="D135" s="2" t="e">
        <f>C135*VLOOKUP($A135,'Selector Sheet '!$B$13:$D$43,2,FALSE)</f>
        <v>#N/A</v>
      </c>
      <c r="E135" t="s">
        <v>1976</v>
      </c>
      <c r="F135" s="2">
        <f t="shared" si="4"/>
        <v>0</v>
      </c>
      <c r="G135" s="2" t="e">
        <f>C135*VLOOKUP($A135,'Selector Sheet '!$B$13:$D$43,2,FALSE)</f>
        <v>#N/A</v>
      </c>
      <c r="I135" s="53" t="s">
        <v>33</v>
      </c>
      <c r="J135" t="s">
        <v>1835</v>
      </c>
      <c r="K135" s="4">
        <v>0.109</v>
      </c>
      <c r="L135" s="6">
        <f>K135*VLOOKUP($I135,'Selector Sheet '!$B$13:$D$43,3,FALSE)</f>
        <v>0</v>
      </c>
    </row>
    <row r="136" spans="1:12">
      <c r="A136" s="9" t="s">
        <v>1892</v>
      </c>
      <c r="B136" t="s">
        <v>1833</v>
      </c>
      <c r="C136" s="52">
        <v>0.0177</v>
      </c>
      <c r="D136" s="2" t="e">
        <f>C136*VLOOKUP($A136,'Selector Sheet '!$B$13:$D$43,2,FALSE)</f>
        <v>#N/A</v>
      </c>
      <c r="E136" t="s">
        <v>1977</v>
      </c>
      <c r="F136" s="2">
        <f t="shared" si="4"/>
        <v>0</v>
      </c>
      <c r="G136" s="2" t="e">
        <f>C136*VLOOKUP($A136,'Selector Sheet '!$B$13:$D$43,2,FALSE)</f>
        <v>#N/A</v>
      </c>
      <c r="I136" s="53" t="s">
        <v>33</v>
      </c>
      <c r="J136" t="s">
        <v>1034</v>
      </c>
      <c r="K136" s="4">
        <v>0</v>
      </c>
      <c r="L136" s="6">
        <f>K136*VLOOKUP($I136,'Selector Sheet '!$B$13:$D$43,3,FALSE)</f>
        <v>0</v>
      </c>
    </row>
    <row r="137" spans="1:12">
      <c r="A137" s="9" t="s">
        <v>1892</v>
      </c>
      <c r="B137" t="s">
        <v>1919</v>
      </c>
      <c r="C137" s="52">
        <v>0.0156</v>
      </c>
      <c r="D137" s="2" t="e">
        <f>C137*VLOOKUP($A137,'Selector Sheet '!$B$13:$D$43,2,FALSE)</f>
        <v>#N/A</v>
      </c>
      <c r="E137" t="s">
        <v>1978</v>
      </c>
      <c r="F137" s="2">
        <f t="shared" si="4"/>
        <v>0</v>
      </c>
      <c r="G137" s="2" t="e">
        <f>C137*VLOOKUP($A137,'Selector Sheet '!$B$13:$D$43,2,FALSE)</f>
        <v>#N/A</v>
      </c>
      <c r="I137" s="53" t="s">
        <v>33</v>
      </c>
      <c r="J137" t="s">
        <v>1979</v>
      </c>
      <c r="K137" s="4">
        <v>0.051</v>
      </c>
      <c r="L137" s="6">
        <f>K137*VLOOKUP($I137,'Selector Sheet '!$B$13:$D$43,3,FALSE)</f>
        <v>0</v>
      </c>
    </row>
    <row r="138" spans="1:12">
      <c r="A138" s="9" t="s">
        <v>1892</v>
      </c>
      <c r="B138" t="s">
        <v>1920</v>
      </c>
      <c r="C138" s="52">
        <v>0.0148</v>
      </c>
      <c r="D138" s="2" t="e">
        <f>C138*VLOOKUP($A138,'Selector Sheet '!$B$13:$D$43,2,FALSE)</f>
        <v>#N/A</v>
      </c>
      <c r="E138" t="s">
        <v>1980</v>
      </c>
      <c r="F138" s="2">
        <f t="shared" si="4"/>
        <v>0</v>
      </c>
      <c r="G138" s="2" t="e">
        <f>C138*VLOOKUP($A138,'Selector Sheet '!$B$13:$D$43,2,FALSE)</f>
        <v>#N/A</v>
      </c>
      <c r="I138" s="1" t="s">
        <v>34</v>
      </c>
      <c r="J138" t="s">
        <v>1824</v>
      </c>
      <c r="K138" s="4">
        <v>0.3119</v>
      </c>
      <c r="L138" s="6">
        <f>K138*VLOOKUP($I138,'Selector Sheet '!$B$13:$D$43,3,FALSE)</f>
        <v>0</v>
      </c>
    </row>
    <row r="139" spans="1:12">
      <c r="A139" s="9" t="s">
        <v>1892</v>
      </c>
      <c r="B139" t="s">
        <v>1846</v>
      </c>
      <c r="C139" s="52">
        <v>0.0143</v>
      </c>
      <c r="D139" s="2" t="e">
        <f>C139*VLOOKUP($A139,'Selector Sheet '!$B$13:$D$43,2,FALSE)</f>
        <v>#N/A</v>
      </c>
      <c r="E139" t="s">
        <v>1981</v>
      </c>
      <c r="F139" s="2">
        <f t="shared" si="4"/>
        <v>0</v>
      </c>
      <c r="G139" s="2" t="e">
        <f>C139*VLOOKUP($A139,'Selector Sheet '!$B$13:$D$43,2,FALSE)</f>
        <v>#N/A</v>
      </c>
      <c r="I139" s="1" t="s">
        <v>34</v>
      </c>
      <c r="J139" t="s">
        <v>874</v>
      </c>
      <c r="K139" s="54">
        <v>0.1769</v>
      </c>
      <c r="L139" s="6">
        <f>K139*VLOOKUP($I139,'Selector Sheet '!$B$13:$D$43,3,FALSE)</f>
        <v>0</v>
      </c>
    </row>
    <row r="140" spans="1:12">
      <c r="A140" s="9" t="s">
        <v>1892</v>
      </c>
      <c r="B140" t="s">
        <v>1844</v>
      </c>
      <c r="C140" s="52">
        <v>0.0127</v>
      </c>
      <c r="D140" s="2" t="e">
        <f>C140*VLOOKUP($A140,'Selector Sheet '!$B$13:$D$43,2,FALSE)</f>
        <v>#N/A</v>
      </c>
      <c r="E140" t="s">
        <v>976</v>
      </c>
      <c r="F140" s="2">
        <f t="shared" si="4"/>
        <v>0</v>
      </c>
      <c r="G140" s="2" t="e">
        <f>C140*VLOOKUP($A140,'Selector Sheet '!$B$13:$D$43,2,FALSE)</f>
        <v>#N/A</v>
      </c>
      <c r="I140" s="1" t="s">
        <v>34</v>
      </c>
      <c r="J140" t="s">
        <v>849</v>
      </c>
      <c r="K140" s="4">
        <v>0.1649</v>
      </c>
      <c r="L140" s="6">
        <f>K140*VLOOKUP($I140,'Selector Sheet '!$B$13:$D$43,3,FALSE)</f>
        <v>0</v>
      </c>
    </row>
    <row r="141" spans="1:12">
      <c r="A141" s="9" t="s">
        <v>1892</v>
      </c>
      <c r="B141" t="s">
        <v>1926</v>
      </c>
      <c r="C141" s="52">
        <v>0.0125</v>
      </c>
      <c r="D141" s="2" t="e">
        <f>C141*VLOOKUP($A141,'Selector Sheet '!$B$13:$D$43,2,FALSE)</f>
        <v>#N/A</v>
      </c>
      <c r="E141" t="s">
        <v>1982</v>
      </c>
      <c r="F141" s="2">
        <f t="shared" si="4"/>
        <v>0</v>
      </c>
      <c r="G141" s="2" t="e">
        <f>C141*VLOOKUP($A141,'Selector Sheet '!$B$13:$D$43,2,FALSE)</f>
        <v>#N/A</v>
      </c>
      <c r="I141" s="1" t="s">
        <v>34</v>
      </c>
      <c r="J141" t="s">
        <v>1829</v>
      </c>
      <c r="K141" s="4">
        <v>0.0954</v>
      </c>
      <c r="L141" s="6">
        <f>K141*VLOOKUP($I141,'Selector Sheet '!$B$13:$D$43,3,FALSE)</f>
        <v>0</v>
      </c>
    </row>
    <row r="142" spans="1:12">
      <c r="A142" s="9" t="s">
        <v>1892</v>
      </c>
      <c r="B142" t="s">
        <v>1916</v>
      </c>
      <c r="C142" s="52">
        <v>0.0121</v>
      </c>
      <c r="D142" s="2" t="e">
        <f>C142*VLOOKUP($A142,'Selector Sheet '!$B$13:$D$43,2,FALSE)</f>
        <v>#N/A</v>
      </c>
      <c r="E142" t="s">
        <v>1983</v>
      </c>
      <c r="F142" s="2">
        <f t="shared" si="4"/>
        <v>0</v>
      </c>
      <c r="G142" s="2" t="e">
        <f>C142*VLOOKUP($A142,'Selector Sheet '!$B$13:$D$43,2,FALSE)</f>
        <v>#N/A</v>
      </c>
      <c r="I142" s="1" t="s">
        <v>34</v>
      </c>
      <c r="J142" t="s">
        <v>1835</v>
      </c>
      <c r="K142" s="4">
        <v>0.0651</v>
      </c>
      <c r="L142" s="6">
        <f>K142*VLOOKUP($I142,'Selector Sheet '!$B$13:$D$43,3,FALSE)</f>
        <v>0</v>
      </c>
    </row>
    <row r="143" spans="1:12">
      <c r="A143" s="9" t="s">
        <v>1892</v>
      </c>
      <c r="B143" t="s">
        <v>1840</v>
      </c>
      <c r="C143" s="52">
        <v>0.0118</v>
      </c>
      <c r="D143" s="2" t="e">
        <f>C143*VLOOKUP($A143,'Selector Sheet '!$B$13:$D$43,2,FALSE)</f>
        <v>#N/A</v>
      </c>
      <c r="E143" t="s">
        <v>1984</v>
      </c>
      <c r="F143" s="2" t="e">
        <f t="shared" si="4"/>
        <v>#N/A</v>
      </c>
      <c r="G143" s="2" t="e">
        <f>C143*VLOOKUP($A143,'Selector Sheet '!$B$13:$D$43,2,FALSE)</f>
        <v>#N/A</v>
      </c>
      <c r="I143" s="1" t="s">
        <v>34</v>
      </c>
      <c r="J143" t="s">
        <v>859</v>
      </c>
      <c r="K143" s="4">
        <v>0.0566</v>
      </c>
      <c r="L143" s="6">
        <f>K143*VLOOKUP($I143,'Selector Sheet '!$B$13:$D$43,3,FALSE)</f>
        <v>0</v>
      </c>
    </row>
    <row r="144" spans="1:12">
      <c r="A144" s="9" t="s">
        <v>1892</v>
      </c>
      <c r="B144" t="s">
        <v>1845</v>
      </c>
      <c r="C144" s="52">
        <v>0.011</v>
      </c>
      <c r="D144" s="2" t="e">
        <f>C144*VLOOKUP($A144,'Selector Sheet '!$B$13:$D$43,2,FALSE)</f>
        <v>#N/A</v>
      </c>
      <c r="E144" t="s">
        <v>1985</v>
      </c>
      <c r="F144" s="2">
        <f t="shared" si="4"/>
        <v>0</v>
      </c>
      <c r="G144" s="2" t="e">
        <f>C144*VLOOKUP($A144,'Selector Sheet '!$B$13:$D$43,2,FALSE)</f>
        <v>#N/A</v>
      </c>
      <c r="I144" s="1" t="s">
        <v>34</v>
      </c>
      <c r="J144" t="s">
        <v>1826</v>
      </c>
      <c r="K144" s="4">
        <v>0.0547</v>
      </c>
      <c r="L144" s="6">
        <f>K144*VLOOKUP($I144,'Selector Sheet '!$B$13:$D$43,3,FALSE)</f>
        <v>0</v>
      </c>
    </row>
    <row r="145" spans="1:12">
      <c r="A145" s="9" t="s">
        <v>1892</v>
      </c>
      <c r="B145" t="s">
        <v>1922</v>
      </c>
      <c r="C145" s="52">
        <v>0.01</v>
      </c>
      <c r="D145" s="2" t="e">
        <f>C145*VLOOKUP($A145,'Selector Sheet '!$B$13:$D$43,2,FALSE)</f>
        <v>#N/A</v>
      </c>
      <c r="E145" t="s">
        <v>1986</v>
      </c>
      <c r="F145" s="2">
        <f t="shared" si="4"/>
        <v>0</v>
      </c>
      <c r="G145" s="2" t="e">
        <f>C145*VLOOKUP($A145,'Selector Sheet '!$B$13:$D$43,2,FALSE)</f>
        <v>#N/A</v>
      </c>
      <c r="I145" s="1" t="s">
        <v>34</v>
      </c>
      <c r="J145" t="s">
        <v>1016</v>
      </c>
      <c r="K145" s="4">
        <v>0.0329</v>
      </c>
      <c r="L145" s="6">
        <f>K145*VLOOKUP($I145,'Selector Sheet '!$B$13:$D$43,3,FALSE)</f>
        <v>0</v>
      </c>
    </row>
    <row r="146" spans="1:12">
      <c r="A146" s="9" t="s">
        <v>1892</v>
      </c>
      <c r="B146" t="s">
        <v>1841</v>
      </c>
      <c r="C146" s="52">
        <v>0.0092</v>
      </c>
      <c r="D146" s="2" t="e">
        <f>C146*VLOOKUP($A146,'Selector Sheet '!$B$13:$D$43,2,FALSE)</f>
        <v>#N/A</v>
      </c>
      <c r="E146" t="s">
        <v>1987</v>
      </c>
      <c r="F146" s="2" t="e">
        <f t="shared" si="4"/>
        <v>#N/A</v>
      </c>
      <c r="G146" s="2" t="e">
        <f>C146*VLOOKUP($A146,'Selector Sheet '!$B$13:$D$43,2,FALSE)</f>
        <v>#N/A</v>
      </c>
      <c r="I146" s="1" t="s">
        <v>34</v>
      </c>
      <c r="J146" t="s">
        <v>1847</v>
      </c>
      <c r="K146" s="4">
        <v>0.0158</v>
      </c>
      <c r="L146" s="6">
        <f>K146*VLOOKUP($I146,'Selector Sheet '!$B$13:$D$43,3,FALSE)</f>
        <v>0</v>
      </c>
    </row>
    <row r="147" spans="1:12">
      <c r="A147" s="9" t="s">
        <v>1892</v>
      </c>
      <c r="B147" t="s">
        <v>1923</v>
      </c>
      <c r="C147" s="52">
        <v>0.009</v>
      </c>
      <c r="D147" s="2" t="e">
        <f>C147*VLOOKUP($A147,'Selector Sheet '!$B$13:$D$43,2,FALSE)</f>
        <v>#N/A</v>
      </c>
      <c r="E147" t="s">
        <v>1988</v>
      </c>
      <c r="F147" s="2" t="e">
        <f t="shared" si="4"/>
        <v>#N/A</v>
      </c>
      <c r="G147" s="2" t="e">
        <f>C147*VLOOKUP($A147,'Selector Sheet '!$B$13:$D$43,2,FALSE)</f>
        <v>#N/A</v>
      </c>
      <c r="I147" s="1" t="s">
        <v>34</v>
      </c>
      <c r="J147" t="s">
        <v>1034</v>
      </c>
      <c r="K147" s="4">
        <v>0.0017</v>
      </c>
      <c r="L147" s="6">
        <f>K147*VLOOKUP($I147,'Selector Sheet '!$B$13:$D$43,3,FALSE)</f>
        <v>0</v>
      </c>
    </row>
    <row r="148" spans="1:12">
      <c r="A148" s="9" t="s">
        <v>1892</v>
      </c>
      <c r="B148" t="s">
        <v>1927</v>
      </c>
      <c r="C148" s="52">
        <v>0.0089</v>
      </c>
      <c r="D148" s="2" t="e">
        <f>C148*VLOOKUP($A148,'Selector Sheet '!$B$13:$D$43,2,FALSE)</f>
        <v>#N/A</v>
      </c>
      <c r="E148" t="s">
        <v>1989</v>
      </c>
      <c r="F148" s="2" t="e">
        <f t="shared" si="4"/>
        <v>#N/A</v>
      </c>
      <c r="G148" s="2" t="e">
        <f>C148*VLOOKUP($A148,'Selector Sheet '!$B$13:$D$43,2,FALSE)</f>
        <v>#N/A</v>
      </c>
      <c r="I148" s="1" t="s">
        <v>1990</v>
      </c>
      <c r="J148" s="7" t="s">
        <v>1824</v>
      </c>
      <c r="K148" s="8">
        <v>0.2862</v>
      </c>
      <c r="L148" s="6" t="e">
        <f>K148*VLOOKUP($I148,'Selector Sheet '!$B$13:$D$43,3,FALSE)</f>
        <v>#N/A</v>
      </c>
    </row>
    <row r="149" spans="1:12">
      <c r="A149" s="9" t="s">
        <v>1892</v>
      </c>
      <c r="B149" t="s">
        <v>1924</v>
      </c>
      <c r="C149" s="52">
        <v>0.0086</v>
      </c>
      <c r="D149" s="2" t="e">
        <f>C149*VLOOKUP($A149,'Selector Sheet '!$B$13:$D$43,2,FALSE)</f>
        <v>#N/A</v>
      </c>
      <c r="E149" t="s">
        <v>1991</v>
      </c>
      <c r="F149" s="2" t="e">
        <f t="shared" si="4"/>
        <v>#N/A</v>
      </c>
      <c r="G149" s="2" t="e">
        <f>C149*VLOOKUP($A149,'Selector Sheet '!$B$13:$D$43,2,FALSE)</f>
        <v>#N/A</v>
      </c>
      <c r="I149" s="1" t="s">
        <v>1990</v>
      </c>
      <c r="J149" s="7" t="s">
        <v>1829</v>
      </c>
      <c r="K149" s="8">
        <v>0.1289</v>
      </c>
      <c r="L149" s="6" t="e">
        <f>K149*VLOOKUP($I149,'Selector Sheet '!$B$13:$D$43,3,FALSE)</f>
        <v>#N/A</v>
      </c>
    </row>
    <row r="150" spans="1:12">
      <c r="A150" s="9" t="s">
        <v>1892</v>
      </c>
      <c r="B150" t="s">
        <v>1925</v>
      </c>
      <c r="C150" s="52">
        <v>0.0079</v>
      </c>
      <c r="D150" s="2" t="e">
        <f>C150*VLOOKUP($A150,'Selector Sheet '!$B$13:$D$43,2,FALSE)</f>
        <v>#N/A</v>
      </c>
      <c r="E150" t="s">
        <v>1992</v>
      </c>
      <c r="F150" s="2" t="e">
        <f t="shared" si="4"/>
        <v>#N/A</v>
      </c>
      <c r="G150" s="2" t="e">
        <f>C150*VLOOKUP($A150,'Selector Sheet '!$B$13:$D$43,2,FALSE)</f>
        <v>#N/A</v>
      </c>
      <c r="I150" s="1" t="s">
        <v>1990</v>
      </c>
      <c r="J150" s="7" t="s">
        <v>1826</v>
      </c>
      <c r="K150" s="8">
        <v>0.1216</v>
      </c>
      <c r="L150" s="6" t="e">
        <f>K150*VLOOKUP($I150,'Selector Sheet '!$B$13:$D$43,3,FALSE)</f>
        <v>#N/A</v>
      </c>
    </row>
    <row r="151" spans="1:12">
      <c r="A151" s="9" t="s">
        <v>1892</v>
      </c>
      <c r="B151" t="s">
        <v>1848</v>
      </c>
      <c r="C151" s="52">
        <v>0.0079</v>
      </c>
      <c r="D151" s="2" t="e">
        <f>C151*VLOOKUP($A151,'Selector Sheet '!$B$13:$D$43,2,FALSE)</f>
        <v>#N/A</v>
      </c>
      <c r="E151" t="s">
        <v>1993</v>
      </c>
      <c r="F151" s="2" t="e">
        <f t="shared" si="4"/>
        <v>#N/A</v>
      </c>
      <c r="G151" s="2" t="e">
        <f>C151*VLOOKUP($A151,'Selector Sheet '!$B$13:$D$43,2,FALSE)</f>
        <v>#N/A</v>
      </c>
      <c r="I151" s="1" t="s">
        <v>1990</v>
      </c>
      <c r="J151" s="7" t="s">
        <v>859</v>
      </c>
      <c r="K151" s="8">
        <v>0.0842</v>
      </c>
      <c r="L151" s="6" t="e">
        <f>K151*VLOOKUP($I151,'Selector Sheet '!$B$13:$D$43,3,FALSE)</f>
        <v>#N/A</v>
      </c>
    </row>
    <row r="152" spans="1:12">
      <c r="A152" s="1" t="s">
        <v>18</v>
      </c>
      <c r="B152" t="s">
        <v>1823</v>
      </c>
      <c r="C152" s="4">
        <v>0.1119</v>
      </c>
      <c r="D152" s="2">
        <f>C152*VLOOKUP($A152,'Selector Sheet '!$B$13:$D$43,2,FALSE)</f>
        <v>0</v>
      </c>
      <c r="E152" t="s">
        <v>1994</v>
      </c>
      <c r="F152" s="2" t="e">
        <f t="shared" si="4"/>
        <v>#N/A</v>
      </c>
      <c r="G152" s="2">
        <f>C152*VLOOKUP($A152,'Selector Sheet '!$B$13:$D$43,2,FALSE)</f>
        <v>0</v>
      </c>
      <c r="I152" s="1" t="s">
        <v>1990</v>
      </c>
      <c r="J152" s="7" t="s">
        <v>1835</v>
      </c>
      <c r="K152" s="8">
        <v>0.0737</v>
      </c>
      <c r="L152" s="6" t="e">
        <f>K152*VLOOKUP($I152,'Selector Sheet '!$B$13:$D$43,3,FALSE)</f>
        <v>#N/A</v>
      </c>
    </row>
    <row r="153" spans="1:12">
      <c r="A153" s="1" t="s">
        <v>18</v>
      </c>
      <c r="B153" t="s">
        <v>1848</v>
      </c>
      <c r="C153" s="4">
        <v>0.0612</v>
      </c>
      <c r="D153" s="2">
        <f>C153*VLOOKUP($A153,'Selector Sheet '!$B$13:$D$43,2,FALSE)</f>
        <v>0</v>
      </c>
      <c r="E153" t="s">
        <v>1995</v>
      </c>
      <c r="F153" s="2">
        <f t="shared" si="4"/>
        <v>0</v>
      </c>
      <c r="G153" s="2">
        <f>C153*VLOOKUP($A153,'Selector Sheet '!$B$13:$D$43,2,FALSE)</f>
        <v>0</v>
      </c>
      <c r="I153" s="1" t="s">
        <v>1990</v>
      </c>
      <c r="J153" s="7" t="s">
        <v>874</v>
      </c>
      <c r="K153" s="8">
        <v>0.0621</v>
      </c>
      <c r="L153" s="6" t="e">
        <f>K153*VLOOKUP($I153,'Selector Sheet '!$B$13:$D$43,3,FALSE)</f>
        <v>#N/A</v>
      </c>
    </row>
    <row r="154" spans="1:12">
      <c r="A154" s="1" t="s">
        <v>18</v>
      </c>
      <c r="B154" t="s">
        <v>1827</v>
      </c>
      <c r="C154" s="4">
        <v>0.0671</v>
      </c>
      <c r="D154" s="2">
        <f>C154*VLOOKUP($A154,'Selector Sheet '!$B$13:$D$43,2,FALSE)</f>
        <v>0</v>
      </c>
      <c r="E154" t="s">
        <v>1996</v>
      </c>
      <c r="F154" s="2">
        <f t="shared" si="4"/>
        <v>0</v>
      </c>
      <c r="G154" s="2">
        <f>C154*VLOOKUP($A154,'Selector Sheet '!$B$13:$D$43,2,FALSE)</f>
        <v>0</v>
      </c>
      <c r="I154" s="1" t="s">
        <v>1990</v>
      </c>
      <c r="J154" s="7" t="s">
        <v>1016</v>
      </c>
      <c r="K154" s="8">
        <v>0.0489</v>
      </c>
      <c r="L154" s="6" t="e">
        <f>K154*VLOOKUP($I154,'Selector Sheet '!$B$13:$D$43,3,FALSE)</f>
        <v>#N/A</v>
      </c>
    </row>
    <row r="155" spans="1:12">
      <c r="A155" s="1" t="s">
        <v>18</v>
      </c>
      <c r="B155" t="s">
        <v>1846</v>
      </c>
      <c r="C155" s="4">
        <v>0.0694</v>
      </c>
      <c r="D155" s="2">
        <f>C155*VLOOKUP($A155,'Selector Sheet '!$B$13:$D$43,2,FALSE)</f>
        <v>0</v>
      </c>
      <c r="E155" t="s">
        <v>1997</v>
      </c>
      <c r="F155" s="2">
        <f t="shared" si="4"/>
        <v>0</v>
      </c>
      <c r="G155" s="2">
        <f>C155*VLOOKUP($A155,'Selector Sheet '!$B$13:$D$43,2,FALSE)</f>
        <v>0</v>
      </c>
      <c r="I155" s="1" t="s">
        <v>1990</v>
      </c>
      <c r="J155" s="7" t="s">
        <v>849</v>
      </c>
      <c r="K155" s="8">
        <v>0.0397</v>
      </c>
      <c r="L155" s="6" t="e">
        <f>K155*VLOOKUP($I155,'Selector Sheet '!$B$13:$D$43,3,FALSE)</f>
        <v>#N/A</v>
      </c>
    </row>
    <row r="156" spans="1:12">
      <c r="A156" s="1" t="s">
        <v>18</v>
      </c>
      <c r="B156" t="s">
        <v>1836</v>
      </c>
      <c r="C156" s="4">
        <v>0.0648</v>
      </c>
      <c r="D156" s="2">
        <f>C156*VLOOKUP($A156,'Selector Sheet '!$B$13:$D$43,2,FALSE)</f>
        <v>0</v>
      </c>
      <c r="E156" t="s">
        <v>1998</v>
      </c>
      <c r="F156" s="2">
        <f t="shared" si="4"/>
        <v>0</v>
      </c>
      <c r="G156" s="2">
        <f>C156*VLOOKUP($A156,'Selector Sheet '!$B$13:$D$43,2,FALSE)</f>
        <v>0</v>
      </c>
      <c r="I156" s="1" t="s">
        <v>1990</v>
      </c>
      <c r="J156" s="7" t="s">
        <v>1034</v>
      </c>
      <c r="K156" s="8">
        <v>0.0052</v>
      </c>
      <c r="L156" s="6" t="e">
        <f>K156*VLOOKUP($I156,'Selector Sheet '!$B$13:$D$43,3,FALSE)</f>
        <v>#N/A</v>
      </c>
    </row>
    <row r="157" spans="1:12">
      <c r="A157" s="1" t="s">
        <v>18</v>
      </c>
      <c r="B157" t="s">
        <v>1828</v>
      </c>
      <c r="C157" s="4">
        <v>0.0524</v>
      </c>
      <c r="D157" s="2">
        <f>C157*VLOOKUP($A157,'Selector Sheet '!$B$13:$D$43,2,FALSE)</f>
        <v>0</v>
      </c>
      <c r="E157" t="s">
        <v>1999</v>
      </c>
      <c r="F157" s="2">
        <f t="shared" si="4"/>
        <v>0</v>
      </c>
      <c r="G157" s="2">
        <f>C157*VLOOKUP($A157,'Selector Sheet '!$B$13:$D$43,2,FALSE)</f>
        <v>0</v>
      </c>
      <c r="I157" s="1" t="s">
        <v>31</v>
      </c>
      <c r="J157" t="s">
        <v>1824</v>
      </c>
      <c r="K157" s="4">
        <v>0.197</v>
      </c>
      <c r="L157" s="6">
        <f>K157*VLOOKUP($I157,'Selector Sheet '!$B$13:$D$43,3,FALSE)</f>
        <v>0</v>
      </c>
    </row>
    <row r="158" spans="1:12">
      <c r="A158" s="1" t="s">
        <v>18</v>
      </c>
      <c r="B158" t="s">
        <v>1825</v>
      </c>
      <c r="C158" s="4">
        <v>0.0588</v>
      </c>
      <c r="D158" s="2">
        <f>C158*VLOOKUP($A158,'Selector Sheet '!$B$13:$D$43,2,FALSE)</f>
        <v>0</v>
      </c>
      <c r="E158" t="s">
        <v>2000</v>
      </c>
      <c r="F158" s="2">
        <f t="shared" si="4"/>
        <v>0</v>
      </c>
      <c r="G158" s="2">
        <f>C158*VLOOKUP($A158,'Selector Sheet '!$B$13:$D$43,2,FALSE)</f>
        <v>0</v>
      </c>
      <c r="I158" s="1" t="s">
        <v>31</v>
      </c>
      <c r="J158" t="s">
        <v>1826</v>
      </c>
      <c r="K158" s="4">
        <v>0.105</v>
      </c>
      <c r="L158" s="6">
        <f>K158*VLOOKUP($I158,'Selector Sheet '!$B$13:$D$43,3,FALSE)</f>
        <v>0</v>
      </c>
    </row>
    <row r="159" spans="1:12">
      <c r="A159" s="1" t="s">
        <v>18</v>
      </c>
      <c r="B159" t="s">
        <v>2001</v>
      </c>
      <c r="C159" s="4">
        <v>0.0464</v>
      </c>
      <c r="D159" s="2">
        <f>C159*VLOOKUP($A159,'Selector Sheet '!$B$13:$D$43,2,FALSE)</f>
        <v>0</v>
      </c>
      <c r="E159" t="s">
        <v>2002</v>
      </c>
      <c r="F159" s="2">
        <f t="shared" si="4"/>
        <v>0</v>
      </c>
      <c r="G159" s="2">
        <f>C159*VLOOKUP($A159,'Selector Sheet '!$B$13:$D$43,2,FALSE)</f>
        <v>0</v>
      </c>
      <c r="I159" s="1" t="s">
        <v>31</v>
      </c>
      <c r="J159" t="s">
        <v>874</v>
      </c>
      <c r="K159" s="4">
        <v>0.136</v>
      </c>
      <c r="L159" s="6">
        <f>K159*VLOOKUP($I159,'Selector Sheet '!$B$13:$D$43,3,FALSE)</f>
        <v>0</v>
      </c>
    </row>
    <row r="160" spans="1:12">
      <c r="A160" s="1" t="s">
        <v>18</v>
      </c>
      <c r="B160" t="s">
        <v>1831</v>
      </c>
      <c r="C160" s="4">
        <v>0.0475</v>
      </c>
      <c r="D160" s="2">
        <f>C160*VLOOKUP($A160,'Selector Sheet '!$B$13:$D$43,2,FALSE)</f>
        <v>0</v>
      </c>
      <c r="E160" t="s">
        <v>2003</v>
      </c>
      <c r="F160" s="2">
        <f t="shared" si="4"/>
        <v>0</v>
      </c>
      <c r="G160" s="2">
        <f>C160*VLOOKUP($A160,'Selector Sheet '!$B$13:$D$43,2,FALSE)</f>
        <v>0</v>
      </c>
      <c r="I160" s="1" t="s">
        <v>31</v>
      </c>
      <c r="J160" t="s">
        <v>1829</v>
      </c>
      <c r="K160" s="4">
        <v>0.038</v>
      </c>
      <c r="L160" s="6">
        <f>K160*VLOOKUP($I160,'Selector Sheet '!$B$13:$D$43,3,FALSE)</f>
        <v>0</v>
      </c>
    </row>
    <row r="161" spans="1:12">
      <c r="A161" s="1" t="s">
        <v>18</v>
      </c>
      <c r="B161" t="s">
        <v>1851</v>
      </c>
      <c r="C161" s="4">
        <v>0.0446</v>
      </c>
      <c r="D161" s="2">
        <f>C161*VLOOKUP($A161,'Selector Sheet '!$B$13:$D$43,2,FALSE)</f>
        <v>0</v>
      </c>
      <c r="E161" t="s">
        <v>2004</v>
      </c>
      <c r="F161" s="2">
        <f t="shared" si="4"/>
        <v>0</v>
      </c>
      <c r="G161" s="2">
        <f>C161*VLOOKUP($A161,'Selector Sheet '!$B$13:$D$43,2,FALSE)</f>
        <v>0</v>
      </c>
      <c r="I161" s="1" t="s">
        <v>31</v>
      </c>
      <c r="J161" t="s">
        <v>1016</v>
      </c>
      <c r="K161" s="4">
        <v>0.013</v>
      </c>
      <c r="L161" s="6">
        <f>K161*VLOOKUP($I161,'Selector Sheet '!$B$13:$D$43,3,FALSE)</f>
        <v>0</v>
      </c>
    </row>
    <row r="162" spans="1:12">
      <c r="A162" s="1" t="s">
        <v>18</v>
      </c>
      <c r="B162" t="s">
        <v>1932</v>
      </c>
      <c r="C162" s="4">
        <v>0.042</v>
      </c>
      <c r="D162" s="2">
        <f>C162*VLOOKUP($A162,'Selector Sheet '!$B$13:$D$43,2,FALSE)</f>
        <v>0</v>
      </c>
      <c r="E162" t="s">
        <v>2005</v>
      </c>
      <c r="F162" s="2">
        <f t="shared" si="4"/>
        <v>0</v>
      </c>
      <c r="G162" s="2">
        <f>C162*VLOOKUP($A162,'Selector Sheet '!$B$13:$D$43,2,FALSE)</f>
        <v>0</v>
      </c>
      <c r="I162" s="1" t="s">
        <v>31</v>
      </c>
      <c r="J162" t="s">
        <v>849</v>
      </c>
      <c r="K162" s="4">
        <v>0.248</v>
      </c>
      <c r="L162" s="6">
        <f>K162*VLOOKUP($I162,'Selector Sheet '!$B$13:$D$43,3,FALSE)</f>
        <v>0</v>
      </c>
    </row>
    <row r="163" spans="1:12">
      <c r="A163" s="1" t="s">
        <v>18</v>
      </c>
      <c r="B163" t="s">
        <v>1930</v>
      </c>
      <c r="C163" s="4">
        <v>0.0177</v>
      </c>
      <c r="D163" s="2">
        <f>C163*VLOOKUP($A163,'Selector Sheet '!$B$13:$D$43,2,FALSE)</f>
        <v>0</v>
      </c>
      <c r="E163" t="s">
        <v>2006</v>
      </c>
      <c r="F163" s="2">
        <f t="shared" si="4"/>
        <v>0</v>
      </c>
      <c r="G163" s="2">
        <f>C163*VLOOKUP($A163,'Selector Sheet '!$B$13:$D$43,2,FALSE)</f>
        <v>0</v>
      </c>
      <c r="I163" s="1" t="s">
        <v>31</v>
      </c>
      <c r="J163" t="s">
        <v>859</v>
      </c>
      <c r="K163" s="4">
        <v>0.113</v>
      </c>
      <c r="L163" s="6">
        <f>K163*VLOOKUP($I163,'Selector Sheet '!$B$13:$D$43,3,FALSE)</f>
        <v>0</v>
      </c>
    </row>
    <row r="164" spans="1:12">
      <c r="A164" s="1" t="s">
        <v>18</v>
      </c>
      <c r="B164" t="s">
        <v>1888</v>
      </c>
      <c r="C164" s="4">
        <v>0.0368</v>
      </c>
      <c r="D164" s="2">
        <f>C164*VLOOKUP($A164,'Selector Sheet '!$B$13:$D$43,2,FALSE)</f>
        <v>0</v>
      </c>
      <c r="E164" t="s">
        <v>2007</v>
      </c>
      <c r="F164" s="2">
        <f t="shared" si="4"/>
        <v>0</v>
      </c>
      <c r="G164" s="2">
        <f>C164*VLOOKUP($A164,'Selector Sheet '!$B$13:$D$43,2,FALSE)</f>
        <v>0</v>
      </c>
      <c r="I164" s="1" t="s">
        <v>31</v>
      </c>
      <c r="J164" t="s">
        <v>1835</v>
      </c>
      <c r="K164" s="4">
        <v>0.146</v>
      </c>
      <c r="L164" s="6">
        <f>K164*VLOOKUP($I164,'Selector Sheet '!$B$13:$D$43,3,FALSE)</f>
        <v>0</v>
      </c>
    </row>
    <row r="165" spans="1:12">
      <c r="A165" s="1" t="s">
        <v>18</v>
      </c>
      <c r="B165" t="s">
        <v>1854</v>
      </c>
      <c r="C165" s="4">
        <v>0.0338</v>
      </c>
      <c r="D165" s="2">
        <f>C165*VLOOKUP($A165,'Selector Sheet '!$B$13:$D$43,2,FALSE)</f>
        <v>0</v>
      </c>
      <c r="E165" t="s">
        <v>1079</v>
      </c>
      <c r="F165" s="2">
        <f t="shared" si="4"/>
        <v>0</v>
      </c>
      <c r="G165" s="2">
        <f>C165*VLOOKUP($A165,'Selector Sheet '!$B$13:$D$43,2,FALSE)</f>
        <v>0</v>
      </c>
      <c r="I165" s="1" t="s">
        <v>31</v>
      </c>
      <c r="J165" t="s">
        <v>1034</v>
      </c>
      <c r="K165" s="4">
        <v>0.018</v>
      </c>
      <c r="L165" s="6">
        <f>K165*VLOOKUP($I165,'Selector Sheet '!$B$13:$D$43,3,FALSE)</f>
        <v>0</v>
      </c>
    </row>
    <row r="166" spans="1:12">
      <c r="A166" s="1" t="s">
        <v>18</v>
      </c>
      <c r="B166" t="s">
        <v>1935</v>
      </c>
      <c r="C166" s="4">
        <v>0.0277</v>
      </c>
      <c r="D166" s="2">
        <f>C166*VLOOKUP($A166,'Selector Sheet '!$B$13:$D$43,2,FALSE)</f>
        <v>0</v>
      </c>
      <c r="E166" t="s">
        <v>2008</v>
      </c>
      <c r="F166" s="2">
        <f t="shared" si="4"/>
        <v>0</v>
      </c>
      <c r="G166" s="2">
        <f>C166*VLOOKUP($A166,'Selector Sheet '!$B$13:$D$43,2,FALSE)</f>
        <v>0</v>
      </c>
      <c r="I166" s="1" t="s">
        <v>41</v>
      </c>
      <c r="J166" t="s">
        <v>1824</v>
      </c>
      <c r="K166" s="4">
        <v>0.228</v>
      </c>
      <c r="L166" s="6">
        <f>K166*VLOOKUP($I166,'Selector Sheet '!$B$13:$D$43,3,FALSE)</f>
        <v>0</v>
      </c>
    </row>
    <row r="167" spans="1:12">
      <c r="A167" s="1" t="s">
        <v>18</v>
      </c>
      <c r="B167" t="s">
        <v>1081</v>
      </c>
      <c r="C167" s="4">
        <v>0.0251</v>
      </c>
      <c r="D167" s="2">
        <f>C167*VLOOKUP($A167,'Selector Sheet '!$B$13:$D$43,2,FALSE)</f>
        <v>0</v>
      </c>
      <c r="E167" t="s">
        <v>2009</v>
      </c>
      <c r="F167" s="2">
        <f t="shared" si="4"/>
        <v>0</v>
      </c>
      <c r="G167" s="2">
        <f>C167*VLOOKUP($A167,'Selector Sheet '!$B$13:$D$43,2,FALSE)</f>
        <v>0</v>
      </c>
      <c r="I167" s="1" t="s">
        <v>41</v>
      </c>
      <c r="J167" t="s">
        <v>1826</v>
      </c>
      <c r="K167" s="4">
        <v>0.0961</v>
      </c>
      <c r="L167" s="6">
        <f>K167*VLOOKUP($I167,'Selector Sheet '!$B$13:$D$43,3,FALSE)</f>
        <v>0</v>
      </c>
    </row>
    <row r="168" spans="1:12">
      <c r="A168" s="1" t="s">
        <v>18</v>
      </c>
      <c r="B168" t="s">
        <v>1934</v>
      </c>
      <c r="C168" s="4">
        <v>0.0275</v>
      </c>
      <c r="D168" s="2">
        <f>C168*VLOOKUP($A168,'Selector Sheet '!$B$13:$D$43,2,FALSE)</f>
        <v>0</v>
      </c>
      <c r="E168" t="s">
        <v>2010</v>
      </c>
      <c r="F168" s="2">
        <f t="shared" si="4"/>
        <v>0</v>
      </c>
      <c r="G168" s="2">
        <f>C168*VLOOKUP($A168,'Selector Sheet '!$B$13:$D$43,2,FALSE)</f>
        <v>0</v>
      </c>
      <c r="I168" s="1" t="s">
        <v>41</v>
      </c>
      <c r="J168" t="s">
        <v>874</v>
      </c>
      <c r="K168" s="4">
        <v>0.1408</v>
      </c>
      <c r="L168" s="6">
        <f>K168*VLOOKUP($I168,'Selector Sheet '!$B$13:$D$43,3,FALSE)</f>
        <v>0</v>
      </c>
    </row>
    <row r="169" spans="1:12">
      <c r="A169" s="1" t="s">
        <v>18</v>
      </c>
      <c r="B169" t="s">
        <v>1936</v>
      </c>
      <c r="C169" s="4">
        <v>0.0235</v>
      </c>
      <c r="D169" s="2">
        <f>C169*VLOOKUP($A169,'Selector Sheet '!$B$13:$D$43,2,FALSE)</f>
        <v>0</v>
      </c>
      <c r="E169" t="s">
        <v>2011</v>
      </c>
      <c r="F169" s="2">
        <f t="shared" si="4"/>
        <v>0</v>
      </c>
      <c r="G169" s="2">
        <f>C169*VLOOKUP($A169,'Selector Sheet '!$B$13:$D$43,2,FALSE)</f>
        <v>0</v>
      </c>
      <c r="I169" s="1" t="s">
        <v>41</v>
      </c>
      <c r="J169" t="s">
        <v>1829</v>
      </c>
      <c r="K169" s="4">
        <v>0.0486</v>
      </c>
      <c r="L169" s="6">
        <f>K169*VLOOKUP($I169,'Selector Sheet '!$B$13:$D$43,3,FALSE)</f>
        <v>0</v>
      </c>
    </row>
    <row r="170" spans="1:12">
      <c r="A170" s="1" t="s">
        <v>18</v>
      </c>
      <c r="B170" t="s">
        <v>1937</v>
      </c>
      <c r="C170" s="4">
        <v>0.0224</v>
      </c>
      <c r="D170" s="2">
        <f>C170*VLOOKUP($A170,'Selector Sheet '!$B$13:$D$43,2,FALSE)</f>
        <v>0</v>
      </c>
      <c r="E170" t="s">
        <v>2012</v>
      </c>
      <c r="F170" s="2">
        <f t="shared" si="4"/>
        <v>0</v>
      </c>
      <c r="G170" s="2">
        <f>C170*VLOOKUP($A170,'Selector Sheet '!$B$13:$D$43,2,FALSE)</f>
        <v>0</v>
      </c>
      <c r="I170" s="1" t="s">
        <v>41</v>
      </c>
      <c r="J170" t="s">
        <v>1016</v>
      </c>
      <c r="K170" s="4">
        <v>0.0823</v>
      </c>
      <c r="L170" s="6">
        <f>K170*VLOOKUP($I170,'Selector Sheet '!$B$13:$D$43,3,FALSE)</f>
        <v>0</v>
      </c>
    </row>
    <row r="171" spans="1:12">
      <c r="A171" s="1" t="s">
        <v>18</v>
      </c>
      <c r="B171" t="s">
        <v>1938</v>
      </c>
      <c r="C171" s="4">
        <v>0.0196</v>
      </c>
      <c r="D171" s="2">
        <f>C171*VLOOKUP($A171,'Selector Sheet '!$B$13:$D$43,2,FALSE)</f>
        <v>0</v>
      </c>
      <c r="E171" t="s">
        <v>2013</v>
      </c>
      <c r="F171" s="2">
        <f t="shared" si="4"/>
        <v>0</v>
      </c>
      <c r="G171" s="2">
        <f>C171*VLOOKUP($A171,'Selector Sheet '!$B$13:$D$43,2,FALSE)</f>
        <v>0</v>
      </c>
      <c r="I171" s="1" t="s">
        <v>41</v>
      </c>
      <c r="J171" t="s">
        <v>849</v>
      </c>
      <c r="K171" s="4">
        <v>0.1282</v>
      </c>
      <c r="L171" s="6">
        <f>K171*VLOOKUP($I171,'Selector Sheet '!$B$13:$D$43,3,FALSE)</f>
        <v>0</v>
      </c>
    </row>
    <row r="172" spans="1:12">
      <c r="A172" s="1" t="s">
        <v>18</v>
      </c>
      <c r="B172" t="s">
        <v>1933</v>
      </c>
      <c r="C172" s="4">
        <v>0.0188</v>
      </c>
      <c r="D172" s="2">
        <f>C172*VLOOKUP($A172,'Selector Sheet '!$B$13:$D$43,2,FALSE)</f>
        <v>0</v>
      </c>
      <c r="E172" t="s">
        <v>2014</v>
      </c>
      <c r="F172" s="2">
        <f t="shared" si="4"/>
        <v>0</v>
      </c>
      <c r="G172" s="2">
        <f>C172*VLOOKUP($A172,'Selector Sheet '!$B$13:$D$43,2,FALSE)</f>
        <v>0</v>
      </c>
      <c r="I172" s="1" t="s">
        <v>41</v>
      </c>
      <c r="J172" t="s">
        <v>859</v>
      </c>
      <c r="K172" s="4">
        <v>0.0674</v>
      </c>
      <c r="L172" s="6">
        <f>K172*VLOOKUP($I172,'Selector Sheet '!$B$13:$D$43,3,FALSE)</f>
        <v>0</v>
      </c>
    </row>
    <row r="173" spans="1:12">
      <c r="A173" s="1" t="s">
        <v>18</v>
      </c>
      <c r="B173" t="s">
        <v>1939</v>
      </c>
      <c r="C173" s="4">
        <v>0.0204</v>
      </c>
      <c r="D173" s="2">
        <f>C173*VLOOKUP($A173,'Selector Sheet '!$B$13:$D$43,2,FALSE)</f>
        <v>0</v>
      </c>
      <c r="E173" t="s">
        <v>2015</v>
      </c>
      <c r="F173" s="2">
        <f t="shared" si="4"/>
        <v>0</v>
      </c>
      <c r="G173" s="2">
        <f>C173*VLOOKUP($A173,'Selector Sheet '!$B$13:$D$43,2,FALSE)</f>
        <v>0</v>
      </c>
      <c r="I173" s="1" t="s">
        <v>41</v>
      </c>
      <c r="J173" t="s">
        <v>1835</v>
      </c>
      <c r="K173" s="4">
        <v>0.1233</v>
      </c>
      <c r="L173" s="6">
        <f>K173*VLOOKUP($I173,'Selector Sheet '!$B$13:$D$43,3,FALSE)</f>
        <v>0</v>
      </c>
    </row>
    <row r="174" spans="1:12">
      <c r="A174" s="1" t="s">
        <v>18</v>
      </c>
      <c r="B174" t="s">
        <v>2016</v>
      </c>
      <c r="C174" s="4">
        <v>0.0201</v>
      </c>
      <c r="D174" s="2">
        <f>C174*VLOOKUP($A174,'Selector Sheet '!$B$13:$D$43,2,FALSE)</f>
        <v>0</v>
      </c>
      <c r="E174" t="s">
        <v>2017</v>
      </c>
      <c r="F174" s="2">
        <f t="shared" si="4"/>
        <v>0</v>
      </c>
      <c r="G174" s="2">
        <f>C174*VLOOKUP($A174,'Selector Sheet '!$B$13:$D$43,2,FALSE)</f>
        <v>0</v>
      </c>
      <c r="I174" s="1" t="s">
        <v>41</v>
      </c>
      <c r="J174" t="s">
        <v>1034</v>
      </c>
      <c r="K174" s="4">
        <v>0.0145</v>
      </c>
      <c r="L174" s="6">
        <f>K174*VLOOKUP($I174,'Selector Sheet '!$B$13:$D$43,3,FALSE)</f>
        <v>0</v>
      </c>
    </row>
    <row r="175" spans="1:12">
      <c r="A175" s="1" t="s">
        <v>37</v>
      </c>
      <c r="B175" s="7" t="s">
        <v>1823</v>
      </c>
      <c r="C175" s="8">
        <v>0.0936</v>
      </c>
      <c r="D175" s="2">
        <f>C175*VLOOKUP($A175,'Selector Sheet '!$B$13:$D$43,2,FALSE)</f>
        <v>0</v>
      </c>
      <c r="E175" t="s">
        <v>2018</v>
      </c>
      <c r="F175" s="2">
        <f t="shared" si="4"/>
        <v>0</v>
      </c>
      <c r="G175" s="2">
        <f>C175*VLOOKUP($A175,'Selector Sheet '!$B$13:$D$43,2,FALSE)</f>
        <v>0</v>
      </c>
      <c r="I175" s="1" t="s">
        <v>41</v>
      </c>
      <c r="J175" t="s">
        <v>1979</v>
      </c>
      <c r="K175" s="4">
        <v>0.0113</v>
      </c>
      <c r="L175" s="6">
        <f>K175*VLOOKUP($I175,'Selector Sheet '!$B$13:$D$43,3,FALSE)</f>
        <v>0</v>
      </c>
    </row>
    <row r="176" spans="1:12">
      <c r="A176" s="1" t="s">
        <v>37</v>
      </c>
      <c r="B176" s="7" t="s">
        <v>1848</v>
      </c>
      <c r="C176" s="8">
        <v>0.061</v>
      </c>
      <c r="D176" s="2">
        <f>C176*VLOOKUP($A176,'Selector Sheet '!$B$13:$D$43,2,FALSE)</f>
        <v>0</v>
      </c>
      <c r="E176" t="s">
        <v>2019</v>
      </c>
      <c r="F176" s="2">
        <f t="shared" si="4"/>
        <v>0</v>
      </c>
      <c r="G176" s="2">
        <f>C176*VLOOKUP($A176,'Selector Sheet '!$B$13:$D$43,2,FALSE)</f>
        <v>0</v>
      </c>
      <c r="I176" s="1" t="s">
        <v>36</v>
      </c>
      <c r="J176" t="s">
        <v>1824</v>
      </c>
      <c r="K176" s="4">
        <v>0.275</v>
      </c>
      <c r="L176" s="6">
        <f>K176*VLOOKUP($I176,'Selector Sheet '!$B$13:$D$43,3,FALSE)</f>
        <v>0</v>
      </c>
    </row>
    <row r="177" spans="1:12">
      <c r="A177" s="1" t="s">
        <v>37</v>
      </c>
      <c r="B177" s="7" t="s">
        <v>2020</v>
      </c>
      <c r="C177" s="8">
        <v>0.0534</v>
      </c>
      <c r="D177" s="2">
        <f>C177*VLOOKUP($A177,'Selector Sheet '!$B$13:$D$43,2,FALSE)</f>
        <v>0</v>
      </c>
      <c r="E177" t="s">
        <v>2021</v>
      </c>
      <c r="F177" s="2">
        <f t="shared" si="4"/>
        <v>0</v>
      </c>
      <c r="G177" s="2">
        <f>C177*VLOOKUP($A177,'Selector Sheet '!$B$13:$D$43,2,FALSE)</f>
        <v>0</v>
      </c>
      <c r="I177" s="1" t="s">
        <v>36</v>
      </c>
      <c r="J177" t="s">
        <v>1826</v>
      </c>
      <c r="K177" s="4">
        <v>0.089</v>
      </c>
      <c r="L177" s="6">
        <f>K177*VLOOKUP($I177,'Selector Sheet '!$B$13:$D$43,3,FALSE)</f>
        <v>0</v>
      </c>
    </row>
    <row r="178" spans="1:14">
      <c r="A178" s="1" t="s">
        <v>37</v>
      </c>
      <c r="B178" s="7" t="s">
        <v>1828</v>
      </c>
      <c r="C178" s="8">
        <v>0.0525</v>
      </c>
      <c r="D178" s="2">
        <f>C178*VLOOKUP($A178,'Selector Sheet '!$B$13:$D$43,2,FALSE)</f>
        <v>0</v>
      </c>
      <c r="E178" t="s">
        <v>2022</v>
      </c>
      <c r="F178" s="2">
        <f t="shared" si="4"/>
        <v>0</v>
      </c>
      <c r="G178" s="2">
        <f>C178*VLOOKUP($A178,'Selector Sheet '!$B$13:$D$43,2,FALSE)</f>
        <v>0</v>
      </c>
      <c r="I178" s="1" t="s">
        <v>36</v>
      </c>
      <c r="J178" t="s">
        <v>874</v>
      </c>
      <c r="K178" s="4">
        <v>0.014</v>
      </c>
      <c r="L178" s="6">
        <f>K178*VLOOKUP($I178,'Selector Sheet '!$B$13:$D$43,3,FALSE)</f>
        <v>0</v>
      </c>
      <c r="M178" s="6" t="e">
        <f>#REF!*VLOOKUP(#REF!,'Selector Sheet '!$B$13:$D$43,3,FALSE)</f>
        <v>#REF!</v>
      </c>
      <c r="N178" s="6" t="e">
        <f>M178*VLOOKUP(#REF!,'Selector Sheet '!$B$13:$D$43,3,FALSE)</f>
        <v>#REF!</v>
      </c>
    </row>
    <row r="179" spans="1:12">
      <c r="A179" s="1" t="s">
        <v>37</v>
      </c>
      <c r="B179" s="7" t="s">
        <v>1932</v>
      </c>
      <c r="C179" s="8">
        <v>0.0464</v>
      </c>
      <c r="D179" s="2">
        <f>C179*VLOOKUP($A179,'Selector Sheet '!$B$13:$D$43,2,FALSE)</f>
        <v>0</v>
      </c>
      <c r="E179" t="s">
        <v>2023</v>
      </c>
      <c r="F179" s="2">
        <f t="shared" si="4"/>
        <v>0</v>
      </c>
      <c r="G179" s="2">
        <f>C179*VLOOKUP($A179,'Selector Sheet '!$B$13:$D$43,2,FALSE)</f>
        <v>0</v>
      </c>
      <c r="I179" s="1" t="s">
        <v>36</v>
      </c>
      <c r="J179" t="s">
        <v>1829</v>
      </c>
      <c r="K179" s="4">
        <v>0.076</v>
      </c>
      <c r="L179" s="6">
        <f>K179*VLOOKUP($I179,'Selector Sheet '!$B$13:$D$43,3,FALSE)</f>
        <v>0</v>
      </c>
    </row>
    <row r="180" spans="1:12">
      <c r="A180" s="1" t="s">
        <v>37</v>
      </c>
      <c r="B180" s="7" t="s">
        <v>2024</v>
      </c>
      <c r="C180" s="8">
        <v>0.0455</v>
      </c>
      <c r="D180" s="2">
        <f>C180*VLOOKUP($A180,'Selector Sheet '!$B$13:$D$43,2,FALSE)</f>
        <v>0</v>
      </c>
      <c r="E180" t="s">
        <v>2025</v>
      </c>
      <c r="F180" s="2">
        <f t="shared" si="4"/>
        <v>0</v>
      </c>
      <c r="G180" s="2">
        <f>C180*VLOOKUP($A180,'Selector Sheet '!$B$13:$D$43,2,FALSE)</f>
        <v>0</v>
      </c>
      <c r="I180" s="1" t="s">
        <v>36</v>
      </c>
      <c r="J180" t="s">
        <v>1016</v>
      </c>
      <c r="K180" s="4">
        <v>0.022</v>
      </c>
      <c r="L180" s="6">
        <f>K180*VLOOKUP($I180,'Selector Sheet '!$B$13:$D$43,3,FALSE)</f>
        <v>0</v>
      </c>
    </row>
    <row r="181" spans="1:12">
      <c r="A181" s="1" t="s">
        <v>37</v>
      </c>
      <c r="B181" s="7" t="s">
        <v>2026</v>
      </c>
      <c r="C181" s="8">
        <v>0.0448</v>
      </c>
      <c r="D181" s="2">
        <f>C181*VLOOKUP($A181,'Selector Sheet '!$B$13:$D$43,2,FALSE)</f>
        <v>0</v>
      </c>
      <c r="E181" t="s">
        <v>2027</v>
      </c>
      <c r="F181" s="2">
        <f t="shared" si="4"/>
        <v>0</v>
      </c>
      <c r="G181" s="2">
        <f>C181*VLOOKUP($A181,'Selector Sheet '!$B$13:$D$43,2,FALSE)</f>
        <v>0</v>
      </c>
      <c r="I181" s="1" t="s">
        <v>36</v>
      </c>
      <c r="J181" t="s">
        <v>849</v>
      </c>
      <c r="K181" s="4">
        <v>0.128</v>
      </c>
      <c r="L181" s="6">
        <f>K181*VLOOKUP($I181,'Selector Sheet '!$B$13:$D$43,3,FALSE)</f>
        <v>0</v>
      </c>
    </row>
    <row r="182" spans="1:12">
      <c r="A182" s="1" t="s">
        <v>37</v>
      </c>
      <c r="B182" s="7" t="s">
        <v>2028</v>
      </c>
      <c r="C182" s="8">
        <v>0.0445</v>
      </c>
      <c r="D182" s="2">
        <f>C182*VLOOKUP($A182,'Selector Sheet '!$B$13:$D$43,2,FALSE)</f>
        <v>0</v>
      </c>
      <c r="E182" t="s">
        <v>2029</v>
      </c>
      <c r="F182" s="2">
        <f t="shared" si="4"/>
        <v>0</v>
      </c>
      <c r="G182" s="2">
        <f>C182*VLOOKUP($A182,'Selector Sheet '!$B$13:$D$43,2,FALSE)</f>
        <v>0</v>
      </c>
      <c r="I182" s="1" t="s">
        <v>36</v>
      </c>
      <c r="J182" t="s">
        <v>859</v>
      </c>
      <c r="K182" s="4">
        <v>0.104</v>
      </c>
      <c r="L182" s="6">
        <f>K182*VLOOKUP($I182,'Selector Sheet '!$B$13:$D$43,3,FALSE)</f>
        <v>0</v>
      </c>
    </row>
    <row r="183" spans="1:12">
      <c r="A183" s="1" t="s">
        <v>37</v>
      </c>
      <c r="B183" s="7" t="s">
        <v>2030</v>
      </c>
      <c r="C183" s="8">
        <v>0.037</v>
      </c>
      <c r="D183" s="2">
        <f>C183*VLOOKUP($A183,'Selector Sheet '!$B$13:$D$43,2,FALSE)</f>
        <v>0</v>
      </c>
      <c r="E183" t="s">
        <v>2031</v>
      </c>
      <c r="F183" s="2">
        <f t="shared" si="4"/>
        <v>0</v>
      </c>
      <c r="G183" s="2">
        <f>C183*VLOOKUP($A183,'Selector Sheet '!$B$13:$D$43,2,FALSE)</f>
        <v>0</v>
      </c>
      <c r="I183" s="1" t="s">
        <v>36</v>
      </c>
      <c r="J183" t="s">
        <v>1835</v>
      </c>
      <c r="K183" s="4">
        <v>0.092</v>
      </c>
      <c r="L183" s="6">
        <f>K183*VLOOKUP($I183,'Selector Sheet '!$B$13:$D$43,3,FALSE)</f>
        <v>0</v>
      </c>
    </row>
    <row r="184" spans="1:12">
      <c r="A184" s="1" t="s">
        <v>37</v>
      </c>
      <c r="B184" s="7" t="s">
        <v>2032</v>
      </c>
      <c r="C184" s="8">
        <v>0.0355</v>
      </c>
      <c r="D184" s="2">
        <f>C184*VLOOKUP($A184,'Selector Sheet '!$B$13:$D$43,2,FALSE)</f>
        <v>0</v>
      </c>
      <c r="E184" t="s">
        <v>2033</v>
      </c>
      <c r="F184" s="2">
        <f t="shared" si="4"/>
        <v>0</v>
      </c>
      <c r="G184" s="2">
        <f>C184*VLOOKUP($A184,'Selector Sheet '!$B$13:$D$43,2,FALSE)</f>
        <v>0</v>
      </c>
      <c r="I184" s="1" t="s">
        <v>36</v>
      </c>
      <c r="J184" t="s">
        <v>1034</v>
      </c>
      <c r="K184" s="4">
        <v>0.015</v>
      </c>
      <c r="L184" s="6">
        <f>K184*VLOOKUP($I184,'Selector Sheet '!$B$13:$D$43,3,FALSE)</f>
        <v>0</v>
      </c>
    </row>
    <row r="185" spans="1:12">
      <c r="A185" s="1" t="s">
        <v>37</v>
      </c>
      <c r="B185" s="7" t="s">
        <v>1934</v>
      </c>
      <c r="C185" s="8">
        <v>0.0353</v>
      </c>
      <c r="D185" s="2">
        <f>C185*VLOOKUP($A185,'Selector Sheet '!$B$13:$D$43,2,FALSE)</f>
        <v>0</v>
      </c>
      <c r="E185" t="s">
        <v>2034</v>
      </c>
      <c r="F185" s="2">
        <f t="shared" si="4"/>
        <v>0</v>
      </c>
      <c r="G185" s="2">
        <f>C185*VLOOKUP($A185,'Selector Sheet '!$B$13:$D$43,2,FALSE)</f>
        <v>0</v>
      </c>
      <c r="I185" s="1" t="s">
        <v>27</v>
      </c>
      <c r="J185" t="s">
        <v>874</v>
      </c>
      <c r="K185" s="4">
        <v>0.2362</v>
      </c>
      <c r="L185" s="6">
        <f>K185*VLOOKUP($I185,'Selector Sheet '!$B$13:$D$43,3,FALSE)</f>
        <v>0</v>
      </c>
    </row>
    <row r="186" spans="1:12">
      <c r="A186" s="1" t="s">
        <v>37</v>
      </c>
      <c r="B186" s="7" t="s">
        <v>1888</v>
      </c>
      <c r="C186" s="8">
        <v>0.0351</v>
      </c>
      <c r="D186" s="2">
        <f>C186*VLOOKUP($A186,'Selector Sheet '!$B$13:$D$43,2,FALSE)</f>
        <v>0</v>
      </c>
      <c r="E186" t="s">
        <v>2035</v>
      </c>
      <c r="F186" s="2">
        <f t="shared" si="4"/>
        <v>0</v>
      </c>
      <c r="G186" s="2">
        <f>C186*VLOOKUP($A186,'Selector Sheet '!$B$13:$D$43,2,FALSE)</f>
        <v>0</v>
      </c>
      <c r="I186" s="1" t="s">
        <v>27</v>
      </c>
      <c r="J186" t="s">
        <v>1824</v>
      </c>
      <c r="K186" s="4">
        <v>0.2329</v>
      </c>
      <c r="L186" s="6">
        <f>K186*VLOOKUP($I186,'Selector Sheet '!$B$13:$D$43,3,FALSE)</f>
        <v>0</v>
      </c>
    </row>
    <row r="187" spans="1:12">
      <c r="A187" s="1" t="s">
        <v>37</v>
      </c>
      <c r="B187" s="7" t="s">
        <v>2036</v>
      </c>
      <c r="C187" s="8">
        <v>0.035</v>
      </c>
      <c r="D187" s="2">
        <f>C187*VLOOKUP($A187,'Selector Sheet '!$B$13:$D$43,2,FALSE)</f>
        <v>0</v>
      </c>
      <c r="E187" t="s">
        <v>2037</v>
      </c>
      <c r="F187" s="2">
        <f t="shared" si="4"/>
        <v>0</v>
      </c>
      <c r="G187" s="2">
        <f>C187*VLOOKUP($A187,'Selector Sheet '!$B$13:$D$43,2,FALSE)</f>
        <v>0</v>
      </c>
      <c r="I187" s="1" t="s">
        <v>27</v>
      </c>
      <c r="J187" t="s">
        <v>859</v>
      </c>
      <c r="K187" s="4">
        <v>0.1381</v>
      </c>
      <c r="L187" s="6">
        <f>K187*VLOOKUP($I187,'Selector Sheet '!$B$13:$D$43,3,FALSE)</f>
        <v>0</v>
      </c>
    </row>
    <row r="188" spans="1:12">
      <c r="A188" s="1" t="s">
        <v>37</v>
      </c>
      <c r="B188" s="7" t="s">
        <v>1896</v>
      </c>
      <c r="C188" s="8">
        <v>0.0325</v>
      </c>
      <c r="D188" s="2">
        <f>C188*VLOOKUP($A188,'Selector Sheet '!$B$13:$D$43,2,FALSE)</f>
        <v>0</v>
      </c>
      <c r="E188" t="s">
        <v>2038</v>
      </c>
      <c r="F188" s="2">
        <f t="shared" si="4"/>
        <v>0</v>
      </c>
      <c r="G188" s="2">
        <f>C188*VLOOKUP($A188,'Selector Sheet '!$B$13:$D$43,2,FALSE)</f>
        <v>0</v>
      </c>
      <c r="I188" s="1" t="s">
        <v>27</v>
      </c>
      <c r="J188" t="s">
        <v>849</v>
      </c>
      <c r="K188" s="4">
        <v>0.1081</v>
      </c>
      <c r="L188" s="6">
        <f>K188*VLOOKUP($I188,'Selector Sheet '!$B$13:$D$43,3,FALSE)</f>
        <v>0</v>
      </c>
    </row>
    <row r="189" spans="1:12">
      <c r="A189" s="1" t="s">
        <v>37</v>
      </c>
      <c r="B189" s="7" t="s">
        <v>1831</v>
      </c>
      <c r="C189" s="8">
        <v>0.0314</v>
      </c>
      <c r="D189" s="2">
        <f>C189*VLOOKUP($A189,'Selector Sheet '!$B$13:$D$43,2,FALSE)</f>
        <v>0</v>
      </c>
      <c r="E189" t="s">
        <v>2039</v>
      </c>
      <c r="F189" s="2">
        <f t="shared" si="4"/>
        <v>0</v>
      </c>
      <c r="G189" s="2">
        <f>C189*VLOOKUP($A189,'Selector Sheet '!$B$13:$D$43,2,FALSE)</f>
        <v>0</v>
      </c>
      <c r="I189" s="1" t="s">
        <v>27</v>
      </c>
      <c r="J189" t="s">
        <v>1016</v>
      </c>
      <c r="K189" s="4">
        <v>0.0734</v>
      </c>
      <c r="L189" s="6">
        <f>K189*VLOOKUP($I189,'Selector Sheet '!$B$13:$D$43,3,FALSE)</f>
        <v>0</v>
      </c>
    </row>
    <row r="190" spans="1:12">
      <c r="A190" s="1" t="s">
        <v>37</v>
      </c>
      <c r="B190" s="7" t="s">
        <v>2040</v>
      </c>
      <c r="C190" s="8">
        <v>0.0301</v>
      </c>
      <c r="D190" s="2">
        <f>C190*VLOOKUP($A190,'Selector Sheet '!$B$13:$D$43,2,FALSE)</f>
        <v>0</v>
      </c>
      <c r="E190" t="s">
        <v>2041</v>
      </c>
      <c r="F190" s="2">
        <f t="shared" si="4"/>
        <v>0</v>
      </c>
      <c r="G190" s="2">
        <f>C190*VLOOKUP($A190,'Selector Sheet '!$B$13:$D$43,2,FALSE)</f>
        <v>0</v>
      </c>
      <c r="I190" s="1" t="s">
        <v>27</v>
      </c>
      <c r="J190" t="s">
        <v>1829</v>
      </c>
      <c r="K190" s="4">
        <v>0.058</v>
      </c>
      <c r="L190" s="6">
        <f>K190*VLOOKUP($I190,'Selector Sheet '!$B$13:$D$43,3,FALSE)</f>
        <v>0</v>
      </c>
    </row>
    <row r="191" spans="1:12">
      <c r="A191" s="1" t="s">
        <v>37</v>
      </c>
      <c r="B191" s="7" t="s">
        <v>1937</v>
      </c>
      <c r="C191" s="8">
        <v>0.0294</v>
      </c>
      <c r="D191" s="2">
        <f>C191*VLOOKUP($A191,'Selector Sheet '!$B$13:$D$43,2,FALSE)</f>
        <v>0</v>
      </c>
      <c r="E191" t="s">
        <v>2042</v>
      </c>
      <c r="F191" s="2">
        <f t="shared" si="4"/>
        <v>0</v>
      </c>
      <c r="G191" s="2">
        <f>C191*VLOOKUP($A191,'Selector Sheet '!$B$13:$D$43,2,FALSE)</f>
        <v>0</v>
      </c>
      <c r="I191" s="1" t="s">
        <v>27</v>
      </c>
      <c r="J191" t="s">
        <v>1826</v>
      </c>
      <c r="K191" s="4">
        <v>0.0507</v>
      </c>
      <c r="L191" s="6">
        <f>K191*VLOOKUP($I191,'Selector Sheet '!$B$13:$D$43,3,FALSE)</f>
        <v>0</v>
      </c>
    </row>
    <row r="192" spans="1:12">
      <c r="A192" s="1" t="s">
        <v>37</v>
      </c>
      <c r="B192" s="7" t="s">
        <v>2043</v>
      </c>
      <c r="C192" s="8">
        <v>0.0288</v>
      </c>
      <c r="D192" s="2">
        <f>C192*VLOOKUP($A192,'Selector Sheet '!$B$13:$D$43,2,FALSE)</f>
        <v>0</v>
      </c>
      <c r="E192" t="s">
        <v>2044</v>
      </c>
      <c r="F192" s="2">
        <f t="shared" si="4"/>
        <v>0</v>
      </c>
      <c r="G192" s="2">
        <f>C192*VLOOKUP($A192,'Selector Sheet '!$B$13:$D$43,2,FALSE)</f>
        <v>0</v>
      </c>
      <c r="I192" s="1" t="s">
        <v>27</v>
      </c>
      <c r="J192" t="s">
        <v>1835</v>
      </c>
      <c r="K192" s="4">
        <v>0.0472</v>
      </c>
      <c r="L192" s="6">
        <f>K192*VLOOKUP($I192,'Selector Sheet '!$B$13:$D$43,3,FALSE)</f>
        <v>0</v>
      </c>
    </row>
    <row r="193" spans="1:7">
      <c r="A193" s="1" t="s">
        <v>37</v>
      </c>
      <c r="B193" s="7" t="s">
        <v>1939</v>
      </c>
      <c r="C193" s="8">
        <v>0.0283</v>
      </c>
      <c r="D193" s="2">
        <f>C193*VLOOKUP($A193,'Selector Sheet '!$B$13:$D$43,2,FALSE)</f>
        <v>0</v>
      </c>
      <c r="E193" t="s">
        <v>2045</v>
      </c>
      <c r="F193" s="2">
        <f t="shared" si="4"/>
        <v>0</v>
      </c>
      <c r="G193" s="2">
        <f>C193*VLOOKUP($A193,'Selector Sheet '!$B$13:$D$43,2,FALSE)</f>
        <v>0</v>
      </c>
    </row>
    <row r="194" spans="1:7">
      <c r="A194" s="1" t="s">
        <v>37</v>
      </c>
      <c r="B194" s="7" t="s">
        <v>2046</v>
      </c>
      <c r="C194" s="8">
        <v>0.0269</v>
      </c>
      <c r="D194" s="2">
        <f>C194*VLOOKUP($A194,'Selector Sheet '!$B$13:$D$43,2,FALSE)</f>
        <v>0</v>
      </c>
      <c r="E194" t="s">
        <v>2047</v>
      </c>
      <c r="F194" s="2">
        <f t="shared" ref="F194:F223" si="5">SUMIF($B$2:$B$305,E194,$D$2:$D$305)</f>
        <v>0</v>
      </c>
      <c r="G194" s="2">
        <f>C194*VLOOKUP($A194,'Selector Sheet '!$B$13:$D$43,2,FALSE)</f>
        <v>0</v>
      </c>
    </row>
    <row r="195" spans="1:7">
      <c r="A195" s="1" t="s">
        <v>37</v>
      </c>
      <c r="B195" s="7" t="s">
        <v>1081</v>
      </c>
      <c r="C195" s="8">
        <v>0.0264</v>
      </c>
      <c r="D195" s="2">
        <f>C195*VLOOKUP($A195,'Selector Sheet '!$B$13:$D$43,2,FALSE)</f>
        <v>0</v>
      </c>
      <c r="E195" t="s">
        <v>2048</v>
      </c>
      <c r="F195" s="2">
        <f t="shared" si="5"/>
        <v>0</v>
      </c>
      <c r="G195" s="2">
        <f>C195*VLOOKUP($A195,'Selector Sheet '!$B$13:$D$43,2,FALSE)</f>
        <v>0</v>
      </c>
    </row>
    <row r="196" spans="1:7">
      <c r="A196" s="1" t="s">
        <v>37</v>
      </c>
      <c r="B196" s="7" t="s">
        <v>2049</v>
      </c>
      <c r="C196" s="8">
        <v>0.0258</v>
      </c>
      <c r="D196" s="2">
        <f>C196*VLOOKUP($A196,'Selector Sheet '!$B$13:$D$43,2,FALSE)</f>
        <v>0</v>
      </c>
      <c r="E196" t="s">
        <v>2050</v>
      </c>
      <c r="F196" s="2">
        <f t="shared" si="5"/>
        <v>0</v>
      </c>
      <c r="G196" s="2">
        <f>C196*VLOOKUP($A196,'Selector Sheet '!$B$13:$D$43,2,FALSE)</f>
        <v>0</v>
      </c>
    </row>
    <row r="197" spans="1:7">
      <c r="A197" s="1" t="s">
        <v>37</v>
      </c>
      <c r="B197" s="7" t="s">
        <v>1913</v>
      </c>
      <c r="C197" s="8">
        <v>0.0252</v>
      </c>
      <c r="D197" s="2">
        <f>C197*VLOOKUP($A197,'Selector Sheet '!$B$13:$D$43,2,FALSE)</f>
        <v>0</v>
      </c>
      <c r="E197" t="s">
        <v>2051</v>
      </c>
      <c r="F197" s="2">
        <f t="shared" si="5"/>
        <v>0</v>
      </c>
      <c r="G197" s="2">
        <f>C197*VLOOKUP($A197,'Selector Sheet '!$B$13:$D$43,2,FALSE)</f>
        <v>0</v>
      </c>
    </row>
    <row r="198" spans="1:7">
      <c r="A198" s="1" t="s">
        <v>37</v>
      </c>
      <c r="B198" s="7" t="s">
        <v>2052</v>
      </c>
      <c r="C198" s="8">
        <v>0.0202</v>
      </c>
      <c r="D198" s="2">
        <f>C198*VLOOKUP($A198,'Selector Sheet '!$B$13:$D$43,2,FALSE)</f>
        <v>0</v>
      </c>
      <c r="E198" t="s">
        <v>1966</v>
      </c>
      <c r="F198" s="2" t="e">
        <f t="shared" si="5"/>
        <v>#N/A</v>
      </c>
      <c r="G198" s="2">
        <f>C198*VLOOKUP($A198,'Selector Sheet '!$B$13:$D$43,2,FALSE)</f>
        <v>0</v>
      </c>
    </row>
    <row r="199" spans="1:7">
      <c r="A199" s="1" t="s">
        <v>37</v>
      </c>
      <c r="B199" s="7" t="s">
        <v>2053</v>
      </c>
      <c r="C199" s="8">
        <v>0.0201</v>
      </c>
      <c r="D199" s="2">
        <f>C199*VLOOKUP($A199,'Selector Sheet '!$B$13:$D$43,2,FALSE)</f>
        <v>0</v>
      </c>
      <c r="E199" t="s">
        <v>2054</v>
      </c>
      <c r="F199" s="2">
        <f t="shared" si="5"/>
        <v>0</v>
      </c>
      <c r="G199" s="2">
        <f>C199*VLOOKUP($A199,'Selector Sheet '!$B$13:$D$43,2,FALSE)</f>
        <v>0</v>
      </c>
    </row>
    <row r="200" spans="1:7">
      <c r="A200" s="1" t="s">
        <v>37</v>
      </c>
      <c r="B200" s="7" t="s">
        <v>2055</v>
      </c>
      <c r="C200" s="8">
        <v>0.0196</v>
      </c>
      <c r="D200" s="2">
        <f>C200*VLOOKUP($A200,'Selector Sheet '!$B$13:$D$43,2,FALSE)</f>
        <v>0</v>
      </c>
      <c r="E200" t="s">
        <v>2056</v>
      </c>
      <c r="F200" s="2">
        <f t="shared" si="5"/>
        <v>0</v>
      </c>
      <c r="G200" s="2">
        <f>C200*VLOOKUP($A200,'Selector Sheet '!$B$13:$D$43,2,FALSE)</f>
        <v>0</v>
      </c>
    </row>
    <row r="201" spans="1:7">
      <c r="A201" s="1" t="s">
        <v>37</v>
      </c>
      <c r="B201" s="7" t="s">
        <v>2057</v>
      </c>
      <c r="C201" s="8">
        <v>0.0192</v>
      </c>
      <c r="D201" s="2">
        <f>C201*VLOOKUP($A201,'Selector Sheet '!$B$13:$D$43,2,FALSE)</f>
        <v>0</v>
      </c>
      <c r="E201" t="s">
        <v>2058</v>
      </c>
      <c r="F201" s="2">
        <f t="shared" si="5"/>
        <v>0</v>
      </c>
      <c r="G201" s="2">
        <f>C201*VLOOKUP($A201,'Selector Sheet '!$B$13:$D$43,2,FALSE)</f>
        <v>0</v>
      </c>
    </row>
    <row r="202" spans="1:7">
      <c r="A202" s="1" t="s">
        <v>37</v>
      </c>
      <c r="B202" s="7" t="s">
        <v>2059</v>
      </c>
      <c r="C202" s="8">
        <v>0.015</v>
      </c>
      <c r="D202" s="2">
        <f>C202*VLOOKUP($A202,'Selector Sheet '!$B$13:$D$43,2,FALSE)</f>
        <v>0</v>
      </c>
      <c r="E202" t="s">
        <v>2060</v>
      </c>
      <c r="F202" s="2">
        <f t="shared" si="5"/>
        <v>0</v>
      </c>
      <c r="G202" s="2">
        <f>C202*VLOOKUP($A202,'Selector Sheet '!$B$13:$D$43,2,FALSE)</f>
        <v>0</v>
      </c>
    </row>
    <row r="203" spans="1:7">
      <c r="A203" s="1" t="s">
        <v>1921</v>
      </c>
      <c r="B203" t="s">
        <v>1823</v>
      </c>
      <c r="C203" s="4">
        <v>0.0913</v>
      </c>
      <c r="D203" s="2" t="e">
        <f>C203*VLOOKUP($A203,'Selector Sheet '!$B$13:$D$43,2,FALSE)</f>
        <v>#N/A</v>
      </c>
      <c r="E203" t="s">
        <v>2061</v>
      </c>
      <c r="F203" s="2">
        <f t="shared" si="5"/>
        <v>0</v>
      </c>
      <c r="G203" s="2" t="e">
        <f>C203*VLOOKUP($A203,'Selector Sheet '!$B$13:$D$43,2,FALSE)</f>
        <v>#N/A</v>
      </c>
    </row>
    <row r="204" spans="1:7">
      <c r="A204" s="1" t="s">
        <v>1921</v>
      </c>
      <c r="B204" t="s">
        <v>1825</v>
      </c>
      <c r="C204" s="4">
        <v>0.0807</v>
      </c>
      <c r="D204" s="2" t="e">
        <f>C204*VLOOKUP($A204,'Selector Sheet '!$B$13:$D$43,2,FALSE)</f>
        <v>#N/A</v>
      </c>
      <c r="E204" t="s">
        <v>2062</v>
      </c>
      <c r="F204" s="2">
        <f t="shared" si="5"/>
        <v>0</v>
      </c>
      <c r="G204" s="2" t="e">
        <f>C204*VLOOKUP($A204,'Selector Sheet '!$B$13:$D$43,2,FALSE)</f>
        <v>#N/A</v>
      </c>
    </row>
    <row r="205" spans="1:7">
      <c r="A205" s="1" t="s">
        <v>1921</v>
      </c>
      <c r="B205" t="s">
        <v>1828</v>
      </c>
      <c r="C205" s="4">
        <v>0.0506</v>
      </c>
      <c r="D205" s="2" t="e">
        <f>C205*VLOOKUP($A205,'Selector Sheet '!$B$13:$D$43,2,FALSE)</f>
        <v>#N/A</v>
      </c>
      <c r="E205" t="s">
        <v>2063</v>
      </c>
      <c r="F205" s="2">
        <f t="shared" si="5"/>
        <v>0</v>
      </c>
      <c r="G205" s="2" t="e">
        <f>C205*VLOOKUP($A205,'Selector Sheet '!$B$13:$D$43,2,FALSE)</f>
        <v>#N/A</v>
      </c>
    </row>
    <row r="206" spans="1:7">
      <c r="A206" s="1" t="s">
        <v>1921</v>
      </c>
      <c r="B206" t="s">
        <v>1827</v>
      </c>
      <c r="C206" s="4">
        <v>0.0487</v>
      </c>
      <c r="D206" s="2" t="e">
        <f>C206*VLOOKUP($A206,'Selector Sheet '!$B$13:$D$43,2,FALSE)</f>
        <v>#N/A</v>
      </c>
      <c r="E206" t="s">
        <v>2064</v>
      </c>
      <c r="F206" s="2">
        <f t="shared" si="5"/>
        <v>0</v>
      </c>
      <c r="G206" s="2" t="e">
        <f>C206*VLOOKUP($A206,'Selector Sheet '!$B$13:$D$43,2,FALSE)</f>
        <v>#N/A</v>
      </c>
    </row>
    <row r="207" spans="1:7">
      <c r="A207" s="1" t="s">
        <v>1921</v>
      </c>
      <c r="B207" t="s">
        <v>1831</v>
      </c>
      <c r="C207" s="4">
        <v>0.0395</v>
      </c>
      <c r="D207" s="2" t="e">
        <f>C207*VLOOKUP($A207,'Selector Sheet '!$B$13:$D$43,2,FALSE)</f>
        <v>#N/A</v>
      </c>
      <c r="E207" t="s">
        <v>2065</v>
      </c>
      <c r="F207" s="2">
        <f t="shared" si="5"/>
        <v>0</v>
      </c>
      <c r="G207" s="2" t="e">
        <f>C207*VLOOKUP($A207,'Selector Sheet '!$B$13:$D$43,2,FALSE)</f>
        <v>#N/A</v>
      </c>
    </row>
    <row r="208" spans="1:7">
      <c r="A208" s="1" t="s">
        <v>1921</v>
      </c>
      <c r="B208" t="s">
        <v>1830</v>
      </c>
      <c r="C208" s="4">
        <v>0.0339</v>
      </c>
      <c r="D208" s="2" t="e">
        <f>C208*VLOOKUP($A208,'Selector Sheet '!$B$13:$D$43,2,FALSE)</f>
        <v>#N/A</v>
      </c>
      <c r="E208" t="s">
        <v>2066</v>
      </c>
      <c r="F208" s="2">
        <f t="shared" si="5"/>
        <v>0</v>
      </c>
      <c r="G208" s="2" t="e">
        <f>C208*VLOOKUP($A208,'Selector Sheet '!$B$13:$D$43,2,FALSE)</f>
        <v>#N/A</v>
      </c>
    </row>
    <row r="209" spans="1:7">
      <c r="A209" s="1" t="s">
        <v>1921</v>
      </c>
      <c r="B209" t="s">
        <v>1836</v>
      </c>
      <c r="C209" s="4">
        <v>0.0302</v>
      </c>
      <c r="D209" s="2" t="e">
        <f>C209*VLOOKUP($A209,'Selector Sheet '!$B$13:$D$43,2,FALSE)</f>
        <v>#N/A</v>
      </c>
      <c r="E209" t="s">
        <v>2067</v>
      </c>
      <c r="F209" s="2">
        <f t="shared" si="5"/>
        <v>0</v>
      </c>
      <c r="G209" s="2" t="e">
        <f>C209*VLOOKUP($A209,'Selector Sheet '!$B$13:$D$43,2,FALSE)</f>
        <v>#N/A</v>
      </c>
    </row>
    <row r="210" spans="1:7">
      <c r="A210" s="1" t="s">
        <v>1921</v>
      </c>
      <c r="B210" t="s">
        <v>1845</v>
      </c>
      <c r="C210" s="4">
        <v>0.0302</v>
      </c>
      <c r="D210" s="2" t="e">
        <f>C210*VLOOKUP($A210,'Selector Sheet '!$B$13:$D$43,2,FALSE)</f>
        <v>#N/A</v>
      </c>
      <c r="E210" t="s">
        <v>2068</v>
      </c>
      <c r="F210" s="2">
        <f t="shared" si="5"/>
        <v>0</v>
      </c>
      <c r="G210" s="2" t="e">
        <f>C210*VLOOKUP($A210,'Selector Sheet '!$B$13:$D$43,2,FALSE)</f>
        <v>#N/A</v>
      </c>
    </row>
    <row r="211" spans="1:7">
      <c r="A211" s="1" t="s">
        <v>1921</v>
      </c>
      <c r="B211" t="s">
        <v>1832</v>
      </c>
      <c r="C211" s="4">
        <v>0.03</v>
      </c>
      <c r="D211" s="2" t="e">
        <f>C211*VLOOKUP($A211,'Selector Sheet '!$B$13:$D$43,2,FALSE)</f>
        <v>#N/A</v>
      </c>
      <c r="E211" t="s">
        <v>2069</v>
      </c>
      <c r="F211" s="2">
        <f t="shared" si="5"/>
        <v>0</v>
      </c>
      <c r="G211" s="2" t="e">
        <f>C211*VLOOKUP($A211,'Selector Sheet '!$B$13:$D$43,2,FALSE)</f>
        <v>#N/A</v>
      </c>
    </row>
    <row r="212" spans="1:7">
      <c r="A212" s="1" t="s">
        <v>1921</v>
      </c>
      <c r="B212" t="s">
        <v>1842</v>
      </c>
      <c r="C212" s="4">
        <v>0.0278</v>
      </c>
      <c r="D212" s="2" t="e">
        <f>C212*VLOOKUP($A212,'Selector Sheet '!$B$13:$D$43,2,FALSE)</f>
        <v>#N/A</v>
      </c>
      <c r="E212" t="s">
        <v>2070</v>
      </c>
      <c r="F212" s="2">
        <f t="shared" si="5"/>
        <v>0</v>
      </c>
      <c r="G212" s="2" t="e">
        <f>C212*VLOOKUP($A212,'Selector Sheet '!$B$13:$D$43,2,FALSE)</f>
        <v>#N/A</v>
      </c>
    </row>
    <row r="213" spans="1:7">
      <c r="A213" s="1" t="s">
        <v>1921</v>
      </c>
      <c r="B213" t="s">
        <v>1839</v>
      </c>
      <c r="C213" s="4">
        <v>0.0261</v>
      </c>
      <c r="D213" s="2" t="e">
        <f>C213*VLOOKUP($A213,'Selector Sheet '!$B$13:$D$43,2,FALSE)</f>
        <v>#N/A</v>
      </c>
      <c r="E213" t="s">
        <v>2071</v>
      </c>
      <c r="F213" s="2">
        <f t="shared" si="5"/>
        <v>0</v>
      </c>
      <c r="G213" s="2" t="e">
        <f>C213*VLOOKUP($A213,'Selector Sheet '!$B$13:$D$43,2,FALSE)</f>
        <v>#N/A</v>
      </c>
    </row>
    <row r="214" spans="1:7">
      <c r="A214" s="1" t="s">
        <v>1921</v>
      </c>
      <c r="B214" t="s">
        <v>1833</v>
      </c>
      <c r="C214" s="4">
        <v>0.0257</v>
      </c>
      <c r="D214" s="2" t="e">
        <f>C214*VLOOKUP($A214,'Selector Sheet '!$B$13:$D$43,2,FALSE)</f>
        <v>#N/A</v>
      </c>
      <c r="E214" t="s">
        <v>2072</v>
      </c>
      <c r="F214" s="2">
        <f t="shared" si="5"/>
        <v>0</v>
      </c>
      <c r="G214" s="2" t="e">
        <f>C214*VLOOKUP($A214,'Selector Sheet '!$B$13:$D$43,2,FALSE)</f>
        <v>#N/A</v>
      </c>
    </row>
    <row r="215" spans="1:7">
      <c r="A215" s="1" t="s">
        <v>1921</v>
      </c>
      <c r="B215" t="s">
        <v>1834</v>
      </c>
      <c r="C215" s="4">
        <v>0.0251</v>
      </c>
      <c r="D215" s="2" t="e">
        <f>C215*VLOOKUP($A215,'Selector Sheet '!$B$13:$D$43,2,FALSE)</f>
        <v>#N/A</v>
      </c>
      <c r="F215" s="2">
        <f t="shared" si="5"/>
        <v>0</v>
      </c>
      <c r="G215" s="2" t="e">
        <f>C215*VLOOKUP($A215,'Selector Sheet '!$B$13:$D$43,2,FALSE)</f>
        <v>#N/A</v>
      </c>
    </row>
    <row r="216" spans="1:7">
      <c r="A216" s="1" t="s">
        <v>1921</v>
      </c>
      <c r="B216" t="s">
        <v>1852</v>
      </c>
      <c r="C216" s="4">
        <v>0.0218</v>
      </c>
      <c r="D216" s="2" t="e">
        <f>C216*VLOOKUP($A216,'Selector Sheet '!$B$13:$D$43,2,FALSE)</f>
        <v>#N/A</v>
      </c>
      <c r="F216" s="2">
        <f t="shared" si="5"/>
        <v>0</v>
      </c>
      <c r="G216" s="2" t="e">
        <f>C216*VLOOKUP($A216,'Selector Sheet '!$B$13:$D$43,2,FALSE)</f>
        <v>#N/A</v>
      </c>
    </row>
    <row r="217" spans="1:7">
      <c r="A217" s="1" t="s">
        <v>1921</v>
      </c>
      <c r="B217" t="s">
        <v>1840</v>
      </c>
      <c r="C217" s="4">
        <v>0.0205</v>
      </c>
      <c r="D217" s="2" t="e">
        <f>C217*VLOOKUP($A217,'Selector Sheet '!$B$13:$D$43,2,FALSE)</f>
        <v>#N/A</v>
      </c>
      <c r="F217" s="2">
        <f t="shared" si="5"/>
        <v>0</v>
      </c>
      <c r="G217" s="2" t="e">
        <f>C217*VLOOKUP($A217,'Selector Sheet '!$B$13:$D$43,2,FALSE)</f>
        <v>#N/A</v>
      </c>
    </row>
    <row r="218" spans="1:7">
      <c r="A218" s="1" t="s">
        <v>1921</v>
      </c>
      <c r="B218" t="s">
        <v>1859</v>
      </c>
      <c r="C218" s="4">
        <v>0.0198</v>
      </c>
      <c r="D218" s="2" t="e">
        <f>C218*VLOOKUP($A218,'Selector Sheet '!$B$13:$D$43,2,FALSE)</f>
        <v>#N/A</v>
      </c>
      <c r="F218" s="2">
        <f t="shared" si="5"/>
        <v>0</v>
      </c>
      <c r="G218" s="2" t="e">
        <f>C218*VLOOKUP($A218,'Selector Sheet '!$B$13:$D$43,2,FALSE)</f>
        <v>#N/A</v>
      </c>
    </row>
    <row r="219" spans="1:7">
      <c r="A219" s="1" t="s">
        <v>1921</v>
      </c>
      <c r="B219" t="s">
        <v>1841</v>
      </c>
      <c r="C219" s="4">
        <v>0.0181</v>
      </c>
      <c r="D219" s="2" t="e">
        <f>C219*VLOOKUP($A219,'Selector Sheet '!$B$13:$D$43,2,FALSE)</f>
        <v>#N/A</v>
      </c>
      <c r="F219" s="2">
        <f t="shared" si="5"/>
        <v>0</v>
      </c>
      <c r="G219" s="2" t="e">
        <f>C219*VLOOKUP($A219,'Selector Sheet '!$B$13:$D$43,2,FALSE)</f>
        <v>#N/A</v>
      </c>
    </row>
    <row r="220" spans="1:7">
      <c r="A220" s="1" t="s">
        <v>1921</v>
      </c>
      <c r="B220" t="s">
        <v>1868</v>
      </c>
      <c r="C220" s="4">
        <v>0.0158</v>
      </c>
      <c r="D220" s="2" t="e">
        <f>C220*VLOOKUP($A220,'Selector Sheet '!$B$13:$D$43,2,FALSE)</f>
        <v>#N/A</v>
      </c>
      <c r="F220" s="2">
        <f t="shared" si="5"/>
        <v>0</v>
      </c>
      <c r="G220" s="2" t="e">
        <f>C220*VLOOKUP($A220,'Selector Sheet '!$B$13:$D$43,2,FALSE)</f>
        <v>#N/A</v>
      </c>
    </row>
    <row r="221" spans="1:7">
      <c r="A221" s="1" t="s">
        <v>1921</v>
      </c>
      <c r="B221" t="s">
        <v>1846</v>
      </c>
      <c r="C221" s="4">
        <v>0.0152</v>
      </c>
      <c r="D221" s="2" t="e">
        <f>C221*VLOOKUP($A221,'Selector Sheet '!$B$13:$D$43,2,FALSE)</f>
        <v>#N/A</v>
      </c>
      <c r="F221" s="2">
        <f t="shared" si="5"/>
        <v>0</v>
      </c>
      <c r="G221" s="2" t="e">
        <f>C221*VLOOKUP($A221,'Selector Sheet '!$B$13:$D$43,2,FALSE)</f>
        <v>#N/A</v>
      </c>
    </row>
    <row r="222" spans="1:7">
      <c r="A222" s="1" t="s">
        <v>1921</v>
      </c>
      <c r="B222" t="s">
        <v>1866</v>
      </c>
      <c r="C222" s="4">
        <v>0.0151</v>
      </c>
      <c r="D222" s="2" t="e">
        <f>C222*VLOOKUP($A222,'Selector Sheet '!$B$13:$D$43,2,FALSE)</f>
        <v>#N/A</v>
      </c>
      <c r="F222" s="2">
        <f t="shared" si="5"/>
        <v>0</v>
      </c>
      <c r="G222" s="2" t="e">
        <f>C222*VLOOKUP($A222,'Selector Sheet '!$B$13:$D$43,2,FALSE)</f>
        <v>#N/A</v>
      </c>
    </row>
    <row r="223" spans="1:7">
      <c r="A223" s="1" t="s">
        <v>1921</v>
      </c>
      <c r="B223" t="s">
        <v>1843</v>
      </c>
      <c r="C223" s="4">
        <v>0.0142</v>
      </c>
      <c r="D223" s="2" t="e">
        <f>C223*VLOOKUP($A223,'Selector Sheet '!$B$13:$D$43,2,FALSE)</f>
        <v>#N/A</v>
      </c>
      <c r="F223" s="2">
        <f t="shared" si="5"/>
        <v>0</v>
      </c>
      <c r="G223" s="2" t="e">
        <f>C223*VLOOKUP($A223,'Selector Sheet '!$B$13:$D$43,2,FALSE)</f>
        <v>#N/A</v>
      </c>
    </row>
    <row r="224" spans="1:7">
      <c r="A224" s="1" t="s">
        <v>1921</v>
      </c>
      <c r="B224" t="s">
        <v>1838</v>
      </c>
      <c r="C224" s="4">
        <v>0.014</v>
      </c>
      <c r="D224" s="2" t="e">
        <f>C224*VLOOKUP($A224,'Selector Sheet '!$B$13:$D$43,2,FALSE)</f>
        <v>#N/A</v>
      </c>
      <c r="F224" s="2"/>
      <c r="G224" s="2" t="e">
        <f>C224*VLOOKUP($A224,'Selector Sheet '!$B$13:$D$43,2,FALSE)</f>
        <v>#N/A</v>
      </c>
    </row>
    <row r="225" spans="1:7">
      <c r="A225" s="1" t="s">
        <v>1921</v>
      </c>
      <c r="B225" t="s">
        <v>1848</v>
      </c>
      <c r="C225" s="4">
        <v>0.0139</v>
      </c>
      <c r="D225" s="2" t="e">
        <f>C225*VLOOKUP($A225,'Selector Sheet '!$B$13:$D$43,2,FALSE)</f>
        <v>#N/A</v>
      </c>
      <c r="F225" s="2"/>
      <c r="G225" s="2" t="e">
        <f>C225*VLOOKUP($A225,'Selector Sheet '!$B$13:$D$43,2,FALSE)</f>
        <v>#N/A</v>
      </c>
    </row>
    <row r="226" spans="1:7">
      <c r="A226" s="1" t="s">
        <v>1921</v>
      </c>
      <c r="B226" t="s">
        <v>1967</v>
      </c>
      <c r="C226" s="4">
        <v>0.0139</v>
      </c>
      <c r="D226" s="2" t="e">
        <f>C226*VLOOKUP($A226,'Selector Sheet '!$B$13:$D$43,2,FALSE)</f>
        <v>#N/A</v>
      </c>
      <c r="F226" s="2"/>
      <c r="G226" s="2" t="e">
        <f>C226*VLOOKUP($A226,'Selector Sheet '!$B$13:$D$43,2,FALSE)</f>
        <v>#N/A</v>
      </c>
    </row>
    <row r="227" spans="1:7">
      <c r="A227" s="1" t="s">
        <v>1921</v>
      </c>
      <c r="B227" t="s">
        <v>1908</v>
      </c>
      <c r="C227" s="4">
        <v>0.0138</v>
      </c>
      <c r="D227" s="2" t="e">
        <f>C227*VLOOKUP($A227,'Selector Sheet '!$B$13:$D$43,2,FALSE)</f>
        <v>#N/A</v>
      </c>
      <c r="F227" s="2">
        <f t="shared" ref="F227:F258" si="6">SUMIF($B$2:$B$305,E227,$D$2:$D$305)</f>
        <v>0</v>
      </c>
      <c r="G227" s="2" t="e">
        <f>C227*VLOOKUP($A227,'Selector Sheet '!$B$13:$D$43,2,FALSE)</f>
        <v>#N/A</v>
      </c>
    </row>
    <row r="228" spans="1:7">
      <c r="A228" s="1" t="s">
        <v>1949</v>
      </c>
      <c r="B228" t="s">
        <v>1823</v>
      </c>
      <c r="C228" s="52">
        <v>0.0843</v>
      </c>
      <c r="D228" s="2" t="e">
        <f>C228*VLOOKUP($A228,'Selector Sheet '!$B$13:$D$43,2,FALSE)</f>
        <v>#N/A</v>
      </c>
      <c r="F228" s="2">
        <f t="shared" si="6"/>
        <v>0</v>
      </c>
      <c r="G228" s="2" t="e">
        <f>C228*VLOOKUP($A228,'Selector Sheet '!$B$13:$D$43,2,FALSE)</f>
        <v>#N/A</v>
      </c>
    </row>
    <row r="229" spans="1:7">
      <c r="A229" s="1" t="s">
        <v>1949</v>
      </c>
      <c r="B229" t="s">
        <v>1984</v>
      </c>
      <c r="C229" s="52">
        <v>0.07</v>
      </c>
      <c r="D229" s="2" t="e">
        <f>C229*VLOOKUP($A229,'Selector Sheet '!$B$13:$D$43,2,FALSE)</f>
        <v>#N/A</v>
      </c>
      <c r="F229" s="2">
        <f t="shared" si="6"/>
        <v>0</v>
      </c>
      <c r="G229" s="2" t="e">
        <f>C229*VLOOKUP($A229,'Selector Sheet '!$B$13:$D$43,2,FALSE)</f>
        <v>#N/A</v>
      </c>
    </row>
    <row r="230" spans="1:7">
      <c r="A230" s="1" t="s">
        <v>1949</v>
      </c>
      <c r="B230" t="s">
        <v>1970</v>
      </c>
      <c r="C230" s="52">
        <v>0.0599</v>
      </c>
      <c r="D230" s="2" t="e">
        <f>C230*VLOOKUP($A230,'Selector Sheet '!$B$13:$D$43,2,FALSE)</f>
        <v>#N/A</v>
      </c>
      <c r="F230" s="2">
        <f t="shared" si="6"/>
        <v>0</v>
      </c>
      <c r="G230" s="2" t="e">
        <f>C230*VLOOKUP($A230,'Selector Sheet '!$B$13:$D$43,2,FALSE)</f>
        <v>#N/A</v>
      </c>
    </row>
    <row r="231" spans="1:7">
      <c r="A231" s="1" t="s">
        <v>1949</v>
      </c>
      <c r="B231" t="s">
        <v>1922</v>
      </c>
      <c r="C231" s="52">
        <v>0.0552</v>
      </c>
      <c r="D231" s="2" t="e">
        <f>C231*VLOOKUP($A231,'Selector Sheet '!$B$13:$D$43,2,FALSE)</f>
        <v>#N/A</v>
      </c>
      <c r="F231" s="2">
        <f t="shared" si="6"/>
        <v>0</v>
      </c>
      <c r="G231" s="2" t="e">
        <f>C231*VLOOKUP($A231,'Selector Sheet '!$B$13:$D$43,2,FALSE)</f>
        <v>#N/A</v>
      </c>
    </row>
    <row r="232" spans="1:7">
      <c r="A232" s="1" t="s">
        <v>1949</v>
      </c>
      <c r="B232" t="s">
        <v>1825</v>
      </c>
      <c r="C232" s="52">
        <v>0.0479</v>
      </c>
      <c r="D232" s="2" t="e">
        <f>C232*VLOOKUP($A232,'Selector Sheet '!$B$13:$D$43,2,FALSE)</f>
        <v>#N/A</v>
      </c>
      <c r="F232" s="2">
        <f t="shared" si="6"/>
        <v>0</v>
      </c>
      <c r="G232" s="2" t="e">
        <f>C232*VLOOKUP($A232,'Selector Sheet '!$B$13:$D$43,2,FALSE)</f>
        <v>#N/A</v>
      </c>
    </row>
    <row r="233" spans="1:7">
      <c r="A233" s="1" t="s">
        <v>1949</v>
      </c>
      <c r="B233" t="s">
        <v>1834</v>
      </c>
      <c r="C233" s="52">
        <v>0.0454</v>
      </c>
      <c r="D233" s="2" t="e">
        <f>C233*VLOOKUP($A233,'Selector Sheet '!$B$13:$D$43,2,FALSE)</f>
        <v>#N/A</v>
      </c>
      <c r="F233" s="2">
        <f t="shared" si="6"/>
        <v>0</v>
      </c>
      <c r="G233" s="2" t="e">
        <f>C233*VLOOKUP($A233,'Selector Sheet '!$B$13:$D$43,2,FALSE)</f>
        <v>#N/A</v>
      </c>
    </row>
    <row r="234" spans="1:7">
      <c r="A234" s="1" t="s">
        <v>1949</v>
      </c>
      <c r="B234" t="s">
        <v>1846</v>
      </c>
      <c r="C234" s="52">
        <v>0.0427</v>
      </c>
      <c r="D234" s="2" t="e">
        <f>C234*VLOOKUP($A234,'Selector Sheet '!$B$13:$D$43,2,FALSE)</f>
        <v>#N/A</v>
      </c>
      <c r="F234" s="2">
        <f t="shared" si="6"/>
        <v>0</v>
      </c>
      <c r="G234" s="2" t="e">
        <f>C234*VLOOKUP($A234,'Selector Sheet '!$B$13:$D$43,2,FALSE)</f>
        <v>#N/A</v>
      </c>
    </row>
    <row r="235" spans="1:7">
      <c r="A235" s="1" t="s">
        <v>1949</v>
      </c>
      <c r="B235" t="s">
        <v>1838</v>
      </c>
      <c r="C235" s="52">
        <v>0.041</v>
      </c>
      <c r="D235" s="2" t="e">
        <f>C235*VLOOKUP($A235,'Selector Sheet '!$B$13:$D$43,2,FALSE)</f>
        <v>#N/A</v>
      </c>
      <c r="F235" s="2">
        <f t="shared" si="6"/>
        <v>0</v>
      </c>
      <c r="G235" s="2" t="e">
        <f>C235*VLOOKUP($A235,'Selector Sheet '!$B$13:$D$43,2,FALSE)</f>
        <v>#N/A</v>
      </c>
    </row>
    <row r="236" spans="1:7">
      <c r="A236" s="1" t="s">
        <v>1949</v>
      </c>
      <c r="B236" t="s">
        <v>2073</v>
      </c>
      <c r="C236" s="52">
        <v>0.0393</v>
      </c>
      <c r="D236" s="2" t="e">
        <f>C236*VLOOKUP($A236,'Selector Sheet '!$B$13:$D$43,2,FALSE)</f>
        <v>#N/A</v>
      </c>
      <c r="F236" s="2">
        <f t="shared" si="6"/>
        <v>0</v>
      </c>
      <c r="G236" s="2" t="e">
        <f>C236*VLOOKUP($A236,'Selector Sheet '!$B$13:$D$43,2,FALSE)</f>
        <v>#N/A</v>
      </c>
    </row>
    <row r="237" spans="1:7">
      <c r="A237" s="1" t="s">
        <v>1949</v>
      </c>
      <c r="B237" t="s">
        <v>1908</v>
      </c>
      <c r="C237" s="52">
        <v>0.0335</v>
      </c>
      <c r="D237" s="2" t="e">
        <f>C237*VLOOKUP($A237,'Selector Sheet '!$B$13:$D$43,2,FALSE)</f>
        <v>#N/A</v>
      </c>
      <c r="F237" s="2">
        <f t="shared" si="6"/>
        <v>0</v>
      </c>
      <c r="G237" s="2" t="e">
        <f>C237*VLOOKUP($A237,'Selector Sheet '!$B$13:$D$43,2,FALSE)</f>
        <v>#N/A</v>
      </c>
    </row>
    <row r="238" spans="1:7">
      <c r="A238" s="1" t="s">
        <v>1949</v>
      </c>
      <c r="B238" t="s">
        <v>2074</v>
      </c>
      <c r="C238" s="52">
        <v>0.0319</v>
      </c>
      <c r="D238" s="2" t="e">
        <f>C238*VLOOKUP($A238,'Selector Sheet '!$B$13:$D$43,2,FALSE)</f>
        <v>#N/A</v>
      </c>
      <c r="F238" s="2">
        <f t="shared" si="6"/>
        <v>0</v>
      </c>
      <c r="G238" s="2" t="e">
        <f>C238*VLOOKUP($A238,'Selector Sheet '!$B$13:$D$43,2,FALSE)</f>
        <v>#N/A</v>
      </c>
    </row>
    <row r="239" spans="1:7">
      <c r="A239" s="1" t="s">
        <v>1949</v>
      </c>
      <c r="B239" t="s">
        <v>1833</v>
      </c>
      <c r="C239" s="52">
        <v>0.0315</v>
      </c>
      <c r="D239" s="2" t="e">
        <f>C239*VLOOKUP($A239,'Selector Sheet '!$B$13:$D$43,2,FALSE)</f>
        <v>#N/A</v>
      </c>
      <c r="F239" s="2">
        <f t="shared" si="6"/>
        <v>0</v>
      </c>
      <c r="G239" s="2" t="e">
        <f>C239*VLOOKUP($A239,'Selector Sheet '!$B$13:$D$43,2,FALSE)</f>
        <v>#N/A</v>
      </c>
    </row>
    <row r="240" spans="1:7">
      <c r="A240" s="1" t="s">
        <v>1949</v>
      </c>
      <c r="B240" t="s">
        <v>1832</v>
      </c>
      <c r="C240" s="52">
        <v>0.0296</v>
      </c>
      <c r="D240" s="2" t="e">
        <f>C240*VLOOKUP($A240,'Selector Sheet '!$B$13:$D$43,2,FALSE)</f>
        <v>#N/A</v>
      </c>
      <c r="F240" s="2">
        <f t="shared" si="6"/>
        <v>0</v>
      </c>
      <c r="G240" s="2" t="e">
        <f>C240*VLOOKUP($A240,'Selector Sheet '!$B$13:$D$43,2,FALSE)</f>
        <v>#N/A</v>
      </c>
    </row>
    <row r="241" spans="1:7">
      <c r="A241" s="1" t="s">
        <v>1949</v>
      </c>
      <c r="B241" t="s">
        <v>1988</v>
      </c>
      <c r="C241" s="52">
        <v>0.0289</v>
      </c>
      <c r="D241" s="2" t="e">
        <f>C241*VLOOKUP($A241,'Selector Sheet '!$B$13:$D$43,2,FALSE)</f>
        <v>#N/A</v>
      </c>
      <c r="F241" s="2">
        <f t="shared" si="6"/>
        <v>0</v>
      </c>
      <c r="G241" s="2" t="e">
        <f>C241*VLOOKUP($A241,'Selector Sheet '!$B$13:$D$43,2,FALSE)</f>
        <v>#N/A</v>
      </c>
    </row>
    <row r="242" spans="1:7">
      <c r="A242" s="1" t="s">
        <v>1949</v>
      </c>
      <c r="B242" t="s">
        <v>1987</v>
      </c>
      <c r="C242" s="52">
        <v>0.0289</v>
      </c>
      <c r="D242" s="2" t="e">
        <f>C242*VLOOKUP($A242,'Selector Sheet '!$B$13:$D$43,2,FALSE)</f>
        <v>#N/A</v>
      </c>
      <c r="F242" s="2">
        <f t="shared" si="6"/>
        <v>0</v>
      </c>
      <c r="G242" s="2" t="e">
        <f>C242*VLOOKUP($A242,'Selector Sheet '!$B$13:$D$43,2,FALSE)</f>
        <v>#N/A</v>
      </c>
    </row>
    <row r="243" spans="1:7">
      <c r="A243" s="1" t="s">
        <v>1949</v>
      </c>
      <c r="B243" t="s">
        <v>1828</v>
      </c>
      <c r="C243" s="52">
        <v>0.0178</v>
      </c>
      <c r="D243" s="2" t="e">
        <f>C243*VLOOKUP($A243,'Selector Sheet '!$B$13:$D$43,2,FALSE)</f>
        <v>#N/A</v>
      </c>
      <c r="F243" s="2">
        <f t="shared" si="6"/>
        <v>0</v>
      </c>
      <c r="G243" s="2" t="e">
        <f>C243*VLOOKUP($A243,'Selector Sheet '!$B$13:$D$43,2,FALSE)</f>
        <v>#N/A</v>
      </c>
    </row>
    <row r="244" spans="1:7">
      <c r="A244" s="1" t="s">
        <v>1949</v>
      </c>
      <c r="B244" t="s">
        <v>1991</v>
      </c>
      <c r="C244" s="52">
        <v>0.0126</v>
      </c>
      <c r="D244" s="2" t="e">
        <f>C244*VLOOKUP($A244,'Selector Sheet '!$B$13:$D$43,2,FALSE)</f>
        <v>#N/A</v>
      </c>
      <c r="F244" s="2">
        <f t="shared" si="6"/>
        <v>0</v>
      </c>
      <c r="G244" s="2" t="e">
        <f>C244*VLOOKUP($A244,'Selector Sheet '!$B$13:$D$43,2,FALSE)</f>
        <v>#N/A</v>
      </c>
    </row>
    <row r="245" spans="1:7">
      <c r="A245" s="1" t="s">
        <v>1949</v>
      </c>
      <c r="B245" t="s">
        <v>1989</v>
      </c>
      <c r="C245" s="52">
        <v>0.0125</v>
      </c>
      <c r="D245" s="2" t="e">
        <f>C245*VLOOKUP($A245,'Selector Sheet '!$B$13:$D$43,2,FALSE)</f>
        <v>#N/A</v>
      </c>
      <c r="F245" s="2">
        <f t="shared" si="6"/>
        <v>0</v>
      </c>
      <c r="G245" s="2" t="e">
        <f>C245*VLOOKUP($A245,'Selector Sheet '!$B$13:$D$43,2,FALSE)</f>
        <v>#N/A</v>
      </c>
    </row>
    <row r="246" spans="1:7">
      <c r="A246" s="1" t="s">
        <v>1949</v>
      </c>
      <c r="B246" t="s">
        <v>1919</v>
      </c>
      <c r="C246" s="52">
        <v>0.0124</v>
      </c>
      <c r="D246" s="2" t="e">
        <f>C246*VLOOKUP($A246,'Selector Sheet '!$B$13:$D$43,2,FALSE)</f>
        <v>#N/A</v>
      </c>
      <c r="F246" s="2">
        <f t="shared" si="6"/>
        <v>0</v>
      </c>
      <c r="G246" s="2" t="e">
        <f>C246*VLOOKUP($A246,'Selector Sheet '!$B$13:$D$43,2,FALSE)</f>
        <v>#N/A</v>
      </c>
    </row>
    <row r="247" spans="1:7">
      <c r="A247" s="1" t="s">
        <v>1949</v>
      </c>
      <c r="B247" t="s">
        <v>1992</v>
      </c>
      <c r="C247" s="52">
        <v>0.0114</v>
      </c>
      <c r="D247" s="2" t="e">
        <f>C247*VLOOKUP($A247,'Selector Sheet '!$B$13:$D$43,2,FALSE)</f>
        <v>#N/A</v>
      </c>
      <c r="F247" s="2">
        <f t="shared" si="6"/>
        <v>0</v>
      </c>
      <c r="G247" s="2" t="e">
        <f>C247*VLOOKUP($A247,'Selector Sheet '!$B$13:$D$43,2,FALSE)</f>
        <v>#N/A</v>
      </c>
    </row>
    <row r="248" spans="1:7">
      <c r="A248" s="1" t="s">
        <v>1949</v>
      </c>
      <c r="B248" t="s">
        <v>1827</v>
      </c>
      <c r="C248" s="52">
        <v>0.0088</v>
      </c>
      <c r="D248" s="2" t="e">
        <f>C248*VLOOKUP($A248,'Selector Sheet '!$B$13:$D$43,2,FALSE)</f>
        <v>#N/A</v>
      </c>
      <c r="F248" s="2">
        <f t="shared" si="6"/>
        <v>0</v>
      </c>
      <c r="G248" s="2" t="e">
        <f>C248*VLOOKUP($A248,'Selector Sheet '!$B$13:$D$43,2,FALSE)</f>
        <v>#N/A</v>
      </c>
    </row>
    <row r="249" spans="1:7">
      <c r="A249" s="1" t="s">
        <v>1949</v>
      </c>
      <c r="B249" t="s">
        <v>1994</v>
      </c>
      <c r="C249" s="52">
        <v>0.0081</v>
      </c>
      <c r="D249" s="2" t="e">
        <f>C249*VLOOKUP($A249,'Selector Sheet '!$B$13:$D$43,2,FALSE)</f>
        <v>#N/A</v>
      </c>
      <c r="F249" s="2">
        <f t="shared" si="6"/>
        <v>0</v>
      </c>
      <c r="G249" s="2" t="e">
        <f>C249*VLOOKUP($A249,'Selector Sheet '!$B$13:$D$43,2,FALSE)</f>
        <v>#N/A</v>
      </c>
    </row>
    <row r="250" spans="1:7">
      <c r="A250" s="1" t="s">
        <v>1949</v>
      </c>
      <c r="B250" t="s">
        <v>1993</v>
      </c>
      <c r="C250" s="52">
        <v>0.0078</v>
      </c>
      <c r="D250" s="2" t="e">
        <f>C250*VLOOKUP($A250,'Selector Sheet '!$B$13:$D$43,2,FALSE)</f>
        <v>#N/A</v>
      </c>
      <c r="F250" s="2">
        <f t="shared" si="6"/>
        <v>0</v>
      </c>
      <c r="G250" s="2" t="e">
        <f>C250*VLOOKUP($A250,'Selector Sheet '!$B$13:$D$43,2,FALSE)</f>
        <v>#N/A</v>
      </c>
    </row>
    <row r="251" spans="1:7">
      <c r="A251" s="1" t="s">
        <v>1949</v>
      </c>
      <c r="B251" t="s">
        <v>1914</v>
      </c>
      <c r="C251" s="52">
        <v>0.0045</v>
      </c>
      <c r="D251" s="2" t="e">
        <f>C251*VLOOKUP($A251,'Selector Sheet '!$B$13:$D$43,2,FALSE)</f>
        <v>#N/A</v>
      </c>
      <c r="F251" s="2">
        <f t="shared" si="6"/>
        <v>0</v>
      </c>
      <c r="G251" s="2" t="e">
        <f>C251*VLOOKUP($A251,'Selector Sheet '!$B$13:$D$43,2,FALSE)</f>
        <v>#N/A</v>
      </c>
    </row>
    <row r="252" spans="1:7">
      <c r="A252" s="1" t="s">
        <v>1949</v>
      </c>
      <c r="B252" t="s">
        <v>2075</v>
      </c>
      <c r="C252" s="52">
        <v>0.0033</v>
      </c>
      <c r="D252" s="2" t="e">
        <f>C252*VLOOKUP($A252,'Selector Sheet '!$B$13:$D$43,2,FALSE)</f>
        <v>#N/A</v>
      </c>
      <c r="F252" s="2">
        <f t="shared" si="6"/>
        <v>0</v>
      </c>
      <c r="G252" s="2" t="e">
        <f>C252*VLOOKUP($A252,'Selector Sheet '!$B$13:$D$43,2,FALSE)</f>
        <v>#N/A</v>
      </c>
    </row>
    <row r="253" spans="1:7">
      <c r="A253" s="53" t="s">
        <v>33</v>
      </c>
      <c r="B253" s="7" t="s">
        <v>2076</v>
      </c>
      <c r="C253" s="8">
        <v>0.01</v>
      </c>
      <c r="D253" s="2">
        <f>C253*VLOOKUP($A253,'Selector Sheet '!$B$13:$D$43,2,FALSE)</f>
        <v>0</v>
      </c>
      <c r="F253" s="2">
        <f t="shared" si="6"/>
        <v>0</v>
      </c>
      <c r="G253" s="2">
        <f>C253*VLOOKUP($A253,'Selector Sheet '!$B$13:$D$43,2,FALSE)</f>
        <v>0</v>
      </c>
    </row>
    <row r="254" spans="1:7">
      <c r="A254" s="53" t="s">
        <v>33</v>
      </c>
      <c r="B254" s="7" t="s">
        <v>2064</v>
      </c>
      <c r="C254" s="8">
        <v>0.02</v>
      </c>
      <c r="D254" s="2">
        <f>C254*VLOOKUP($A254,'Selector Sheet '!$B$13:$D$43,2,FALSE)</f>
        <v>0</v>
      </c>
      <c r="F254" s="2">
        <f t="shared" si="6"/>
        <v>0</v>
      </c>
      <c r="G254" s="2">
        <f>C254*VLOOKUP($A254,'Selector Sheet '!$B$13:$D$43,2,FALSE)</f>
        <v>0</v>
      </c>
    </row>
    <row r="255" spans="1:7">
      <c r="A255" s="53" t="s">
        <v>33</v>
      </c>
      <c r="B255" s="7" t="s">
        <v>2077</v>
      </c>
      <c r="C255" s="8">
        <v>0.005</v>
      </c>
      <c r="D255" s="2">
        <f>C255*VLOOKUP($A255,'Selector Sheet '!$B$13:$D$43,2,FALSE)</f>
        <v>0</v>
      </c>
      <c r="F255" s="2">
        <f t="shared" si="6"/>
        <v>0</v>
      </c>
      <c r="G255" s="2">
        <f>C255*VLOOKUP($A255,'Selector Sheet '!$B$13:$D$43,2,FALSE)</f>
        <v>0</v>
      </c>
    </row>
    <row r="256" spans="1:7">
      <c r="A256" s="53" t="s">
        <v>33</v>
      </c>
      <c r="B256" s="7" t="s">
        <v>2078</v>
      </c>
      <c r="C256" s="8">
        <v>0.015</v>
      </c>
      <c r="D256" s="2">
        <f>C256*VLOOKUP($A256,'Selector Sheet '!$B$13:$D$43,2,FALSE)</f>
        <v>0</v>
      </c>
      <c r="F256" s="2">
        <f t="shared" si="6"/>
        <v>0</v>
      </c>
      <c r="G256" s="2">
        <f>C256*VLOOKUP($A256,'Selector Sheet '!$B$13:$D$43,2,FALSE)</f>
        <v>0</v>
      </c>
    </row>
    <row r="257" spans="1:7">
      <c r="A257" s="53" t="s">
        <v>33</v>
      </c>
      <c r="B257" s="7" t="s">
        <v>2079</v>
      </c>
      <c r="C257" s="8">
        <v>0.019</v>
      </c>
      <c r="D257" s="2">
        <f>C257*VLOOKUP($A257,'Selector Sheet '!$B$13:$D$43,2,FALSE)</f>
        <v>0</v>
      </c>
      <c r="F257" s="2">
        <f t="shared" si="6"/>
        <v>0</v>
      </c>
      <c r="G257" s="2">
        <f>C257*VLOOKUP($A257,'Selector Sheet '!$B$13:$D$43,2,FALSE)</f>
        <v>0</v>
      </c>
    </row>
    <row r="258" spans="1:7">
      <c r="A258" s="53" t="s">
        <v>33</v>
      </c>
      <c r="B258" s="7" t="s">
        <v>2026</v>
      </c>
      <c r="C258" s="8">
        <v>0.012</v>
      </c>
      <c r="D258" s="2">
        <f>C258*VLOOKUP($A258,'Selector Sheet '!$B$13:$D$43,2,FALSE)</f>
        <v>0</v>
      </c>
      <c r="F258" s="2">
        <f t="shared" si="6"/>
        <v>0</v>
      </c>
      <c r="G258" s="2">
        <f>C258*VLOOKUP($A258,'Selector Sheet '!$B$13:$D$43,2,FALSE)</f>
        <v>0</v>
      </c>
    </row>
    <row r="259" spans="1:7">
      <c r="A259" s="53" t="s">
        <v>33</v>
      </c>
      <c r="B259" s="7" t="s">
        <v>1880</v>
      </c>
      <c r="C259" s="8">
        <v>0.015</v>
      </c>
      <c r="D259" s="2">
        <f>C259*VLOOKUP($A259,'Selector Sheet '!$B$13:$D$43,2,FALSE)</f>
        <v>0</v>
      </c>
      <c r="F259" s="2">
        <f t="shared" ref="F259:F290" si="7">SUMIF($B$2:$B$305,E259,$D$2:$D$305)</f>
        <v>0</v>
      </c>
      <c r="G259" s="2">
        <f>C259*VLOOKUP($A259,'Selector Sheet '!$B$13:$D$43,2,FALSE)</f>
        <v>0</v>
      </c>
    </row>
    <row r="260" spans="1:7">
      <c r="A260" s="53" t="s">
        <v>33</v>
      </c>
      <c r="B260" s="7" t="s">
        <v>1856</v>
      </c>
      <c r="C260" s="8">
        <v>0.019</v>
      </c>
      <c r="D260" s="2">
        <f>C260*VLOOKUP($A260,'Selector Sheet '!$B$13:$D$43,2,FALSE)</f>
        <v>0</v>
      </c>
      <c r="F260" s="2">
        <f t="shared" si="7"/>
        <v>0</v>
      </c>
      <c r="G260" s="2">
        <f>C260*VLOOKUP($A260,'Selector Sheet '!$B$13:$D$43,2,FALSE)</f>
        <v>0</v>
      </c>
    </row>
    <row r="261" spans="1:7">
      <c r="A261" s="53" t="s">
        <v>33</v>
      </c>
      <c r="B261" s="7" t="s">
        <v>2080</v>
      </c>
      <c r="C261" s="8">
        <v>0.021</v>
      </c>
      <c r="D261" s="2">
        <f>C261*VLOOKUP($A261,'Selector Sheet '!$B$13:$D$43,2,FALSE)</f>
        <v>0</v>
      </c>
      <c r="F261" s="2">
        <f t="shared" si="7"/>
        <v>0</v>
      </c>
      <c r="G261" s="2">
        <f>C261*VLOOKUP($A261,'Selector Sheet '!$B$13:$D$43,2,FALSE)</f>
        <v>0</v>
      </c>
    </row>
    <row r="262" spans="1:7">
      <c r="A262" s="53" t="s">
        <v>33</v>
      </c>
      <c r="B262" s="7" t="s">
        <v>2028</v>
      </c>
      <c r="C262" s="8">
        <v>0.025</v>
      </c>
      <c r="D262" s="2">
        <f>C262*VLOOKUP($A262,'Selector Sheet '!$B$13:$D$43,2,FALSE)</f>
        <v>0</v>
      </c>
      <c r="F262" s="2">
        <f t="shared" si="7"/>
        <v>0</v>
      </c>
      <c r="G262" s="2">
        <f>C262*VLOOKUP($A262,'Selector Sheet '!$B$13:$D$43,2,FALSE)</f>
        <v>0</v>
      </c>
    </row>
    <row r="263" spans="1:7">
      <c r="A263" s="53" t="s">
        <v>33</v>
      </c>
      <c r="B263" s="7" t="s">
        <v>1845</v>
      </c>
      <c r="C263" s="8">
        <v>0.027</v>
      </c>
      <c r="D263" s="2">
        <f>C263*VLOOKUP($A263,'Selector Sheet '!$B$13:$D$43,2,FALSE)</f>
        <v>0</v>
      </c>
      <c r="F263" s="2">
        <f t="shared" si="7"/>
        <v>0</v>
      </c>
      <c r="G263" s="2">
        <f>C263*VLOOKUP($A263,'Selector Sheet '!$B$13:$D$43,2,FALSE)</f>
        <v>0</v>
      </c>
    </row>
    <row r="264" spans="1:7">
      <c r="A264" s="53" t="s">
        <v>33</v>
      </c>
      <c r="B264" s="7" t="s">
        <v>2081</v>
      </c>
      <c r="C264" s="8">
        <v>0.027</v>
      </c>
      <c r="D264" s="2">
        <f>C264*VLOOKUP($A264,'Selector Sheet '!$B$13:$D$43,2,FALSE)</f>
        <v>0</v>
      </c>
      <c r="F264" s="2">
        <f t="shared" si="7"/>
        <v>0</v>
      </c>
      <c r="G264" s="2">
        <f>C264*VLOOKUP($A264,'Selector Sheet '!$B$13:$D$43,2,FALSE)</f>
        <v>0</v>
      </c>
    </row>
    <row r="265" ht="28.8" spans="1:7">
      <c r="A265" s="53" t="s">
        <v>33</v>
      </c>
      <c r="B265" s="7" t="s">
        <v>2082</v>
      </c>
      <c r="C265" s="8">
        <v>0.032</v>
      </c>
      <c r="D265" s="2">
        <f>C265*VLOOKUP($A265,'Selector Sheet '!$B$13:$D$43,2,FALSE)</f>
        <v>0</v>
      </c>
      <c r="F265" s="2">
        <f t="shared" si="7"/>
        <v>0</v>
      </c>
      <c r="G265" s="2">
        <f>C265*VLOOKUP($A265,'Selector Sheet '!$B$13:$D$43,2,FALSE)</f>
        <v>0</v>
      </c>
    </row>
    <row r="266" spans="1:7">
      <c r="A266" s="53" t="s">
        <v>33</v>
      </c>
      <c r="B266" s="7" t="s">
        <v>2083</v>
      </c>
      <c r="C266" s="8">
        <v>0.058</v>
      </c>
      <c r="D266" s="2">
        <f>C266*VLOOKUP($A266,'Selector Sheet '!$B$13:$D$43,2,FALSE)</f>
        <v>0</v>
      </c>
      <c r="F266" s="2">
        <f t="shared" si="7"/>
        <v>0</v>
      </c>
      <c r="G266" s="2">
        <f>C266*VLOOKUP($A266,'Selector Sheet '!$B$13:$D$43,2,FALSE)</f>
        <v>0</v>
      </c>
    </row>
    <row r="267" spans="1:7">
      <c r="A267" s="53" t="s">
        <v>33</v>
      </c>
      <c r="B267" s="7" t="s">
        <v>2084</v>
      </c>
      <c r="C267" s="8">
        <v>0.068</v>
      </c>
      <c r="D267" s="2">
        <f>C267*VLOOKUP($A267,'Selector Sheet '!$B$13:$D$43,2,FALSE)</f>
        <v>0</v>
      </c>
      <c r="F267" s="2">
        <f t="shared" si="7"/>
        <v>0</v>
      </c>
      <c r="G267" s="2">
        <f>C267*VLOOKUP($A267,'Selector Sheet '!$B$13:$D$43,2,FALSE)</f>
        <v>0</v>
      </c>
    </row>
    <row r="268" spans="1:7">
      <c r="A268" s="53" t="s">
        <v>33</v>
      </c>
      <c r="B268" s="7" t="s">
        <v>2085</v>
      </c>
      <c r="C268" s="8">
        <v>0.012</v>
      </c>
      <c r="D268" s="2">
        <f>C268*VLOOKUP($A268,'Selector Sheet '!$B$13:$D$43,2,FALSE)</f>
        <v>0</v>
      </c>
      <c r="F268" s="2">
        <f t="shared" si="7"/>
        <v>0</v>
      </c>
      <c r="G268" s="2">
        <f>C268*VLOOKUP($A268,'Selector Sheet '!$B$13:$D$43,2,FALSE)</f>
        <v>0</v>
      </c>
    </row>
    <row r="269" spans="1:7">
      <c r="A269" s="53" t="s">
        <v>33</v>
      </c>
      <c r="B269" s="7" t="s">
        <v>1628</v>
      </c>
      <c r="C269" s="8">
        <v>0.015</v>
      </c>
      <c r="D269" s="2">
        <f>C269*VLOOKUP($A269,'Selector Sheet '!$B$13:$D$43,2,FALSE)</f>
        <v>0</v>
      </c>
      <c r="F269" s="2">
        <f t="shared" si="7"/>
        <v>0</v>
      </c>
      <c r="G269" s="2">
        <f>C269*VLOOKUP($A269,'Selector Sheet '!$B$13:$D$43,2,FALSE)</f>
        <v>0</v>
      </c>
    </row>
    <row r="270" spans="1:7">
      <c r="A270" s="53" t="s">
        <v>33</v>
      </c>
      <c r="B270" s="7" t="s">
        <v>2086</v>
      </c>
      <c r="C270" s="8">
        <v>0.019</v>
      </c>
      <c r="D270" s="2">
        <f>C270*VLOOKUP($A270,'Selector Sheet '!$B$13:$D$43,2,FALSE)</f>
        <v>0</v>
      </c>
      <c r="F270" s="2">
        <f t="shared" si="7"/>
        <v>0</v>
      </c>
      <c r="G270" s="2">
        <f>C270*VLOOKUP($A270,'Selector Sheet '!$B$13:$D$43,2,FALSE)</f>
        <v>0</v>
      </c>
    </row>
    <row r="271" spans="1:7">
      <c r="A271" s="53" t="s">
        <v>33</v>
      </c>
      <c r="B271" s="7" t="s">
        <v>2087</v>
      </c>
      <c r="C271" s="8">
        <v>0.009</v>
      </c>
      <c r="D271" s="2">
        <f>C271*VLOOKUP($A271,'Selector Sheet '!$B$13:$D$43,2,FALSE)</f>
        <v>0</v>
      </c>
      <c r="F271" s="2">
        <f t="shared" si="7"/>
        <v>0</v>
      </c>
      <c r="G271" s="2">
        <f>C271*VLOOKUP($A271,'Selector Sheet '!$B$13:$D$43,2,FALSE)</f>
        <v>0</v>
      </c>
    </row>
    <row r="272" spans="1:7">
      <c r="A272" s="53" t="s">
        <v>33</v>
      </c>
      <c r="B272" s="7" t="s">
        <v>2071</v>
      </c>
      <c r="C272" s="8">
        <v>0.013</v>
      </c>
      <c r="D272" s="2">
        <f>C272*VLOOKUP($A272,'Selector Sheet '!$B$13:$D$43,2,FALSE)</f>
        <v>0</v>
      </c>
      <c r="F272" s="2">
        <f t="shared" si="7"/>
        <v>0</v>
      </c>
      <c r="G272" s="2">
        <f>C272*VLOOKUP($A272,'Selector Sheet '!$B$13:$D$43,2,FALSE)</f>
        <v>0</v>
      </c>
    </row>
    <row r="273" spans="1:7">
      <c r="A273" s="53" t="s">
        <v>33</v>
      </c>
      <c r="B273" s="7" t="s">
        <v>2088</v>
      </c>
      <c r="C273" s="8">
        <v>0.016</v>
      </c>
      <c r="D273" s="2">
        <f>C273*VLOOKUP($A273,'Selector Sheet '!$B$13:$D$43,2,FALSE)</f>
        <v>0</v>
      </c>
      <c r="F273" s="2">
        <f t="shared" si="7"/>
        <v>0</v>
      </c>
      <c r="G273" s="2">
        <f>C273*VLOOKUP($A273,'Selector Sheet '!$B$13:$D$43,2,FALSE)</f>
        <v>0</v>
      </c>
    </row>
    <row r="274" spans="1:7">
      <c r="A274" s="53" t="s">
        <v>33</v>
      </c>
      <c r="B274" s="7" t="s">
        <v>1966</v>
      </c>
      <c r="C274" s="8">
        <v>0.016</v>
      </c>
      <c r="D274" s="2">
        <f>C274*VLOOKUP($A274,'Selector Sheet '!$B$13:$D$43,2,FALSE)</f>
        <v>0</v>
      </c>
      <c r="F274" s="2">
        <f t="shared" si="7"/>
        <v>0</v>
      </c>
      <c r="G274" s="2">
        <f>C274*VLOOKUP($A274,'Selector Sheet '!$B$13:$D$43,2,FALSE)</f>
        <v>0</v>
      </c>
    </row>
    <row r="275" spans="1:7">
      <c r="A275" s="53" t="s">
        <v>33</v>
      </c>
      <c r="B275" s="7" t="s">
        <v>1861</v>
      </c>
      <c r="C275" s="8">
        <v>0.032</v>
      </c>
      <c r="D275" s="2">
        <f>C275*VLOOKUP($A275,'Selector Sheet '!$B$13:$D$43,2,FALSE)</f>
        <v>0</v>
      </c>
      <c r="F275" s="2">
        <f t="shared" si="7"/>
        <v>0</v>
      </c>
      <c r="G275" s="2">
        <f>C275*VLOOKUP($A275,'Selector Sheet '!$B$13:$D$43,2,FALSE)</f>
        <v>0</v>
      </c>
    </row>
    <row r="276" spans="1:7">
      <c r="A276" s="53" t="s">
        <v>33</v>
      </c>
      <c r="B276" s="7" t="s">
        <v>2089</v>
      </c>
      <c r="C276" s="8">
        <v>0.012</v>
      </c>
      <c r="D276" s="2">
        <f>C276*VLOOKUP($A276,'Selector Sheet '!$B$13:$D$43,2,FALSE)</f>
        <v>0</v>
      </c>
      <c r="F276" s="2">
        <f t="shared" si="7"/>
        <v>0</v>
      </c>
      <c r="G276" s="2">
        <f>C276*VLOOKUP($A276,'Selector Sheet '!$B$13:$D$43,2,FALSE)</f>
        <v>0</v>
      </c>
    </row>
    <row r="277" spans="1:7">
      <c r="A277" s="53" t="s">
        <v>33</v>
      </c>
      <c r="B277" s="7" t="s">
        <v>2090</v>
      </c>
      <c r="C277" s="8">
        <v>0.019</v>
      </c>
      <c r="D277" s="2">
        <f>C277*VLOOKUP($A277,'Selector Sheet '!$B$13:$D$43,2,FALSE)</f>
        <v>0</v>
      </c>
      <c r="F277" s="2">
        <f t="shared" si="7"/>
        <v>0</v>
      </c>
      <c r="G277" s="2">
        <f>C277*VLOOKUP($A277,'Selector Sheet '!$B$13:$D$43,2,FALSE)</f>
        <v>0</v>
      </c>
    </row>
    <row r="278" spans="1:7">
      <c r="A278" s="53" t="s">
        <v>33</v>
      </c>
      <c r="B278" s="7" t="s">
        <v>2091</v>
      </c>
      <c r="C278" s="8">
        <v>0.019</v>
      </c>
      <c r="D278" s="2">
        <f>C278*VLOOKUP($A278,'Selector Sheet '!$B$13:$D$43,2,FALSE)</f>
        <v>0</v>
      </c>
      <c r="F278" s="2">
        <f t="shared" si="7"/>
        <v>0</v>
      </c>
      <c r="G278" s="2">
        <f>C278*VLOOKUP($A278,'Selector Sheet '!$B$13:$D$43,2,FALSE)</f>
        <v>0</v>
      </c>
    </row>
    <row r="279" spans="1:7">
      <c r="A279" s="53" t="s">
        <v>33</v>
      </c>
      <c r="B279" s="7" t="s">
        <v>2092</v>
      </c>
      <c r="C279" s="8">
        <v>0.023</v>
      </c>
      <c r="D279" s="2">
        <f>C279*VLOOKUP($A279,'Selector Sheet '!$B$13:$D$43,2,FALSE)</f>
        <v>0</v>
      </c>
      <c r="F279" s="2">
        <f t="shared" si="7"/>
        <v>0</v>
      </c>
      <c r="G279" s="2">
        <f>C279*VLOOKUP($A279,'Selector Sheet '!$B$13:$D$43,2,FALSE)</f>
        <v>0</v>
      </c>
    </row>
    <row r="280" spans="1:7">
      <c r="A280" s="53" t="s">
        <v>33</v>
      </c>
      <c r="B280" s="7" t="s">
        <v>2020</v>
      </c>
      <c r="C280" s="8">
        <v>0.023</v>
      </c>
      <c r="D280" s="2">
        <f>C280*VLOOKUP($A280,'Selector Sheet '!$B$13:$D$43,2,FALSE)</f>
        <v>0</v>
      </c>
      <c r="F280" s="2">
        <f t="shared" si="7"/>
        <v>0</v>
      </c>
      <c r="G280" s="2">
        <f>C280*VLOOKUP($A280,'Selector Sheet '!$B$13:$D$43,2,FALSE)</f>
        <v>0</v>
      </c>
    </row>
    <row r="281" spans="1:7">
      <c r="A281" s="53" t="s">
        <v>33</v>
      </c>
      <c r="B281" s="7" t="s">
        <v>2093</v>
      </c>
      <c r="C281" s="8">
        <v>0.021</v>
      </c>
      <c r="D281" s="2">
        <f>C281*VLOOKUP($A281,'Selector Sheet '!$B$13:$D$43,2,FALSE)</f>
        <v>0</v>
      </c>
      <c r="F281" s="2">
        <f t="shared" si="7"/>
        <v>0</v>
      </c>
      <c r="G281" s="2">
        <f>C281*VLOOKUP($A281,'Selector Sheet '!$B$13:$D$43,2,FALSE)</f>
        <v>0</v>
      </c>
    </row>
    <row r="282" spans="1:7">
      <c r="A282" s="53" t="s">
        <v>33</v>
      </c>
      <c r="B282" s="7" t="s">
        <v>1967</v>
      </c>
      <c r="C282" s="8">
        <v>0.009</v>
      </c>
      <c r="D282" s="2">
        <f>C282*VLOOKUP($A282,'Selector Sheet '!$B$13:$D$43,2,FALSE)</f>
        <v>0</v>
      </c>
      <c r="F282" s="2">
        <f t="shared" si="7"/>
        <v>0</v>
      </c>
      <c r="G282" s="2">
        <f>C282*VLOOKUP($A282,'Selector Sheet '!$B$13:$D$43,2,FALSE)</f>
        <v>0</v>
      </c>
    </row>
    <row r="283" spans="1:7">
      <c r="A283" s="53" t="s">
        <v>33</v>
      </c>
      <c r="B283" s="7" t="s">
        <v>1901</v>
      </c>
      <c r="C283" s="8">
        <v>0.015</v>
      </c>
      <c r="D283" s="2">
        <f>C283*VLOOKUP($A283,'Selector Sheet '!$B$13:$D$43,2,FALSE)</f>
        <v>0</v>
      </c>
      <c r="F283" s="2">
        <f t="shared" si="7"/>
        <v>0</v>
      </c>
      <c r="G283" s="2">
        <f>C283*VLOOKUP($A283,'Selector Sheet '!$B$13:$D$43,2,FALSE)</f>
        <v>0</v>
      </c>
    </row>
    <row r="284" spans="1:7">
      <c r="A284" s="53" t="s">
        <v>33</v>
      </c>
      <c r="B284" s="7" t="s">
        <v>1995</v>
      </c>
      <c r="C284" s="8">
        <v>0.016</v>
      </c>
      <c r="D284" s="2">
        <f>C284*VLOOKUP($A284,'Selector Sheet '!$B$13:$D$43,2,FALSE)</f>
        <v>0</v>
      </c>
      <c r="F284" s="2">
        <f t="shared" si="7"/>
        <v>0</v>
      </c>
      <c r="G284" s="2">
        <f>C284*VLOOKUP($A284,'Selector Sheet '!$B$13:$D$43,2,FALSE)</f>
        <v>0</v>
      </c>
    </row>
    <row r="285" spans="1:7">
      <c r="A285" s="53" t="s">
        <v>33</v>
      </c>
      <c r="B285" s="7" t="s">
        <v>2094</v>
      </c>
      <c r="C285" s="8">
        <v>0.018</v>
      </c>
      <c r="D285" s="2">
        <f>C285*VLOOKUP($A285,'Selector Sheet '!$B$13:$D$43,2,FALSE)</f>
        <v>0</v>
      </c>
      <c r="F285" s="2">
        <f t="shared" si="7"/>
        <v>0</v>
      </c>
      <c r="G285" s="2">
        <f>C285*VLOOKUP($A285,'Selector Sheet '!$B$13:$D$43,2,FALSE)</f>
        <v>0</v>
      </c>
    </row>
    <row r="286" spans="1:7">
      <c r="A286" s="53" t="s">
        <v>33</v>
      </c>
      <c r="B286" s="7" t="s">
        <v>1909</v>
      </c>
      <c r="C286" s="8">
        <v>0.022</v>
      </c>
      <c r="D286" s="2">
        <f>C286*VLOOKUP($A286,'Selector Sheet '!$B$13:$D$43,2,FALSE)</f>
        <v>0</v>
      </c>
      <c r="F286" s="2">
        <f t="shared" si="7"/>
        <v>0</v>
      </c>
      <c r="G286" s="2">
        <f>C286*VLOOKUP($A286,'Selector Sheet '!$B$13:$D$43,2,FALSE)</f>
        <v>0</v>
      </c>
    </row>
    <row r="287" spans="1:7">
      <c r="A287" s="53" t="s">
        <v>33</v>
      </c>
      <c r="B287" s="7" t="s">
        <v>2095</v>
      </c>
      <c r="C287" s="8">
        <v>0.027</v>
      </c>
      <c r="D287" s="2">
        <f>C287*VLOOKUP($A287,'Selector Sheet '!$B$13:$D$43,2,FALSE)</f>
        <v>0</v>
      </c>
      <c r="F287" s="2">
        <f t="shared" si="7"/>
        <v>0</v>
      </c>
      <c r="G287" s="2">
        <f>C287*VLOOKUP($A287,'Selector Sheet '!$B$13:$D$43,2,FALSE)</f>
        <v>0</v>
      </c>
    </row>
    <row r="288" spans="1:7">
      <c r="A288" s="53" t="s">
        <v>33</v>
      </c>
      <c r="B288" s="7" t="s">
        <v>2096</v>
      </c>
      <c r="C288" s="8">
        <v>0.009</v>
      </c>
      <c r="D288" s="2">
        <f>C288*VLOOKUP($A288,'Selector Sheet '!$B$13:$D$43,2,FALSE)</f>
        <v>0</v>
      </c>
      <c r="F288" s="2">
        <f t="shared" si="7"/>
        <v>0</v>
      </c>
      <c r="G288" s="2">
        <f>C288*VLOOKUP($A288,'Selector Sheet '!$B$13:$D$43,2,FALSE)</f>
        <v>0</v>
      </c>
    </row>
    <row r="289" spans="1:7">
      <c r="A289" s="53" t="s">
        <v>33</v>
      </c>
      <c r="B289" s="7" t="s">
        <v>2097</v>
      </c>
      <c r="C289" s="8">
        <v>0.019</v>
      </c>
      <c r="D289" s="2">
        <f>C289*VLOOKUP($A289,'Selector Sheet '!$B$13:$D$43,2,FALSE)</f>
        <v>0</v>
      </c>
      <c r="F289" s="2">
        <f t="shared" si="7"/>
        <v>0</v>
      </c>
      <c r="G289" s="2">
        <f>C289*VLOOKUP($A289,'Selector Sheet '!$B$13:$D$43,2,FALSE)</f>
        <v>0</v>
      </c>
    </row>
    <row r="290" spans="1:7">
      <c r="A290" s="53" t="s">
        <v>33</v>
      </c>
      <c r="B290" s="7" t="s">
        <v>1848</v>
      </c>
      <c r="C290" s="8">
        <v>0.018</v>
      </c>
      <c r="D290" s="2">
        <f>C290*VLOOKUP($A290,'Selector Sheet '!$B$13:$D$43,2,FALSE)</f>
        <v>0</v>
      </c>
      <c r="F290" s="2">
        <f t="shared" si="7"/>
        <v>0</v>
      </c>
      <c r="G290" s="2">
        <f>C290*VLOOKUP($A290,'Selector Sheet '!$B$13:$D$43,2,FALSE)</f>
        <v>0</v>
      </c>
    </row>
    <row r="291" spans="1:7">
      <c r="A291" s="53" t="s">
        <v>33</v>
      </c>
      <c r="B291" s="7" t="s">
        <v>1828</v>
      </c>
      <c r="C291" s="8">
        <v>0.03</v>
      </c>
      <c r="D291" s="2">
        <f>C291*VLOOKUP($A291,'Selector Sheet '!$B$13:$D$43,2,FALSE)</f>
        <v>0</v>
      </c>
      <c r="F291" s="2">
        <f t="shared" ref="F291:F322" si="8">SUMIF($B$2:$B$305,E291,$D$2:$D$305)</f>
        <v>0</v>
      </c>
      <c r="G291" s="2">
        <f>C291*VLOOKUP($A291,'Selector Sheet '!$B$13:$D$43,2,FALSE)</f>
        <v>0</v>
      </c>
    </row>
    <row r="292" spans="1:7">
      <c r="A292" s="53" t="s">
        <v>33</v>
      </c>
      <c r="B292" s="7" t="s">
        <v>1882</v>
      </c>
      <c r="C292" s="8">
        <v>0.031</v>
      </c>
      <c r="D292" s="2">
        <f>C292*VLOOKUP($A292,'Selector Sheet '!$B$13:$D$43,2,FALSE)</f>
        <v>0</v>
      </c>
      <c r="F292" s="2">
        <f t="shared" si="8"/>
        <v>0</v>
      </c>
      <c r="G292" s="2">
        <f>C292*VLOOKUP($A292,'Selector Sheet '!$B$13:$D$43,2,FALSE)</f>
        <v>0</v>
      </c>
    </row>
    <row r="293" spans="1:7">
      <c r="A293" s="53" t="s">
        <v>33</v>
      </c>
      <c r="B293" s="7" t="s">
        <v>2098</v>
      </c>
      <c r="C293" s="8">
        <v>0.038</v>
      </c>
      <c r="D293" s="2">
        <f>C293*VLOOKUP($A293,'Selector Sheet '!$B$13:$D$43,2,FALSE)</f>
        <v>0</v>
      </c>
      <c r="F293" s="2">
        <f t="shared" si="8"/>
        <v>0</v>
      </c>
      <c r="G293" s="2">
        <f>C293*VLOOKUP($A293,'Selector Sheet '!$B$13:$D$43,2,FALSE)</f>
        <v>0</v>
      </c>
    </row>
    <row r="294" spans="1:7">
      <c r="A294" s="53" t="s">
        <v>33</v>
      </c>
      <c r="B294" s="7" t="s">
        <v>2099</v>
      </c>
      <c r="C294" s="8">
        <v>0.021</v>
      </c>
      <c r="D294" s="2">
        <f>C294*VLOOKUP($A294,'Selector Sheet '!$B$13:$D$43,2,FALSE)</f>
        <v>0</v>
      </c>
      <c r="F294" s="2">
        <f t="shared" si="8"/>
        <v>0</v>
      </c>
      <c r="G294" s="2">
        <f>C294*VLOOKUP($A294,'Selector Sheet '!$B$13:$D$43,2,FALSE)</f>
        <v>0</v>
      </c>
    </row>
    <row r="295" spans="1:7">
      <c r="A295" s="53" t="s">
        <v>33</v>
      </c>
      <c r="B295" s="7" t="s">
        <v>2100</v>
      </c>
      <c r="C295" s="8">
        <v>0.014</v>
      </c>
      <c r="D295" s="2">
        <f>C295*VLOOKUP($A295,'Selector Sheet '!$B$13:$D$43,2,FALSE)</f>
        <v>0</v>
      </c>
      <c r="F295" s="2">
        <f t="shared" si="8"/>
        <v>0</v>
      </c>
      <c r="G295" s="2">
        <f>C295*VLOOKUP($A295,'Selector Sheet '!$B$13:$D$43,2,FALSE)</f>
        <v>0</v>
      </c>
    </row>
    <row r="296" spans="1:7">
      <c r="A296" s="53" t="s">
        <v>33</v>
      </c>
      <c r="B296" s="7" t="s">
        <v>1831</v>
      </c>
      <c r="C296" s="8">
        <v>0.033</v>
      </c>
      <c r="D296" s="2">
        <f>C296*VLOOKUP($A296,'Selector Sheet '!$B$13:$D$43,2,FALSE)</f>
        <v>0</v>
      </c>
      <c r="F296" s="2">
        <f t="shared" si="8"/>
        <v>0</v>
      </c>
      <c r="G296" s="2">
        <f>C296*VLOOKUP($A296,'Selector Sheet '!$B$13:$D$43,2,FALSE)</f>
        <v>0</v>
      </c>
    </row>
    <row r="297" spans="1:7">
      <c r="A297" s="53" t="s">
        <v>33</v>
      </c>
      <c r="B297" s="7" t="s">
        <v>2101</v>
      </c>
      <c r="C297" s="8">
        <v>0.006</v>
      </c>
      <c r="D297" s="2">
        <f>C297*VLOOKUP($A297,'Selector Sheet '!$B$13:$D$43,2,FALSE)</f>
        <v>0</v>
      </c>
      <c r="F297" s="2">
        <f t="shared" si="8"/>
        <v>0</v>
      </c>
      <c r="G297" s="2">
        <f>C297*VLOOKUP($A297,'Selector Sheet '!$B$13:$D$43,2,FALSE)</f>
        <v>0</v>
      </c>
    </row>
    <row r="298" spans="1:7">
      <c r="A298" s="53" t="s">
        <v>33</v>
      </c>
      <c r="B298" s="7" t="s">
        <v>2102</v>
      </c>
      <c r="C298" s="8">
        <v>0.051</v>
      </c>
      <c r="D298" s="2">
        <f>C298*VLOOKUP($A298,'Selector Sheet '!$B$13:$D$43,2,FALSE)</f>
        <v>0</v>
      </c>
      <c r="F298" s="2">
        <f t="shared" si="8"/>
        <v>0</v>
      </c>
      <c r="G298" s="2">
        <f>C298*VLOOKUP($A298,'Selector Sheet '!$B$13:$D$43,2,FALSE)</f>
        <v>0</v>
      </c>
    </row>
    <row r="299" spans="1:7">
      <c r="A299" s="53" t="s">
        <v>1931</v>
      </c>
      <c r="B299" t="s">
        <v>1823</v>
      </c>
      <c r="C299" s="55">
        <v>0.0998</v>
      </c>
      <c r="D299" s="2" t="e">
        <f>C299*VLOOKUP($A299,'Selector Sheet '!$B$13:$D$43,2,FALSE)</f>
        <v>#N/A</v>
      </c>
      <c r="F299" s="2">
        <f t="shared" si="8"/>
        <v>0</v>
      </c>
      <c r="G299" s="2" t="e">
        <f>C299*VLOOKUP($A299,'Selector Sheet '!$B$13:$D$43,2,FALSE)</f>
        <v>#N/A</v>
      </c>
    </row>
    <row r="300" spans="1:7">
      <c r="A300" s="53" t="s">
        <v>1931</v>
      </c>
      <c r="B300" t="s">
        <v>1825</v>
      </c>
      <c r="C300" s="55">
        <v>0.0811</v>
      </c>
      <c r="D300" s="2" t="e">
        <f>C300*VLOOKUP($A300,'Selector Sheet '!$B$13:$D$43,2,FALSE)</f>
        <v>#N/A</v>
      </c>
      <c r="F300" s="2">
        <f t="shared" si="8"/>
        <v>0</v>
      </c>
      <c r="G300" s="2" t="e">
        <f>C300*VLOOKUP($A300,'Selector Sheet '!$B$13:$D$43,2,FALSE)</f>
        <v>#N/A</v>
      </c>
    </row>
    <row r="301" spans="1:7">
      <c r="A301" s="53" t="s">
        <v>1931</v>
      </c>
      <c r="B301" t="s">
        <v>1830</v>
      </c>
      <c r="C301" s="55">
        <v>0.0618</v>
      </c>
      <c r="D301" s="2" t="e">
        <f>C301*VLOOKUP($A301,'Selector Sheet '!$B$13:$D$43,2,FALSE)</f>
        <v>#N/A</v>
      </c>
      <c r="F301" s="2">
        <f t="shared" si="8"/>
        <v>0</v>
      </c>
      <c r="G301" s="2" t="e">
        <f>C301*VLOOKUP($A301,'Selector Sheet '!$B$13:$D$43,2,FALSE)</f>
        <v>#N/A</v>
      </c>
    </row>
    <row r="302" spans="1:7">
      <c r="A302" s="53" t="s">
        <v>1931</v>
      </c>
      <c r="B302" t="s">
        <v>1827</v>
      </c>
      <c r="C302" s="55">
        <v>0.0467</v>
      </c>
      <c r="D302" s="2" t="e">
        <f>C302*VLOOKUP($A302,'Selector Sheet '!$B$13:$D$43,2,FALSE)</f>
        <v>#N/A</v>
      </c>
      <c r="F302" s="2">
        <f t="shared" si="8"/>
        <v>0</v>
      </c>
      <c r="G302" s="2" t="e">
        <f>C302*VLOOKUP($A302,'Selector Sheet '!$B$13:$D$43,2,FALSE)</f>
        <v>#N/A</v>
      </c>
    </row>
    <row r="303" spans="1:7">
      <c r="A303" s="53" t="s">
        <v>1931</v>
      </c>
      <c r="B303" t="s">
        <v>1831</v>
      </c>
      <c r="C303" s="55">
        <v>0.0467</v>
      </c>
      <c r="D303" s="2" t="e">
        <f>C303*VLOOKUP($A303,'Selector Sheet '!$B$13:$D$43,2,FALSE)</f>
        <v>#N/A</v>
      </c>
      <c r="F303" s="2">
        <f t="shared" si="8"/>
        <v>0</v>
      </c>
      <c r="G303" s="2" t="e">
        <f>C303*VLOOKUP($A303,'Selector Sheet '!$B$13:$D$43,2,FALSE)</f>
        <v>#N/A</v>
      </c>
    </row>
    <row r="304" spans="1:7">
      <c r="A304" s="53" t="s">
        <v>1931</v>
      </c>
      <c r="B304" t="s">
        <v>1828</v>
      </c>
      <c r="C304" s="55">
        <v>0.0465</v>
      </c>
      <c r="D304" s="2" t="e">
        <f>C304*VLOOKUP($A304,'Selector Sheet '!$B$13:$D$43,2,FALSE)</f>
        <v>#N/A</v>
      </c>
      <c r="F304" s="2">
        <f t="shared" si="8"/>
        <v>0</v>
      </c>
      <c r="G304" s="2" t="e">
        <f>C304*VLOOKUP($A304,'Selector Sheet '!$B$13:$D$43,2,FALSE)</f>
        <v>#N/A</v>
      </c>
    </row>
    <row r="305" spans="1:7">
      <c r="A305" s="53" t="s">
        <v>1931</v>
      </c>
      <c r="B305" t="s">
        <v>1838</v>
      </c>
      <c r="C305" s="55">
        <v>0.0461</v>
      </c>
      <c r="D305" s="2" t="e">
        <f>C305*VLOOKUP($A305,'Selector Sheet '!$B$13:$D$43,2,FALSE)</f>
        <v>#N/A</v>
      </c>
      <c r="F305" s="2">
        <f t="shared" si="8"/>
        <v>0</v>
      </c>
      <c r="G305" s="2" t="e">
        <f>C305*VLOOKUP($A305,'Selector Sheet '!$B$13:$D$43,2,FALSE)</f>
        <v>#N/A</v>
      </c>
    </row>
    <row r="306" spans="1:7">
      <c r="A306" s="53" t="s">
        <v>1931</v>
      </c>
      <c r="B306" t="s">
        <v>1833</v>
      </c>
      <c r="C306" s="55">
        <v>0.041</v>
      </c>
      <c r="D306" s="2" t="e">
        <f>C306*VLOOKUP($A306,'Selector Sheet '!$B$13:$D$43,2,FALSE)</f>
        <v>#N/A</v>
      </c>
      <c r="F306" s="2">
        <f t="shared" si="8"/>
        <v>0</v>
      </c>
      <c r="G306" s="2" t="e">
        <f>C306*VLOOKUP($A306,'Selector Sheet '!$B$13:$D$43,2,FALSE)</f>
        <v>#N/A</v>
      </c>
    </row>
    <row r="307" spans="1:7">
      <c r="A307" s="53" t="s">
        <v>1931</v>
      </c>
      <c r="B307" t="s">
        <v>1842</v>
      </c>
      <c r="C307" s="55">
        <v>0.0408</v>
      </c>
      <c r="D307" s="2" t="e">
        <f>C307*VLOOKUP($A307,'Selector Sheet '!$B$13:$D$43,2,FALSE)</f>
        <v>#N/A</v>
      </c>
      <c r="F307" s="2">
        <f t="shared" si="8"/>
        <v>0</v>
      </c>
      <c r="G307" s="2" t="e">
        <f>C307*VLOOKUP($A307,'Selector Sheet '!$B$13:$D$43,2,FALSE)</f>
        <v>#N/A</v>
      </c>
    </row>
    <row r="308" spans="1:7">
      <c r="A308" s="53" t="s">
        <v>1931</v>
      </c>
      <c r="B308" t="s">
        <v>1841</v>
      </c>
      <c r="C308" s="55">
        <v>0.0271</v>
      </c>
      <c r="D308" s="2" t="e">
        <f>C308*VLOOKUP($A308,'Selector Sheet '!$B$13:$D$43,2,FALSE)</f>
        <v>#N/A</v>
      </c>
      <c r="F308" s="2">
        <f t="shared" si="8"/>
        <v>0</v>
      </c>
      <c r="G308" s="2" t="e">
        <f>C308*VLOOKUP($A308,'Selector Sheet '!$B$13:$D$43,2,FALSE)</f>
        <v>#N/A</v>
      </c>
    </row>
    <row r="309" spans="1:7">
      <c r="A309" s="53" t="s">
        <v>1931</v>
      </c>
      <c r="B309" t="s">
        <v>1840</v>
      </c>
      <c r="C309" s="55">
        <v>0.0199</v>
      </c>
      <c r="D309" s="2" t="e">
        <f>C309*VLOOKUP($A309,'Selector Sheet '!$B$13:$D$43,2,FALSE)</f>
        <v>#N/A</v>
      </c>
      <c r="F309" s="2">
        <f t="shared" si="8"/>
        <v>0</v>
      </c>
      <c r="G309" s="2" t="e">
        <f>C309*VLOOKUP($A309,'Selector Sheet '!$B$13:$D$43,2,FALSE)</f>
        <v>#N/A</v>
      </c>
    </row>
    <row r="310" spans="1:7">
      <c r="A310" s="53" t="s">
        <v>1931</v>
      </c>
      <c r="B310" t="s">
        <v>1924</v>
      </c>
      <c r="C310" s="55">
        <v>0.0193</v>
      </c>
      <c r="D310" s="2" t="e">
        <f>C310*VLOOKUP($A310,'Selector Sheet '!$B$13:$D$43,2,FALSE)</f>
        <v>#N/A</v>
      </c>
      <c r="F310" s="2">
        <f t="shared" si="8"/>
        <v>0</v>
      </c>
      <c r="G310" s="2" t="e">
        <f>C310*VLOOKUP($A310,'Selector Sheet '!$B$13:$D$43,2,FALSE)</f>
        <v>#N/A</v>
      </c>
    </row>
    <row r="311" spans="1:7">
      <c r="A311" s="53" t="s">
        <v>1931</v>
      </c>
      <c r="B311" t="s">
        <v>1843</v>
      </c>
      <c r="C311" s="55">
        <v>0.0189</v>
      </c>
      <c r="D311" s="2" t="e">
        <f>C311*VLOOKUP($A311,'Selector Sheet '!$B$13:$D$43,2,FALSE)</f>
        <v>#N/A</v>
      </c>
      <c r="F311" s="2">
        <f t="shared" si="8"/>
        <v>0</v>
      </c>
      <c r="G311" s="2" t="e">
        <f>C311*VLOOKUP($A311,'Selector Sheet '!$B$13:$D$43,2,FALSE)</f>
        <v>#N/A</v>
      </c>
    </row>
    <row r="312" spans="1:7">
      <c r="A312" s="53" t="s">
        <v>1931</v>
      </c>
      <c r="B312" t="s">
        <v>1834</v>
      </c>
      <c r="C312" s="55">
        <v>0.018</v>
      </c>
      <c r="D312" s="2" t="e">
        <f>C312*VLOOKUP($A312,'Selector Sheet '!$B$13:$D$43,2,FALSE)</f>
        <v>#N/A</v>
      </c>
      <c r="F312" s="2">
        <f t="shared" si="8"/>
        <v>0</v>
      </c>
      <c r="G312" s="2" t="e">
        <f>C312*VLOOKUP($A312,'Selector Sheet '!$B$13:$D$43,2,FALSE)</f>
        <v>#N/A</v>
      </c>
    </row>
    <row r="313" spans="1:7">
      <c r="A313" s="53" t="s">
        <v>1931</v>
      </c>
      <c r="B313" t="s">
        <v>1968</v>
      </c>
      <c r="C313" s="55">
        <v>0.0154</v>
      </c>
      <c r="D313" s="2" t="e">
        <f>C313*VLOOKUP($A313,'Selector Sheet '!$B$13:$D$43,2,FALSE)</f>
        <v>#N/A</v>
      </c>
      <c r="F313" s="2">
        <f t="shared" si="8"/>
        <v>0</v>
      </c>
      <c r="G313" s="2" t="e">
        <f>C313*VLOOKUP($A313,'Selector Sheet '!$B$13:$D$43,2,FALSE)</f>
        <v>#N/A</v>
      </c>
    </row>
    <row r="314" spans="1:7">
      <c r="A314" s="53" t="s">
        <v>1931</v>
      </c>
      <c r="B314" t="s">
        <v>1970</v>
      </c>
      <c r="C314" s="55">
        <v>0.0135</v>
      </c>
      <c r="D314" s="2" t="e">
        <f>C314*VLOOKUP($A314,'Selector Sheet '!$B$13:$D$43,2,FALSE)</f>
        <v>#N/A</v>
      </c>
      <c r="F314" s="2">
        <f t="shared" si="8"/>
        <v>0</v>
      </c>
      <c r="G314" s="2" t="e">
        <f>C314*VLOOKUP($A314,'Selector Sheet '!$B$13:$D$43,2,FALSE)</f>
        <v>#N/A</v>
      </c>
    </row>
    <row r="315" spans="1:7">
      <c r="A315" s="53" t="s">
        <v>1931</v>
      </c>
      <c r="B315" t="s">
        <v>1832</v>
      </c>
      <c r="C315" s="55">
        <v>0.0133</v>
      </c>
      <c r="D315" s="2" t="e">
        <f>C315*VLOOKUP($A315,'Selector Sheet '!$B$13:$D$43,2,FALSE)</f>
        <v>#N/A</v>
      </c>
      <c r="F315" s="2">
        <f t="shared" si="8"/>
        <v>0</v>
      </c>
      <c r="G315" s="2" t="e">
        <f>C315*VLOOKUP($A315,'Selector Sheet '!$B$13:$D$43,2,FALSE)</f>
        <v>#N/A</v>
      </c>
    </row>
    <row r="316" spans="1:7">
      <c r="A316" s="53" t="s">
        <v>1931</v>
      </c>
      <c r="B316" t="s">
        <v>1969</v>
      </c>
      <c r="C316" s="55">
        <v>0.0133</v>
      </c>
      <c r="D316" s="2" t="e">
        <f>C316*VLOOKUP($A316,'Selector Sheet '!$B$13:$D$43,2,FALSE)</f>
        <v>#N/A</v>
      </c>
      <c r="F316" s="2">
        <f t="shared" si="8"/>
        <v>0</v>
      </c>
      <c r="G316" s="2" t="e">
        <f>C316*VLOOKUP($A316,'Selector Sheet '!$B$13:$D$43,2,FALSE)</f>
        <v>#N/A</v>
      </c>
    </row>
    <row r="317" spans="1:7">
      <c r="A317" s="53" t="s">
        <v>1931</v>
      </c>
      <c r="B317" t="s">
        <v>1965</v>
      </c>
      <c r="C317" s="55">
        <v>0.0121</v>
      </c>
      <c r="D317" s="2" t="e">
        <f>C317*VLOOKUP($A317,'Selector Sheet '!$B$13:$D$43,2,FALSE)</f>
        <v>#N/A</v>
      </c>
      <c r="F317" s="2">
        <f t="shared" si="8"/>
        <v>0</v>
      </c>
      <c r="G317" s="2" t="e">
        <f>C317*VLOOKUP($A317,'Selector Sheet '!$B$13:$D$43,2,FALSE)</f>
        <v>#N/A</v>
      </c>
    </row>
    <row r="318" spans="1:7">
      <c r="A318" s="53" t="s">
        <v>1931</v>
      </c>
      <c r="B318" t="s">
        <v>1920</v>
      </c>
      <c r="C318" s="55">
        <v>0.011</v>
      </c>
      <c r="D318" s="2" t="e">
        <f>C318*VLOOKUP($A318,'Selector Sheet '!$B$13:$D$43,2,FALSE)</f>
        <v>#N/A</v>
      </c>
      <c r="F318" s="2">
        <f t="shared" si="8"/>
        <v>0</v>
      </c>
      <c r="G318" s="2" t="e">
        <f>C318*VLOOKUP($A318,'Selector Sheet '!$B$13:$D$43,2,FALSE)</f>
        <v>#N/A</v>
      </c>
    </row>
    <row r="319" spans="1:7">
      <c r="A319" s="53" t="s">
        <v>1931</v>
      </c>
      <c r="B319" t="s">
        <v>1971</v>
      </c>
      <c r="C319" s="55">
        <v>0.0108</v>
      </c>
      <c r="D319" s="2" t="e">
        <f>C319*VLOOKUP($A319,'Selector Sheet '!$B$13:$D$43,2,FALSE)</f>
        <v>#N/A</v>
      </c>
      <c r="F319" s="2">
        <f t="shared" si="8"/>
        <v>0</v>
      </c>
      <c r="G319" s="2" t="e">
        <f>C319*VLOOKUP($A319,'Selector Sheet '!$B$13:$D$43,2,FALSE)</f>
        <v>#N/A</v>
      </c>
    </row>
    <row r="320" spans="1:7">
      <c r="A320" s="53" t="s">
        <v>1931</v>
      </c>
      <c r="B320" t="s">
        <v>1922</v>
      </c>
      <c r="C320" s="55">
        <v>0.0104</v>
      </c>
      <c r="D320" s="2" t="e">
        <f>C320*VLOOKUP($A320,'Selector Sheet '!$B$13:$D$43,2,FALSE)</f>
        <v>#N/A</v>
      </c>
      <c r="F320" s="2">
        <f t="shared" si="8"/>
        <v>0</v>
      </c>
      <c r="G320" s="2" t="e">
        <f>C320*VLOOKUP($A320,'Selector Sheet '!$B$13:$D$43,2,FALSE)</f>
        <v>#N/A</v>
      </c>
    </row>
    <row r="321" spans="1:7">
      <c r="A321" s="53" t="s">
        <v>1931</v>
      </c>
      <c r="B321" t="s">
        <v>1908</v>
      </c>
      <c r="C321" s="55">
        <v>0.0101</v>
      </c>
      <c r="D321" s="2" t="e">
        <f>C321*VLOOKUP($A321,'Selector Sheet '!$B$13:$D$43,2,FALSE)</f>
        <v>#N/A</v>
      </c>
      <c r="F321" s="2">
        <f t="shared" si="8"/>
        <v>0</v>
      </c>
      <c r="G321" s="2" t="e">
        <f>C321*VLOOKUP($A321,'Selector Sheet '!$B$13:$D$43,2,FALSE)</f>
        <v>#N/A</v>
      </c>
    </row>
    <row r="322" spans="1:7">
      <c r="A322" s="53" t="s">
        <v>1931</v>
      </c>
      <c r="B322" t="s">
        <v>1923</v>
      </c>
      <c r="C322" s="55">
        <v>0.0097</v>
      </c>
      <c r="D322" s="2" t="e">
        <f>C322*VLOOKUP($A322,'Selector Sheet '!$B$13:$D$43,2,FALSE)</f>
        <v>#N/A</v>
      </c>
      <c r="F322" s="2">
        <f t="shared" si="8"/>
        <v>0</v>
      </c>
      <c r="G322" s="2" t="e">
        <f>C322*VLOOKUP($A322,'Selector Sheet '!$B$13:$D$43,2,FALSE)</f>
        <v>#N/A</v>
      </c>
    </row>
    <row r="323" spans="1:7">
      <c r="A323" s="53" t="s">
        <v>1931</v>
      </c>
      <c r="B323" t="s">
        <v>1913</v>
      </c>
      <c r="C323" s="55">
        <v>0.0097</v>
      </c>
      <c r="D323" s="2" t="e">
        <f>C323*VLOOKUP($A323,'Selector Sheet '!$B$13:$D$43,2,FALSE)</f>
        <v>#N/A</v>
      </c>
      <c r="F323" s="2">
        <f t="shared" ref="F323:F354" si="9">SUMIF($B$2:$B$305,E323,$D$2:$D$305)</f>
        <v>0</v>
      </c>
      <c r="G323" s="2" t="e">
        <f>C323*VLOOKUP($A323,'Selector Sheet '!$B$13:$D$43,2,FALSE)</f>
        <v>#N/A</v>
      </c>
    </row>
    <row r="324" spans="1:7">
      <c r="A324" s="1" t="s">
        <v>20</v>
      </c>
      <c r="B324" t="s">
        <v>1823</v>
      </c>
      <c r="C324" s="52">
        <v>0.0959</v>
      </c>
      <c r="D324" s="2">
        <f>C324*VLOOKUP($A324,'Selector Sheet '!$B$13:$D$43,2,FALSE)</f>
        <v>0.04795</v>
      </c>
      <c r="F324" s="2">
        <f t="shared" si="9"/>
        <v>0</v>
      </c>
      <c r="G324" s="2">
        <f>C324*VLOOKUP($A324,'Selector Sheet '!$B$13:$D$43,2,FALSE)</f>
        <v>0.04795</v>
      </c>
    </row>
    <row r="325" spans="1:7">
      <c r="A325" s="1" t="s">
        <v>20</v>
      </c>
      <c r="B325" t="s">
        <v>1827</v>
      </c>
      <c r="C325" s="52">
        <v>0.0633</v>
      </c>
      <c r="D325" s="2">
        <f>C325*VLOOKUP($A325,'Selector Sheet '!$B$13:$D$43,2,FALSE)</f>
        <v>0.03165</v>
      </c>
      <c r="F325" s="2">
        <f t="shared" si="9"/>
        <v>0</v>
      </c>
      <c r="G325" s="2">
        <f>C325*VLOOKUP($A325,'Selector Sheet '!$B$13:$D$43,2,FALSE)</f>
        <v>0.03165</v>
      </c>
    </row>
    <row r="326" spans="1:7">
      <c r="A326" s="1" t="s">
        <v>20</v>
      </c>
      <c r="B326" t="s">
        <v>1825</v>
      </c>
      <c r="C326" s="52">
        <v>0.0598</v>
      </c>
      <c r="D326" s="2">
        <f>C326*VLOOKUP($A326,'Selector Sheet '!$B$13:$D$43,2,FALSE)</f>
        <v>0.0299</v>
      </c>
      <c r="F326" s="2">
        <f t="shared" si="9"/>
        <v>0</v>
      </c>
      <c r="G326" s="2">
        <f>C326*VLOOKUP($A326,'Selector Sheet '!$B$13:$D$43,2,FALSE)</f>
        <v>0.0299</v>
      </c>
    </row>
    <row r="327" spans="1:7">
      <c r="A327" s="1" t="s">
        <v>20</v>
      </c>
      <c r="B327" t="s">
        <v>1833</v>
      </c>
      <c r="C327" s="52">
        <v>0.0489</v>
      </c>
      <c r="D327" s="2">
        <f>C327*VLOOKUP($A327,'Selector Sheet '!$B$13:$D$43,2,FALSE)</f>
        <v>0.02445</v>
      </c>
      <c r="F327" s="2">
        <f t="shared" si="9"/>
        <v>0</v>
      </c>
      <c r="G327" s="2">
        <f>C327*VLOOKUP($A327,'Selector Sheet '!$B$13:$D$43,2,FALSE)</f>
        <v>0.02445</v>
      </c>
    </row>
    <row r="328" spans="1:7">
      <c r="A328" s="1" t="s">
        <v>20</v>
      </c>
      <c r="B328" t="s">
        <v>1845</v>
      </c>
      <c r="C328" s="52">
        <v>0.0424</v>
      </c>
      <c r="D328" s="2">
        <f>C328*VLOOKUP($A328,'Selector Sheet '!$B$13:$D$43,2,FALSE)</f>
        <v>0.0212</v>
      </c>
      <c r="F328" s="2">
        <f t="shared" si="9"/>
        <v>0</v>
      </c>
      <c r="G328" s="2">
        <f>C328*VLOOKUP($A328,'Selector Sheet '!$B$13:$D$43,2,FALSE)</f>
        <v>0.0212</v>
      </c>
    </row>
    <row r="329" spans="1:7">
      <c r="A329" s="1" t="s">
        <v>20</v>
      </c>
      <c r="B329" t="s">
        <v>1830</v>
      </c>
      <c r="C329" s="52">
        <v>0.0388</v>
      </c>
      <c r="D329" s="2">
        <f>C329*VLOOKUP($A329,'Selector Sheet '!$B$13:$D$43,2,FALSE)</f>
        <v>0.0194</v>
      </c>
      <c r="F329" s="2">
        <f t="shared" si="9"/>
        <v>0</v>
      </c>
      <c r="G329" s="2">
        <f>C329*VLOOKUP($A329,'Selector Sheet '!$B$13:$D$43,2,FALSE)</f>
        <v>0.0194</v>
      </c>
    </row>
    <row r="330" spans="1:7">
      <c r="A330" s="1" t="s">
        <v>20</v>
      </c>
      <c r="B330" t="s">
        <v>1828</v>
      </c>
      <c r="C330" s="52">
        <v>0.0361</v>
      </c>
      <c r="D330" s="2">
        <f>C330*VLOOKUP($A330,'Selector Sheet '!$B$13:$D$43,2,FALSE)</f>
        <v>0.01805</v>
      </c>
      <c r="F330" s="2">
        <f t="shared" si="9"/>
        <v>0</v>
      </c>
      <c r="G330" s="2">
        <f>C330*VLOOKUP($A330,'Selector Sheet '!$B$13:$D$43,2,FALSE)</f>
        <v>0.01805</v>
      </c>
    </row>
    <row r="331" spans="1:7">
      <c r="A331" s="1" t="s">
        <v>20</v>
      </c>
      <c r="B331" t="s">
        <v>1836</v>
      </c>
      <c r="C331" s="52">
        <v>0.0356</v>
      </c>
      <c r="D331" s="2">
        <f>C331*VLOOKUP($A331,'Selector Sheet '!$B$13:$D$43,2,FALSE)</f>
        <v>0.0178</v>
      </c>
      <c r="F331" s="2">
        <f t="shared" si="9"/>
        <v>0</v>
      </c>
      <c r="G331" s="2">
        <f>C331*VLOOKUP($A331,'Selector Sheet '!$B$13:$D$43,2,FALSE)</f>
        <v>0.0178</v>
      </c>
    </row>
    <row r="332" spans="1:7">
      <c r="A332" s="1" t="s">
        <v>20</v>
      </c>
      <c r="B332" t="s">
        <v>1840</v>
      </c>
      <c r="C332" s="52">
        <v>0.0261</v>
      </c>
      <c r="D332" s="2">
        <f>C332*VLOOKUP($A332,'Selector Sheet '!$B$13:$D$43,2,FALSE)</f>
        <v>0.01305</v>
      </c>
      <c r="F332" s="2">
        <f t="shared" si="9"/>
        <v>0</v>
      </c>
      <c r="G332" s="2">
        <f>C332*VLOOKUP($A332,'Selector Sheet '!$B$13:$D$43,2,FALSE)</f>
        <v>0.01305</v>
      </c>
    </row>
    <row r="333" spans="1:7">
      <c r="A333" s="1" t="s">
        <v>20</v>
      </c>
      <c r="B333" t="s">
        <v>1839</v>
      </c>
      <c r="C333" s="52">
        <v>0.0255</v>
      </c>
      <c r="D333" s="2">
        <f>C333*VLOOKUP($A333,'Selector Sheet '!$B$13:$D$43,2,FALSE)</f>
        <v>0.01275</v>
      </c>
      <c r="F333" s="2">
        <f t="shared" si="9"/>
        <v>0</v>
      </c>
      <c r="G333" s="2">
        <f>C333*VLOOKUP($A333,'Selector Sheet '!$B$13:$D$43,2,FALSE)</f>
        <v>0.01275</v>
      </c>
    </row>
    <row r="334" spans="1:7">
      <c r="A334" s="1" t="s">
        <v>20</v>
      </c>
      <c r="B334" t="s">
        <v>1874</v>
      </c>
      <c r="C334" s="52">
        <v>0.0223</v>
      </c>
      <c r="D334" s="2">
        <f>C334*VLOOKUP($A334,'Selector Sheet '!$B$13:$D$43,2,FALSE)</f>
        <v>0.01115</v>
      </c>
      <c r="F334" s="2">
        <f t="shared" si="9"/>
        <v>0</v>
      </c>
      <c r="G334" s="2">
        <f>C334*VLOOKUP($A334,'Selector Sheet '!$B$13:$D$43,2,FALSE)</f>
        <v>0.01115</v>
      </c>
    </row>
    <row r="335" spans="1:7">
      <c r="A335" s="1" t="s">
        <v>20</v>
      </c>
      <c r="B335" t="s">
        <v>1844</v>
      </c>
      <c r="C335" s="52">
        <v>0.022</v>
      </c>
      <c r="D335" s="2">
        <f>C335*VLOOKUP($A335,'Selector Sheet '!$B$13:$D$43,2,FALSE)</f>
        <v>0.011</v>
      </c>
      <c r="F335" s="2">
        <f t="shared" si="9"/>
        <v>0</v>
      </c>
      <c r="G335" s="2">
        <f>C335*VLOOKUP($A335,'Selector Sheet '!$B$13:$D$43,2,FALSE)</f>
        <v>0.011</v>
      </c>
    </row>
    <row r="336" spans="1:7">
      <c r="A336" s="1" t="s">
        <v>20</v>
      </c>
      <c r="B336" t="s">
        <v>2103</v>
      </c>
      <c r="C336" s="52">
        <v>0.0205</v>
      </c>
      <c r="D336" s="2">
        <f>C336*VLOOKUP($A336,'Selector Sheet '!$B$13:$D$43,2,FALSE)</f>
        <v>0.01025</v>
      </c>
      <c r="F336" s="2">
        <f t="shared" si="9"/>
        <v>0</v>
      </c>
      <c r="G336" s="2">
        <f>C336*VLOOKUP($A336,'Selector Sheet '!$B$13:$D$43,2,FALSE)</f>
        <v>0.01025</v>
      </c>
    </row>
    <row r="337" spans="1:7">
      <c r="A337" s="1" t="s">
        <v>20</v>
      </c>
      <c r="B337" t="s">
        <v>1838</v>
      </c>
      <c r="C337" s="52">
        <v>0.0205</v>
      </c>
      <c r="D337" s="2">
        <f>C337*VLOOKUP($A337,'Selector Sheet '!$B$13:$D$43,2,FALSE)</f>
        <v>0.01025</v>
      </c>
      <c r="F337" s="2">
        <f t="shared" si="9"/>
        <v>0</v>
      </c>
      <c r="G337" s="2">
        <f>C337*VLOOKUP($A337,'Selector Sheet '!$B$13:$D$43,2,FALSE)</f>
        <v>0.01025</v>
      </c>
    </row>
    <row r="338" spans="1:7">
      <c r="A338" s="1" t="s">
        <v>20</v>
      </c>
      <c r="B338" t="s">
        <v>1832</v>
      </c>
      <c r="C338" s="52">
        <v>0.0172</v>
      </c>
      <c r="D338" s="2">
        <f>C338*VLOOKUP($A338,'Selector Sheet '!$B$13:$D$43,2,FALSE)</f>
        <v>0.0086</v>
      </c>
      <c r="F338" s="2">
        <f t="shared" si="9"/>
        <v>0</v>
      </c>
      <c r="G338" s="2">
        <f>C338*VLOOKUP($A338,'Selector Sheet '!$B$13:$D$43,2,FALSE)</f>
        <v>0.0086</v>
      </c>
    </row>
    <row r="339" spans="1:7">
      <c r="A339" s="1" t="s">
        <v>20</v>
      </c>
      <c r="B339" t="s">
        <v>1852</v>
      </c>
      <c r="C339" s="52">
        <v>0.0169</v>
      </c>
      <c r="D339" s="2">
        <f>C339*VLOOKUP($A339,'Selector Sheet '!$B$13:$D$43,2,FALSE)</f>
        <v>0.00845</v>
      </c>
      <c r="F339" s="2">
        <f t="shared" si="9"/>
        <v>0</v>
      </c>
      <c r="G339" s="2">
        <f>C339*VLOOKUP($A339,'Selector Sheet '!$B$13:$D$43,2,FALSE)</f>
        <v>0.00845</v>
      </c>
    </row>
    <row r="340" spans="1:7">
      <c r="A340" s="1" t="s">
        <v>20</v>
      </c>
      <c r="B340" t="s">
        <v>1908</v>
      </c>
      <c r="C340" s="52">
        <v>0.0166</v>
      </c>
      <c r="D340" s="2">
        <f>C340*VLOOKUP($A340,'Selector Sheet '!$B$13:$D$43,2,FALSE)</f>
        <v>0.0083</v>
      </c>
      <c r="F340" s="2">
        <f t="shared" si="9"/>
        <v>0</v>
      </c>
      <c r="G340" s="2">
        <f>C340*VLOOKUP($A340,'Selector Sheet '!$B$13:$D$43,2,FALSE)</f>
        <v>0.0083</v>
      </c>
    </row>
    <row r="341" spans="1:7">
      <c r="A341" s="1" t="s">
        <v>20</v>
      </c>
      <c r="B341" t="s">
        <v>2104</v>
      </c>
      <c r="C341" s="52">
        <v>0.0163</v>
      </c>
      <c r="D341" s="2">
        <f>C341*VLOOKUP($A341,'Selector Sheet '!$B$13:$D$43,2,FALSE)</f>
        <v>0.00815</v>
      </c>
      <c r="F341" s="2">
        <f t="shared" si="9"/>
        <v>0</v>
      </c>
      <c r="G341" s="2">
        <f>C341*VLOOKUP($A341,'Selector Sheet '!$B$13:$D$43,2,FALSE)</f>
        <v>0.00815</v>
      </c>
    </row>
    <row r="342" spans="1:7">
      <c r="A342" s="1" t="s">
        <v>20</v>
      </c>
      <c r="B342" t="s">
        <v>1842</v>
      </c>
      <c r="C342" s="52">
        <v>0.0148</v>
      </c>
      <c r="D342" s="2">
        <f>C342*VLOOKUP($A342,'Selector Sheet '!$B$13:$D$43,2,FALSE)</f>
        <v>0.0074</v>
      </c>
      <c r="F342" s="2">
        <f t="shared" si="9"/>
        <v>0</v>
      </c>
      <c r="G342" s="2">
        <f>C342*VLOOKUP($A342,'Selector Sheet '!$B$13:$D$43,2,FALSE)</f>
        <v>0.0074</v>
      </c>
    </row>
    <row r="343" spans="1:7">
      <c r="A343" s="1" t="s">
        <v>20</v>
      </c>
      <c r="B343" t="s">
        <v>2105</v>
      </c>
      <c r="C343" s="52">
        <v>0.0146</v>
      </c>
      <c r="D343" s="2">
        <f>C343*VLOOKUP($A343,'Selector Sheet '!$B$13:$D$43,2,FALSE)</f>
        <v>0.0073</v>
      </c>
      <c r="F343" s="2">
        <f t="shared" si="9"/>
        <v>0</v>
      </c>
      <c r="G343" s="2">
        <f>C343*VLOOKUP($A343,'Selector Sheet '!$B$13:$D$43,2,FALSE)</f>
        <v>0.0073</v>
      </c>
    </row>
    <row r="344" spans="1:7">
      <c r="A344" s="1" t="s">
        <v>20</v>
      </c>
      <c r="B344" t="s">
        <v>1858</v>
      </c>
      <c r="C344" s="52">
        <v>0.0146</v>
      </c>
      <c r="D344" s="2">
        <f>C344*VLOOKUP($A344,'Selector Sheet '!$B$13:$D$43,2,FALSE)</f>
        <v>0.0073</v>
      </c>
      <c r="F344" s="2">
        <f t="shared" si="9"/>
        <v>0</v>
      </c>
      <c r="G344" s="2">
        <f>C344*VLOOKUP($A344,'Selector Sheet '!$B$13:$D$43,2,FALSE)</f>
        <v>0.0073</v>
      </c>
    </row>
    <row r="345" spans="1:7">
      <c r="A345" s="1" t="s">
        <v>20</v>
      </c>
      <c r="B345" t="s">
        <v>1965</v>
      </c>
      <c r="C345" s="52">
        <v>0.0144</v>
      </c>
      <c r="D345" s="2">
        <f>C345*VLOOKUP($A345,'Selector Sheet '!$B$13:$D$43,2,FALSE)</f>
        <v>0.0072</v>
      </c>
      <c r="F345" s="2">
        <f t="shared" si="9"/>
        <v>0</v>
      </c>
      <c r="G345" s="2">
        <f>C345*VLOOKUP($A345,'Selector Sheet '!$B$13:$D$43,2,FALSE)</f>
        <v>0.0072</v>
      </c>
    </row>
    <row r="346" spans="1:7">
      <c r="A346" s="1" t="s">
        <v>20</v>
      </c>
      <c r="B346" t="s">
        <v>1897</v>
      </c>
      <c r="C346" s="52">
        <v>0.0135</v>
      </c>
      <c r="D346" s="2">
        <f>C346*VLOOKUP($A346,'Selector Sheet '!$B$13:$D$43,2,FALSE)</f>
        <v>0.00675</v>
      </c>
      <c r="F346" s="2">
        <f t="shared" si="9"/>
        <v>0</v>
      </c>
      <c r="G346" s="2">
        <f>C346*VLOOKUP($A346,'Selector Sheet '!$B$13:$D$43,2,FALSE)</f>
        <v>0.00675</v>
      </c>
    </row>
    <row r="347" spans="1:7">
      <c r="A347" s="1" t="s">
        <v>20</v>
      </c>
      <c r="B347" t="s">
        <v>1890</v>
      </c>
      <c r="C347" s="52">
        <v>0.0128</v>
      </c>
      <c r="D347" s="2">
        <f>C347*VLOOKUP($A347,'Selector Sheet '!$B$13:$D$43,2,FALSE)</f>
        <v>0.0064</v>
      </c>
      <c r="F347" s="2">
        <f t="shared" si="9"/>
        <v>0</v>
      </c>
      <c r="G347" s="2">
        <f>C347*VLOOKUP($A347,'Selector Sheet '!$B$13:$D$43,2,FALSE)</f>
        <v>0.0064</v>
      </c>
    </row>
    <row r="348" spans="1:7">
      <c r="A348" s="1" t="s">
        <v>20</v>
      </c>
      <c r="B348" t="s">
        <v>2106</v>
      </c>
      <c r="C348" s="52">
        <v>0.0113</v>
      </c>
      <c r="D348" s="2">
        <f>C348*VLOOKUP($A348,'Selector Sheet '!$B$13:$D$43,2,FALSE)</f>
        <v>0.00565</v>
      </c>
      <c r="F348" s="2">
        <f t="shared" si="9"/>
        <v>0</v>
      </c>
      <c r="G348" s="2">
        <f>C348*VLOOKUP($A348,'Selector Sheet '!$B$13:$D$43,2,FALSE)</f>
        <v>0.00565</v>
      </c>
    </row>
    <row r="349" spans="1:7">
      <c r="A349" s="1" t="s">
        <v>1958</v>
      </c>
      <c r="B349" t="s">
        <v>1828</v>
      </c>
      <c r="C349" s="52">
        <v>0.038</v>
      </c>
      <c r="D349" s="2" t="e">
        <f>C349*VLOOKUP($A349,'Selector Sheet '!$B$13:$D$43,2,FALSE)</f>
        <v>#N/A</v>
      </c>
      <c r="F349" s="2">
        <f t="shared" si="9"/>
        <v>0</v>
      </c>
      <c r="G349" s="2" t="e">
        <f>C349*VLOOKUP($A349,'Selector Sheet '!$B$13:$D$43,2,FALSE)</f>
        <v>#N/A</v>
      </c>
    </row>
    <row r="350" spans="1:7">
      <c r="A350" s="1" t="s">
        <v>1958</v>
      </c>
      <c r="B350" t="s">
        <v>1825</v>
      </c>
      <c r="C350" s="52">
        <v>0.0371</v>
      </c>
      <c r="D350" s="2" t="e">
        <f>C350*VLOOKUP($A350,'Selector Sheet '!$B$13:$D$43,2,FALSE)</f>
        <v>#N/A</v>
      </c>
      <c r="F350" s="2">
        <f t="shared" si="9"/>
        <v>0</v>
      </c>
      <c r="G350" s="2" t="e">
        <f>C350*VLOOKUP($A350,'Selector Sheet '!$B$13:$D$43,2,FALSE)</f>
        <v>#N/A</v>
      </c>
    </row>
    <row r="351" spans="1:7">
      <c r="A351" s="1" t="s">
        <v>1958</v>
      </c>
      <c r="B351" t="s">
        <v>1823</v>
      </c>
      <c r="C351" s="52">
        <v>0.0348</v>
      </c>
      <c r="D351" s="2" t="e">
        <f>C351*VLOOKUP($A351,'Selector Sheet '!$B$13:$D$43,2,FALSE)</f>
        <v>#N/A</v>
      </c>
      <c r="F351" s="2">
        <f t="shared" si="9"/>
        <v>0</v>
      </c>
      <c r="G351" s="2" t="e">
        <f>C351*VLOOKUP($A351,'Selector Sheet '!$B$13:$D$43,2,FALSE)</f>
        <v>#N/A</v>
      </c>
    </row>
    <row r="352" spans="1:7">
      <c r="A352" s="1" t="s">
        <v>1958</v>
      </c>
      <c r="B352" t="s">
        <v>1827</v>
      </c>
      <c r="C352" s="52">
        <v>0.0302</v>
      </c>
      <c r="D352" s="2" t="e">
        <f>C352*VLOOKUP($A352,'Selector Sheet '!$B$13:$D$43,2,FALSE)</f>
        <v>#N/A</v>
      </c>
      <c r="F352" s="2">
        <f t="shared" si="9"/>
        <v>0</v>
      </c>
      <c r="G352" s="2" t="e">
        <f>C352*VLOOKUP($A352,'Selector Sheet '!$B$13:$D$43,2,FALSE)</f>
        <v>#N/A</v>
      </c>
    </row>
    <row r="353" spans="1:7">
      <c r="A353" s="1" t="s">
        <v>1958</v>
      </c>
      <c r="B353" t="s">
        <v>1843</v>
      </c>
      <c r="C353" s="52">
        <v>0.0218</v>
      </c>
      <c r="D353" s="2" t="e">
        <f>C353*VLOOKUP($A353,'Selector Sheet '!$B$13:$D$43,2,FALSE)</f>
        <v>#N/A</v>
      </c>
      <c r="F353" s="2">
        <f t="shared" si="9"/>
        <v>0</v>
      </c>
      <c r="G353" s="2" t="e">
        <f>C353*VLOOKUP($A353,'Selector Sheet '!$B$13:$D$43,2,FALSE)</f>
        <v>#N/A</v>
      </c>
    </row>
    <row r="354" spans="1:7">
      <c r="A354" s="1" t="s">
        <v>1958</v>
      </c>
      <c r="B354" t="s">
        <v>1830</v>
      </c>
      <c r="C354" s="52">
        <v>0.0174</v>
      </c>
      <c r="D354" s="2" t="e">
        <f>C354*VLOOKUP($A354,'Selector Sheet '!$B$13:$D$43,2,FALSE)</f>
        <v>#N/A</v>
      </c>
      <c r="F354" s="2">
        <f t="shared" si="9"/>
        <v>0</v>
      </c>
      <c r="G354" s="2" t="e">
        <f>C354*VLOOKUP($A354,'Selector Sheet '!$B$13:$D$43,2,FALSE)</f>
        <v>#N/A</v>
      </c>
    </row>
    <row r="355" spans="1:7">
      <c r="A355" s="1" t="s">
        <v>1958</v>
      </c>
      <c r="B355" t="s">
        <v>1832</v>
      </c>
      <c r="C355" s="52">
        <v>0.0165</v>
      </c>
      <c r="D355" s="2" t="e">
        <f>C355*VLOOKUP($A355,'Selector Sheet '!$B$13:$D$43,2,FALSE)</f>
        <v>#N/A</v>
      </c>
      <c r="F355" s="2">
        <f t="shared" ref="F355:F386" si="10">SUMIF($B$2:$B$305,E355,$D$2:$D$305)</f>
        <v>0</v>
      </c>
      <c r="G355" s="2" t="e">
        <f>C355*VLOOKUP($A355,'Selector Sheet '!$B$13:$D$43,2,FALSE)</f>
        <v>#N/A</v>
      </c>
    </row>
    <row r="356" spans="1:7">
      <c r="A356" s="1" t="s">
        <v>1958</v>
      </c>
      <c r="B356" t="s">
        <v>1839</v>
      </c>
      <c r="C356" s="52">
        <v>0.0152</v>
      </c>
      <c r="D356" s="2" t="e">
        <f>C356*VLOOKUP($A356,'Selector Sheet '!$B$13:$D$43,2,FALSE)</f>
        <v>#N/A</v>
      </c>
      <c r="F356" s="2">
        <f t="shared" si="10"/>
        <v>0</v>
      </c>
      <c r="G356" s="2" t="e">
        <f>C356*VLOOKUP($A356,'Selector Sheet '!$B$13:$D$43,2,FALSE)</f>
        <v>#N/A</v>
      </c>
    </row>
    <row r="357" spans="1:7">
      <c r="A357" s="1" t="s">
        <v>1958</v>
      </c>
      <c r="B357" t="s">
        <v>1833</v>
      </c>
      <c r="C357" s="52">
        <v>0.0152</v>
      </c>
      <c r="D357" s="2" t="e">
        <f>C357*VLOOKUP($A357,'Selector Sheet '!$B$13:$D$43,2,FALSE)</f>
        <v>#N/A</v>
      </c>
      <c r="F357" s="2">
        <f t="shared" si="10"/>
        <v>0</v>
      </c>
      <c r="G357" s="2" t="e">
        <f>C357*VLOOKUP($A357,'Selector Sheet '!$B$13:$D$43,2,FALSE)</f>
        <v>#N/A</v>
      </c>
    </row>
    <row r="358" spans="1:7">
      <c r="A358" s="1" t="s">
        <v>1958</v>
      </c>
      <c r="B358" t="s">
        <v>1838</v>
      </c>
      <c r="C358" s="52">
        <v>0.0149</v>
      </c>
      <c r="D358" s="2" t="e">
        <f>C358*VLOOKUP($A358,'Selector Sheet '!$B$13:$D$43,2,FALSE)</f>
        <v>#N/A</v>
      </c>
      <c r="F358" s="2">
        <f t="shared" si="10"/>
        <v>0</v>
      </c>
      <c r="G358" s="2" t="e">
        <f>C358*VLOOKUP($A358,'Selector Sheet '!$B$13:$D$43,2,FALSE)</f>
        <v>#N/A</v>
      </c>
    </row>
    <row r="359" spans="1:7">
      <c r="A359" s="1" t="s">
        <v>1958</v>
      </c>
      <c r="B359" t="s">
        <v>1831</v>
      </c>
      <c r="C359" s="52">
        <v>0.0149</v>
      </c>
      <c r="D359" s="2" t="e">
        <f>C359*VLOOKUP($A359,'Selector Sheet '!$B$13:$D$43,2,FALSE)</f>
        <v>#N/A</v>
      </c>
      <c r="F359" s="2">
        <f t="shared" si="10"/>
        <v>0</v>
      </c>
      <c r="G359" s="2" t="e">
        <f>C359*VLOOKUP($A359,'Selector Sheet '!$B$13:$D$43,2,FALSE)</f>
        <v>#N/A</v>
      </c>
    </row>
    <row r="360" spans="1:7">
      <c r="A360" s="1" t="s">
        <v>1958</v>
      </c>
      <c r="B360" t="s">
        <v>1834</v>
      </c>
      <c r="C360" s="52">
        <v>0.0145</v>
      </c>
      <c r="D360" s="2" t="e">
        <f>C360*VLOOKUP($A360,'Selector Sheet '!$B$13:$D$43,2,FALSE)</f>
        <v>#N/A</v>
      </c>
      <c r="F360" s="2">
        <f t="shared" si="10"/>
        <v>0</v>
      </c>
      <c r="G360" s="2" t="e">
        <f>C360*VLOOKUP($A360,'Selector Sheet '!$B$13:$D$43,2,FALSE)</f>
        <v>#N/A</v>
      </c>
    </row>
    <row r="361" spans="1:7">
      <c r="A361" s="1" t="s">
        <v>1958</v>
      </c>
      <c r="B361" t="s">
        <v>1845</v>
      </c>
      <c r="C361" s="52">
        <v>0.0145</v>
      </c>
      <c r="D361" s="2" t="e">
        <f>C361*VLOOKUP($A361,'Selector Sheet '!$B$13:$D$43,2,FALSE)</f>
        <v>#N/A</v>
      </c>
      <c r="F361" s="2">
        <f t="shared" si="10"/>
        <v>0</v>
      </c>
      <c r="G361" s="2" t="e">
        <f>C361*VLOOKUP($A361,'Selector Sheet '!$B$13:$D$43,2,FALSE)</f>
        <v>#N/A</v>
      </c>
    </row>
    <row r="362" spans="1:7">
      <c r="A362" s="1" t="s">
        <v>1958</v>
      </c>
      <c r="B362" t="s">
        <v>1846</v>
      </c>
      <c r="C362" s="52">
        <v>0.0118</v>
      </c>
      <c r="D362" s="2" t="e">
        <f>C362*VLOOKUP($A362,'Selector Sheet '!$B$13:$D$43,2,FALSE)</f>
        <v>#N/A</v>
      </c>
      <c r="F362" s="2">
        <f t="shared" si="10"/>
        <v>0</v>
      </c>
      <c r="G362" s="2" t="e">
        <f>C362*VLOOKUP($A362,'Selector Sheet '!$B$13:$D$43,2,FALSE)</f>
        <v>#N/A</v>
      </c>
    </row>
    <row r="363" spans="1:7">
      <c r="A363" s="1" t="s">
        <v>1958</v>
      </c>
      <c r="B363" t="s">
        <v>1844</v>
      </c>
      <c r="C363" s="52">
        <v>0.0117</v>
      </c>
      <c r="D363" s="2" t="e">
        <f>C363*VLOOKUP($A363,'Selector Sheet '!$B$13:$D$43,2,FALSE)</f>
        <v>#N/A</v>
      </c>
      <c r="F363" s="2">
        <f t="shared" si="10"/>
        <v>0</v>
      </c>
      <c r="G363" s="2" t="e">
        <f>C363*VLOOKUP($A363,'Selector Sheet '!$B$13:$D$43,2,FALSE)</f>
        <v>#N/A</v>
      </c>
    </row>
    <row r="364" spans="1:7">
      <c r="A364" s="1" t="s">
        <v>1958</v>
      </c>
      <c r="B364" t="s">
        <v>1996</v>
      </c>
      <c r="C364" s="52">
        <v>0.0115</v>
      </c>
      <c r="D364" s="2" t="e">
        <f>C364*VLOOKUP($A364,'Selector Sheet '!$B$13:$D$43,2,FALSE)</f>
        <v>#N/A</v>
      </c>
      <c r="F364" s="2">
        <f t="shared" si="10"/>
        <v>0</v>
      </c>
      <c r="G364" s="2" t="e">
        <f>C364*VLOOKUP($A364,'Selector Sheet '!$B$13:$D$43,2,FALSE)</f>
        <v>#N/A</v>
      </c>
    </row>
    <row r="365" spans="1:7">
      <c r="A365" s="1" t="s">
        <v>1958</v>
      </c>
      <c r="B365" t="s">
        <v>1852</v>
      </c>
      <c r="C365" s="52">
        <v>0.0108</v>
      </c>
      <c r="D365" s="2" t="e">
        <f>C365*VLOOKUP($A365,'Selector Sheet '!$B$13:$D$43,2,FALSE)</f>
        <v>#N/A</v>
      </c>
      <c r="F365" s="2">
        <f t="shared" si="10"/>
        <v>0</v>
      </c>
      <c r="G365" s="2" t="e">
        <f>C365*VLOOKUP($A365,'Selector Sheet '!$B$13:$D$43,2,FALSE)</f>
        <v>#N/A</v>
      </c>
    </row>
    <row r="366" spans="1:7">
      <c r="A366" s="1" t="s">
        <v>1958</v>
      </c>
      <c r="B366" t="s">
        <v>1899</v>
      </c>
      <c r="C366" s="52">
        <v>0.0105</v>
      </c>
      <c r="D366" s="2" t="e">
        <f>C366*VLOOKUP($A366,'Selector Sheet '!$B$13:$D$43,2,FALSE)</f>
        <v>#N/A</v>
      </c>
      <c r="F366" s="2">
        <f t="shared" si="10"/>
        <v>0</v>
      </c>
      <c r="G366" s="2" t="e">
        <f>C366*VLOOKUP($A366,'Selector Sheet '!$B$13:$D$43,2,FALSE)</f>
        <v>#N/A</v>
      </c>
    </row>
    <row r="367" spans="1:7">
      <c r="A367" s="1" t="s">
        <v>1958</v>
      </c>
      <c r="B367" t="s">
        <v>1848</v>
      </c>
      <c r="C367" s="52">
        <v>0.0104</v>
      </c>
      <c r="D367" s="2" t="e">
        <f>C367*VLOOKUP($A367,'Selector Sheet '!$B$13:$D$43,2,FALSE)</f>
        <v>#N/A</v>
      </c>
      <c r="F367" s="2">
        <f t="shared" si="10"/>
        <v>0</v>
      </c>
      <c r="G367" s="2" t="e">
        <f>C367*VLOOKUP($A367,'Selector Sheet '!$B$13:$D$43,2,FALSE)</f>
        <v>#N/A</v>
      </c>
    </row>
    <row r="368" spans="1:7">
      <c r="A368" s="1" t="s">
        <v>1958</v>
      </c>
      <c r="B368" t="s">
        <v>1927</v>
      </c>
      <c r="C368" s="52">
        <v>0.0096</v>
      </c>
      <c r="D368" s="2" t="e">
        <f>C368*VLOOKUP($A368,'Selector Sheet '!$B$13:$D$43,2,FALSE)</f>
        <v>#N/A</v>
      </c>
      <c r="F368" s="2">
        <f t="shared" si="10"/>
        <v>0</v>
      </c>
      <c r="G368" s="2" t="e">
        <f>C368*VLOOKUP($A368,'Selector Sheet '!$B$13:$D$43,2,FALSE)</f>
        <v>#N/A</v>
      </c>
    </row>
    <row r="369" spans="1:7">
      <c r="A369" s="1" t="s">
        <v>1958</v>
      </c>
      <c r="B369" t="s">
        <v>1850</v>
      </c>
      <c r="C369" s="52">
        <v>0.0096</v>
      </c>
      <c r="D369" s="2" t="e">
        <f>C369*VLOOKUP($A369,'Selector Sheet '!$B$13:$D$43,2,FALSE)</f>
        <v>#N/A</v>
      </c>
      <c r="F369" s="2">
        <f t="shared" si="10"/>
        <v>0</v>
      </c>
      <c r="G369" s="2" t="e">
        <f>C369*VLOOKUP($A369,'Selector Sheet '!$B$13:$D$43,2,FALSE)</f>
        <v>#N/A</v>
      </c>
    </row>
    <row r="370" spans="1:7">
      <c r="A370" s="1" t="s">
        <v>1958</v>
      </c>
      <c r="B370" t="s">
        <v>1997</v>
      </c>
      <c r="C370" s="52">
        <v>0.0092</v>
      </c>
      <c r="D370" s="2" t="e">
        <f>C370*VLOOKUP($A370,'Selector Sheet '!$B$13:$D$43,2,FALSE)</f>
        <v>#N/A</v>
      </c>
      <c r="F370" s="2">
        <f t="shared" si="10"/>
        <v>0</v>
      </c>
      <c r="G370" s="2" t="e">
        <f>C370*VLOOKUP($A370,'Selector Sheet '!$B$13:$D$43,2,FALSE)</f>
        <v>#N/A</v>
      </c>
    </row>
    <row r="371" spans="1:7">
      <c r="A371" s="1" t="s">
        <v>1958</v>
      </c>
      <c r="B371" t="s">
        <v>1836</v>
      </c>
      <c r="C371" s="52">
        <v>0.0092</v>
      </c>
      <c r="D371" s="2" t="e">
        <f>C371*VLOOKUP($A371,'Selector Sheet '!$B$13:$D$43,2,FALSE)</f>
        <v>#N/A</v>
      </c>
      <c r="F371" s="2">
        <f t="shared" si="10"/>
        <v>0</v>
      </c>
      <c r="G371" s="2" t="e">
        <f>C371*VLOOKUP($A371,'Selector Sheet '!$B$13:$D$43,2,FALSE)</f>
        <v>#N/A</v>
      </c>
    </row>
    <row r="372" spans="1:7">
      <c r="A372" s="1" t="s">
        <v>1958</v>
      </c>
      <c r="B372" t="s">
        <v>1983</v>
      </c>
      <c r="C372" s="52">
        <v>0.0087</v>
      </c>
      <c r="D372" s="2" t="e">
        <f>C372*VLOOKUP($A372,'Selector Sheet '!$B$13:$D$43,2,FALSE)</f>
        <v>#N/A</v>
      </c>
      <c r="F372" s="2">
        <f t="shared" si="10"/>
        <v>0</v>
      </c>
      <c r="G372" s="2" t="e">
        <f>C372*VLOOKUP($A372,'Selector Sheet '!$B$13:$D$43,2,FALSE)</f>
        <v>#N/A</v>
      </c>
    </row>
    <row r="373" spans="1:7">
      <c r="A373" s="1" t="s">
        <v>1958</v>
      </c>
      <c r="B373" t="s">
        <v>1842</v>
      </c>
      <c r="C373" s="52">
        <v>0.0086</v>
      </c>
      <c r="D373" s="2" t="e">
        <f>C373*VLOOKUP($A373,'Selector Sheet '!$B$13:$D$43,2,FALSE)</f>
        <v>#N/A</v>
      </c>
      <c r="F373" s="2">
        <f t="shared" si="10"/>
        <v>0</v>
      </c>
      <c r="G373" s="2" t="e">
        <f>C373*VLOOKUP($A373,'Selector Sheet '!$B$13:$D$43,2,FALSE)</f>
        <v>#N/A</v>
      </c>
    </row>
    <row r="374" spans="1:7">
      <c r="A374" s="1" t="s">
        <v>1990</v>
      </c>
      <c r="B374" t="s">
        <v>1823</v>
      </c>
      <c r="C374" s="52">
        <v>0.0776</v>
      </c>
      <c r="D374" s="2" t="e">
        <f>C374*VLOOKUP($A374,'Selector Sheet '!$B$13:$D$43,2,FALSE)</f>
        <v>#N/A</v>
      </c>
      <c r="F374" s="2">
        <f t="shared" si="10"/>
        <v>0</v>
      </c>
      <c r="G374" s="2" t="e">
        <f>C374*VLOOKUP($A374,'Selector Sheet '!$B$13:$D$43,2,FALSE)</f>
        <v>#N/A</v>
      </c>
    </row>
    <row r="375" spans="1:7">
      <c r="A375" s="1" t="s">
        <v>1990</v>
      </c>
      <c r="B375" t="s">
        <v>1827</v>
      </c>
      <c r="C375" s="52">
        <v>0.0374</v>
      </c>
      <c r="D375" s="2" t="e">
        <f>C375*VLOOKUP($A375,'Selector Sheet '!$B$13:$D$43,2,FALSE)</f>
        <v>#N/A</v>
      </c>
      <c r="F375" s="2">
        <f t="shared" si="10"/>
        <v>0</v>
      </c>
      <c r="G375" s="2" t="e">
        <f>C375*VLOOKUP($A375,'Selector Sheet '!$B$13:$D$43,2,FALSE)</f>
        <v>#N/A</v>
      </c>
    </row>
    <row r="376" spans="1:7">
      <c r="A376" s="1" t="s">
        <v>1990</v>
      </c>
      <c r="B376" t="s">
        <v>1846</v>
      </c>
      <c r="C376" s="52">
        <v>0.0308</v>
      </c>
      <c r="D376" s="2" t="e">
        <f>C376*VLOOKUP($A376,'Selector Sheet '!$B$13:$D$43,2,FALSE)</f>
        <v>#N/A</v>
      </c>
      <c r="F376" s="2">
        <f t="shared" si="10"/>
        <v>0</v>
      </c>
      <c r="G376" s="2" t="e">
        <f>C376*VLOOKUP($A376,'Selector Sheet '!$B$13:$D$43,2,FALSE)</f>
        <v>#N/A</v>
      </c>
    </row>
    <row r="377" spans="1:7">
      <c r="A377" s="1" t="s">
        <v>1990</v>
      </c>
      <c r="B377" t="s">
        <v>1848</v>
      </c>
      <c r="C377" s="52">
        <v>0.0217</v>
      </c>
      <c r="D377" s="2" t="e">
        <f>C377*VLOOKUP($A377,'Selector Sheet '!$B$13:$D$43,2,FALSE)</f>
        <v>#N/A</v>
      </c>
      <c r="F377" s="2">
        <f t="shared" si="10"/>
        <v>0</v>
      </c>
      <c r="G377" s="2" t="e">
        <f>C377*VLOOKUP($A377,'Selector Sheet '!$B$13:$D$43,2,FALSE)</f>
        <v>#N/A</v>
      </c>
    </row>
    <row r="378" spans="1:7">
      <c r="A378" s="1" t="s">
        <v>1990</v>
      </c>
      <c r="B378" t="s">
        <v>2107</v>
      </c>
      <c r="C378" s="52">
        <v>0.0205</v>
      </c>
      <c r="D378" s="2" t="e">
        <f>C378*VLOOKUP($A378,'Selector Sheet '!$B$13:$D$43,2,FALSE)</f>
        <v>#N/A</v>
      </c>
      <c r="F378" s="2">
        <f t="shared" si="10"/>
        <v>0</v>
      </c>
      <c r="G378" s="2" t="e">
        <f>C378*VLOOKUP($A378,'Selector Sheet '!$B$13:$D$43,2,FALSE)</f>
        <v>#N/A</v>
      </c>
    </row>
    <row r="379" spans="1:7">
      <c r="A379" s="1" t="s">
        <v>1990</v>
      </c>
      <c r="B379" t="s">
        <v>2108</v>
      </c>
      <c r="C379" s="52">
        <v>0.0199</v>
      </c>
      <c r="D379" s="2" t="e">
        <f>C379*VLOOKUP($A379,'Selector Sheet '!$B$13:$D$43,2,FALSE)</f>
        <v>#N/A</v>
      </c>
      <c r="F379" s="2">
        <f t="shared" si="10"/>
        <v>0</v>
      </c>
      <c r="G379" s="2" t="e">
        <f>C379*VLOOKUP($A379,'Selector Sheet '!$B$13:$D$43,2,FALSE)</f>
        <v>#N/A</v>
      </c>
    </row>
    <row r="380" spans="1:7">
      <c r="A380" s="1" t="s">
        <v>1990</v>
      </c>
      <c r="B380" t="s">
        <v>1877</v>
      </c>
      <c r="C380" s="52">
        <v>0.0197</v>
      </c>
      <c r="D380" s="2" t="e">
        <f>C380*VLOOKUP($A380,'Selector Sheet '!$B$13:$D$43,2,FALSE)</f>
        <v>#N/A</v>
      </c>
      <c r="F380" s="2">
        <f t="shared" si="10"/>
        <v>0</v>
      </c>
      <c r="G380" s="2" t="e">
        <f>C380*VLOOKUP($A380,'Selector Sheet '!$B$13:$D$43,2,FALSE)</f>
        <v>#N/A</v>
      </c>
    </row>
    <row r="381" spans="1:7">
      <c r="A381" s="1" t="s">
        <v>1990</v>
      </c>
      <c r="B381" t="s">
        <v>1854</v>
      </c>
      <c r="C381" s="52">
        <v>0.0184</v>
      </c>
      <c r="D381" s="2" t="e">
        <f>C381*VLOOKUP($A381,'Selector Sheet '!$B$13:$D$43,2,FALSE)</f>
        <v>#N/A</v>
      </c>
      <c r="F381" s="2">
        <f t="shared" si="10"/>
        <v>0</v>
      </c>
      <c r="G381" s="2" t="e">
        <f>C381*VLOOKUP($A381,'Selector Sheet '!$B$13:$D$43,2,FALSE)</f>
        <v>#N/A</v>
      </c>
    </row>
    <row r="382" spans="1:7">
      <c r="A382" s="1" t="s">
        <v>1990</v>
      </c>
      <c r="B382" t="s">
        <v>1836</v>
      </c>
      <c r="C382" s="52">
        <v>0.0178</v>
      </c>
      <c r="D382" s="2" t="e">
        <f>C382*VLOOKUP($A382,'Selector Sheet '!$B$13:$D$43,2,FALSE)</f>
        <v>#N/A</v>
      </c>
      <c r="F382" s="2">
        <f t="shared" si="10"/>
        <v>0</v>
      </c>
      <c r="G382" s="2" t="e">
        <f>C382*VLOOKUP($A382,'Selector Sheet '!$B$13:$D$43,2,FALSE)</f>
        <v>#N/A</v>
      </c>
    </row>
    <row r="383" spans="1:7">
      <c r="A383" s="1" t="s">
        <v>1990</v>
      </c>
      <c r="B383" t="s">
        <v>1834</v>
      </c>
      <c r="C383" s="52">
        <v>0.0167</v>
      </c>
      <c r="D383" s="2" t="e">
        <f>C383*VLOOKUP($A383,'Selector Sheet '!$B$13:$D$43,2,FALSE)</f>
        <v>#N/A</v>
      </c>
      <c r="F383" s="2">
        <f t="shared" si="10"/>
        <v>0</v>
      </c>
      <c r="G383" s="2" t="e">
        <f>C383*VLOOKUP($A383,'Selector Sheet '!$B$13:$D$43,2,FALSE)</f>
        <v>#N/A</v>
      </c>
    </row>
    <row r="384" spans="1:7">
      <c r="A384" s="1" t="s">
        <v>1990</v>
      </c>
      <c r="B384" t="s">
        <v>2109</v>
      </c>
      <c r="C384" s="52">
        <v>0.0163</v>
      </c>
      <c r="D384" s="2" t="e">
        <f>C384*VLOOKUP($A384,'Selector Sheet '!$B$13:$D$43,2,FALSE)</f>
        <v>#N/A</v>
      </c>
      <c r="F384" s="2">
        <f t="shared" si="10"/>
        <v>0</v>
      </c>
      <c r="G384" s="2" t="e">
        <f>C384*VLOOKUP($A384,'Selector Sheet '!$B$13:$D$43,2,FALSE)</f>
        <v>#N/A</v>
      </c>
    </row>
    <row r="385" spans="1:7">
      <c r="A385" s="1" t="s">
        <v>1990</v>
      </c>
      <c r="B385" t="s">
        <v>2100</v>
      </c>
      <c r="C385" s="52">
        <v>0.0162</v>
      </c>
      <c r="D385" s="2" t="e">
        <f>C385*VLOOKUP($A385,'Selector Sheet '!$B$13:$D$43,2,FALSE)</f>
        <v>#N/A</v>
      </c>
      <c r="F385" s="2">
        <f t="shared" si="10"/>
        <v>0</v>
      </c>
      <c r="G385" s="2" t="e">
        <f>C385*VLOOKUP($A385,'Selector Sheet '!$B$13:$D$43,2,FALSE)</f>
        <v>#N/A</v>
      </c>
    </row>
    <row r="386" spans="1:7">
      <c r="A386" s="1" t="s">
        <v>1990</v>
      </c>
      <c r="B386" t="s">
        <v>1825</v>
      </c>
      <c r="C386" s="52">
        <v>0.0161</v>
      </c>
      <c r="D386" s="2" t="e">
        <f>C386*VLOOKUP($A386,'Selector Sheet '!$B$13:$D$43,2,FALSE)</f>
        <v>#N/A</v>
      </c>
      <c r="F386" s="2">
        <f t="shared" si="10"/>
        <v>0</v>
      </c>
      <c r="G386" s="2" t="e">
        <f>C386*VLOOKUP($A386,'Selector Sheet '!$B$13:$D$43,2,FALSE)</f>
        <v>#N/A</v>
      </c>
    </row>
    <row r="387" spans="1:7">
      <c r="A387" s="1" t="s">
        <v>1990</v>
      </c>
      <c r="B387" t="s">
        <v>1514</v>
      </c>
      <c r="C387" s="52">
        <v>0.0153</v>
      </c>
      <c r="D387" s="2" t="e">
        <f>C387*VLOOKUP($A387,'Selector Sheet '!$B$13:$D$43,2,FALSE)</f>
        <v>#N/A</v>
      </c>
      <c r="F387" s="2">
        <f t="shared" ref="F387:F420" si="11">SUMIF($B$2:$B$305,E387,$D$2:$D$305)</f>
        <v>0</v>
      </c>
      <c r="G387" s="2" t="e">
        <f>C387*VLOOKUP($A387,'Selector Sheet '!$B$13:$D$43,2,FALSE)</f>
        <v>#N/A</v>
      </c>
    </row>
    <row r="388" spans="1:7">
      <c r="A388" s="1" t="s">
        <v>1990</v>
      </c>
      <c r="B388" t="s">
        <v>2110</v>
      </c>
      <c r="C388" s="52">
        <v>0.0149</v>
      </c>
      <c r="D388" s="2" t="e">
        <f>C388*VLOOKUP($A388,'Selector Sheet '!$B$13:$D$43,2,FALSE)</f>
        <v>#N/A</v>
      </c>
      <c r="F388" s="2">
        <f t="shared" si="11"/>
        <v>0</v>
      </c>
      <c r="G388" s="2" t="e">
        <f>C388*VLOOKUP($A388,'Selector Sheet '!$B$13:$D$43,2,FALSE)</f>
        <v>#N/A</v>
      </c>
    </row>
    <row r="389" spans="1:7">
      <c r="A389" s="1" t="s">
        <v>1990</v>
      </c>
      <c r="B389" t="s">
        <v>1908</v>
      </c>
      <c r="C389" s="52">
        <v>0.014</v>
      </c>
      <c r="D389" s="2" t="e">
        <f>C389*VLOOKUP($A389,'Selector Sheet '!$B$13:$D$43,2,FALSE)</f>
        <v>#N/A</v>
      </c>
      <c r="F389" s="2">
        <f t="shared" si="11"/>
        <v>0</v>
      </c>
      <c r="G389" s="2" t="e">
        <f>C389*VLOOKUP($A389,'Selector Sheet '!$B$13:$D$43,2,FALSE)</f>
        <v>#N/A</v>
      </c>
    </row>
    <row r="390" spans="1:7">
      <c r="A390" s="1" t="s">
        <v>1990</v>
      </c>
      <c r="B390" t="s">
        <v>1919</v>
      </c>
      <c r="C390" s="52">
        <v>0.0136</v>
      </c>
      <c r="D390" s="2" t="e">
        <f>C390*VLOOKUP($A390,'Selector Sheet '!$B$13:$D$43,2,FALSE)</f>
        <v>#N/A</v>
      </c>
      <c r="F390" s="2">
        <f t="shared" si="11"/>
        <v>0</v>
      </c>
      <c r="G390" s="2" t="e">
        <f>C390*VLOOKUP($A390,'Selector Sheet '!$B$13:$D$43,2,FALSE)</f>
        <v>#N/A</v>
      </c>
    </row>
    <row r="391" spans="1:7">
      <c r="A391" s="1" t="s">
        <v>1990</v>
      </c>
      <c r="B391" t="s">
        <v>1969</v>
      </c>
      <c r="C391" s="52">
        <v>0.0136</v>
      </c>
      <c r="D391" s="2" t="e">
        <f>C391*VLOOKUP($A391,'Selector Sheet '!$B$13:$D$43,2,FALSE)</f>
        <v>#N/A</v>
      </c>
      <c r="F391" s="2">
        <f t="shared" si="11"/>
        <v>0</v>
      </c>
      <c r="G391" s="2" t="e">
        <f>C391*VLOOKUP($A391,'Selector Sheet '!$B$13:$D$43,2,FALSE)</f>
        <v>#N/A</v>
      </c>
    </row>
    <row r="392" spans="1:7">
      <c r="A392" s="1" t="s">
        <v>1990</v>
      </c>
      <c r="B392" t="s">
        <v>1828</v>
      </c>
      <c r="C392" s="52">
        <v>0.0128</v>
      </c>
      <c r="D392" s="2" t="e">
        <f>C392*VLOOKUP($A392,'Selector Sheet '!$B$13:$D$43,2,FALSE)</f>
        <v>#N/A</v>
      </c>
      <c r="F392" s="2">
        <f t="shared" si="11"/>
        <v>0</v>
      </c>
      <c r="G392" s="2" t="e">
        <f>C392*VLOOKUP($A392,'Selector Sheet '!$B$13:$D$43,2,FALSE)</f>
        <v>#N/A</v>
      </c>
    </row>
    <row r="393" spans="1:7">
      <c r="A393" s="1" t="s">
        <v>1990</v>
      </c>
      <c r="B393" t="s">
        <v>1833</v>
      </c>
      <c r="C393" s="52">
        <v>0.0126</v>
      </c>
      <c r="D393" s="2" t="e">
        <f>C393*VLOOKUP($A393,'Selector Sheet '!$B$13:$D$43,2,FALSE)</f>
        <v>#N/A</v>
      </c>
      <c r="F393" s="2">
        <f t="shared" si="11"/>
        <v>0</v>
      </c>
      <c r="G393" s="2" t="e">
        <f>C393*VLOOKUP($A393,'Selector Sheet '!$B$13:$D$43,2,FALSE)</f>
        <v>#N/A</v>
      </c>
    </row>
    <row r="394" spans="1:7">
      <c r="A394" s="1" t="s">
        <v>1990</v>
      </c>
      <c r="B394" t="s">
        <v>2111</v>
      </c>
      <c r="C394" s="52">
        <v>0.0125</v>
      </c>
      <c r="D394" s="2" t="e">
        <f>C394*VLOOKUP($A394,'Selector Sheet '!$B$13:$D$43,2,FALSE)</f>
        <v>#N/A</v>
      </c>
      <c r="F394" s="2">
        <f t="shared" si="11"/>
        <v>0</v>
      </c>
      <c r="G394" s="2" t="e">
        <f>C394*VLOOKUP($A394,'Selector Sheet '!$B$13:$D$43,2,FALSE)</f>
        <v>#N/A</v>
      </c>
    </row>
    <row r="395" spans="1:7">
      <c r="A395" s="1" t="s">
        <v>1990</v>
      </c>
      <c r="B395" t="s">
        <v>1831</v>
      </c>
      <c r="C395" s="52">
        <v>0.0125</v>
      </c>
      <c r="D395" s="2" t="e">
        <f>C395*VLOOKUP($A395,'Selector Sheet '!$B$13:$D$43,2,FALSE)</f>
        <v>#N/A</v>
      </c>
      <c r="F395" s="2">
        <f t="shared" si="11"/>
        <v>0</v>
      </c>
      <c r="G395" s="2" t="e">
        <f>C395*VLOOKUP($A395,'Selector Sheet '!$B$13:$D$43,2,FALSE)</f>
        <v>#N/A</v>
      </c>
    </row>
    <row r="396" spans="1:7">
      <c r="A396" s="1" t="s">
        <v>1990</v>
      </c>
      <c r="B396" t="s">
        <v>1968</v>
      </c>
      <c r="C396" s="52">
        <v>0.0123</v>
      </c>
      <c r="D396" s="2" t="e">
        <f>C396*VLOOKUP($A396,'Selector Sheet '!$B$13:$D$43,2,FALSE)</f>
        <v>#N/A</v>
      </c>
      <c r="F396" s="2">
        <f t="shared" si="11"/>
        <v>0</v>
      </c>
      <c r="G396" s="2" t="e">
        <f>C396*VLOOKUP($A396,'Selector Sheet '!$B$13:$D$43,2,FALSE)</f>
        <v>#N/A</v>
      </c>
    </row>
    <row r="397" spans="1:7">
      <c r="A397" s="1" t="s">
        <v>1990</v>
      </c>
      <c r="B397" t="s">
        <v>1884</v>
      </c>
      <c r="C397" s="52">
        <v>0.0118</v>
      </c>
      <c r="D397" s="2" t="e">
        <f>C397*VLOOKUP($A397,'Selector Sheet '!$B$13:$D$43,2,FALSE)</f>
        <v>#N/A</v>
      </c>
      <c r="F397" s="2">
        <f t="shared" si="11"/>
        <v>0</v>
      </c>
      <c r="G397" s="2" t="e">
        <f>C397*VLOOKUP($A397,'Selector Sheet '!$B$13:$D$43,2,FALSE)</f>
        <v>#N/A</v>
      </c>
    </row>
    <row r="398" spans="1:7">
      <c r="A398" s="1" t="s">
        <v>1990</v>
      </c>
      <c r="B398" t="s">
        <v>1930</v>
      </c>
      <c r="C398" s="52">
        <v>0.0105</v>
      </c>
      <c r="D398" s="2" t="e">
        <f>C398*VLOOKUP($A398,'Selector Sheet '!$B$13:$D$43,2,FALSE)</f>
        <v>#N/A</v>
      </c>
      <c r="F398" s="2">
        <f t="shared" si="11"/>
        <v>0</v>
      </c>
      <c r="G398" s="2" t="e">
        <f>C398*VLOOKUP($A398,'Selector Sheet '!$B$13:$D$43,2,FALSE)</f>
        <v>#N/A</v>
      </c>
    </row>
    <row r="399" spans="1:7">
      <c r="A399" s="1" t="s">
        <v>1849</v>
      </c>
      <c r="B399" t="s">
        <v>1823</v>
      </c>
      <c r="C399" s="52">
        <v>0.0832</v>
      </c>
      <c r="D399" s="2" t="e">
        <f>C399*VLOOKUP($A399,'Selector Sheet '!$B$13:$D$43,2,FALSE)</f>
        <v>#N/A</v>
      </c>
      <c r="F399" s="2">
        <f t="shared" si="11"/>
        <v>0</v>
      </c>
      <c r="G399" s="2" t="e">
        <f>C399*VLOOKUP($A399,'Selector Sheet '!$B$13:$D$43,2,FALSE)</f>
        <v>#N/A</v>
      </c>
    </row>
    <row r="400" spans="1:7">
      <c r="A400" s="1" t="s">
        <v>1849</v>
      </c>
      <c r="B400" t="s">
        <v>1846</v>
      </c>
      <c r="C400" s="52">
        <v>0.0389</v>
      </c>
      <c r="D400" s="2" t="e">
        <f>C400*VLOOKUP($A400,'Selector Sheet '!$B$13:$D$43,2,FALSE)</f>
        <v>#N/A</v>
      </c>
      <c r="F400" s="2">
        <f t="shared" si="11"/>
        <v>0</v>
      </c>
      <c r="G400" s="2" t="e">
        <f>C400*VLOOKUP($A400,'Selector Sheet '!$B$13:$D$43,2,FALSE)</f>
        <v>#N/A</v>
      </c>
    </row>
    <row r="401" spans="1:7">
      <c r="A401" s="1" t="s">
        <v>1849</v>
      </c>
      <c r="B401" t="s">
        <v>1833</v>
      </c>
      <c r="C401" s="52">
        <v>0.0341</v>
      </c>
      <c r="D401" s="2" t="e">
        <f>C401*VLOOKUP($A401,'Selector Sheet '!$B$13:$D$43,2,FALSE)</f>
        <v>#N/A</v>
      </c>
      <c r="F401" s="2">
        <f t="shared" si="11"/>
        <v>0</v>
      </c>
      <c r="G401" s="2" t="e">
        <f>C401*VLOOKUP($A401,'Selector Sheet '!$B$13:$D$43,2,FALSE)</f>
        <v>#N/A</v>
      </c>
    </row>
    <row r="402" spans="1:7">
      <c r="A402" s="1" t="s">
        <v>1849</v>
      </c>
      <c r="B402" t="s">
        <v>1827</v>
      </c>
      <c r="C402" s="52">
        <v>0.0333</v>
      </c>
      <c r="D402" s="2" t="e">
        <f>C402*VLOOKUP($A402,'Selector Sheet '!$B$13:$D$43,2,FALSE)</f>
        <v>#N/A</v>
      </c>
      <c r="F402" s="2">
        <f t="shared" si="11"/>
        <v>0</v>
      </c>
      <c r="G402" s="2" t="e">
        <f>C402*VLOOKUP($A402,'Selector Sheet '!$B$13:$D$43,2,FALSE)</f>
        <v>#N/A</v>
      </c>
    </row>
    <row r="403" spans="1:7">
      <c r="A403" s="1" t="s">
        <v>1849</v>
      </c>
      <c r="B403" t="s">
        <v>1872</v>
      </c>
      <c r="C403" s="52">
        <v>0.0305</v>
      </c>
      <c r="D403" s="2" t="e">
        <f>C403*VLOOKUP($A403,'Selector Sheet '!$B$13:$D$43,2,FALSE)</f>
        <v>#N/A</v>
      </c>
      <c r="F403" s="2">
        <f t="shared" si="11"/>
        <v>0</v>
      </c>
      <c r="G403" s="2" t="e">
        <f>C403*VLOOKUP($A403,'Selector Sheet '!$B$13:$D$43,2,FALSE)</f>
        <v>#N/A</v>
      </c>
    </row>
    <row r="404" spans="1:7">
      <c r="A404" s="1" t="s">
        <v>1849</v>
      </c>
      <c r="B404" t="s">
        <v>1886</v>
      </c>
      <c r="C404" s="52">
        <v>0.0289</v>
      </c>
      <c r="D404" s="2" t="e">
        <f>C404*VLOOKUP($A404,'Selector Sheet '!$B$13:$D$43,2,FALSE)</f>
        <v>#N/A</v>
      </c>
      <c r="F404" s="2">
        <f t="shared" si="11"/>
        <v>0</v>
      </c>
      <c r="G404" s="2" t="e">
        <f>C404*VLOOKUP($A404,'Selector Sheet '!$B$13:$D$43,2,FALSE)</f>
        <v>#N/A</v>
      </c>
    </row>
    <row r="405" spans="1:7">
      <c r="A405" s="1" t="s">
        <v>1849</v>
      </c>
      <c r="B405" t="s">
        <v>1825</v>
      </c>
      <c r="C405" s="52">
        <v>0.0257</v>
      </c>
      <c r="D405" s="2" t="e">
        <f>C405*VLOOKUP($A405,'Selector Sheet '!$B$13:$D$43,2,FALSE)</f>
        <v>#N/A</v>
      </c>
      <c r="F405" s="2">
        <f t="shared" si="11"/>
        <v>0</v>
      </c>
      <c r="G405" s="2" t="e">
        <f>C405*VLOOKUP($A405,'Selector Sheet '!$B$13:$D$43,2,FALSE)</f>
        <v>#N/A</v>
      </c>
    </row>
    <row r="406" spans="1:7">
      <c r="A406" s="1" t="s">
        <v>1849</v>
      </c>
      <c r="B406" t="s">
        <v>1879</v>
      </c>
      <c r="C406" s="52">
        <v>0.0253</v>
      </c>
      <c r="D406" s="2" t="e">
        <f>C406*VLOOKUP($A406,'Selector Sheet '!$B$13:$D$43,2,FALSE)</f>
        <v>#N/A</v>
      </c>
      <c r="F406" s="2">
        <f t="shared" si="11"/>
        <v>0</v>
      </c>
      <c r="G406" s="2" t="e">
        <f>C406*VLOOKUP($A406,'Selector Sheet '!$B$13:$D$43,2,FALSE)</f>
        <v>#N/A</v>
      </c>
    </row>
    <row r="407" spans="1:7">
      <c r="A407" s="1" t="s">
        <v>1849</v>
      </c>
      <c r="B407" t="s">
        <v>1884</v>
      </c>
      <c r="C407" s="52">
        <v>0.0251</v>
      </c>
      <c r="D407" s="2" t="e">
        <f>C407*VLOOKUP($A407,'Selector Sheet '!$B$13:$D$43,2,FALSE)</f>
        <v>#N/A</v>
      </c>
      <c r="F407" s="2">
        <f t="shared" si="11"/>
        <v>0</v>
      </c>
      <c r="G407" s="2" t="e">
        <f>C407*VLOOKUP($A407,'Selector Sheet '!$B$13:$D$43,2,FALSE)</f>
        <v>#N/A</v>
      </c>
    </row>
    <row r="408" spans="1:7">
      <c r="A408" s="1" t="s">
        <v>1849</v>
      </c>
      <c r="B408" t="s">
        <v>1828</v>
      </c>
      <c r="C408" s="52">
        <v>0.0234</v>
      </c>
      <c r="D408" s="2" t="e">
        <f>C408*VLOOKUP($A408,'Selector Sheet '!$B$13:$D$43,2,FALSE)</f>
        <v>#N/A</v>
      </c>
      <c r="F408" s="2">
        <f t="shared" si="11"/>
        <v>0</v>
      </c>
      <c r="G408" s="2" t="e">
        <f>C408*VLOOKUP($A408,'Selector Sheet '!$B$13:$D$43,2,FALSE)</f>
        <v>#N/A</v>
      </c>
    </row>
    <row r="409" spans="1:7">
      <c r="A409" s="1" t="s">
        <v>1849</v>
      </c>
      <c r="B409" t="s">
        <v>1836</v>
      </c>
      <c r="C409" s="52">
        <v>0.0231</v>
      </c>
      <c r="D409" s="2" t="e">
        <f>C409*VLOOKUP($A409,'Selector Sheet '!$B$13:$D$43,2,FALSE)</f>
        <v>#N/A</v>
      </c>
      <c r="F409" s="2">
        <f t="shared" si="11"/>
        <v>0</v>
      </c>
      <c r="G409" s="2" t="e">
        <f>C409*VLOOKUP($A409,'Selector Sheet '!$B$13:$D$43,2,FALSE)</f>
        <v>#N/A</v>
      </c>
    </row>
    <row r="410" spans="1:7">
      <c r="A410" s="1" t="s">
        <v>1849</v>
      </c>
      <c r="B410" t="s">
        <v>1889</v>
      </c>
      <c r="C410" s="52">
        <v>0.0229</v>
      </c>
      <c r="D410" s="2" t="e">
        <f>C410*VLOOKUP($A410,'Selector Sheet '!$B$13:$D$43,2,FALSE)</f>
        <v>#N/A</v>
      </c>
      <c r="F410" s="2">
        <f t="shared" si="11"/>
        <v>0</v>
      </c>
      <c r="G410" s="2" t="e">
        <f>C410*VLOOKUP($A410,'Selector Sheet '!$B$13:$D$43,2,FALSE)</f>
        <v>#N/A</v>
      </c>
    </row>
    <row r="411" spans="1:7">
      <c r="A411" s="1" t="s">
        <v>1849</v>
      </c>
      <c r="B411" t="s">
        <v>1883</v>
      </c>
      <c r="C411" s="52">
        <v>0.021</v>
      </c>
      <c r="D411" s="2" t="e">
        <f>C411*VLOOKUP($A411,'Selector Sheet '!$B$13:$D$43,2,FALSE)</f>
        <v>#N/A</v>
      </c>
      <c r="F411" s="2">
        <f t="shared" si="11"/>
        <v>0</v>
      </c>
      <c r="G411" s="2" t="e">
        <f>C411*VLOOKUP($A411,'Selector Sheet '!$B$13:$D$43,2,FALSE)</f>
        <v>#N/A</v>
      </c>
    </row>
    <row r="412" spans="1:7">
      <c r="A412" s="1" t="s">
        <v>1849</v>
      </c>
      <c r="B412" t="s">
        <v>1880</v>
      </c>
      <c r="C412" s="52">
        <v>0.021</v>
      </c>
      <c r="D412" s="2" t="e">
        <f>C412*VLOOKUP($A412,'Selector Sheet '!$B$13:$D$43,2,FALSE)</f>
        <v>#N/A</v>
      </c>
      <c r="F412" s="2">
        <f t="shared" si="11"/>
        <v>0</v>
      </c>
      <c r="G412" s="2" t="e">
        <f>C412*VLOOKUP($A412,'Selector Sheet '!$B$13:$D$43,2,FALSE)</f>
        <v>#N/A</v>
      </c>
    </row>
    <row r="413" spans="1:7">
      <c r="A413" s="1" t="s">
        <v>1849</v>
      </c>
      <c r="B413" t="s">
        <v>1877</v>
      </c>
      <c r="C413" s="52">
        <v>0.0183</v>
      </c>
      <c r="D413" s="2" t="e">
        <f>C413*VLOOKUP($A413,'Selector Sheet '!$B$13:$D$43,2,FALSE)</f>
        <v>#N/A</v>
      </c>
      <c r="F413" s="2">
        <f t="shared" si="11"/>
        <v>0</v>
      </c>
      <c r="G413" s="2" t="e">
        <f>C413*VLOOKUP($A413,'Selector Sheet '!$B$13:$D$43,2,FALSE)</f>
        <v>#N/A</v>
      </c>
    </row>
    <row r="414" spans="1:7">
      <c r="A414" s="1" t="s">
        <v>1849</v>
      </c>
      <c r="B414" t="s">
        <v>1887</v>
      </c>
      <c r="C414" s="52">
        <v>0.018</v>
      </c>
      <c r="D414" s="2" t="e">
        <f>C414*VLOOKUP($A414,'Selector Sheet '!$B$13:$D$43,2,FALSE)</f>
        <v>#N/A</v>
      </c>
      <c r="F414" s="2">
        <f t="shared" si="11"/>
        <v>0</v>
      </c>
      <c r="G414" s="2" t="e">
        <f>C414*VLOOKUP($A414,'Selector Sheet '!$B$13:$D$43,2,FALSE)</f>
        <v>#N/A</v>
      </c>
    </row>
    <row r="415" spans="1:7">
      <c r="A415" s="1" t="s">
        <v>1849</v>
      </c>
      <c r="B415" t="s">
        <v>1888</v>
      </c>
      <c r="C415" s="52">
        <v>0.0174</v>
      </c>
      <c r="D415" s="2" t="e">
        <f>C415*VLOOKUP($A415,'Selector Sheet '!$B$13:$D$43,2,FALSE)</f>
        <v>#N/A</v>
      </c>
      <c r="F415" s="2">
        <f t="shared" si="11"/>
        <v>0</v>
      </c>
      <c r="G415" s="2" t="e">
        <f>C415*VLOOKUP($A415,'Selector Sheet '!$B$13:$D$43,2,FALSE)</f>
        <v>#N/A</v>
      </c>
    </row>
    <row r="416" spans="1:7">
      <c r="A416" s="1" t="s">
        <v>1849</v>
      </c>
      <c r="B416" t="s">
        <v>1890</v>
      </c>
      <c r="C416" s="52">
        <v>0.0166</v>
      </c>
      <c r="D416" s="2" t="e">
        <f>C416*VLOOKUP($A416,'Selector Sheet '!$B$13:$D$43,2,FALSE)</f>
        <v>#N/A</v>
      </c>
      <c r="F416" s="2">
        <f t="shared" si="11"/>
        <v>0</v>
      </c>
      <c r="G416" s="2" t="e">
        <f>C416*VLOOKUP($A416,'Selector Sheet '!$B$13:$D$43,2,FALSE)</f>
        <v>#N/A</v>
      </c>
    </row>
    <row r="417" spans="1:7">
      <c r="A417" s="1" t="s">
        <v>1849</v>
      </c>
      <c r="B417" t="s">
        <v>1891</v>
      </c>
      <c r="C417" s="52">
        <v>0.0164</v>
      </c>
      <c r="D417" s="2" t="e">
        <f>C417*VLOOKUP($A417,'Selector Sheet '!$B$13:$D$43,2,FALSE)</f>
        <v>#N/A</v>
      </c>
      <c r="F417" s="2">
        <f t="shared" si="11"/>
        <v>0</v>
      </c>
      <c r="G417" s="2" t="e">
        <f>C417*VLOOKUP($A417,'Selector Sheet '!$B$13:$D$43,2,FALSE)</f>
        <v>#N/A</v>
      </c>
    </row>
    <row r="418" spans="1:7">
      <c r="A418" s="1" t="s">
        <v>1849</v>
      </c>
      <c r="B418" t="s">
        <v>1844</v>
      </c>
      <c r="C418" s="52">
        <v>0.016</v>
      </c>
      <c r="D418" s="2" t="e">
        <f>C418*VLOOKUP($A418,'Selector Sheet '!$B$13:$D$43,2,FALSE)</f>
        <v>#N/A</v>
      </c>
      <c r="F418" s="2">
        <f t="shared" si="11"/>
        <v>0</v>
      </c>
      <c r="G418" s="2" t="e">
        <f>C418*VLOOKUP($A418,'Selector Sheet '!$B$13:$D$43,2,FALSE)</f>
        <v>#N/A</v>
      </c>
    </row>
    <row r="419" spans="1:7">
      <c r="A419" s="1" t="s">
        <v>1849</v>
      </c>
      <c r="B419" t="s">
        <v>1895</v>
      </c>
      <c r="C419" s="52">
        <v>0.0158</v>
      </c>
      <c r="D419" s="2" t="e">
        <f>C419*VLOOKUP($A419,'Selector Sheet '!$B$13:$D$43,2,FALSE)</f>
        <v>#N/A</v>
      </c>
      <c r="F419" s="2">
        <f t="shared" si="11"/>
        <v>0</v>
      </c>
      <c r="G419" s="2" t="e">
        <f>C419*VLOOKUP($A419,'Selector Sheet '!$B$13:$D$43,2,FALSE)</f>
        <v>#N/A</v>
      </c>
    </row>
    <row r="420" spans="1:7">
      <c r="A420" s="1" t="s">
        <v>1849</v>
      </c>
      <c r="B420" t="s">
        <v>1926</v>
      </c>
      <c r="C420" s="52">
        <v>0.0155</v>
      </c>
      <c r="D420" s="2" t="e">
        <f>C420*VLOOKUP($A420,'Selector Sheet '!$B$13:$D$43,2,FALSE)</f>
        <v>#N/A</v>
      </c>
      <c r="F420" s="2">
        <f t="shared" si="11"/>
        <v>0</v>
      </c>
      <c r="G420" s="2" t="e">
        <f>C420*VLOOKUP($A420,'Selector Sheet '!$B$13:$D$43,2,FALSE)</f>
        <v>#N/A</v>
      </c>
    </row>
    <row r="421" spans="1:7">
      <c r="A421" s="1" t="s">
        <v>1849</v>
      </c>
      <c r="B421" t="s">
        <v>1839</v>
      </c>
      <c r="C421" s="52">
        <v>0.0146</v>
      </c>
      <c r="D421" s="2" t="e">
        <f>C421*VLOOKUP($A421,'Selector Sheet '!$B$13:$D$43,2,FALSE)</f>
        <v>#N/A</v>
      </c>
      <c r="E421" s="2" t="e">
        <f>#REF!*VLOOKUP(#REF!,'Selector Sheet '!$B$13:$D$43,3,FALSE)</f>
        <v>#REF!</v>
      </c>
      <c r="F421" s="2" t="e">
        <f>E421*VLOOKUP(#REF!,'Selector Sheet '!$B$13:$D$43,3,FALSE)</f>
        <v>#REF!</v>
      </c>
      <c r="G421" s="2" t="e">
        <f>C421*VLOOKUP($A421,'Selector Sheet '!$B$13:$D$43,2,FALSE)</f>
        <v>#N/A</v>
      </c>
    </row>
    <row r="422" spans="1:7">
      <c r="A422" s="1" t="s">
        <v>1849</v>
      </c>
      <c r="B422" t="s">
        <v>1830</v>
      </c>
      <c r="C422" s="52">
        <v>0.0136</v>
      </c>
      <c r="D422" s="2" t="e">
        <f>C422*VLOOKUP($A422,'Selector Sheet '!$B$13:$D$43,2,FALSE)</f>
        <v>#N/A</v>
      </c>
      <c r="F422" s="2">
        <f t="shared" ref="F422:F430" si="12">SUMIF($B$2:$B$305,E422,$D$2:$D$305)</f>
        <v>0</v>
      </c>
      <c r="G422" s="2" t="e">
        <f>C422*VLOOKUP($A422,'Selector Sheet '!$B$13:$D$43,2,FALSE)</f>
        <v>#N/A</v>
      </c>
    </row>
    <row r="423" spans="1:7">
      <c r="A423" s="1" t="s">
        <v>1849</v>
      </c>
      <c r="B423" t="s">
        <v>1882</v>
      </c>
      <c r="C423" s="52">
        <v>0.0134</v>
      </c>
      <c r="D423" s="2" t="e">
        <f>C423*VLOOKUP($A423,'Selector Sheet '!$B$13:$D$43,2,FALSE)</f>
        <v>#N/A</v>
      </c>
      <c r="F423" s="2">
        <f t="shared" si="12"/>
        <v>0</v>
      </c>
      <c r="G423" s="2" t="e">
        <f>C423*VLOOKUP($A423,'Selector Sheet '!$B$13:$D$43,2,FALSE)</f>
        <v>#N/A</v>
      </c>
    </row>
    <row r="424" spans="1:7">
      <c r="A424" s="1" t="s">
        <v>31</v>
      </c>
      <c r="B424" s="7" t="s">
        <v>2112</v>
      </c>
      <c r="C424" s="8">
        <v>0.031</v>
      </c>
      <c r="D424" s="2">
        <f>C424*VLOOKUP($A424,'Selector Sheet '!$B$13:$D$43,2,FALSE)</f>
        <v>0</v>
      </c>
      <c r="F424" s="2">
        <f t="shared" si="12"/>
        <v>0</v>
      </c>
      <c r="G424" s="2">
        <f>C424*VLOOKUP($A424,'Selector Sheet '!$B$13:$D$43,2,FALSE)</f>
        <v>0</v>
      </c>
    </row>
    <row r="425" spans="1:7">
      <c r="A425" s="1" t="s">
        <v>31</v>
      </c>
      <c r="B425" s="7" t="s">
        <v>2076</v>
      </c>
      <c r="C425" s="8">
        <v>0.016</v>
      </c>
      <c r="D425" s="2">
        <f>C425*VLOOKUP($A425,'Selector Sheet '!$B$13:$D$43,2,FALSE)</f>
        <v>0</v>
      </c>
      <c r="F425" s="2">
        <f t="shared" si="12"/>
        <v>0</v>
      </c>
      <c r="G425" s="2">
        <f>C425*VLOOKUP($A425,'Selector Sheet '!$B$13:$D$43,2,FALSE)</f>
        <v>0</v>
      </c>
    </row>
    <row r="426" spans="1:7">
      <c r="A426" s="1" t="s">
        <v>31</v>
      </c>
      <c r="B426" s="7" t="s">
        <v>2113</v>
      </c>
      <c r="C426" s="8">
        <v>0.009</v>
      </c>
      <c r="D426" s="2">
        <f>C426*VLOOKUP($A426,'Selector Sheet '!$B$13:$D$43,2,FALSE)</f>
        <v>0</v>
      </c>
      <c r="F426" s="2">
        <f t="shared" si="12"/>
        <v>0</v>
      </c>
      <c r="G426" s="2">
        <f>C426*VLOOKUP($A426,'Selector Sheet '!$B$13:$D$43,2,FALSE)</f>
        <v>0</v>
      </c>
    </row>
    <row r="427" spans="1:7">
      <c r="A427" s="1" t="s">
        <v>31</v>
      </c>
      <c r="B427" s="7" t="s">
        <v>2078</v>
      </c>
      <c r="C427" s="8">
        <v>0.02</v>
      </c>
      <c r="D427" s="2">
        <f>C427*VLOOKUP($A427,'Selector Sheet '!$B$13:$D$43,2,FALSE)</f>
        <v>0</v>
      </c>
      <c r="F427" s="2">
        <f t="shared" si="12"/>
        <v>0</v>
      </c>
      <c r="G427" s="2">
        <f>C427*VLOOKUP($A427,'Selector Sheet '!$B$13:$D$43,2,FALSE)</f>
        <v>0</v>
      </c>
    </row>
    <row r="428" spans="1:7">
      <c r="A428" s="1" t="s">
        <v>31</v>
      </c>
      <c r="B428" s="7" t="s">
        <v>2114</v>
      </c>
      <c r="C428" s="8">
        <v>0.028</v>
      </c>
      <c r="D428" s="2">
        <f>C428*VLOOKUP($A428,'Selector Sheet '!$B$13:$D$43,2,FALSE)</f>
        <v>0</v>
      </c>
      <c r="F428" s="2">
        <f t="shared" si="12"/>
        <v>0</v>
      </c>
      <c r="G428" s="2">
        <f>C428*VLOOKUP($A428,'Selector Sheet '!$B$13:$D$43,2,FALSE)</f>
        <v>0</v>
      </c>
    </row>
    <row r="429" spans="1:7">
      <c r="A429" s="1" t="s">
        <v>31</v>
      </c>
      <c r="B429" s="7" t="s">
        <v>2115</v>
      </c>
      <c r="C429" s="8">
        <v>0.016</v>
      </c>
      <c r="D429" s="2">
        <f>C429*VLOOKUP($A429,'Selector Sheet '!$B$13:$D$43,2,FALSE)</f>
        <v>0</v>
      </c>
      <c r="F429" s="2">
        <f t="shared" si="12"/>
        <v>0</v>
      </c>
      <c r="G429" s="2">
        <f>C429*VLOOKUP($A429,'Selector Sheet '!$B$13:$D$43,2,FALSE)</f>
        <v>0</v>
      </c>
    </row>
    <row r="430" spans="1:7">
      <c r="A430" s="1" t="s">
        <v>31</v>
      </c>
      <c r="B430" s="7" t="s">
        <v>2116</v>
      </c>
      <c r="C430" s="8">
        <v>0.02</v>
      </c>
      <c r="D430" s="2">
        <f>C430*VLOOKUP($A430,'Selector Sheet '!$B$13:$D$43,2,FALSE)</f>
        <v>0</v>
      </c>
      <c r="F430" s="2">
        <f t="shared" si="12"/>
        <v>0</v>
      </c>
      <c r="G430" s="2">
        <f>C430*VLOOKUP($A430,'Selector Sheet '!$B$13:$D$43,2,FALSE)</f>
        <v>0</v>
      </c>
    </row>
    <row r="431" spans="1:7">
      <c r="A431" s="1" t="s">
        <v>31</v>
      </c>
      <c r="B431" s="7" t="s">
        <v>2117</v>
      </c>
      <c r="C431" s="8">
        <v>0.008</v>
      </c>
      <c r="D431" s="2">
        <f>C431*VLOOKUP($A431,'Selector Sheet '!$B$13:$D$43,2,FALSE)</f>
        <v>0</v>
      </c>
      <c r="G431" s="2">
        <f>C431*VLOOKUP($A431,'Selector Sheet '!$B$13:$D$43,2,FALSE)</f>
        <v>0</v>
      </c>
    </row>
    <row r="432" ht="28.8" spans="1:7">
      <c r="A432" s="1" t="s">
        <v>31</v>
      </c>
      <c r="B432" s="7" t="s">
        <v>2082</v>
      </c>
      <c r="C432" s="8">
        <v>0.039</v>
      </c>
      <c r="D432" s="2">
        <f>C432*VLOOKUP($A432,'Selector Sheet '!$B$13:$D$43,2,FALSE)</f>
        <v>0</v>
      </c>
      <c r="G432" s="2">
        <f>C432*VLOOKUP($A432,'Selector Sheet '!$B$13:$D$43,2,FALSE)</f>
        <v>0</v>
      </c>
    </row>
    <row r="433" spans="1:7">
      <c r="A433" s="1" t="s">
        <v>31</v>
      </c>
      <c r="B433" s="7" t="s">
        <v>2118</v>
      </c>
      <c r="C433" s="8">
        <v>0.02</v>
      </c>
      <c r="D433" s="2">
        <f>C433*VLOOKUP($A433,'Selector Sheet '!$B$13:$D$43,2,FALSE)</f>
        <v>0</v>
      </c>
      <c r="G433" s="2">
        <f>C433*VLOOKUP($A433,'Selector Sheet '!$B$13:$D$43,2,FALSE)</f>
        <v>0</v>
      </c>
    </row>
    <row r="434" spans="1:7">
      <c r="A434" s="1" t="s">
        <v>31</v>
      </c>
      <c r="B434" s="7" t="s">
        <v>976</v>
      </c>
      <c r="C434" s="8">
        <v>0.016</v>
      </c>
      <c r="D434" s="2">
        <f>C434*VLOOKUP($A434,'Selector Sheet '!$B$13:$D$43,2,FALSE)</f>
        <v>0</v>
      </c>
      <c r="G434" s="2">
        <f>C434*VLOOKUP($A434,'Selector Sheet '!$B$13:$D$43,2,FALSE)</f>
        <v>0</v>
      </c>
    </row>
    <row r="435" spans="1:7">
      <c r="A435" s="1" t="s">
        <v>31</v>
      </c>
      <c r="B435" s="7" t="s">
        <v>2119</v>
      </c>
      <c r="C435" s="8">
        <v>0.013</v>
      </c>
      <c r="D435" s="2">
        <f>C435*VLOOKUP($A435,'Selector Sheet '!$B$13:$D$43,2,FALSE)</f>
        <v>0</v>
      </c>
      <c r="G435" s="2">
        <f>C435*VLOOKUP($A435,'Selector Sheet '!$B$13:$D$43,2,FALSE)</f>
        <v>0</v>
      </c>
    </row>
    <row r="436" spans="1:7">
      <c r="A436" s="1" t="s">
        <v>31</v>
      </c>
      <c r="B436" s="7" t="s">
        <v>1856</v>
      </c>
      <c r="C436" s="8">
        <v>0.017</v>
      </c>
      <c r="D436" s="2">
        <f>C436*VLOOKUP($A436,'Selector Sheet '!$B$13:$D$43,2,FALSE)</f>
        <v>0</v>
      </c>
      <c r="G436" s="2">
        <f>C436*VLOOKUP($A436,'Selector Sheet '!$B$13:$D$43,2,FALSE)</f>
        <v>0</v>
      </c>
    </row>
    <row r="437" spans="1:7">
      <c r="A437" s="1" t="s">
        <v>31</v>
      </c>
      <c r="B437" s="7" t="s">
        <v>2080</v>
      </c>
      <c r="C437" s="8">
        <v>0.021</v>
      </c>
      <c r="D437" s="2">
        <f>C437*VLOOKUP($A437,'Selector Sheet '!$B$13:$D$43,2,FALSE)</f>
        <v>0</v>
      </c>
      <c r="G437" s="2">
        <f>C437*VLOOKUP($A437,'Selector Sheet '!$B$13:$D$43,2,FALSE)</f>
        <v>0</v>
      </c>
    </row>
    <row r="438" spans="1:7">
      <c r="A438" s="1" t="s">
        <v>31</v>
      </c>
      <c r="B438" s="7" t="s">
        <v>2081</v>
      </c>
      <c r="C438" s="8">
        <v>0.021</v>
      </c>
      <c r="D438" s="2">
        <f>C438*VLOOKUP($A438,'Selector Sheet '!$B$13:$D$43,2,FALSE)</f>
        <v>0</v>
      </c>
      <c r="G438" s="2">
        <f>C438*VLOOKUP($A438,'Selector Sheet '!$B$13:$D$43,2,FALSE)</f>
        <v>0</v>
      </c>
    </row>
    <row r="439" spans="1:7">
      <c r="A439" s="1" t="s">
        <v>31</v>
      </c>
      <c r="B439" s="7" t="s">
        <v>2120</v>
      </c>
      <c r="C439" s="8">
        <v>0.007</v>
      </c>
      <c r="D439" s="2">
        <f>C439*VLOOKUP($A439,'Selector Sheet '!$B$13:$D$43,2,FALSE)</f>
        <v>0</v>
      </c>
      <c r="G439" s="2">
        <f>C439*VLOOKUP($A439,'Selector Sheet '!$B$13:$D$43,2,FALSE)</f>
        <v>0</v>
      </c>
    </row>
    <row r="440" spans="1:7">
      <c r="A440" s="1" t="s">
        <v>31</v>
      </c>
      <c r="B440" s="7" t="s">
        <v>2085</v>
      </c>
      <c r="C440" s="8">
        <v>0.015</v>
      </c>
      <c r="D440" s="2">
        <f>C440*VLOOKUP($A440,'Selector Sheet '!$B$13:$D$43,2,FALSE)</f>
        <v>0</v>
      </c>
      <c r="G440" s="2">
        <f>C440*VLOOKUP($A440,'Selector Sheet '!$B$13:$D$43,2,FALSE)</f>
        <v>0</v>
      </c>
    </row>
    <row r="441" spans="1:7">
      <c r="A441" s="1" t="s">
        <v>31</v>
      </c>
      <c r="B441" s="7" t="s">
        <v>2086</v>
      </c>
      <c r="C441" s="8">
        <v>0.026</v>
      </c>
      <c r="D441" s="2">
        <f>C441*VLOOKUP($A441,'Selector Sheet '!$B$13:$D$43,2,FALSE)</f>
        <v>0</v>
      </c>
      <c r="G441" s="2">
        <f>C441*VLOOKUP($A441,'Selector Sheet '!$B$13:$D$43,2,FALSE)</f>
        <v>0</v>
      </c>
    </row>
    <row r="442" spans="1:7">
      <c r="A442" s="1" t="s">
        <v>31</v>
      </c>
      <c r="B442" s="7" t="s">
        <v>1628</v>
      </c>
      <c r="C442" s="8">
        <v>0.03</v>
      </c>
      <c r="D442" s="2">
        <f>C442*VLOOKUP($A442,'Selector Sheet '!$B$13:$D$43,2,FALSE)</f>
        <v>0</v>
      </c>
      <c r="G442" s="2">
        <f>C442*VLOOKUP($A442,'Selector Sheet '!$B$13:$D$43,2,FALSE)</f>
        <v>0</v>
      </c>
    </row>
    <row r="443" spans="1:7">
      <c r="A443" s="1" t="s">
        <v>31</v>
      </c>
      <c r="B443" s="7" t="s">
        <v>2088</v>
      </c>
      <c r="C443" s="8">
        <v>0.015</v>
      </c>
      <c r="D443" s="2">
        <f>C443*VLOOKUP($A443,'Selector Sheet '!$B$13:$D$43,2,FALSE)</f>
        <v>0</v>
      </c>
      <c r="G443" s="2">
        <f>C443*VLOOKUP($A443,'Selector Sheet '!$B$13:$D$43,2,FALSE)</f>
        <v>0</v>
      </c>
    </row>
    <row r="444" spans="1:7">
      <c r="A444" s="1" t="s">
        <v>31</v>
      </c>
      <c r="B444" s="7" t="s">
        <v>2121</v>
      </c>
      <c r="C444" s="8">
        <v>0.01</v>
      </c>
      <c r="D444" s="2">
        <f>C444*VLOOKUP($A444,'Selector Sheet '!$B$13:$D$43,2,FALSE)</f>
        <v>0</v>
      </c>
      <c r="G444" s="2">
        <f>C444*VLOOKUP($A444,'Selector Sheet '!$B$13:$D$43,2,FALSE)</f>
        <v>0</v>
      </c>
    </row>
    <row r="445" spans="1:7">
      <c r="A445" s="1" t="s">
        <v>31</v>
      </c>
      <c r="B445" s="7" t="s">
        <v>2122</v>
      </c>
      <c r="C445" s="8">
        <v>0.024</v>
      </c>
      <c r="D445" s="2">
        <f>C445*VLOOKUP($A445,'Selector Sheet '!$B$13:$D$43,2,FALSE)</f>
        <v>0</v>
      </c>
      <c r="G445" s="2">
        <f>C445*VLOOKUP($A445,'Selector Sheet '!$B$13:$D$43,2,FALSE)</f>
        <v>0</v>
      </c>
    </row>
    <row r="446" spans="1:7">
      <c r="A446" s="1" t="s">
        <v>31</v>
      </c>
      <c r="B446" s="7" t="s">
        <v>2123</v>
      </c>
      <c r="C446" s="8">
        <v>0.015</v>
      </c>
      <c r="D446" s="2">
        <f>C446*VLOOKUP($A446,'Selector Sheet '!$B$13:$D$43,2,FALSE)</f>
        <v>0</v>
      </c>
      <c r="G446" s="2">
        <f>C446*VLOOKUP($A446,'Selector Sheet '!$B$13:$D$43,2,FALSE)</f>
        <v>0</v>
      </c>
    </row>
    <row r="447" spans="1:7">
      <c r="A447" s="1" t="s">
        <v>31</v>
      </c>
      <c r="B447" s="7" t="s">
        <v>2124</v>
      </c>
      <c r="C447" s="8">
        <v>0.012</v>
      </c>
      <c r="D447" s="2">
        <f>C447*VLOOKUP($A447,'Selector Sheet '!$B$13:$D$43,2,FALSE)</f>
        <v>0</v>
      </c>
      <c r="G447" s="2">
        <f>C447*VLOOKUP($A447,'Selector Sheet '!$B$13:$D$43,2,FALSE)</f>
        <v>0</v>
      </c>
    </row>
    <row r="448" spans="1:7">
      <c r="A448" s="1" t="s">
        <v>31</v>
      </c>
      <c r="B448" s="7" t="s">
        <v>2125</v>
      </c>
      <c r="C448" s="8">
        <v>0.008</v>
      </c>
      <c r="D448" s="2">
        <f>C448*VLOOKUP($A448,'Selector Sheet '!$B$13:$D$43,2,FALSE)</f>
        <v>0</v>
      </c>
      <c r="G448" s="2">
        <f>C448*VLOOKUP($A448,'Selector Sheet '!$B$13:$D$43,2,FALSE)</f>
        <v>0</v>
      </c>
    </row>
    <row r="449" spans="1:7">
      <c r="A449" s="1" t="s">
        <v>31</v>
      </c>
      <c r="B449" s="7" t="s">
        <v>2126</v>
      </c>
      <c r="C449" s="8">
        <v>0.013</v>
      </c>
      <c r="D449" s="2">
        <f>C449*VLOOKUP($A449,'Selector Sheet '!$B$13:$D$43,2,FALSE)</f>
        <v>0</v>
      </c>
      <c r="G449" s="2">
        <f>C449*VLOOKUP($A449,'Selector Sheet '!$B$13:$D$43,2,FALSE)</f>
        <v>0</v>
      </c>
    </row>
    <row r="450" spans="1:7">
      <c r="A450" s="1" t="s">
        <v>31</v>
      </c>
      <c r="B450" s="7" t="s">
        <v>2127</v>
      </c>
      <c r="C450" s="8">
        <v>0.01</v>
      </c>
      <c r="D450" s="2">
        <f>C450*VLOOKUP($A450,'Selector Sheet '!$B$13:$D$43,2,FALSE)</f>
        <v>0</v>
      </c>
      <c r="G450" s="2">
        <f>C450*VLOOKUP($A450,'Selector Sheet '!$B$13:$D$43,2,FALSE)</f>
        <v>0</v>
      </c>
    </row>
    <row r="451" spans="1:7">
      <c r="A451" s="1" t="s">
        <v>31</v>
      </c>
      <c r="B451" s="7" t="s">
        <v>2128</v>
      </c>
      <c r="C451" s="8">
        <v>0.01</v>
      </c>
      <c r="D451" s="2">
        <f>C451*VLOOKUP($A451,'Selector Sheet '!$B$13:$D$43,2,FALSE)</f>
        <v>0</v>
      </c>
      <c r="G451" s="2">
        <f>C451*VLOOKUP($A451,'Selector Sheet '!$B$13:$D$43,2,FALSE)</f>
        <v>0</v>
      </c>
    </row>
    <row r="452" spans="1:7">
      <c r="A452" s="1" t="s">
        <v>31</v>
      </c>
      <c r="B452" s="7" t="s">
        <v>2129</v>
      </c>
      <c r="C452" s="8">
        <v>0.01</v>
      </c>
      <c r="D452" s="2">
        <f>C452*VLOOKUP($A452,'Selector Sheet '!$B$13:$D$43,2,FALSE)</f>
        <v>0</v>
      </c>
      <c r="G452" s="2">
        <f>C452*VLOOKUP($A452,'Selector Sheet '!$B$13:$D$43,2,FALSE)</f>
        <v>0</v>
      </c>
    </row>
    <row r="453" spans="1:7">
      <c r="A453" s="1" t="s">
        <v>31</v>
      </c>
      <c r="B453" s="7" t="s">
        <v>2130</v>
      </c>
      <c r="C453" s="8">
        <v>0.033</v>
      </c>
      <c r="D453" s="2">
        <f>C453*VLOOKUP($A453,'Selector Sheet '!$B$13:$D$43,2,FALSE)</f>
        <v>0</v>
      </c>
      <c r="G453" s="2">
        <f>C453*VLOOKUP($A453,'Selector Sheet '!$B$13:$D$43,2,FALSE)</f>
        <v>0</v>
      </c>
    </row>
    <row r="454" spans="1:7">
      <c r="A454" s="1" t="s">
        <v>31</v>
      </c>
      <c r="B454" s="7" t="s">
        <v>2131</v>
      </c>
      <c r="C454" s="8">
        <v>0.021</v>
      </c>
      <c r="D454" s="2">
        <f>C454*VLOOKUP($A454,'Selector Sheet '!$B$13:$D$43,2,FALSE)</f>
        <v>0</v>
      </c>
      <c r="G454" s="2">
        <f>C454*VLOOKUP($A454,'Selector Sheet '!$B$13:$D$43,2,FALSE)</f>
        <v>0</v>
      </c>
    </row>
    <row r="455" spans="1:7">
      <c r="A455" s="1" t="s">
        <v>31</v>
      </c>
      <c r="B455" s="7" t="s">
        <v>2092</v>
      </c>
      <c r="C455" s="8">
        <v>0.026</v>
      </c>
      <c r="D455" s="2">
        <f>C455*VLOOKUP($A455,'Selector Sheet '!$B$13:$D$43,2,FALSE)</f>
        <v>0</v>
      </c>
      <c r="G455" s="2">
        <f>C455*VLOOKUP($A455,'Selector Sheet '!$B$13:$D$43,2,FALSE)</f>
        <v>0</v>
      </c>
    </row>
    <row r="456" spans="1:7">
      <c r="A456" s="1" t="s">
        <v>31</v>
      </c>
      <c r="B456" s="7" t="s">
        <v>2091</v>
      </c>
      <c r="C456" s="8">
        <v>0.016</v>
      </c>
      <c r="D456" s="2">
        <f>C456*VLOOKUP($A456,'Selector Sheet '!$B$13:$D$43,2,FALSE)</f>
        <v>0</v>
      </c>
      <c r="G456" s="2">
        <f>C456*VLOOKUP($A456,'Selector Sheet '!$B$13:$D$43,2,FALSE)</f>
        <v>0</v>
      </c>
    </row>
    <row r="457" spans="1:7">
      <c r="A457" s="1" t="s">
        <v>31</v>
      </c>
      <c r="B457" s="7" t="s">
        <v>2132</v>
      </c>
      <c r="C457" s="8">
        <v>0.032</v>
      </c>
      <c r="D457" s="2">
        <f>C457*VLOOKUP($A457,'Selector Sheet '!$B$13:$D$43,2,FALSE)</f>
        <v>0</v>
      </c>
      <c r="G457" s="2">
        <f>C457*VLOOKUP($A457,'Selector Sheet '!$B$13:$D$43,2,FALSE)</f>
        <v>0</v>
      </c>
    </row>
    <row r="458" spans="1:7">
      <c r="A458" s="1" t="s">
        <v>31</v>
      </c>
      <c r="B458" s="7" t="s">
        <v>2133</v>
      </c>
      <c r="C458" s="8">
        <v>0.015</v>
      </c>
      <c r="D458" s="2">
        <f>C458*VLOOKUP($A458,'Selector Sheet '!$B$13:$D$43,2,FALSE)</f>
        <v>0</v>
      </c>
      <c r="G458" s="2">
        <f>C458*VLOOKUP($A458,'Selector Sheet '!$B$13:$D$43,2,FALSE)</f>
        <v>0</v>
      </c>
    </row>
    <row r="459" spans="1:7">
      <c r="A459" s="1" t="s">
        <v>31</v>
      </c>
      <c r="B459" s="7" t="s">
        <v>2134</v>
      </c>
      <c r="C459" s="8">
        <v>0.007</v>
      </c>
      <c r="D459" s="2">
        <f>C459*VLOOKUP($A459,'Selector Sheet '!$B$13:$D$43,2,FALSE)</f>
        <v>0</v>
      </c>
      <c r="G459" s="2">
        <f>C459*VLOOKUP($A459,'Selector Sheet '!$B$13:$D$43,2,FALSE)</f>
        <v>0</v>
      </c>
    </row>
    <row r="460" spans="1:7">
      <c r="A460" s="1" t="s">
        <v>31</v>
      </c>
      <c r="B460" s="7" t="s">
        <v>2135</v>
      </c>
      <c r="C460" s="8">
        <v>0.013</v>
      </c>
      <c r="D460" s="2">
        <f>C460*VLOOKUP($A460,'Selector Sheet '!$B$13:$D$43,2,FALSE)</f>
        <v>0</v>
      </c>
      <c r="G460" s="2">
        <f>C460*VLOOKUP($A460,'Selector Sheet '!$B$13:$D$43,2,FALSE)</f>
        <v>0</v>
      </c>
    </row>
    <row r="461" spans="1:7">
      <c r="A461" s="1" t="s">
        <v>31</v>
      </c>
      <c r="B461" s="7" t="s">
        <v>2136</v>
      </c>
      <c r="C461" s="8">
        <v>0.009</v>
      </c>
      <c r="D461" s="2">
        <f>C461*VLOOKUP($A461,'Selector Sheet '!$B$13:$D$43,2,FALSE)</f>
        <v>0</v>
      </c>
      <c r="G461" s="2">
        <f>C461*VLOOKUP($A461,'Selector Sheet '!$B$13:$D$43,2,FALSE)</f>
        <v>0</v>
      </c>
    </row>
    <row r="462" spans="1:7">
      <c r="A462" s="1" t="s">
        <v>31</v>
      </c>
      <c r="B462" s="7" t="s">
        <v>2093</v>
      </c>
      <c r="C462" s="8">
        <v>0.025</v>
      </c>
      <c r="D462" s="2">
        <f>C462*VLOOKUP($A462,'Selector Sheet '!$B$13:$D$43,2,FALSE)</f>
        <v>0</v>
      </c>
      <c r="G462" s="2">
        <f>C462*VLOOKUP($A462,'Selector Sheet '!$B$13:$D$43,2,FALSE)</f>
        <v>0</v>
      </c>
    </row>
    <row r="463" spans="1:7">
      <c r="A463" s="1" t="s">
        <v>31</v>
      </c>
      <c r="B463" s="7" t="s">
        <v>2137</v>
      </c>
      <c r="C463" s="8">
        <v>0.012</v>
      </c>
      <c r="D463" s="2">
        <f>C463*VLOOKUP($A463,'Selector Sheet '!$B$13:$D$43,2,FALSE)</f>
        <v>0</v>
      </c>
      <c r="G463" s="2">
        <f>C463*VLOOKUP($A463,'Selector Sheet '!$B$13:$D$43,2,FALSE)</f>
        <v>0</v>
      </c>
    </row>
    <row r="464" spans="1:7">
      <c r="A464" s="1" t="s">
        <v>31</v>
      </c>
      <c r="B464" s="7" t="s">
        <v>1901</v>
      </c>
      <c r="C464" s="8">
        <v>0.019</v>
      </c>
      <c r="D464" s="2">
        <f>C464*VLOOKUP($A464,'Selector Sheet '!$B$13:$D$43,2,FALSE)</f>
        <v>0</v>
      </c>
      <c r="G464" s="2">
        <f>C464*VLOOKUP($A464,'Selector Sheet '!$B$13:$D$43,2,FALSE)</f>
        <v>0</v>
      </c>
    </row>
    <row r="465" spans="1:7">
      <c r="A465" s="1" t="s">
        <v>31</v>
      </c>
      <c r="B465" s="7" t="s">
        <v>2094</v>
      </c>
      <c r="C465" s="8">
        <v>0.016</v>
      </c>
      <c r="D465" s="2">
        <f>C465*VLOOKUP($A465,'Selector Sheet '!$B$13:$D$43,2,FALSE)</f>
        <v>0</v>
      </c>
      <c r="G465" s="2">
        <f>C465*VLOOKUP($A465,'Selector Sheet '!$B$13:$D$43,2,FALSE)</f>
        <v>0</v>
      </c>
    </row>
    <row r="466" spans="1:7">
      <c r="A466" s="1" t="s">
        <v>31</v>
      </c>
      <c r="B466" s="7" t="s">
        <v>2095</v>
      </c>
      <c r="C466" s="8">
        <v>0.02</v>
      </c>
      <c r="D466" s="2">
        <f>C466*VLOOKUP($A466,'Selector Sheet '!$B$13:$D$43,2,FALSE)</f>
        <v>0</v>
      </c>
      <c r="G466" s="2">
        <f>C466*VLOOKUP($A466,'Selector Sheet '!$B$13:$D$43,2,FALSE)</f>
        <v>0</v>
      </c>
    </row>
    <row r="467" spans="1:7">
      <c r="A467" s="1" t="s">
        <v>31</v>
      </c>
      <c r="B467" s="7" t="s">
        <v>1995</v>
      </c>
      <c r="C467" s="8">
        <v>0.021</v>
      </c>
      <c r="D467" s="2">
        <f>C467*VLOOKUP($A467,'Selector Sheet '!$B$13:$D$43,2,FALSE)</f>
        <v>0</v>
      </c>
      <c r="G467" s="2">
        <f>C467*VLOOKUP($A467,'Selector Sheet '!$B$13:$D$43,2,FALSE)</f>
        <v>0</v>
      </c>
    </row>
    <row r="468" spans="1:7">
      <c r="A468" s="1" t="s">
        <v>31</v>
      </c>
      <c r="B468" s="7" t="s">
        <v>2138</v>
      </c>
      <c r="C468" s="8">
        <v>0.024</v>
      </c>
      <c r="D468" s="2">
        <f>C468*VLOOKUP($A468,'Selector Sheet '!$B$13:$D$43,2,FALSE)</f>
        <v>0</v>
      </c>
      <c r="G468" s="2">
        <f>C468*VLOOKUP($A468,'Selector Sheet '!$B$13:$D$43,2,FALSE)</f>
        <v>0</v>
      </c>
    </row>
    <row r="469" spans="1:7">
      <c r="A469" s="1" t="s">
        <v>31</v>
      </c>
      <c r="B469" s="7" t="s">
        <v>2139</v>
      </c>
      <c r="C469" s="8">
        <v>0.021</v>
      </c>
      <c r="D469" s="2">
        <f>C469*VLOOKUP($A469,'Selector Sheet '!$B$13:$D$43,2,FALSE)</f>
        <v>0</v>
      </c>
      <c r="G469" s="2">
        <f>C469*VLOOKUP($A469,'Selector Sheet '!$B$13:$D$43,2,FALSE)</f>
        <v>0</v>
      </c>
    </row>
    <row r="470" spans="1:7">
      <c r="A470" s="1" t="s">
        <v>31</v>
      </c>
      <c r="B470" s="7" t="s">
        <v>2055</v>
      </c>
      <c r="C470" s="8">
        <v>0.021</v>
      </c>
      <c r="D470" s="2">
        <f>C470*VLOOKUP($A470,'Selector Sheet '!$B$13:$D$43,2,FALSE)</f>
        <v>0</v>
      </c>
      <c r="G470" s="2">
        <f>C470*VLOOKUP($A470,'Selector Sheet '!$B$13:$D$43,2,FALSE)</f>
        <v>0</v>
      </c>
    </row>
    <row r="471" spans="1:7">
      <c r="A471" s="1" t="s">
        <v>31</v>
      </c>
      <c r="B471" s="7" t="s">
        <v>2096</v>
      </c>
      <c r="C471" s="8">
        <v>0.015</v>
      </c>
      <c r="D471" s="2">
        <f>C471*VLOOKUP($A471,'Selector Sheet '!$B$13:$D$43,2,FALSE)</f>
        <v>0</v>
      </c>
      <c r="G471" s="2">
        <f>C471*VLOOKUP($A471,'Selector Sheet '!$B$13:$D$43,2,FALSE)</f>
        <v>0</v>
      </c>
    </row>
    <row r="472" spans="1:7">
      <c r="A472" s="1" t="s">
        <v>31</v>
      </c>
      <c r="B472" s="7" t="s">
        <v>2140</v>
      </c>
      <c r="C472" s="8">
        <v>0.018</v>
      </c>
      <c r="D472" s="2">
        <f>C472*VLOOKUP($A472,'Selector Sheet '!$B$13:$D$43,2,FALSE)</f>
        <v>0</v>
      </c>
      <c r="G472" s="2">
        <f>C472*VLOOKUP($A472,'Selector Sheet '!$B$13:$D$43,2,FALSE)</f>
        <v>0</v>
      </c>
    </row>
    <row r="473" spans="1:7">
      <c r="A473" s="1" t="s">
        <v>31</v>
      </c>
      <c r="B473" s="7" t="s">
        <v>2141</v>
      </c>
      <c r="C473" s="8">
        <v>0.006</v>
      </c>
      <c r="D473" s="2">
        <f>C473*VLOOKUP($A473,'Selector Sheet '!$B$13:$D$43,2,FALSE)</f>
        <v>0</v>
      </c>
      <c r="G473" s="2">
        <f>C473*VLOOKUP($A473,'Selector Sheet '!$B$13:$D$43,2,FALSE)</f>
        <v>0</v>
      </c>
    </row>
    <row r="474" spans="1:7">
      <c r="A474" s="1" t="s">
        <v>31</v>
      </c>
      <c r="B474" s="7" t="s">
        <v>2142</v>
      </c>
      <c r="C474" s="8">
        <v>0.024</v>
      </c>
      <c r="D474" s="2">
        <f>C474*VLOOKUP($A474,'Selector Sheet '!$B$13:$D$43,2,FALSE)</f>
        <v>0</v>
      </c>
      <c r="G474" s="2">
        <f>C474*VLOOKUP($A474,'Selector Sheet '!$B$13:$D$43,2,FALSE)</f>
        <v>0</v>
      </c>
    </row>
    <row r="475" spans="1:7">
      <c r="A475" s="1" t="s">
        <v>31</v>
      </c>
      <c r="B475" s="7" t="s">
        <v>2143</v>
      </c>
      <c r="C475" s="8">
        <v>0.016</v>
      </c>
      <c r="D475" s="2">
        <f>C475*VLOOKUP($A475,'Selector Sheet '!$B$13:$D$43,2,FALSE)</f>
        <v>0</v>
      </c>
      <c r="G475" s="2">
        <f>C475*VLOOKUP($A475,'Selector Sheet '!$B$13:$D$43,2,FALSE)</f>
        <v>0</v>
      </c>
    </row>
    <row r="476" spans="1:7">
      <c r="A476" s="1" t="s">
        <v>31</v>
      </c>
      <c r="B476" s="7" t="s">
        <v>2144</v>
      </c>
      <c r="C476" s="8">
        <v>0.008</v>
      </c>
      <c r="D476" s="2">
        <f>C476*VLOOKUP($A476,'Selector Sheet '!$B$13:$D$43,2,FALSE)</f>
        <v>0</v>
      </c>
      <c r="G476" s="2">
        <f>C476*VLOOKUP($A476,'Selector Sheet '!$B$13:$D$43,2,FALSE)</f>
        <v>0</v>
      </c>
    </row>
    <row r="477" spans="1:7">
      <c r="A477" s="1" t="s">
        <v>31</v>
      </c>
      <c r="B477" s="7" t="s">
        <v>2145</v>
      </c>
      <c r="C477" s="8">
        <v>0.015</v>
      </c>
      <c r="D477" s="2">
        <f>C477*VLOOKUP($A477,'Selector Sheet '!$B$13:$D$43,2,FALSE)</f>
        <v>0</v>
      </c>
      <c r="G477" s="2">
        <f>C477*VLOOKUP($A477,'Selector Sheet '!$B$13:$D$43,2,FALSE)</f>
        <v>0</v>
      </c>
    </row>
    <row r="478" spans="1:7">
      <c r="A478" s="1" t="s">
        <v>31</v>
      </c>
      <c r="B478" s="7" t="s">
        <v>2099</v>
      </c>
      <c r="C478" s="8">
        <v>0.021</v>
      </c>
      <c r="D478" s="2">
        <f>C478*VLOOKUP($A478,'Selector Sheet '!$B$13:$D$43,2,FALSE)</f>
        <v>0</v>
      </c>
      <c r="G478" s="2">
        <f>C478*VLOOKUP($A478,'Selector Sheet '!$B$13:$D$43,2,FALSE)</f>
        <v>0</v>
      </c>
    </row>
    <row r="479" spans="1:7">
      <c r="A479" s="1" t="s">
        <v>31</v>
      </c>
      <c r="B479" s="7" t="s">
        <v>2146</v>
      </c>
      <c r="C479" s="8">
        <v>0.013</v>
      </c>
      <c r="D479" s="2">
        <f>C479*VLOOKUP($A479,'Selector Sheet '!$B$13:$D$43,2,FALSE)</f>
        <v>0</v>
      </c>
      <c r="G479" s="2">
        <f>C479*VLOOKUP($A479,'Selector Sheet '!$B$13:$D$43,2,FALSE)</f>
        <v>0</v>
      </c>
    </row>
    <row r="480" spans="1:7">
      <c r="A480" s="1" t="s">
        <v>31</v>
      </c>
      <c r="B480" s="7" t="s">
        <v>2102</v>
      </c>
      <c r="C480" s="8">
        <v>0.014</v>
      </c>
      <c r="D480" s="2">
        <f>C480*VLOOKUP($A480,'Selector Sheet '!$B$13:$D$43,2,FALSE)</f>
        <v>0</v>
      </c>
      <c r="G480" s="2">
        <f>C480*VLOOKUP($A480,'Selector Sheet '!$B$13:$D$43,2,FALSE)</f>
        <v>0</v>
      </c>
    </row>
    <row r="481" spans="1:7">
      <c r="A481" s="1" t="s">
        <v>41</v>
      </c>
      <c r="B481" t="s">
        <v>1843</v>
      </c>
      <c r="C481" s="4">
        <v>0.063</v>
      </c>
      <c r="D481" s="2">
        <f>C481*VLOOKUP($A481,'Selector Sheet '!$B$13:$D$43,2,FALSE)</f>
        <v>0</v>
      </c>
      <c r="G481" s="2">
        <f>C481*VLOOKUP($A481,'Selector Sheet '!$B$13:$D$43,2,FALSE)</f>
        <v>0</v>
      </c>
    </row>
    <row r="482" spans="1:7">
      <c r="A482" s="1" t="s">
        <v>41</v>
      </c>
      <c r="B482" t="s">
        <v>1845</v>
      </c>
      <c r="C482" s="4">
        <v>0.0588</v>
      </c>
      <c r="D482" s="2">
        <f>C482*VLOOKUP($A482,'Selector Sheet '!$B$13:$D$43,2,FALSE)</f>
        <v>0</v>
      </c>
      <c r="G482" s="2">
        <f>C482*VLOOKUP($A482,'Selector Sheet '!$B$13:$D$43,2,FALSE)</f>
        <v>0</v>
      </c>
    </row>
    <row r="483" spans="1:7">
      <c r="A483" s="1" t="s">
        <v>41</v>
      </c>
      <c r="B483" t="s">
        <v>2147</v>
      </c>
      <c r="C483" s="4">
        <v>0.0546</v>
      </c>
      <c r="D483" s="2">
        <f>C483*VLOOKUP($A483,'Selector Sheet '!$B$13:$D$43,2,FALSE)</f>
        <v>0</v>
      </c>
      <c r="G483" s="2">
        <f>C483*VLOOKUP($A483,'Selector Sheet '!$B$13:$D$43,2,FALSE)</f>
        <v>0</v>
      </c>
    </row>
    <row r="484" spans="1:7">
      <c r="A484" s="1" t="s">
        <v>41</v>
      </c>
      <c r="B484" t="s">
        <v>2148</v>
      </c>
      <c r="C484" s="4">
        <v>0.0545</v>
      </c>
      <c r="D484" s="2">
        <f>C484*VLOOKUP($A484,'Selector Sheet '!$B$13:$D$43,2,FALSE)</f>
        <v>0</v>
      </c>
      <c r="G484" s="2">
        <f>C484*VLOOKUP($A484,'Selector Sheet '!$B$13:$D$43,2,FALSE)</f>
        <v>0</v>
      </c>
    </row>
    <row r="485" spans="1:7">
      <c r="A485" s="1" t="s">
        <v>41</v>
      </c>
      <c r="B485" t="s">
        <v>2082</v>
      </c>
      <c r="C485" s="4">
        <v>0.0517</v>
      </c>
      <c r="D485" s="2">
        <f>C485*VLOOKUP($A485,'Selector Sheet '!$B$13:$D$43,2,FALSE)</f>
        <v>0</v>
      </c>
      <c r="G485" s="2">
        <f>C485*VLOOKUP($A485,'Selector Sheet '!$B$13:$D$43,2,FALSE)</f>
        <v>0</v>
      </c>
    </row>
    <row r="486" spans="1:7">
      <c r="A486" s="1" t="s">
        <v>41</v>
      </c>
      <c r="B486" t="s">
        <v>2149</v>
      </c>
      <c r="C486" s="4">
        <v>0.0481</v>
      </c>
      <c r="D486" s="2">
        <f>C486*VLOOKUP($A486,'Selector Sheet '!$B$13:$D$43,2,FALSE)</f>
        <v>0</v>
      </c>
      <c r="G486" s="2">
        <f>C486*VLOOKUP($A486,'Selector Sheet '!$B$13:$D$43,2,FALSE)</f>
        <v>0</v>
      </c>
    </row>
    <row r="487" spans="1:7">
      <c r="A487" s="1" t="s">
        <v>41</v>
      </c>
      <c r="B487" t="s">
        <v>2150</v>
      </c>
      <c r="C487" s="4">
        <v>0.0479</v>
      </c>
      <c r="D487" s="2">
        <f>C487*VLOOKUP($A487,'Selector Sheet '!$B$13:$D$43,2,FALSE)</f>
        <v>0</v>
      </c>
      <c r="G487" s="2">
        <f>C487*VLOOKUP($A487,'Selector Sheet '!$B$13:$D$43,2,FALSE)</f>
        <v>0</v>
      </c>
    </row>
    <row r="488" spans="1:7">
      <c r="A488" s="1" t="s">
        <v>41</v>
      </c>
      <c r="B488" t="s">
        <v>2151</v>
      </c>
      <c r="C488" s="4">
        <v>0.0408</v>
      </c>
      <c r="D488" s="2">
        <f>C488*VLOOKUP($A488,'Selector Sheet '!$B$13:$D$43,2,FALSE)</f>
        <v>0</v>
      </c>
      <c r="G488" s="2">
        <f>C488*VLOOKUP($A488,'Selector Sheet '!$B$13:$D$43,2,FALSE)</f>
        <v>0</v>
      </c>
    </row>
    <row r="489" spans="1:7">
      <c r="A489" s="1" t="s">
        <v>41</v>
      </c>
      <c r="B489" t="s">
        <v>2020</v>
      </c>
      <c r="C489" s="4">
        <v>0.0393</v>
      </c>
      <c r="D489" s="2">
        <f>C489*VLOOKUP($A489,'Selector Sheet '!$B$13:$D$43,2,FALSE)</f>
        <v>0</v>
      </c>
      <c r="G489" s="2">
        <f>C489*VLOOKUP($A489,'Selector Sheet '!$B$13:$D$43,2,FALSE)</f>
        <v>0</v>
      </c>
    </row>
    <row r="490" spans="1:7">
      <c r="A490" s="1" t="s">
        <v>41</v>
      </c>
      <c r="B490" t="s">
        <v>2152</v>
      </c>
      <c r="C490" s="4">
        <v>0.0374</v>
      </c>
      <c r="D490" s="2">
        <f>C490*VLOOKUP($A490,'Selector Sheet '!$B$13:$D$43,2,FALSE)</f>
        <v>0</v>
      </c>
      <c r="G490" s="2">
        <f>C490*VLOOKUP($A490,'Selector Sheet '!$B$13:$D$43,2,FALSE)</f>
        <v>0</v>
      </c>
    </row>
    <row r="491" spans="1:7">
      <c r="A491" s="1" t="s">
        <v>41</v>
      </c>
      <c r="B491" t="s">
        <v>2076</v>
      </c>
      <c r="C491" s="4">
        <v>0.0358</v>
      </c>
      <c r="D491" s="2">
        <f>C491*VLOOKUP($A491,'Selector Sheet '!$B$13:$D$43,2,FALSE)</f>
        <v>0</v>
      </c>
      <c r="G491" s="2">
        <f>C491*VLOOKUP($A491,'Selector Sheet '!$B$13:$D$43,2,FALSE)</f>
        <v>0</v>
      </c>
    </row>
    <row r="492" spans="1:7">
      <c r="A492" s="1" t="s">
        <v>41</v>
      </c>
      <c r="B492" t="s">
        <v>1831</v>
      </c>
      <c r="C492" s="4">
        <v>0.034</v>
      </c>
      <c r="D492" s="2">
        <f>C492*VLOOKUP($A492,'Selector Sheet '!$B$13:$D$43,2,FALSE)</f>
        <v>0</v>
      </c>
      <c r="G492" s="2">
        <f>C492*VLOOKUP($A492,'Selector Sheet '!$B$13:$D$43,2,FALSE)</f>
        <v>0</v>
      </c>
    </row>
    <row r="493" spans="1:7">
      <c r="A493" s="1" t="s">
        <v>41</v>
      </c>
      <c r="B493" t="s">
        <v>2153</v>
      </c>
      <c r="C493" s="4">
        <v>0.0335</v>
      </c>
      <c r="D493" s="2">
        <f>C493*VLOOKUP($A493,'Selector Sheet '!$B$13:$D$43,2,FALSE)</f>
        <v>0</v>
      </c>
      <c r="G493" s="2">
        <f>C493*VLOOKUP($A493,'Selector Sheet '!$B$13:$D$43,2,FALSE)</f>
        <v>0</v>
      </c>
    </row>
    <row r="494" spans="1:7">
      <c r="A494" s="1" t="s">
        <v>41</v>
      </c>
      <c r="B494" t="s">
        <v>1081</v>
      </c>
      <c r="C494" s="4">
        <v>0.0311</v>
      </c>
      <c r="D494" s="2">
        <f>C494*VLOOKUP($A494,'Selector Sheet '!$B$13:$D$43,2,FALSE)</f>
        <v>0</v>
      </c>
      <c r="G494" s="2">
        <f>C494*VLOOKUP($A494,'Selector Sheet '!$B$13:$D$43,2,FALSE)</f>
        <v>0</v>
      </c>
    </row>
    <row r="495" spans="1:7">
      <c r="A495" s="1" t="s">
        <v>41</v>
      </c>
      <c r="B495" t="s">
        <v>2098</v>
      </c>
      <c r="C495" s="4">
        <v>0.0289</v>
      </c>
      <c r="D495" s="2">
        <f>C495*VLOOKUP($A495,'Selector Sheet '!$B$13:$D$43,2,FALSE)</f>
        <v>0</v>
      </c>
      <c r="G495" s="2">
        <f>C495*VLOOKUP($A495,'Selector Sheet '!$B$13:$D$43,2,FALSE)</f>
        <v>0</v>
      </c>
    </row>
    <row r="496" spans="1:7">
      <c r="A496" s="1" t="s">
        <v>41</v>
      </c>
      <c r="B496" t="s">
        <v>1966</v>
      </c>
      <c r="C496" s="4">
        <v>0.0277</v>
      </c>
      <c r="D496" s="2">
        <f>C496*VLOOKUP($A496,'Selector Sheet '!$B$13:$D$43,2,FALSE)</f>
        <v>0</v>
      </c>
      <c r="G496" s="2">
        <f>C496*VLOOKUP($A496,'Selector Sheet '!$B$13:$D$43,2,FALSE)</f>
        <v>0</v>
      </c>
    </row>
    <row r="497" spans="1:7">
      <c r="A497" s="1" t="s">
        <v>41</v>
      </c>
      <c r="B497" t="s">
        <v>2154</v>
      </c>
      <c r="C497" s="4">
        <v>0.0273</v>
      </c>
      <c r="D497" s="2">
        <f>C497*VLOOKUP($A497,'Selector Sheet '!$B$13:$D$43,2,FALSE)</f>
        <v>0</v>
      </c>
      <c r="G497" s="2">
        <f>C497*VLOOKUP($A497,'Selector Sheet '!$B$13:$D$43,2,FALSE)</f>
        <v>0</v>
      </c>
    </row>
    <row r="498" spans="1:7">
      <c r="A498" s="1" t="s">
        <v>41</v>
      </c>
      <c r="B498" t="s">
        <v>2155</v>
      </c>
      <c r="C498" s="4">
        <v>0.0261</v>
      </c>
      <c r="D498" s="2">
        <f>C498*VLOOKUP($A498,'Selector Sheet '!$B$13:$D$43,2,FALSE)</f>
        <v>0</v>
      </c>
      <c r="G498" s="2">
        <f>C498*VLOOKUP($A498,'Selector Sheet '!$B$13:$D$43,2,FALSE)</f>
        <v>0</v>
      </c>
    </row>
    <row r="499" spans="1:7">
      <c r="A499" s="1" t="s">
        <v>41</v>
      </c>
      <c r="B499" t="s">
        <v>1904</v>
      </c>
      <c r="C499" s="4">
        <v>0.0251</v>
      </c>
      <c r="D499" s="2">
        <f>C499*VLOOKUP($A499,'Selector Sheet '!$B$13:$D$43,2,FALSE)</f>
        <v>0</v>
      </c>
      <c r="G499" s="2">
        <f>C499*VLOOKUP($A499,'Selector Sheet '!$B$13:$D$43,2,FALSE)</f>
        <v>0</v>
      </c>
    </row>
    <row r="500" spans="1:7">
      <c r="A500" s="1" t="s">
        <v>41</v>
      </c>
      <c r="B500" t="s">
        <v>2156</v>
      </c>
      <c r="C500" s="4">
        <v>0.0245</v>
      </c>
      <c r="D500" s="2">
        <f>C500*VLOOKUP($A500,'Selector Sheet '!$B$13:$D$43,2,FALSE)</f>
        <v>0</v>
      </c>
      <c r="G500" s="2">
        <f>C500*VLOOKUP($A500,'Selector Sheet '!$B$13:$D$43,2,FALSE)</f>
        <v>0</v>
      </c>
    </row>
    <row r="501" spans="1:7">
      <c r="A501" s="1" t="s">
        <v>41</v>
      </c>
      <c r="B501" t="s">
        <v>2157</v>
      </c>
      <c r="C501" s="4">
        <v>0.0244</v>
      </c>
      <c r="D501" s="2">
        <f>C501*VLOOKUP($A501,'Selector Sheet '!$B$13:$D$43,2,FALSE)</f>
        <v>0</v>
      </c>
      <c r="G501" s="2">
        <f>C501*VLOOKUP($A501,'Selector Sheet '!$B$13:$D$43,2,FALSE)</f>
        <v>0</v>
      </c>
    </row>
    <row r="502" spans="1:7">
      <c r="A502" s="1" t="s">
        <v>41</v>
      </c>
      <c r="B502" t="s">
        <v>1876</v>
      </c>
      <c r="C502" s="4">
        <v>0.022</v>
      </c>
      <c r="D502" s="2">
        <f>C502*VLOOKUP($A502,'Selector Sheet '!$B$13:$D$43,2,FALSE)</f>
        <v>0</v>
      </c>
      <c r="G502" s="2">
        <f>C502*VLOOKUP($A502,'Selector Sheet '!$B$13:$D$43,2,FALSE)</f>
        <v>0</v>
      </c>
    </row>
    <row r="503" spans="1:7">
      <c r="A503" s="1" t="s">
        <v>41</v>
      </c>
      <c r="B503" t="s">
        <v>2158</v>
      </c>
      <c r="C503" s="4">
        <v>0.0219</v>
      </c>
      <c r="D503" s="2">
        <f>C503*VLOOKUP($A503,'Selector Sheet '!$B$13:$D$43,2,FALSE)</f>
        <v>0</v>
      </c>
      <c r="G503" s="2">
        <f>C503*VLOOKUP($A503,'Selector Sheet '!$B$13:$D$43,2,FALSE)</f>
        <v>0</v>
      </c>
    </row>
    <row r="504" spans="1:7">
      <c r="A504" s="1" t="s">
        <v>41</v>
      </c>
      <c r="B504" t="s">
        <v>2159</v>
      </c>
      <c r="C504" s="4">
        <v>0.018</v>
      </c>
      <c r="D504" s="2">
        <f>C504*VLOOKUP($A504,'Selector Sheet '!$B$13:$D$43,2,FALSE)</f>
        <v>0</v>
      </c>
      <c r="G504" s="2">
        <f>C504*VLOOKUP($A504,'Selector Sheet '!$B$13:$D$43,2,FALSE)</f>
        <v>0</v>
      </c>
    </row>
    <row r="505" spans="1:7">
      <c r="A505" s="1" t="s">
        <v>41</v>
      </c>
      <c r="B505" t="s">
        <v>2160</v>
      </c>
      <c r="C505" s="4">
        <v>0.0178</v>
      </c>
      <c r="D505" s="2">
        <f>C505*VLOOKUP($A505,'Selector Sheet '!$B$13:$D$43,2,FALSE)</f>
        <v>0</v>
      </c>
      <c r="G505" s="2">
        <f>C505*VLOOKUP($A505,'Selector Sheet '!$B$13:$D$43,2,FALSE)</f>
        <v>0</v>
      </c>
    </row>
    <row r="506" spans="1:7">
      <c r="A506" s="1" t="s">
        <v>41</v>
      </c>
      <c r="B506" t="s">
        <v>2123</v>
      </c>
      <c r="C506" s="4">
        <v>0.0164</v>
      </c>
      <c r="D506" s="2">
        <f>C506*VLOOKUP($A506,'Selector Sheet '!$B$13:$D$43,2,FALSE)</f>
        <v>0</v>
      </c>
      <c r="G506" s="2">
        <f>C506*VLOOKUP($A506,'Selector Sheet '!$B$13:$D$43,2,FALSE)</f>
        <v>0</v>
      </c>
    </row>
    <row r="507" spans="1:7">
      <c r="A507" s="1" t="s">
        <v>41</v>
      </c>
      <c r="B507" t="s">
        <v>2087</v>
      </c>
      <c r="C507" s="4">
        <v>0.0149</v>
      </c>
      <c r="D507" s="2">
        <f>C507*VLOOKUP($A507,'Selector Sheet '!$B$13:$D$43,2,FALSE)</f>
        <v>0</v>
      </c>
      <c r="G507" s="2">
        <f>C507*VLOOKUP($A507,'Selector Sheet '!$B$13:$D$43,2,FALSE)</f>
        <v>0</v>
      </c>
    </row>
    <row r="508" spans="1:7">
      <c r="A508" s="1" t="s">
        <v>41</v>
      </c>
      <c r="B508" t="s">
        <v>2161</v>
      </c>
      <c r="C508" s="4">
        <v>0.0145</v>
      </c>
      <c r="D508" s="2">
        <f>C508*VLOOKUP($A508,'Selector Sheet '!$B$13:$D$43,2,FALSE)</f>
        <v>0</v>
      </c>
      <c r="G508" s="2">
        <f>C508*VLOOKUP($A508,'Selector Sheet '!$B$13:$D$43,2,FALSE)</f>
        <v>0</v>
      </c>
    </row>
    <row r="509" spans="1:7">
      <c r="A509" s="1" t="s">
        <v>41</v>
      </c>
      <c r="B509" t="s">
        <v>1902</v>
      </c>
      <c r="C509" s="4">
        <v>0.0132</v>
      </c>
      <c r="D509" s="2">
        <f>C509*VLOOKUP($A509,'Selector Sheet '!$B$13:$D$43,2,FALSE)</f>
        <v>0</v>
      </c>
      <c r="G509" s="2">
        <f>C509*VLOOKUP($A509,'Selector Sheet '!$B$13:$D$43,2,FALSE)</f>
        <v>0</v>
      </c>
    </row>
    <row r="510" spans="1:7">
      <c r="A510" s="1" t="s">
        <v>41</v>
      </c>
      <c r="B510" t="s">
        <v>2162</v>
      </c>
      <c r="C510" s="4">
        <v>0.0124</v>
      </c>
      <c r="D510" s="2">
        <f>C510*VLOOKUP($A510,'Selector Sheet '!$B$13:$D$43,2,FALSE)</f>
        <v>0</v>
      </c>
      <c r="G510" s="2">
        <f>C510*VLOOKUP($A510,'Selector Sheet '!$B$13:$D$43,2,FALSE)</f>
        <v>0</v>
      </c>
    </row>
    <row r="511" spans="1:7">
      <c r="A511" s="1" t="s">
        <v>41</v>
      </c>
      <c r="B511" t="s">
        <v>2163</v>
      </c>
      <c r="C511" s="4">
        <v>0.0093</v>
      </c>
      <c r="D511" s="2">
        <f>C511*VLOOKUP($A511,'Selector Sheet '!$B$13:$D$43,2,FALSE)</f>
        <v>0</v>
      </c>
      <c r="G511" s="2">
        <f>C511*VLOOKUP($A511,'Selector Sheet '!$B$13:$D$43,2,FALSE)</f>
        <v>0</v>
      </c>
    </row>
    <row r="512" spans="1:7">
      <c r="A512" s="1" t="s">
        <v>41</v>
      </c>
      <c r="B512" t="s">
        <v>2131</v>
      </c>
      <c r="C512" s="4">
        <v>0.0082</v>
      </c>
      <c r="D512" s="2">
        <f>C512*VLOOKUP($A512,'Selector Sheet '!$B$13:$D$43,2,FALSE)</f>
        <v>0</v>
      </c>
      <c r="G512" s="2">
        <f>C512*VLOOKUP($A512,'Selector Sheet '!$B$13:$D$43,2,FALSE)</f>
        <v>0</v>
      </c>
    </row>
    <row r="513" spans="1:7">
      <c r="A513" s="1" t="s">
        <v>41</v>
      </c>
      <c r="B513" t="s">
        <v>2164</v>
      </c>
      <c r="C513" s="4">
        <v>0.0056</v>
      </c>
      <c r="D513" s="2">
        <f>C513*VLOOKUP($A513,'Selector Sheet '!$B$13:$D$43,2,FALSE)</f>
        <v>0</v>
      </c>
      <c r="G513" s="2">
        <f>C513*VLOOKUP($A513,'Selector Sheet '!$B$13:$D$43,2,FALSE)</f>
        <v>0</v>
      </c>
    </row>
    <row r="514" spans="1:7">
      <c r="A514" s="1" t="s">
        <v>41</v>
      </c>
      <c r="B514" t="s">
        <v>2102</v>
      </c>
      <c r="C514" s="4">
        <v>0.0113</v>
      </c>
      <c r="D514" s="2">
        <f>C514*VLOOKUP($A514,'Selector Sheet '!$B$13:$D$43,2,FALSE)</f>
        <v>0</v>
      </c>
      <c r="G514" s="2">
        <f>C514*VLOOKUP($A514,'Selector Sheet '!$B$13:$D$43,2,FALSE)</f>
        <v>0</v>
      </c>
    </row>
    <row r="515" spans="1:7">
      <c r="A515" s="1" t="s">
        <v>36</v>
      </c>
      <c r="B515" t="s">
        <v>1081</v>
      </c>
      <c r="C515" s="4">
        <v>0.058</v>
      </c>
      <c r="D515" s="2">
        <f>C515*VLOOKUP($A515,'Selector Sheet '!$B$13:$D$43,2,FALSE)</f>
        <v>0</v>
      </c>
      <c r="G515" s="2">
        <f>C515*VLOOKUP($A515,'Selector Sheet '!$B$13:$D$43,2,FALSE)</f>
        <v>0</v>
      </c>
    </row>
    <row r="516" spans="1:7">
      <c r="A516" s="1" t="s">
        <v>36</v>
      </c>
      <c r="B516" t="s">
        <v>2154</v>
      </c>
      <c r="C516" s="4">
        <v>0.056</v>
      </c>
      <c r="D516" s="2">
        <f>C516*VLOOKUP($A516,'Selector Sheet '!$B$13:$D$43,2,FALSE)</f>
        <v>0</v>
      </c>
      <c r="G516" s="2">
        <f>C516*VLOOKUP($A516,'Selector Sheet '!$B$13:$D$43,2,FALSE)</f>
        <v>0</v>
      </c>
    </row>
    <row r="517" spans="1:7">
      <c r="A517" s="1" t="s">
        <v>36</v>
      </c>
      <c r="B517" t="s">
        <v>2165</v>
      </c>
      <c r="C517" s="4">
        <v>0.056</v>
      </c>
      <c r="D517" s="2">
        <f>C517*VLOOKUP($A517,'Selector Sheet '!$B$13:$D$43,2,FALSE)</f>
        <v>0</v>
      </c>
      <c r="G517" s="2">
        <f>C517*VLOOKUP($A517,'Selector Sheet '!$B$13:$D$43,2,FALSE)</f>
        <v>0</v>
      </c>
    </row>
    <row r="518" spans="1:7">
      <c r="A518" s="1" t="s">
        <v>36</v>
      </c>
      <c r="B518" t="s">
        <v>1823</v>
      </c>
      <c r="C518" s="4">
        <v>0.056</v>
      </c>
      <c r="D518" s="2">
        <f>C518*VLOOKUP($A518,'Selector Sheet '!$B$13:$D$43,2,FALSE)</f>
        <v>0</v>
      </c>
      <c r="G518" s="2">
        <f>C518*VLOOKUP($A518,'Selector Sheet '!$B$13:$D$43,2,FALSE)</f>
        <v>0</v>
      </c>
    </row>
    <row r="519" spans="1:7">
      <c r="A519" s="1" t="s">
        <v>36</v>
      </c>
      <c r="B519" t="s">
        <v>1833</v>
      </c>
      <c r="C519" s="4">
        <v>0.052</v>
      </c>
      <c r="D519" s="2">
        <f>C519*VLOOKUP($A519,'Selector Sheet '!$B$13:$D$43,2,FALSE)</f>
        <v>0</v>
      </c>
      <c r="G519" s="2">
        <f>C519*VLOOKUP($A519,'Selector Sheet '!$B$13:$D$43,2,FALSE)</f>
        <v>0</v>
      </c>
    </row>
    <row r="520" spans="1:7">
      <c r="A520" s="1" t="s">
        <v>36</v>
      </c>
      <c r="B520" t="s">
        <v>2166</v>
      </c>
      <c r="C520" s="4">
        <v>0.052</v>
      </c>
      <c r="D520" s="2">
        <f>C520*VLOOKUP($A520,'Selector Sheet '!$B$13:$D$43,2,FALSE)</f>
        <v>0</v>
      </c>
      <c r="G520" s="2">
        <f>C520*VLOOKUP($A520,'Selector Sheet '!$B$13:$D$43,2,FALSE)</f>
        <v>0</v>
      </c>
    </row>
    <row r="521" spans="1:7">
      <c r="A521" s="1" t="s">
        <v>36</v>
      </c>
      <c r="B521" t="s">
        <v>2028</v>
      </c>
      <c r="C521" s="4">
        <v>0.052</v>
      </c>
      <c r="D521" s="2">
        <f>C521*VLOOKUP($A521,'Selector Sheet '!$B$13:$D$43,2,FALSE)</f>
        <v>0</v>
      </c>
      <c r="G521" s="2">
        <f>C521*VLOOKUP($A521,'Selector Sheet '!$B$13:$D$43,2,FALSE)</f>
        <v>0</v>
      </c>
    </row>
    <row r="522" spans="1:7">
      <c r="A522" s="1" t="s">
        <v>36</v>
      </c>
      <c r="B522" t="s">
        <v>1908</v>
      </c>
      <c r="C522" s="4">
        <v>0.051</v>
      </c>
      <c r="D522" s="2">
        <f>C522*VLOOKUP($A522,'Selector Sheet '!$B$13:$D$43,2,FALSE)</f>
        <v>0</v>
      </c>
      <c r="G522" s="2">
        <f>C522*VLOOKUP($A522,'Selector Sheet '!$B$13:$D$43,2,FALSE)</f>
        <v>0</v>
      </c>
    </row>
    <row r="523" spans="1:7">
      <c r="A523" s="1" t="s">
        <v>36</v>
      </c>
      <c r="B523" t="s">
        <v>1840</v>
      </c>
      <c r="C523" s="4">
        <v>0.05</v>
      </c>
      <c r="D523" s="2">
        <f>C523*VLOOKUP($A523,'Selector Sheet '!$B$13:$D$43,2,FALSE)</f>
        <v>0</v>
      </c>
      <c r="G523" s="2">
        <f>C523*VLOOKUP($A523,'Selector Sheet '!$B$13:$D$43,2,FALSE)</f>
        <v>0</v>
      </c>
    </row>
    <row r="524" spans="1:7">
      <c r="A524" s="1" t="s">
        <v>36</v>
      </c>
      <c r="B524" t="s">
        <v>2167</v>
      </c>
      <c r="C524" s="4">
        <v>0.041</v>
      </c>
      <c r="D524" s="2">
        <f>C524*VLOOKUP($A524,'Selector Sheet '!$B$13:$D$43,2,FALSE)</f>
        <v>0</v>
      </c>
      <c r="G524" s="2">
        <f>C524*VLOOKUP($A524,'Selector Sheet '!$B$13:$D$43,2,FALSE)</f>
        <v>0</v>
      </c>
    </row>
    <row r="525" spans="1:7">
      <c r="A525" s="1" t="s">
        <v>36</v>
      </c>
      <c r="B525" t="s">
        <v>2168</v>
      </c>
      <c r="C525" s="4">
        <v>0.04</v>
      </c>
      <c r="D525" s="2">
        <f>C525*VLOOKUP($A525,'Selector Sheet '!$B$13:$D$43,2,FALSE)</f>
        <v>0</v>
      </c>
      <c r="G525" s="2">
        <f>C525*VLOOKUP($A525,'Selector Sheet '!$B$13:$D$43,2,FALSE)</f>
        <v>0</v>
      </c>
    </row>
    <row r="526" spans="1:7">
      <c r="A526" s="1" t="s">
        <v>36</v>
      </c>
      <c r="B526" t="s">
        <v>2169</v>
      </c>
      <c r="C526" s="4">
        <v>0.034</v>
      </c>
      <c r="D526" s="2">
        <f>C526*VLOOKUP($A526,'Selector Sheet '!$B$13:$D$43,2,FALSE)</f>
        <v>0</v>
      </c>
      <c r="G526" s="2">
        <f>C526*VLOOKUP($A526,'Selector Sheet '!$B$13:$D$43,2,FALSE)</f>
        <v>0</v>
      </c>
    </row>
    <row r="527" spans="1:7">
      <c r="A527" s="1" t="s">
        <v>36</v>
      </c>
      <c r="B527" t="s">
        <v>2170</v>
      </c>
      <c r="C527" s="4">
        <v>0.033</v>
      </c>
      <c r="D527" s="2">
        <f>C527*VLOOKUP($A527,'Selector Sheet '!$B$13:$D$43,2,FALSE)</f>
        <v>0</v>
      </c>
      <c r="G527" s="2">
        <f>C527*VLOOKUP($A527,'Selector Sheet '!$B$13:$D$43,2,FALSE)</f>
        <v>0</v>
      </c>
    </row>
    <row r="528" spans="1:7">
      <c r="A528" s="1" t="s">
        <v>36</v>
      </c>
      <c r="B528" t="s">
        <v>1904</v>
      </c>
      <c r="C528" s="4">
        <v>0.033</v>
      </c>
      <c r="D528" s="2">
        <f>C528*VLOOKUP($A528,'Selector Sheet '!$B$13:$D$43,2,FALSE)</f>
        <v>0</v>
      </c>
      <c r="G528" s="2">
        <f>C528*VLOOKUP($A528,'Selector Sheet '!$B$13:$D$43,2,FALSE)</f>
        <v>0</v>
      </c>
    </row>
    <row r="529" spans="1:7">
      <c r="A529" s="1" t="s">
        <v>36</v>
      </c>
      <c r="B529" t="s">
        <v>2100</v>
      </c>
      <c r="C529" s="4">
        <v>0.026</v>
      </c>
      <c r="D529" s="2">
        <f>C529*VLOOKUP($A529,'Selector Sheet '!$B$13:$D$43,2,FALSE)</f>
        <v>0</v>
      </c>
      <c r="G529" s="2">
        <f>C529*VLOOKUP($A529,'Selector Sheet '!$B$13:$D$43,2,FALSE)</f>
        <v>0</v>
      </c>
    </row>
    <row r="530" spans="1:7">
      <c r="A530" s="1" t="s">
        <v>36</v>
      </c>
      <c r="B530" t="s">
        <v>2142</v>
      </c>
      <c r="C530" s="4">
        <v>0.024</v>
      </c>
      <c r="D530" s="2">
        <f>C530*VLOOKUP($A530,'Selector Sheet '!$B$13:$D$43,2,FALSE)</f>
        <v>0</v>
      </c>
      <c r="G530" s="2">
        <f>C530*VLOOKUP($A530,'Selector Sheet '!$B$13:$D$43,2,FALSE)</f>
        <v>0</v>
      </c>
    </row>
    <row r="531" spans="1:7">
      <c r="A531" s="1" t="s">
        <v>36</v>
      </c>
      <c r="B531" t="s">
        <v>1928</v>
      </c>
      <c r="C531" s="4">
        <v>0.023</v>
      </c>
      <c r="D531" s="2">
        <f>C531*VLOOKUP($A531,'Selector Sheet '!$B$13:$D$43,2,FALSE)</f>
        <v>0</v>
      </c>
      <c r="G531" s="2">
        <f>C531*VLOOKUP($A531,'Selector Sheet '!$B$13:$D$43,2,FALSE)</f>
        <v>0</v>
      </c>
    </row>
    <row r="532" spans="1:7">
      <c r="A532" s="1" t="s">
        <v>36</v>
      </c>
      <c r="B532" t="s">
        <v>2171</v>
      </c>
      <c r="C532" s="4">
        <v>0.022</v>
      </c>
      <c r="D532" s="2">
        <f>C532*VLOOKUP($A532,'Selector Sheet '!$B$13:$D$43,2,FALSE)</f>
        <v>0</v>
      </c>
      <c r="G532" s="2">
        <f>C532*VLOOKUP($A532,'Selector Sheet '!$B$13:$D$43,2,FALSE)</f>
        <v>0</v>
      </c>
    </row>
    <row r="533" spans="1:7">
      <c r="A533" s="1" t="s">
        <v>36</v>
      </c>
      <c r="B533" t="s">
        <v>2172</v>
      </c>
      <c r="C533" s="4">
        <v>0.022</v>
      </c>
      <c r="D533" s="2">
        <f>C533*VLOOKUP($A533,'Selector Sheet '!$B$13:$D$43,2,FALSE)</f>
        <v>0</v>
      </c>
      <c r="G533" s="2">
        <f>C533*VLOOKUP($A533,'Selector Sheet '!$B$13:$D$43,2,FALSE)</f>
        <v>0</v>
      </c>
    </row>
    <row r="534" spans="1:7">
      <c r="A534" s="1" t="s">
        <v>36</v>
      </c>
      <c r="B534" t="s">
        <v>1825</v>
      </c>
      <c r="C534" s="4">
        <v>0.019</v>
      </c>
      <c r="D534" s="2">
        <f>C534*VLOOKUP($A534,'Selector Sheet '!$B$13:$D$43,2,FALSE)</f>
        <v>0</v>
      </c>
      <c r="G534" s="2">
        <f>C534*VLOOKUP($A534,'Selector Sheet '!$B$13:$D$43,2,FALSE)</f>
        <v>0</v>
      </c>
    </row>
    <row r="535" spans="1:7">
      <c r="A535" s="1" t="s">
        <v>36</v>
      </c>
      <c r="B535" t="s">
        <v>1884</v>
      </c>
      <c r="C535" s="4">
        <v>0.019</v>
      </c>
      <c r="D535" s="2">
        <f>C535*VLOOKUP($A535,'Selector Sheet '!$B$13:$D$43,2,FALSE)</f>
        <v>0</v>
      </c>
      <c r="G535" s="2">
        <f>C535*VLOOKUP($A535,'Selector Sheet '!$B$13:$D$43,2,FALSE)</f>
        <v>0</v>
      </c>
    </row>
    <row r="536" spans="1:7">
      <c r="A536" s="1" t="s">
        <v>36</v>
      </c>
      <c r="B536" t="s">
        <v>2173</v>
      </c>
      <c r="C536" s="4">
        <v>0.018</v>
      </c>
      <c r="D536" s="2">
        <f>C536*VLOOKUP($A536,'Selector Sheet '!$B$13:$D$43,2,FALSE)</f>
        <v>0</v>
      </c>
      <c r="G536" s="2">
        <f>C536*VLOOKUP($A536,'Selector Sheet '!$B$13:$D$43,2,FALSE)</f>
        <v>0</v>
      </c>
    </row>
    <row r="537" spans="1:7">
      <c r="A537" s="1" t="s">
        <v>36</v>
      </c>
      <c r="B537" t="s">
        <v>2174</v>
      </c>
      <c r="C537" s="4">
        <v>0.015</v>
      </c>
      <c r="D537" s="2">
        <f>C537*VLOOKUP($A537,'Selector Sheet '!$B$13:$D$43,2,FALSE)</f>
        <v>0</v>
      </c>
      <c r="G537" s="2">
        <f>C537*VLOOKUP($A537,'Selector Sheet '!$B$13:$D$43,2,FALSE)</f>
        <v>0</v>
      </c>
    </row>
    <row r="538" spans="1:7">
      <c r="A538" s="1" t="s">
        <v>36</v>
      </c>
      <c r="B538" t="s">
        <v>2175</v>
      </c>
      <c r="C538" s="4">
        <v>0.015</v>
      </c>
      <c r="D538" s="2">
        <f>C538*VLOOKUP($A538,'Selector Sheet '!$B$13:$D$43,2,FALSE)</f>
        <v>0</v>
      </c>
      <c r="G538" s="2">
        <f>C538*VLOOKUP($A538,'Selector Sheet '!$B$13:$D$43,2,FALSE)</f>
        <v>0</v>
      </c>
    </row>
    <row r="539" spans="1:7">
      <c r="A539" s="1" t="s">
        <v>36</v>
      </c>
      <c r="B539" t="s">
        <v>2176</v>
      </c>
      <c r="C539" s="4">
        <v>0.014</v>
      </c>
      <c r="D539" s="2">
        <f>C539*VLOOKUP($A539,'Selector Sheet '!$B$13:$D$43,2,FALSE)</f>
        <v>0</v>
      </c>
      <c r="G539" s="2">
        <f>C539*VLOOKUP($A539,'Selector Sheet '!$B$13:$D$43,2,FALSE)</f>
        <v>0</v>
      </c>
    </row>
    <row r="540" spans="1:7">
      <c r="A540" s="1" t="s">
        <v>36</v>
      </c>
      <c r="B540" t="s">
        <v>2177</v>
      </c>
      <c r="C540" s="4">
        <v>0.014</v>
      </c>
      <c r="D540" s="2">
        <f>C540*VLOOKUP($A540,'Selector Sheet '!$B$13:$D$43,2,FALSE)</f>
        <v>0</v>
      </c>
      <c r="G540" s="2">
        <f>C540*VLOOKUP($A540,'Selector Sheet '!$B$13:$D$43,2,FALSE)</f>
        <v>0</v>
      </c>
    </row>
    <row r="541" spans="1:7">
      <c r="A541" s="1" t="s">
        <v>36</v>
      </c>
      <c r="B541" t="s">
        <v>2178</v>
      </c>
      <c r="C541" s="4">
        <v>0.014</v>
      </c>
      <c r="D541" s="2">
        <f>C541*VLOOKUP($A541,'Selector Sheet '!$B$13:$D$43,2,FALSE)</f>
        <v>0</v>
      </c>
      <c r="G541" s="2">
        <f>C541*VLOOKUP($A541,'Selector Sheet '!$B$13:$D$43,2,FALSE)</f>
        <v>0</v>
      </c>
    </row>
    <row r="542" spans="1:7">
      <c r="A542" s="1" t="s">
        <v>36</v>
      </c>
      <c r="B542" t="s">
        <v>2179</v>
      </c>
      <c r="C542" s="4">
        <v>0.01</v>
      </c>
      <c r="D542" s="2">
        <f>C542*VLOOKUP($A542,'Selector Sheet '!$B$13:$D$43,2,FALSE)</f>
        <v>0</v>
      </c>
      <c r="G542" s="2">
        <f>C542*VLOOKUP($A542,'Selector Sheet '!$B$13:$D$43,2,FALSE)</f>
        <v>0</v>
      </c>
    </row>
    <row r="543" spans="1:7">
      <c r="A543" s="1" t="s">
        <v>27</v>
      </c>
      <c r="B543" t="s">
        <v>1838</v>
      </c>
      <c r="C543" s="4">
        <v>0.0681</v>
      </c>
      <c r="D543" s="2">
        <f>C543*VLOOKUP($A543,'Selector Sheet '!$B$13:$D$43,2,FALSE)</f>
        <v>0</v>
      </c>
      <c r="G543" s="2">
        <f>C543*VLOOKUP($A543,'Selector Sheet '!$B$13:$D$43,2,FALSE)</f>
        <v>0</v>
      </c>
    </row>
    <row r="544" spans="1:7">
      <c r="A544" s="1" t="s">
        <v>27</v>
      </c>
      <c r="B544" t="s">
        <v>2180</v>
      </c>
      <c r="C544" s="4">
        <v>0.0429</v>
      </c>
      <c r="D544" s="2">
        <f>C544*VLOOKUP($A544,'Selector Sheet '!$B$13:$D$43,2,FALSE)</f>
        <v>0</v>
      </c>
      <c r="G544" s="2">
        <f>C544*VLOOKUP($A544,'Selector Sheet '!$B$13:$D$43,2,FALSE)</f>
        <v>0</v>
      </c>
    </row>
    <row r="545" spans="1:7">
      <c r="A545" s="1" t="s">
        <v>27</v>
      </c>
      <c r="B545" t="s">
        <v>1825</v>
      </c>
      <c r="C545" s="4">
        <v>0.0401</v>
      </c>
      <c r="D545" s="2">
        <f>C545*VLOOKUP($A545,'Selector Sheet '!$B$13:$D$43,2,FALSE)</f>
        <v>0</v>
      </c>
      <c r="G545" s="2">
        <f>C545*VLOOKUP($A545,'Selector Sheet '!$B$13:$D$43,2,FALSE)</f>
        <v>0</v>
      </c>
    </row>
    <row r="546" spans="1:7">
      <c r="A546" s="1" t="s">
        <v>27</v>
      </c>
      <c r="B546" t="s">
        <v>2181</v>
      </c>
      <c r="C546" s="4">
        <v>0.0371</v>
      </c>
      <c r="D546" s="2">
        <f>C546*VLOOKUP($A546,'Selector Sheet '!$B$13:$D$43,2,FALSE)</f>
        <v>0</v>
      </c>
      <c r="G546" s="2">
        <f>C546*VLOOKUP($A546,'Selector Sheet '!$B$13:$D$43,2,FALSE)</f>
        <v>0</v>
      </c>
    </row>
    <row r="547" spans="1:7">
      <c r="A547" s="1" t="s">
        <v>27</v>
      </c>
      <c r="B547" t="s">
        <v>2148</v>
      </c>
      <c r="C547" s="4">
        <v>0.0322</v>
      </c>
      <c r="D547" s="2">
        <f>C547*VLOOKUP($A547,'Selector Sheet '!$B$13:$D$43,2,FALSE)</f>
        <v>0</v>
      </c>
      <c r="G547" s="2">
        <f>C547*VLOOKUP($A547,'Selector Sheet '!$B$13:$D$43,2,FALSE)</f>
        <v>0</v>
      </c>
    </row>
    <row r="548" spans="1:7">
      <c r="A548" s="1" t="s">
        <v>27</v>
      </c>
      <c r="B548" t="s">
        <v>1884</v>
      </c>
      <c r="C548" s="4">
        <v>0.027</v>
      </c>
      <c r="D548" s="2">
        <f>C548*VLOOKUP($A548,'Selector Sheet '!$B$13:$D$43,2,FALSE)</f>
        <v>0</v>
      </c>
      <c r="G548" s="2">
        <f>C548*VLOOKUP($A548,'Selector Sheet '!$B$13:$D$43,2,FALSE)</f>
        <v>0</v>
      </c>
    </row>
    <row r="549" spans="1:7">
      <c r="A549" s="1" t="s">
        <v>27</v>
      </c>
      <c r="B549" t="s">
        <v>1823</v>
      </c>
      <c r="C549" s="4">
        <v>0.0268</v>
      </c>
      <c r="D549" s="2">
        <f>C549*VLOOKUP($A549,'Selector Sheet '!$B$13:$D$43,2,FALSE)</f>
        <v>0</v>
      </c>
      <c r="G549" s="2">
        <f>C549*VLOOKUP($A549,'Selector Sheet '!$B$13:$D$43,2,FALSE)</f>
        <v>0</v>
      </c>
    </row>
    <row r="550" spans="1:7">
      <c r="A550" s="1" t="s">
        <v>27</v>
      </c>
      <c r="B550" t="s">
        <v>1830</v>
      </c>
      <c r="C550" s="4">
        <v>0.0257</v>
      </c>
      <c r="D550" s="2">
        <f>C550*VLOOKUP($A550,'Selector Sheet '!$B$13:$D$43,2,FALSE)</f>
        <v>0</v>
      </c>
      <c r="G550" s="2">
        <f>C550*VLOOKUP($A550,'Selector Sheet '!$B$13:$D$43,2,FALSE)</f>
        <v>0</v>
      </c>
    </row>
    <row r="551" spans="1:7">
      <c r="A551" s="1" t="s">
        <v>27</v>
      </c>
      <c r="B551" t="s">
        <v>1897</v>
      </c>
      <c r="C551" s="4">
        <v>0.0253</v>
      </c>
      <c r="D551" s="2">
        <f>C551*VLOOKUP($A551,'Selector Sheet '!$B$13:$D$43,2,FALSE)</f>
        <v>0</v>
      </c>
      <c r="G551" s="2">
        <f>C551*VLOOKUP($A551,'Selector Sheet '!$B$13:$D$43,2,FALSE)</f>
        <v>0</v>
      </c>
    </row>
    <row r="552" spans="1:7">
      <c r="A552" s="1" t="s">
        <v>27</v>
      </c>
      <c r="B552" t="s">
        <v>1833</v>
      </c>
      <c r="C552" s="4">
        <v>0.0248</v>
      </c>
      <c r="D552" s="2">
        <f>C552*VLOOKUP($A552,'Selector Sheet '!$B$13:$D$43,2,FALSE)</f>
        <v>0</v>
      </c>
      <c r="G552" s="2">
        <f>C552*VLOOKUP($A552,'Selector Sheet '!$B$13:$D$43,2,FALSE)</f>
        <v>0</v>
      </c>
    </row>
    <row r="553" spans="1:7">
      <c r="A553" s="1" t="s">
        <v>27</v>
      </c>
      <c r="B553" t="s">
        <v>1887</v>
      </c>
      <c r="C553" s="4">
        <v>0.0233</v>
      </c>
      <c r="D553" s="2">
        <f>C553*VLOOKUP($A553,'Selector Sheet '!$B$13:$D$43,2,FALSE)</f>
        <v>0</v>
      </c>
      <c r="G553" s="2">
        <f>C553*VLOOKUP($A553,'Selector Sheet '!$B$13:$D$43,2,FALSE)</f>
        <v>0</v>
      </c>
    </row>
    <row r="554" spans="1:7">
      <c r="A554" s="1" t="s">
        <v>27</v>
      </c>
      <c r="B554" t="s">
        <v>2182</v>
      </c>
      <c r="C554" s="4">
        <v>0.0231</v>
      </c>
      <c r="D554" s="2">
        <f>C554*VLOOKUP($A554,'Selector Sheet '!$B$13:$D$43,2,FALSE)</f>
        <v>0</v>
      </c>
      <c r="G554" s="2">
        <f>C554*VLOOKUP($A554,'Selector Sheet '!$B$13:$D$43,2,FALSE)</f>
        <v>0</v>
      </c>
    </row>
    <row r="555" spans="1:7">
      <c r="A555" s="1" t="s">
        <v>27</v>
      </c>
      <c r="B555" t="s">
        <v>1906</v>
      </c>
      <c r="C555" s="4">
        <v>0.0227</v>
      </c>
      <c r="D555" s="2">
        <f>C555*VLOOKUP($A555,'Selector Sheet '!$B$13:$D$43,2,FALSE)</f>
        <v>0</v>
      </c>
      <c r="G555" s="2">
        <f>C555*VLOOKUP($A555,'Selector Sheet '!$B$13:$D$43,2,FALSE)</f>
        <v>0</v>
      </c>
    </row>
    <row r="556" spans="1:7">
      <c r="A556" s="1" t="s">
        <v>27</v>
      </c>
      <c r="B556" t="s">
        <v>2183</v>
      </c>
      <c r="C556" s="4">
        <v>0.0226</v>
      </c>
      <c r="D556" s="2">
        <f>C556*VLOOKUP($A556,'Selector Sheet '!$B$13:$D$43,2,FALSE)</f>
        <v>0</v>
      </c>
      <c r="G556" s="2">
        <f>C556*VLOOKUP($A556,'Selector Sheet '!$B$13:$D$43,2,FALSE)</f>
        <v>0</v>
      </c>
    </row>
    <row r="557" spans="1:7">
      <c r="A557" s="1" t="s">
        <v>27</v>
      </c>
      <c r="B557" t="s">
        <v>1886</v>
      </c>
      <c r="C557" s="4">
        <v>0.0216</v>
      </c>
      <c r="D557" s="2">
        <f>C557*VLOOKUP($A557,'Selector Sheet '!$B$13:$D$43,2,FALSE)</f>
        <v>0</v>
      </c>
      <c r="G557" s="2">
        <f>C557*VLOOKUP($A557,'Selector Sheet '!$B$13:$D$43,2,FALSE)</f>
        <v>0</v>
      </c>
    </row>
    <row r="558" spans="1:7">
      <c r="A558" s="1" t="s">
        <v>27</v>
      </c>
      <c r="B558" t="s">
        <v>1827</v>
      </c>
      <c r="C558" s="4">
        <v>0.0198</v>
      </c>
      <c r="D558" s="2">
        <f>C558*VLOOKUP($A558,'Selector Sheet '!$B$13:$D$43,2,FALSE)</f>
        <v>0</v>
      </c>
      <c r="G558" s="2">
        <f>C558*VLOOKUP($A558,'Selector Sheet '!$B$13:$D$43,2,FALSE)</f>
        <v>0</v>
      </c>
    </row>
    <row r="559" spans="1:7">
      <c r="A559" s="1" t="s">
        <v>27</v>
      </c>
      <c r="B559" t="s">
        <v>2184</v>
      </c>
      <c r="C559" s="4">
        <v>0.019</v>
      </c>
      <c r="D559" s="2">
        <f>C559*VLOOKUP($A559,'Selector Sheet '!$B$13:$D$43,2,FALSE)</f>
        <v>0</v>
      </c>
      <c r="G559" s="2">
        <f>C559*VLOOKUP($A559,'Selector Sheet '!$B$13:$D$43,2,FALSE)</f>
        <v>0</v>
      </c>
    </row>
    <row r="560" spans="1:7">
      <c r="A560" s="1" t="s">
        <v>27</v>
      </c>
      <c r="B560" t="s">
        <v>2062</v>
      </c>
      <c r="C560" s="4">
        <v>0.0169</v>
      </c>
      <c r="D560" s="2">
        <f>C560*VLOOKUP($A560,'Selector Sheet '!$B$13:$D$43,2,FALSE)</f>
        <v>0</v>
      </c>
      <c r="G560" s="2">
        <f>C560*VLOOKUP($A560,'Selector Sheet '!$B$13:$D$43,2,FALSE)</f>
        <v>0</v>
      </c>
    </row>
    <row r="561" spans="1:7">
      <c r="A561" s="1" t="s">
        <v>27</v>
      </c>
      <c r="B561" t="s">
        <v>1996</v>
      </c>
      <c r="C561" s="4">
        <v>0.0168</v>
      </c>
      <c r="D561" s="2">
        <f>C561*VLOOKUP($A561,'Selector Sheet '!$B$13:$D$43,2,FALSE)</f>
        <v>0</v>
      </c>
      <c r="G561" s="2">
        <f>C561*VLOOKUP($A561,'Selector Sheet '!$B$13:$D$43,2,FALSE)</f>
        <v>0</v>
      </c>
    </row>
    <row r="562" spans="1:7">
      <c r="A562" s="1" t="s">
        <v>27</v>
      </c>
      <c r="B562" t="s">
        <v>1828</v>
      </c>
      <c r="C562" s="4">
        <v>0.0148</v>
      </c>
      <c r="D562" s="2">
        <f>C562*VLOOKUP($A562,'Selector Sheet '!$B$13:$D$43,2,FALSE)</f>
        <v>0</v>
      </c>
      <c r="G562" s="2">
        <f>C562*VLOOKUP($A562,'Selector Sheet '!$B$13:$D$43,2,FALSE)</f>
        <v>0</v>
      </c>
    </row>
    <row r="563" spans="1:7">
      <c r="A563" s="1" t="s">
        <v>27</v>
      </c>
      <c r="B563" t="s">
        <v>976</v>
      </c>
      <c r="C563" s="4">
        <v>0.0148</v>
      </c>
      <c r="D563" s="2">
        <f>C563*VLOOKUP($A563,'Selector Sheet '!$B$13:$D$43,2,FALSE)</f>
        <v>0</v>
      </c>
      <c r="G563" s="2">
        <f>C563*VLOOKUP($A563,'Selector Sheet '!$B$13:$D$43,2,FALSE)</f>
        <v>0</v>
      </c>
    </row>
    <row r="564" spans="1:7">
      <c r="A564" s="1" t="s">
        <v>27</v>
      </c>
      <c r="B564" t="s">
        <v>2185</v>
      </c>
      <c r="C564" s="4">
        <v>0.0147</v>
      </c>
      <c r="D564" s="2">
        <f>C564*VLOOKUP($A564,'Selector Sheet '!$B$13:$D$43,2,FALSE)</f>
        <v>0</v>
      </c>
      <c r="G564" s="2">
        <f>C564*VLOOKUP($A564,'Selector Sheet '!$B$13:$D$43,2,FALSE)</f>
        <v>0</v>
      </c>
    </row>
    <row r="565" spans="1:7">
      <c r="A565" s="1" t="s">
        <v>27</v>
      </c>
      <c r="B565" t="s">
        <v>1843</v>
      </c>
      <c r="C565" s="4">
        <v>0.0146</v>
      </c>
      <c r="D565" s="2">
        <f>C565*VLOOKUP($A565,'Selector Sheet '!$B$13:$D$43,2,FALSE)</f>
        <v>0</v>
      </c>
      <c r="G565" s="2">
        <f>C565*VLOOKUP($A565,'Selector Sheet '!$B$13:$D$43,2,FALSE)</f>
        <v>0</v>
      </c>
    </row>
    <row r="566" spans="1:7">
      <c r="A566" s="1" t="s">
        <v>27</v>
      </c>
      <c r="B566" t="s">
        <v>1878</v>
      </c>
      <c r="C566" s="4">
        <v>0.0145</v>
      </c>
      <c r="D566" s="2">
        <f>C566*VLOOKUP($A566,'Selector Sheet '!$B$13:$D$43,2,FALSE)</f>
        <v>0</v>
      </c>
      <c r="G566" s="2">
        <f>C566*VLOOKUP($A566,'Selector Sheet '!$B$13:$D$43,2,FALSE)</f>
        <v>0</v>
      </c>
    </row>
    <row r="567" spans="1:7">
      <c r="A567" s="1" t="s">
        <v>27</v>
      </c>
      <c r="B567" t="s">
        <v>1885</v>
      </c>
      <c r="C567" s="4">
        <v>0.0133</v>
      </c>
      <c r="D567" s="2">
        <f>C567*VLOOKUP($A567,'Selector Sheet '!$B$13:$D$43,2,FALSE)</f>
        <v>0</v>
      </c>
      <c r="G567" s="2">
        <f>C567*VLOOKUP($A567,'Selector Sheet '!$B$13:$D$43,2,FALSE)</f>
        <v>0</v>
      </c>
    </row>
  </sheetData>
  <pageMargins left="0.7" right="0.7" top="0.75" bottom="0.75" header="0.3" footer="0.3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75262230-656F-4A25-B009-338D4776A157}">
  <ds:schemaRefs/>
</ds:datastoreItem>
</file>

<file path=customXml/itemProps2.xml><?xml version="1.0" encoding="utf-8"?>
<ds:datastoreItem xmlns:ds="http://schemas.openxmlformats.org/officeDocument/2006/customXml" ds:itemID="{A3B84AB7-E5AE-4C98-B20F-98B4C6BA4EEE}">
  <ds:schemaRefs/>
</ds:datastoreItem>
</file>

<file path=customXml/itemProps3.xml><?xml version="1.0" encoding="utf-8"?>
<ds:datastoreItem xmlns:ds="http://schemas.openxmlformats.org/officeDocument/2006/customXml" ds:itemID="{1A21B384-B21D-4D27-973D-17B646BF8697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Selector Sheet </vt:lpstr>
      <vt:lpstr>Output Dashboard (option 1)</vt:lpstr>
      <vt:lpstr>Performance Data</vt:lpstr>
      <vt:lpstr>Output Dashboard </vt:lpstr>
      <vt:lpstr>Output Dashboard Debt</vt:lpstr>
      <vt:lpstr>Macro1</vt:lpstr>
      <vt:lpstr>PPT Attributes</vt:lpstr>
      <vt:lpstr>Drop Downs</vt:lpstr>
      <vt:lpstr>Sheet1</vt:lpstr>
      <vt:lpstr>Sheet2</vt:lpstr>
      <vt:lpstr>Source_Data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Mrigank Shekhar Sahi</dc:creator>
  <cp:lastModifiedBy>sangw</cp:lastModifiedBy>
  <dcterms:created xsi:type="dcterms:W3CDTF">2025-02-19T05:15:00Z</dcterms:created>
  <dcterms:modified xsi:type="dcterms:W3CDTF">2025-08-31T10:08:12Z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0x010100A7F7E11DD8037D41ADC47C3CA758E69E</vt:lpwstr>
  </property>
  <property fmtid="{D5CDD505-2E9C-101B-9397-08002B2CF9AE}" pid="3" name="ICV">
    <vt:lpwstr>9971AF6E624A40B9A314D2E1319FF012_13</vt:lpwstr>
  </property>
  <property fmtid="{D5CDD505-2E9C-101B-9397-08002B2CF9AE}" pid="4" name="KSOProductBuildVer">
    <vt:lpwstr>2057-12.2.0.21936</vt:lpwstr>
  </property>
</Properties>
</file>